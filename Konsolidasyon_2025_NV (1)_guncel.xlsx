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BuÇalışmaKitabı"/>
  <bookViews>
    <workbookView visibility="visible" minimized="0" showHorizontalScroll="1" showVerticalScroll="1" showSheetTabs="1" xWindow="-110" yWindow="-110" windowWidth="19420" windowHeight="10300" tabRatio="795" firstSheet="3" activeTab="17" autoFilterDateGrouping="1"/>
  </bookViews>
  <sheets>
    <sheet name="_com.sap.ip.bi.xl.hiddensheet" sheetId="1" state="veryHidden" r:id="rId1"/>
    <sheet name="Finansal Raporlama AY" sheetId="2" state="visible" r:id="rId2"/>
    <sheet name="Finansal Raporlama KÜM" sheetId="3" state="visible" r:id="rId3"/>
    <sheet name="Finansal Raporlama Tahmin" sheetId="4" state="visible" r:id="rId4"/>
    <sheet name="A -Döviz" sheetId="5" state="visible" r:id="rId5"/>
    <sheet name="C-Döviz" sheetId="6" state="visible" r:id="rId6"/>
    <sheet name="A-TRY" sheetId="7" state="visible" r:id="rId7"/>
    <sheet name="C-TRY" sheetId="8" state="visible" r:id="rId8"/>
    <sheet name="Özet Rapor" sheetId="9" state="hidden" r:id="rId9"/>
    <sheet name="HS" sheetId="10" state="hidden" r:id="rId10"/>
    <sheet name="Tahmin-eur" sheetId="11" state="hidden" r:id="rId11"/>
    <sheet name="Tahmin-tl" sheetId="12" state="hidden" r:id="rId12"/>
    <sheet name="Tahmin - Bağış, İş Gel. Hrç" sheetId="13" state="hidden" r:id="rId13"/>
    <sheet name="EBIDA Bridge" sheetId="14" state="visible" r:id="rId14"/>
    <sheet name="Tahmin" sheetId="15" state="visible" r:id="rId15"/>
    <sheet name="Tahmin (3)" sheetId="16" state="hidden" r:id="rId16"/>
    <sheet name="Tahmin (4)" sheetId="17" state="hidden" r:id="rId17"/>
    <sheet name="Tahmin Data" sheetId="18" state="visible" r:id="rId18"/>
    <sheet name="Tahmin (2)" sheetId="19" state="hidden" r:id="rId19"/>
    <sheet name="Bağış - İş Geliştirme Hariç" sheetId="20" state="hidden" r:id="rId20"/>
    <sheet name="gerç aylık-eur" sheetId="21" state="visible" r:id="rId21"/>
    <sheet name="gerç aylık-tl" sheetId="22" state="visible" r:id="rId22"/>
    <sheet name="değişim aylık eur" sheetId="23" state="visible" r:id="rId23"/>
    <sheet name="değişim-tl" sheetId="24" state="visible" r:id="rId24"/>
    <sheet name="Bütçe aylık-Eur" sheetId="25" state="visible" r:id="rId25"/>
    <sheet name="Bütçe Değişim eur" sheetId="26" state="visible" r:id="rId26"/>
    <sheet name="Bütçe aylık-TL" sheetId="27" state="visible" r:id="rId27"/>
    <sheet name="Bütçe Değişim TL" sheetId="28" state="visible" r:id="rId28"/>
  </sheet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P">#REF!</definedName>
    <definedName name="\Q">#REF!</definedName>
    <definedName name="\R">#REF!</definedName>
    <definedName name="\S">#REF!</definedName>
    <definedName name="\X">#REF!</definedName>
    <definedName name="\Z">#REF!</definedName>
    <definedName name="_1___0Yazdırma_Al">#REF!</definedName>
    <definedName name="_1_0Yazdırma_Al">#REF!</definedName>
    <definedName name="_108CROMO">#REF!</definedName>
    <definedName name="_123Graph_ACHART" hidden="1">#REF!</definedName>
    <definedName name="_15___0Yazdırma_Al">#REF!</definedName>
    <definedName name="_16___0Yazdırma_Al">#REF!</definedName>
    <definedName name="_2____Yazdırma_Al">#REF!</definedName>
    <definedName name="_2Yazdırma_Al">#REF!</definedName>
    <definedName name="_4_0Yazdırma_Al">#REF!</definedName>
    <definedName name="_5_0Yazdırma_Al">#REF!</definedName>
    <definedName name="_6Yazdırma_Al">#REF!</definedName>
    <definedName name="_9._Analysis_of_net_debt">#REF!</definedName>
    <definedName name="_ANG1">#REF!</definedName>
    <definedName name="_ANG2">#REF!</definedName>
    <definedName name="_ANG3">#REF!</definedName>
    <definedName name="_ANG4">#REF!</definedName>
    <definedName name="_c">#REF!</definedName>
    <definedName name="_DAT1">#REF!</definedName>
    <definedName name="_DAT11">#REF!</definedName>
    <definedName name="_DAT3">#REF!</definedName>
    <definedName name="_DAT4">#REF!</definedName>
    <definedName name="_DAT5">#REF!</definedName>
    <definedName name="_DAT9">#REF!</definedName>
    <definedName name="_Fill" hidden="1">#REF!</definedName>
    <definedName name="_ısm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_Order1" hidden="1">255</definedName>
    <definedName name="_Order2" hidden="1">255</definedName>
    <definedName name="_pan1">#REF!</definedName>
    <definedName name="_par1">#REF!</definedName>
    <definedName name="_PY1">#REF!</definedName>
    <definedName name="_PY2">#REF!</definedName>
    <definedName name="_tab3">#REF!</definedName>
    <definedName name="_Typ7">"Cost Centre"</definedName>
    <definedName name="_Typ8">"Expense/Income"</definedName>
    <definedName name="a">{"Werkdp_excl",#N/A,FALSE,"WERKdp"}</definedName>
    <definedName name="aa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A">#REF!</definedName>
    <definedName name="AAAA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aaaaa">#REF!</definedName>
    <definedName name="Abweichung">#REF!</definedName>
    <definedName name="ACCCODE">#REF!</definedName>
    <definedName name="ACCCODE2">#REF!</definedName>
    <definedName name="actual">#REF!</definedName>
    <definedName name="ak" hidden="1">#REF!</definedName>
    <definedName name="ali">#REF!</definedName>
    <definedName name="ALUMINUM">#REF!</definedName>
    <definedName name="AMG">#REF!</definedName>
    <definedName name="ANGKEM1">#REF!</definedName>
    <definedName name="ANGKEM11">#REF!</definedName>
    <definedName name="ANGKEM12">#REF!</definedName>
    <definedName name="ANGKEM13">#REF!</definedName>
    <definedName name="ANGKEM14">#REF!</definedName>
    <definedName name="ANGKEM2">#REF!</definedName>
    <definedName name="ANGKEM21">#REF!</definedName>
    <definedName name="ANGKEM22">#REF!</definedName>
    <definedName name="ANGKEM23">#REF!</definedName>
    <definedName name="ANGKEM24">#REF!</definedName>
    <definedName name="ANGKEM3">#REF!</definedName>
    <definedName name="ANGKEM31">#REF!</definedName>
    <definedName name="ANGKEM32">#REF!</definedName>
    <definedName name="ANGKEM33">#REF!</definedName>
    <definedName name="ANGKEM34">#REF!</definedName>
    <definedName name="ANGKEM4">#REF!</definedName>
    <definedName name="ANGKEM41">#REF!</definedName>
    <definedName name="ANGKEM42">#REF!</definedName>
    <definedName name="ANGKEM43">#REF!</definedName>
    <definedName name="ANGKEM44">#REF!</definedName>
    <definedName name="ANGTH1">#REF!</definedName>
    <definedName name="ANGTH11">#REF!</definedName>
    <definedName name="ANGTH12">#REF!</definedName>
    <definedName name="ANGTH13">#REF!</definedName>
    <definedName name="ANGTH14">#REF!</definedName>
    <definedName name="ANGTH2">#REF!</definedName>
    <definedName name="ANGTH21">#REF!</definedName>
    <definedName name="ANGTH22">#REF!</definedName>
    <definedName name="ANGTH23">#REF!</definedName>
    <definedName name="ANGTH24">#REF!</definedName>
    <definedName name="ANGTH25">#REF!</definedName>
    <definedName name="ANGTH3">#REF!</definedName>
    <definedName name="ANGTH31">#REF!</definedName>
    <definedName name="ANGTH32">#REF!</definedName>
    <definedName name="ANGTH33">#REF!</definedName>
    <definedName name="ANGTH34">#REF!</definedName>
    <definedName name="ANGTH4">#REF!</definedName>
    <definedName name="ANGTH41">#REF!</definedName>
    <definedName name="ANGTH42">#REF!</definedName>
    <definedName name="ANGTH43">#REF!</definedName>
    <definedName name="ANGTH44">#REF!</definedName>
    <definedName name="ANGWI1">#REF!</definedName>
    <definedName name="ANGWI11">#REF!</definedName>
    <definedName name="ANGWI12">#REF!</definedName>
    <definedName name="ANGWI13">#REF!</definedName>
    <definedName name="ANGWI14">#REF!</definedName>
    <definedName name="ANGWI2">#REF!</definedName>
    <definedName name="ANGWI21">#REF!</definedName>
    <definedName name="ANGWI22">#REF!</definedName>
    <definedName name="ANGWI23">#REF!</definedName>
    <definedName name="ANGWI24">#REF!</definedName>
    <definedName name="ANGWI3">#REF!</definedName>
    <definedName name="ANGWI31">#REF!</definedName>
    <definedName name="ANGWI32">#REF!</definedName>
    <definedName name="ANGWI33">#REF!</definedName>
    <definedName name="ANGWI34">#REF!</definedName>
    <definedName name="ANGWI4">#REF!</definedName>
    <definedName name="ANGWI41">#REF!</definedName>
    <definedName name="ANGWI42">#REF!</definedName>
    <definedName name="ANGWI43">#REF!</definedName>
    <definedName name="ANGWI44">#REF!</definedName>
    <definedName name="APGPAB">#REF!</definedName>
    <definedName name="APHYG">#REF!</definedName>
    <definedName name="APMONDI">#REF!</definedName>
    <definedName name="APP3old" hidden="1">#REF!</definedName>
    <definedName name="app8A" hidden="1">#REF!</definedName>
    <definedName name="APPACK">#REF!</definedName>
    <definedName name="APRECY">#REF!</definedName>
    <definedName name="APSCARESAB">#REF!</definedName>
    <definedName name="APTRANSF">#REF!</definedName>
    <definedName name="Aquery">#REF!</definedName>
    <definedName name="AREA1">#REF!</definedName>
    <definedName name="AREA2">#REF!</definedName>
    <definedName name="ARFINE">#REF!</definedName>
    <definedName name="árfolyam">#REF!</definedName>
    <definedName name="ARMONDI">#REF!</definedName>
    <definedName name="ARPACK">#REF!</definedName>
    <definedName name="ARRECY">#REF!</definedName>
    <definedName name="ARSCAFIN">#REF!</definedName>
    <definedName name="ARSCARESAB">#REF!</definedName>
    <definedName name="ARTRANSF">#REF!</definedName>
    <definedName name="as">#REF!</definedName>
    <definedName name="AS2DocOpenMode" hidden="1">"AS2DocumentEdit"</definedName>
    <definedName name="AS2HasNoAutoHeaderFooter">"OFF"</definedName>
    <definedName name="asa">#REF!</definedName>
    <definedName name="asd" hidden="1">#REF!</definedName>
    <definedName name="asdf" hidden="1">#REF!</definedName>
    <definedName name="asdfg" hidden="1">#REF!</definedName>
    <definedName name="asdfgh" hidden="1">#REF!</definedName>
    <definedName name="asdfghj" hidden="1">#REF!</definedName>
    <definedName name="asdfghjkl" hidden="1">#REF!</definedName>
    <definedName name="b">{"Werkdp_incl",#N/A,FALSE,"WERKdp"}</definedName>
    <definedName name="Balham">#REF!</definedName>
    <definedName name="BAMKA">#REF!</definedName>
    <definedName name="banana">#REF!</definedName>
    <definedName name="BANKA">#REF!</definedName>
    <definedName name="Bankalar">#REF!</definedName>
    <definedName name="bb" hidden="1">{"Werkdp_excl",#N/A,FALSE,"WERKdp"}</definedName>
    <definedName name="bc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d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GA2druckbereich">#REF!,#REF!,#REF!</definedName>
    <definedName name="blabal">#REF!</definedName>
    <definedName name="Borlem_Blank_Column">#REF!</definedName>
    <definedName name="BOTTOM">#REF!</definedName>
    <definedName name="BUD">#REF!</definedName>
    <definedName name="BUD_BU34">#REF!</definedName>
    <definedName name="BUD_BU56">#REF!</definedName>
    <definedName name="budget">#REF!</definedName>
    <definedName name="BuiltIn_Print_Area">#REF!</definedName>
    <definedName name="BuiltIn_Print_Area___0">#REF!</definedName>
    <definedName name="BuiltIn_Recorder">#REF!</definedName>
    <definedName name="BusinessUnits">#REF!</definedName>
    <definedName name="CAdf">#REF!</definedName>
    <definedName name="cah">#REF!</definedName>
    <definedName name="CASHFLOW">#REF!</definedName>
    <definedName name="cat">OFFSET(#REF!,0,0,COUNTA(#REF!),1)</definedName>
    <definedName name="CC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H_Blank_Column">#REF!</definedName>
    <definedName name="CHF_EUR">#REF!</definedName>
    <definedName name="CN">#REF!</definedName>
    <definedName name="consumer">#REF!</definedName>
    <definedName name="Cost_data">#REF!</definedName>
    <definedName name="COSTOFSALES">#REF!</definedName>
    <definedName name="cum">OFFSET(cat,0,2,,)</definedName>
    <definedName name="CY">#REF!</definedName>
    <definedName name="cye">#REF!</definedName>
    <definedName name="CYT">#REF!</definedName>
    <definedName name="cyx">#REF!</definedName>
    <definedName name="CYYEAR">#REF!</definedName>
    <definedName name="d">#REF!</definedName>
    <definedName name="Dat">#REF!</definedName>
    <definedName name="Data_input">#REF!</definedName>
    <definedName name="DATA5">#REF!</definedName>
    <definedName name="DateAct">#REF!</definedName>
    <definedName name="DateBud">#REF!</definedName>
    <definedName name="DatePY">#REF!</definedName>
    <definedName name="dd" hidden="1">#REF!</definedName>
    <definedName name="DELETE">#REF!</definedName>
    <definedName name="Departments">#REF!</definedName>
    <definedName name="DFWLKJERGFOJW">#REF!</definedName>
    <definedName name="DIST">#REF!</definedName>
    <definedName name="DiscYield">#REF!</definedName>
    <definedName name="DKK_EUR">#REF!</definedName>
    <definedName name="DKSIJVOIWDJFIOR">#REF!</definedName>
    <definedName name="dlasşdkasşd">#REF!</definedName>
    <definedName name="DÖNEM">#REF!</definedName>
    <definedName name="DSO">#REF!</definedName>
    <definedName name="dşasdl">#REF!</definedName>
    <definedName name="dşiadlasi">#REF!</definedName>
    <definedName name="E">#REF!</definedName>
    <definedName name="eafjdıshgdıohgıohqoıshg">#REF!</definedName>
    <definedName name="EARN">#REF!</definedName>
    <definedName name="Earn_CF">#REF!</definedName>
    <definedName name="EARNINGS">#REF!</definedName>
    <definedName name="EffToNom">#REF!</definedName>
    <definedName name="Eingeben">#REF!</definedName>
    <definedName name="EingebenB">#REF!</definedName>
    <definedName name="EKFOPJ">#REF!</definedName>
    <definedName name="Elements">#REF!</definedName>
    <definedName name="ELSA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RER" hidden="1">{"Werkdp_incl",#N/A,FALSE,"WERKdp"}</definedName>
    <definedName name="Erlöseeingabe">#REF!</definedName>
    <definedName name="EU" hidden="1">{"Werkdp_excl",#N/A,FALSE,"WERKdp"}</definedName>
    <definedName name="EUR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ngr">#REF!</definedName>
    <definedName name="EURO" hidden="1">{"forecast1",#N/A,FALSE,"P&amp;Lfc7";"forecast2",#N/A,FALSE,"P&amp;Lfc7"}</definedName>
    <definedName name="EUROS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xchange_rate">#REF!</definedName>
    <definedName name="Exchange_rate_average">#REF!</definedName>
    <definedName name="f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df">#REF!</definedName>
    <definedName name="FDJVGsoıvob">#REF!</definedName>
    <definedName name="fevzi">#REF!</definedName>
    <definedName name="fevziiiii">#REF!</definedName>
    <definedName name="ffffffffffffffffffffff" hidden="1">{"Werkdp_excl",#N/A,FALSE,"WERKdp"}</definedName>
    <definedName name="Firmaadı">#REF!</definedName>
    <definedName name="firmaadıo">#REF!</definedName>
    <definedName name="FMMWLJRGOEIJTHGĞOWQJ">#REF!</definedName>
    <definedName name="Ford_Autokola">#REF!</definedName>
    <definedName name="fore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CAST" hidden="1">{"Werkdp_excl",#N/A,FALSE,"WERKdp"}</definedName>
    <definedName name="forecastnuevo">#REF!</definedName>
    <definedName name="fre">OFFSET(cat,0,1,,)</definedName>
    <definedName name="Fxtable">#REF!</definedName>
    <definedName name="g" hidden="1">#REF!</definedName>
    <definedName name="gfd" hidden="1">{"Werkdp_excl",#N/A,FALSE,"WERKdp"}</definedName>
    <definedName name="GG" hidden="1">{"Werkdp_excl",#N/A,FALSE,"WERKdp"}</definedName>
    <definedName name="Growth">#REF!</definedName>
    <definedName name="hava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JBHGVUY">#REF!</definedName>
    <definedName name="HTML_CodePage" hidden="1">1252</definedName>
    <definedName name="HTML_Control" hidden="1">{"'Produktion'!$A$19:$J$28"}</definedName>
    <definedName name="HTML_Description" hidden="1">""</definedName>
    <definedName name="HTML_Email" hidden="1">""</definedName>
    <definedName name="HTML_Header" hidden="1">"Produktion"</definedName>
    <definedName name="HTML_LastUpdate" hidden="1">"01.06.99"</definedName>
    <definedName name="HTML_LineAfter" hidden="1">FALSE</definedName>
    <definedName name="HTML_LineBefore" hidden="1">FALSE</definedName>
    <definedName name="HTML_Name" hidden="1">"Fleissner Helmut"</definedName>
    <definedName name="HTML_OBDlg2" hidden="1">TRUE</definedName>
    <definedName name="HTML_OBDlg4" hidden="1">TRUE</definedName>
    <definedName name="HTML_OS" hidden="1">0</definedName>
    <definedName name="HTML_PathFile" hidden="1">"C:\Daten\Heli\NAG\Tagesbericht\Web\Produktion2.htm"</definedName>
    <definedName name="HTML_Title" hidden="1">"TB_Vorschlag"</definedName>
    <definedName name="HTML1_1" hidden="1">"[test.xls]SCA!$A$5:$E$52"</definedName>
    <definedName name="HTML1_10" hidden="1">""</definedName>
    <definedName name="HTML1_11" hidden="1">1</definedName>
    <definedName name="HTML1_12" hidden="1">"C:\WINDOWS\Personal\MyHTML.htm"</definedName>
    <definedName name="HTML1_2" hidden="1">1</definedName>
    <definedName name="HTML1_3" hidden="1">"Financial Plan"</definedName>
    <definedName name="HTML1_4" hidden="1">"SCA"</definedName>
    <definedName name="HTML1_5" hidden="1">""</definedName>
    <definedName name="HTML1_6" hidden="1">-4146</definedName>
    <definedName name="HTML1_7" hidden="1">-4146</definedName>
    <definedName name="HTML1_8" hidden="1">"1996-03-02"</definedName>
    <definedName name="HTML1_9" hidden="1">"SCA HQ"</definedName>
    <definedName name="HTMLCount" hidden="1">1</definedName>
    <definedName name="INV">#REF!</definedName>
    <definedName name="ısm" hidden="1">{"Werkdp_excl",#N/A,FALSE,"WERKdp"}</definedName>
    <definedName name="ısmmmm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IST_JAHR">#REF!</definedName>
    <definedName name="IST_JAHR_BU34">#REF!</definedName>
    <definedName name="IST_JAHR_BU56">#REF!</definedName>
    <definedName name="IST_MON">#REF!</definedName>
    <definedName name="i">#REF!</definedName>
    <definedName name="industrial">#REF!</definedName>
    <definedName name="jboix" hidden="1">{"Werkdp_excl",#N/A,FALSE,"WERKdp"}</definedName>
    <definedName name="jboixader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IJIJIOGYFE5SWAW">#REF!</definedName>
    <definedName name="jjjjjjjşşşş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osep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k">#REF!</definedName>
    <definedName name="Kämper_B">#REF!</definedName>
    <definedName name="Kämper_P">#REF!</definedName>
    <definedName name="_xlnm.Recorder">#REF!</definedName>
    <definedName name="klant">#REF!</definedName>
    <definedName name="klmklmşlm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onverz">"ONJUN98!R1C1"</definedName>
    <definedName name="ksrs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Life">#REF!</definedName>
    <definedName name="LJPİ" hidden="1">{"Werkdp_excl",#N/A,FALSE,"WERKdp"}</definedName>
    <definedName name="Makro2">#REF!</definedName>
    <definedName name="MES">#REF!</definedName>
    <definedName name="moft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MONAT">#REF!</definedName>
    <definedName name="month">#REF!</definedName>
    <definedName name="Multiple">#REF!</definedName>
    <definedName name="nakdi">#REF!</definedName>
    <definedName name="NAPGPAB">#REF!</definedName>
    <definedName name="NE_anal">#REF!</definedName>
    <definedName name="NOK_EUR">#REF!</definedName>
    <definedName name="NomEffInterest">#REF!</definedName>
    <definedName name="NomToEff">#REF!</definedName>
    <definedName name="Non__Production_costs_summary">#REF!</definedName>
    <definedName name="Non_Cash_costs_summary">#REF!</definedName>
    <definedName name="NUEV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OLA" hidden="1">{"Werkdp_incl",#N/A,FALSE,"WERKdp"}</definedName>
    <definedName name="old">#REF!</definedName>
    <definedName name="Operating_Costs_summary">#REF!</definedName>
    <definedName name="Org" hidden="1">{"Werkdp_excl",#N/A,FALSE,"WERKdp"}</definedName>
    <definedName name="ORIG">#REF!</definedName>
    <definedName name="Other_var_type">#REF!</definedName>
    <definedName name="Overall_Total_summary">#REF!</definedName>
    <definedName name="Period">#REF!</definedName>
    <definedName name="Periods">#REF!</definedName>
    <definedName name="planning">#REF!</definedName>
    <definedName name="poi" hidden="1">#REF!</definedName>
    <definedName name="Powertrain_Blank_Column">#REF!</definedName>
    <definedName name="PÖLS.TS">#REF!</definedName>
    <definedName name="PPAccum">0</definedName>
    <definedName name="PPEuro">0</definedName>
    <definedName name="ppp">#REF!</definedName>
    <definedName name="PPUpdate">0</definedName>
    <definedName name="PRINT_AREA_MI">#REF!</definedName>
    <definedName name="Print_this_area">#REF!</definedName>
    <definedName name="Production_variables">#REF!</definedName>
    <definedName name="Products">#REF!</definedName>
    <definedName name="PY">#REF!</definedName>
    <definedName name="py1e">#REF!</definedName>
    <definedName name="py2e">#REF!</definedName>
    <definedName name="pye">#REF!</definedName>
    <definedName name="PYYEAR">#REF!</definedName>
    <definedName name="q">#REF!</definedName>
    <definedName name="qewfwfd">#REF!</definedName>
    <definedName name="qq" hidden="1">{"Werkdp_incl",#N/A,FALSE,"WERKdp"}</definedName>
    <definedName name="qqq">#REF!</definedName>
    <definedName name="QQQQ" hidden="1">{"Werkdp_excl",#N/A,FALSE,"WERKdp"}</definedName>
    <definedName name="qqqqqqqqqq" hidden="1">{"Werkdp_excl",#N/A,FALSE,"WERKdp"}</definedName>
    <definedName name="ream">#REF!</definedName>
    <definedName name="RECON">#REF!</definedName>
    <definedName name="reel">#REF!</definedName>
    <definedName name="Rev_var_type">#REF!</definedName>
    <definedName name="Rev_var_type2">#REF!</definedName>
    <definedName name="Rev_Variances">#REF!</definedName>
    <definedName name="Revenue_results_other">#REF!</definedName>
    <definedName name="Revenue_summary">#REF!</definedName>
    <definedName name="Revenue_variables">#REF!</definedName>
    <definedName name="Revenue_Variance_data">#REF!</definedName>
    <definedName name="s">#REF!</definedName>
    <definedName name="sacks">#REF!</definedName>
    <definedName name="sad" hidden="1">{"'Produktion'!$A$19:$J$28"}</definedName>
    <definedName name="SALES">#REF!</definedName>
    <definedName name="SALESCOST">#REF!</definedName>
    <definedName name="SALESDOLLARS">#REF!</definedName>
    <definedName name="SALESUNITS">#REF!</definedName>
    <definedName name="SAPCrosstab1">'Bütçe aylık-TL'!$A$1:$N$196</definedName>
    <definedName name="SAPCrosstab10">'Tahmin-eur'!$A$1:$N$155</definedName>
    <definedName name="SAPCrosstab11">#REF!</definedName>
    <definedName name="SAPCrosstab12">#REF!</definedName>
    <definedName name="SAPCrosstab13">#REF!</definedName>
    <definedName name="SAPCrosstab14">#REF!</definedName>
    <definedName name="SAPCrosstab15">#REF!</definedName>
    <definedName name="SAPCrosstab16">#REF!</definedName>
    <definedName name="SAPCrosstab17">#REF!</definedName>
    <definedName name="SAPCrosstab2">'Bütçe Değişim TL'!$A$1:$M$81</definedName>
    <definedName name="SAPCrosstab3">'gerç aylık-tl'!$A$1:$N$195</definedName>
    <definedName name="SAPCrosstab4">'değişim-tl'!$A$1:$M$63</definedName>
    <definedName name="SAPCrosstab5">'gerç aylık-eur'!$A$1:$M$195</definedName>
    <definedName name="SAPCrosstab6">'Bütçe aylık-Eur'!$A$1:$N$196</definedName>
    <definedName name="SAPCrosstab7">'değişim aylık eur'!$A$1:$M$19</definedName>
    <definedName name="SAPCrosstab8">'Bütçe Değişim eur'!$A$1:$M$37</definedName>
    <definedName name="SAPCrosstab9">'Tahmin-tl'!$A$1:$G$155</definedName>
    <definedName name="sasasss" hidden="1">#REF!</definedName>
    <definedName name="SAVE">#REF!</definedName>
    <definedName name="sbE_Autokola">#REF!</definedName>
    <definedName name="sdf" hidden="1">{"'Produktion'!$A$19:$J$28"}</definedName>
    <definedName name="sdsds">#REF!</definedName>
    <definedName name="sdsdsds" hidden="1">{"'Produktion'!$A$19:$J$28"}</definedName>
    <definedName name="se">#REF!</definedName>
    <definedName name="SEK_EUR">#REF!</definedName>
    <definedName name="sfasdf" hidden="1">{"'Produktion'!$A$19:$J$28"}</definedName>
    <definedName name="SHBLastRowA">#REF!</definedName>
    <definedName name="SOLL.Bestandsv.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uç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per">#REF!</definedName>
    <definedName name="SSS" hidden="1">{"Werkdp_excl",#N/A,FALSE,"WERKdp"}</definedName>
    <definedName name="STOCK">#REF!</definedName>
    <definedName name="Stock_Fin_B">#REF!</definedName>
    <definedName name="SubjectCompany">#REF!</definedName>
    <definedName name="SusLife">#REF!</definedName>
    <definedName name="Suspension_Blank_Column">#REF!</definedName>
    <definedName name="SwapEffInterest">#REF!</definedName>
    <definedName name="szo_dun">#REF!</definedName>
    <definedName name="Şirket">#REF!</definedName>
    <definedName name="t" hidden="1">{"forecast1",#N/A,FALSE,"P&amp;Lfc7";"forecast2",#N/A,FALSE,"P&amp;Lfc7"}</definedName>
    <definedName name="tabelle">#REF!</definedName>
    <definedName name="tabelle2">#REF!</definedName>
    <definedName name="tabelle3">#REF!</definedName>
    <definedName name="Tax">#REF!</definedName>
    <definedName name="Tax_kämp_P">#REF!</definedName>
    <definedName name="Tdate">#REF!</definedName>
    <definedName name="test">#REF!,#REF!</definedName>
    <definedName name="TextRefCopy8">#REF!</definedName>
    <definedName name="TextRefCopy9">#REF!</definedName>
    <definedName name="TextRefCopyRangeCount" hidden="1">9</definedName>
    <definedName name="tip">#REF!</definedName>
    <definedName name="Tmonth">#REF!</definedName>
    <definedName name="TOTAL">#REF!</definedName>
    <definedName name="TotalDruckbereich">#REF!,#REF!,#REF!,#REF!,#REF!,#REF!,#REF!,#REF!,#REF!</definedName>
    <definedName name="transport">#REF!</definedName>
    <definedName name="tt">#REF!</definedName>
    <definedName name="Umglied_1C_B">#REF!</definedName>
    <definedName name="Umglied_1D_B">#REF!</definedName>
    <definedName name="Umlage_P">#REF!</definedName>
    <definedName name="USD_EUR">#REF!</definedName>
    <definedName name="Var_type">#REF!</definedName>
    <definedName name="VARANAL">#REF!</definedName>
    <definedName name="Variables">#REF!</definedName>
    <definedName name="Variance_data">#REF!</definedName>
    <definedName name="Variance_names">#REF!</definedName>
    <definedName name="Variances">#REF!</definedName>
    <definedName name="_xlnm.Database">#REF!</definedName>
    <definedName name="vv">#REF!</definedName>
    <definedName name="W">#REF!</definedName>
    <definedName name="Wacc">#REF!</definedName>
    <definedName name="Wheels_Blank_Column">#REF!</definedName>
    <definedName name="WORK1">#REF!</definedName>
    <definedName name="wrn.ACCTSPRINT." hidden="1">{"DEPTS",#N/A,FALSE,"A";"ACCTSPRINT",#N/A,FALSE,"A";"DISTRIB",#N/A,FALSE,"A"}</definedName>
    <definedName name="wrn.Bud_detail_excl.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Details_excl." hidden="1">{"Werkdp_excl",#N/A,FALSE,"WERKdp"}</definedName>
    <definedName name="wrn.Details_incl." hidden="1">{"Werkdp_incl",#N/A,FALSE,"WERKdp"}</definedName>
    <definedName name="wrn.FAX." hidden="1">{"FAX",#N/A,FALSE,"JVLOAN94"}</definedName>
    <definedName name="wrn.forecast." hidden="1">{"forecast1",#N/A,FALSE,"P&amp;Lfc7";"forecast2",#N/A,FALSE,"P&amp;Lfc7"}</definedName>
    <definedName name="wrn.GENRLPRINT." hidden="1">{"DEPTS",#N/A,FALSE,"A";"STAFFPRINT",#N/A,FALSE,"A";"DISTRIB",#N/A,FALSE,"A"}</definedName>
    <definedName name="wrn.MONITOR." hidden="1">{"MONITOR",#N/A,FALSE,"A"}</definedName>
    <definedName name="wrn.VATACCOUNT." hidden="1">{"VATACCOUNT",#N/A,FALSE,"A"}</definedName>
    <definedName name="www">#REF!</definedName>
    <definedName name="wwwwjnhkjnhjkw">#REF!</definedName>
    <definedName name="X">#REF!</definedName>
    <definedName name="XTRACT_FILE1">#REF!</definedName>
    <definedName name="XTRACT_FILES">#REF!</definedName>
    <definedName name="xxxxxxxxxxx">#REF!</definedName>
    <definedName name="y">#REF!</definedName>
    <definedName name="Z_DAFFF321_AEBC_11D6_8F81_0000B44363AC_.wvu.PrintArea" hidden="1">#REF!</definedName>
    <definedName name="\A" localSheetId="1">#REF!</definedName>
    <definedName name="\B" localSheetId="1">#REF!</definedName>
    <definedName name="_ısm2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" localSheetId="1">{"Werkdp_excl",#N/A,FALSE,"WERKdp"}</definedName>
    <definedName name="aa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AA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b" localSheetId="1">{"Werkdp_incl",#N/A,FALSE,"WERKdp"}</definedName>
    <definedName name="bb" localSheetId="1" hidden="1">{"Werkdp_excl",#N/A,FALSE,"WERKdp"}</definedName>
    <definedName name="bc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d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GA2druckbereich" localSheetId="1">#REF!,#REF!,#REF!</definedName>
    <definedName name="CC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um" localSheetId="1">OFFSET(cat,0,2,,)</definedName>
    <definedName name="CY" localSheetId="1">#REF!</definedName>
    <definedName name="ELSA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RER" localSheetId="1" hidden="1">{"Werkdp_incl",#N/A,FALSE,"WERKdp"}</definedName>
    <definedName name="EU" localSheetId="1" hidden="1">{"Werkdp_excl",#N/A,FALSE,"WERKdp"}</definedName>
    <definedName name="EUR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" localSheetId="1" hidden="1">{"forecast1",#N/A,FALSE,"P&amp;Lfc7";"forecast2",#N/A,FALSE,"P&amp;Lfc7"}</definedName>
    <definedName name="EUROS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fffffffffffffffffffff" localSheetId="1" hidden="1">{"Werkdp_excl",#N/A,FALSE,"WERKdp"}</definedName>
    <definedName name="fore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CAST" localSheetId="1" hidden="1">{"Werkdp_excl",#N/A,FALSE,"WERKdp"}</definedName>
    <definedName name="fre" localSheetId="1">OFFSET(cat,0,1,,)</definedName>
    <definedName name="Fxtable" localSheetId="1">#REF!</definedName>
    <definedName name="gfd" localSheetId="1" hidden="1">{"Werkdp_excl",#N/A,FALSE,"WERKdp"}</definedName>
    <definedName name="GG" localSheetId="1" hidden="1">{"Werkdp_excl",#N/A,FALSE,"WERKdp"}</definedName>
    <definedName name="hava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TML_Control" localSheetId="1" hidden="1">{"'Produktion'!$A$19:$J$28"}</definedName>
    <definedName name="ısm" localSheetId="1" hidden="1">{"Werkdp_excl",#N/A,FALSE,"WERKdp"}</definedName>
    <definedName name="ısmmmm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boix" localSheetId="1" hidden="1">{"Werkdp_excl",#N/A,FALSE,"WERKdp"}</definedName>
    <definedName name="jboixader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jjjjjjşşşş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osep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klmklmşlm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srs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LJPİ" localSheetId="1" hidden="1">{"Werkdp_excl",#N/A,FALSE,"WERKdp"}</definedName>
    <definedName name="moft" localSheetId="1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NUEV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OLA" localSheetId="1" hidden="1">{"Werkdp_incl",#N/A,FALSE,"WERKdp"}</definedName>
    <definedName name="Org" localSheetId="1" hidden="1">{"Werkdp_excl",#N/A,FALSE,"WERKdp"}</definedName>
    <definedName name="qq" localSheetId="1" hidden="1">{"Werkdp_incl",#N/A,FALSE,"WERKdp"}</definedName>
    <definedName name="QQQQ" localSheetId="1" hidden="1">{"Werkdp_excl",#N/A,FALSE,"WERKdp"}</definedName>
    <definedName name="qqqqqqqqqq" localSheetId="1" hidden="1">{"Werkdp_excl",#N/A,FALSE,"WERKdp"}</definedName>
    <definedName name="sad" localSheetId="1" hidden="1">{"'Produktion'!$A$19:$J$28"}</definedName>
    <definedName name="sdf" localSheetId="1" hidden="1">{"'Produktion'!$A$19:$J$28"}</definedName>
    <definedName name="sdsdsds" localSheetId="1" hidden="1">{"'Produktion'!$A$19:$J$28"}</definedName>
    <definedName name="sfasdf" localSheetId="1" hidden="1">{"'Produktion'!$A$19:$J$28"}</definedName>
    <definedName name="sonuç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SS" localSheetId="1" hidden="1">{"Werkdp_excl",#N/A,FALSE,"WERKdp"}</definedName>
    <definedName name="t" localSheetId="1" hidden="1">{"forecast1",#N/A,FALSE,"P&amp;Lfc7";"forecast2",#N/A,FALSE,"P&amp;Lfc7"}</definedName>
    <definedName name="test" localSheetId="1">#REF!,#REF!</definedName>
    <definedName name="wrn.ACCTSPRINT." localSheetId="1" hidden="1">{"DEPTS",#N/A,FALSE,"A";"ACCTSPRINT",#N/A,FALSE,"A";"DISTRIB",#N/A,FALSE,"A"}</definedName>
    <definedName name="wrn.Bud_detail_excl." localSheetId="1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localSheetId="1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localSheetId="1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localSheetId="1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Details_excl." localSheetId="1" hidden="1">{"Werkdp_excl",#N/A,FALSE,"WERKdp"}</definedName>
    <definedName name="wrn.Details_incl." localSheetId="1" hidden="1">{"Werkdp_incl",#N/A,FALSE,"WERKdp"}</definedName>
    <definedName name="wrn.FAX." localSheetId="1" hidden="1">{"FAX",#N/A,FALSE,"JVLOAN94"}</definedName>
    <definedName name="wrn.forecast." localSheetId="1" hidden="1">{"forecast1",#N/A,FALSE,"P&amp;Lfc7";"forecast2",#N/A,FALSE,"P&amp;Lfc7"}</definedName>
    <definedName name="wrn.GENRLPRINT." localSheetId="1" hidden="1">{"DEPTS",#N/A,FALSE,"A";"STAFFPRINT",#N/A,FALSE,"A";"DISTRIB",#N/A,FALSE,"A"}</definedName>
    <definedName name="wrn.MONITOR." localSheetId="1" hidden="1">{"MONITOR",#N/A,FALSE,"A"}</definedName>
    <definedName name="wrn.VATACCOUNT." localSheetId="1" hidden="1">{"VATACCOUNT",#N/A,FALSE,"A"}</definedName>
    <definedName name="\A" localSheetId="2">#REF!</definedName>
    <definedName name="\B" localSheetId="2">#REF!</definedName>
    <definedName name="_ısm2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" localSheetId="2">{"Werkdp_excl",#N/A,FALSE,"WERKdp"}</definedName>
    <definedName name="aa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AA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b" localSheetId="2">{"Werkdp_incl",#N/A,FALSE,"WERKdp"}</definedName>
    <definedName name="bb" localSheetId="2" hidden="1">{"Werkdp_excl",#N/A,FALSE,"WERKdp"}</definedName>
    <definedName name="bc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d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GA2druckbereich" localSheetId="2">#REF!,#REF!,#REF!</definedName>
    <definedName name="CC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um" localSheetId="2">OFFSET([0]!cat,0,2,,)</definedName>
    <definedName name="CY" localSheetId="2">#REF!</definedName>
    <definedName name="ELSA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RER" localSheetId="2" hidden="1">{"Werkdp_incl",#N/A,FALSE,"WERKdp"}</definedName>
    <definedName name="EU" localSheetId="2" hidden="1">{"Werkdp_excl",#N/A,FALSE,"WERKdp"}</definedName>
    <definedName name="EUR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" localSheetId="2" hidden="1">{"forecast1",#N/A,FALSE,"P&amp;Lfc7";"forecast2",#N/A,FALSE,"P&amp;Lfc7"}</definedName>
    <definedName name="EUROS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fffffffffffffffffffff" localSheetId="2" hidden="1">{"Werkdp_excl",#N/A,FALSE,"WERKdp"}</definedName>
    <definedName name="fore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CAST" localSheetId="2" hidden="1">{"Werkdp_excl",#N/A,FALSE,"WERKdp"}</definedName>
    <definedName name="fre" localSheetId="2">OFFSET([0]!cat,0,1,,)</definedName>
    <definedName name="Fxtable" localSheetId="2">#REF!</definedName>
    <definedName name="gfd" localSheetId="2" hidden="1">{"Werkdp_excl",#N/A,FALSE,"WERKdp"}</definedName>
    <definedName name="GG" localSheetId="2" hidden="1">{"Werkdp_excl",#N/A,FALSE,"WERKdp"}</definedName>
    <definedName name="hava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TML_Control" localSheetId="2" hidden="1">{"'Produktion'!$A$19:$J$28"}</definedName>
    <definedName name="ısm" localSheetId="2" hidden="1">{"Werkdp_excl",#N/A,FALSE,"WERKdp"}</definedName>
    <definedName name="ısmmmm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boix" localSheetId="2" hidden="1">{"Werkdp_excl",#N/A,FALSE,"WERKdp"}</definedName>
    <definedName name="jboixader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jjjjjjşşşş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osep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klmklmşlm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srs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LJPİ" localSheetId="2" hidden="1">{"Werkdp_excl",#N/A,FALSE,"WERKdp"}</definedName>
    <definedName name="moft" localSheetId="2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NUEV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OLA" localSheetId="2" hidden="1">{"Werkdp_incl",#N/A,FALSE,"WERKdp"}</definedName>
    <definedName name="Org" localSheetId="2" hidden="1">{"Werkdp_excl",#N/A,FALSE,"WERKdp"}</definedName>
    <definedName name="qq" localSheetId="2" hidden="1">{"Werkdp_incl",#N/A,FALSE,"WERKdp"}</definedName>
    <definedName name="QQQQ" localSheetId="2" hidden="1">{"Werkdp_excl",#N/A,FALSE,"WERKdp"}</definedName>
    <definedName name="qqqqqqqqqq" localSheetId="2" hidden="1">{"Werkdp_excl",#N/A,FALSE,"WERKdp"}</definedName>
    <definedName name="sad" localSheetId="2" hidden="1">{"'Produktion'!$A$19:$J$28"}</definedName>
    <definedName name="sdf" localSheetId="2" hidden="1">{"'Produktion'!$A$19:$J$28"}</definedName>
    <definedName name="sdsdsds" localSheetId="2" hidden="1">{"'Produktion'!$A$19:$J$28"}</definedName>
    <definedName name="sfasdf" localSheetId="2" hidden="1">{"'Produktion'!$A$19:$J$28"}</definedName>
    <definedName name="sonuç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SS" localSheetId="2" hidden="1">{"Werkdp_excl",#N/A,FALSE,"WERKdp"}</definedName>
    <definedName name="t" localSheetId="2" hidden="1">{"forecast1",#N/A,FALSE,"P&amp;Lfc7";"forecast2",#N/A,FALSE,"P&amp;Lfc7"}</definedName>
    <definedName name="test" localSheetId="2">#REF!,#REF!</definedName>
    <definedName name="wrn.ACCTSPRINT." localSheetId="2" hidden="1">{"DEPTS",#N/A,FALSE,"A";"ACCTSPRINT",#N/A,FALSE,"A";"DISTRIB",#N/A,FALSE,"A"}</definedName>
    <definedName name="wrn.Bud_detail_excl." localSheetId="2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localSheetId="2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localSheetId="2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localSheetId="2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Details_excl." localSheetId="2" hidden="1">{"Werkdp_excl",#N/A,FALSE,"WERKdp"}</definedName>
    <definedName name="wrn.Details_incl." localSheetId="2" hidden="1">{"Werkdp_incl",#N/A,FALSE,"WERKdp"}</definedName>
    <definedName name="wrn.FAX." localSheetId="2" hidden="1">{"FAX",#N/A,FALSE,"JVLOAN94"}</definedName>
    <definedName name="wrn.forecast." localSheetId="2" hidden="1">{"forecast1",#N/A,FALSE,"P&amp;Lfc7";"forecast2",#N/A,FALSE,"P&amp;Lfc7"}</definedName>
    <definedName name="wrn.GENRLPRINT." localSheetId="2" hidden="1">{"DEPTS",#N/A,FALSE,"A";"STAFFPRINT",#N/A,FALSE,"A";"DISTRIB",#N/A,FALSE,"A"}</definedName>
    <definedName name="wrn.MONITOR." localSheetId="2" hidden="1">{"MONITOR",#N/A,FALSE,"A"}</definedName>
    <definedName name="wrn.VATACCOUNT." localSheetId="2" hidden="1">{"VATACCOUNT",#N/A,FALSE,"A"}</definedName>
    <definedName name="\A" localSheetId="3">#REF!</definedName>
    <definedName name="\B" localSheetId="3">#REF!</definedName>
    <definedName name="_ısm2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" localSheetId="3">{"Werkdp_excl",#N/A,FALSE,"WERKdp"}</definedName>
    <definedName name="aa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AA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b" localSheetId="3">{"Werkdp_incl",#N/A,FALSE,"WERKdp"}</definedName>
    <definedName name="bb" localSheetId="3" hidden="1">{"Werkdp_excl",#N/A,FALSE,"WERKdp"}</definedName>
    <definedName name="bc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d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GA2druckbereich" localSheetId="3">#REF!,#REF!,#REF!</definedName>
    <definedName name="CC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um" localSheetId="3">OFFSET([0]!cat,0,2,,)</definedName>
    <definedName name="CY" localSheetId="3">#REF!</definedName>
    <definedName name="ELSA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RER" localSheetId="3" hidden="1">{"Werkdp_incl",#N/A,FALSE,"WERKdp"}</definedName>
    <definedName name="EU" localSheetId="3" hidden="1">{"Werkdp_excl",#N/A,FALSE,"WERKdp"}</definedName>
    <definedName name="EUR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" localSheetId="3" hidden="1">{"forecast1",#N/A,FALSE,"P&amp;Lfc7";"forecast2",#N/A,FALSE,"P&amp;Lfc7"}</definedName>
    <definedName name="EUROS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fffffffffffffffffffff" localSheetId="3" hidden="1">{"Werkdp_excl",#N/A,FALSE,"WERKdp"}</definedName>
    <definedName name="fore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CAST" localSheetId="3" hidden="1">{"Werkdp_excl",#N/A,FALSE,"WERKdp"}</definedName>
    <definedName name="fre" localSheetId="3">OFFSET([0]!cat,0,1,,)</definedName>
    <definedName name="Fxtable" localSheetId="3">#REF!</definedName>
    <definedName name="gfd" localSheetId="3" hidden="1">{"Werkdp_excl",#N/A,FALSE,"WERKdp"}</definedName>
    <definedName name="GG" localSheetId="3" hidden="1">{"Werkdp_excl",#N/A,FALSE,"WERKdp"}</definedName>
    <definedName name="hava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TML_Control" localSheetId="3" hidden="1">{"'Produktion'!$A$19:$J$28"}</definedName>
    <definedName name="ısm" localSheetId="3" hidden="1">{"Werkdp_excl",#N/A,FALSE,"WERKdp"}</definedName>
    <definedName name="ısmmmm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boix" localSheetId="3" hidden="1">{"Werkdp_excl",#N/A,FALSE,"WERKdp"}</definedName>
    <definedName name="jboixader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jjjjjjşşşş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osep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klmklmşlm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srs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LJPİ" localSheetId="3" hidden="1">{"Werkdp_excl",#N/A,FALSE,"WERKdp"}</definedName>
    <definedName name="moft" localSheetId="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NUEV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OLA" localSheetId="3" hidden="1">{"Werkdp_incl",#N/A,FALSE,"WERKdp"}</definedName>
    <definedName name="Org" localSheetId="3" hidden="1">{"Werkdp_excl",#N/A,FALSE,"WERKdp"}</definedName>
    <definedName name="qq" localSheetId="3" hidden="1">{"Werkdp_incl",#N/A,FALSE,"WERKdp"}</definedName>
    <definedName name="QQQQ" localSheetId="3" hidden="1">{"Werkdp_excl",#N/A,FALSE,"WERKdp"}</definedName>
    <definedName name="qqqqqqqqqq" localSheetId="3" hidden="1">{"Werkdp_excl",#N/A,FALSE,"WERKdp"}</definedName>
    <definedName name="sad" localSheetId="3" hidden="1">{"'Produktion'!$A$19:$J$28"}</definedName>
    <definedName name="sdf" localSheetId="3" hidden="1">{"'Produktion'!$A$19:$J$28"}</definedName>
    <definedName name="sdsdsds" localSheetId="3" hidden="1">{"'Produktion'!$A$19:$J$28"}</definedName>
    <definedName name="sfasdf" localSheetId="3" hidden="1">{"'Produktion'!$A$19:$J$28"}</definedName>
    <definedName name="sonuç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SS" localSheetId="3" hidden="1">{"Werkdp_excl",#N/A,FALSE,"WERKdp"}</definedName>
    <definedName name="t" localSheetId="3" hidden="1">{"forecast1",#N/A,FALSE,"P&amp;Lfc7";"forecast2",#N/A,FALSE,"P&amp;Lfc7"}</definedName>
    <definedName name="test" localSheetId="3">#REF!,#REF!</definedName>
    <definedName name="wrn.ACCTSPRINT." localSheetId="3" hidden="1">{"DEPTS",#N/A,FALSE,"A";"ACCTSPRINT",#N/A,FALSE,"A";"DISTRIB",#N/A,FALSE,"A"}</definedName>
    <definedName name="wrn.Bud_detail_excl." localSheetId="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localSheetId="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localSheetId="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localSheetId="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Details_excl." localSheetId="3" hidden="1">{"Werkdp_excl",#N/A,FALSE,"WERKdp"}</definedName>
    <definedName name="wrn.Details_incl." localSheetId="3" hidden="1">{"Werkdp_incl",#N/A,FALSE,"WERKdp"}</definedName>
    <definedName name="wrn.FAX." localSheetId="3" hidden="1">{"FAX",#N/A,FALSE,"JVLOAN94"}</definedName>
    <definedName name="wrn.forecast." localSheetId="3" hidden="1">{"forecast1",#N/A,FALSE,"P&amp;Lfc7";"forecast2",#N/A,FALSE,"P&amp;Lfc7"}</definedName>
    <definedName name="wrn.GENRLPRINT." localSheetId="3" hidden="1">{"DEPTS",#N/A,FALSE,"A";"STAFFPRINT",#N/A,FALSE,"A";"DISTRIB",#N/A,FALSE,"A"}</definedName>
    <definedName name="wrn.MONITOR." localSheetId="3" hidden="1">{"MONITOR",#N/A,FALSE,"A"}</definedName>
    <definedName name="wrn.VATACCOUNT." localSheetId="3" hidden="1">{"VATACCOUNT",#N/A,FALSE,"A"}</definedName>
    <definedName name="_xlnm._FilterDatabase" localSheetId="9" hidden="1">'HS'!$L$1:$L$157</definedName>
    <definedName name="_tab3" localSheetId="12">#REF!</definedName>
    <definedName name="Eingeben" localSheetId="12">#REF!</definedName>
    <definedName name="EingebenB" localSheetId="12">#REF!</definedName>
    <definedName name="k" localSheetId="12">#REF!</definedName>
    <definedName name="szo_dun" localSheetId="12">#REF!</definedName>
    <definedName name="tabelle" localSheetId="12">#REF!</definedName>
    <definedName name="tabelle2" localSheetId="12">#REF!</definedName>
    <definedName name="tabelle3" localSheetId="12">#REF!</definedName>
    <definedName name="\A" localSheetId="13">#REF!</definedName>
    <definedName name="\B" localSheetId="13">#REF!</definedName>
    <definedName name="_ısm2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a" localSheetId="13">{"Werkdp_excl",#N/A,FALSE,"WERKdp"}</definedName>
    <definedName name="aa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AAAA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b" localSheetId="13">{"Werkdp_incl",#N/A,FALSE,"WERKdp"}</definedName>
    <definedName name="bb" localSheetId="13" hidden="1">{"Werkdp_excl",#N/A,FALSE,"WERKdp"}</definedName>
    <definedName name="bc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bd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BGA2druckbereich" localSheetId="13">#REF!,#REF!,#REF!</definedName>
    <definedName name="CC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cum" localSheetId="13">OFFSET([0]!cat,0,2,,)</definedName>
    <definedName name="CY" localSheetId="13">#REF!</definedName>
    <definedName name="ELSA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ERER" localSheetId="13" hidden="1">{"Werkdp_incl",#N/A,FALSE,"WERKdp"}</definedName>
    <definedName name="EU" localSheetId="13" hidden="1">{"Werkdp_excl",#N/A,FALSE,"WERKdp"}</definedName>
    <definedName name="EUR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EURO" localSheetId="13" hidden="1">{"forecast1",#N/A,FALSE,"P&amp;Lfc7";"forecast2",#N/A,FALSE,"P&amp;Lfc7"}</definedName>
    <definedName name="EUROS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ffffffffffffffffffffff" localSheetId="13" hidden="1">{"Werkdp_excl",#N/A,FALSE,"WERKdp"}</definedName>
    <definedName name="fore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FORECAST" localSheetId="13" hidden="1">{"Werkdp_excl",#N/A,FALSE,"WERKdp"}</definedName>
    <definedName name="fre" localSheetId="13">OFFSET([0]!cat,0,1,,)</definedName>
    <definedName name="Fxtable" localSheetId="13">#REF!</definedName>
    <definedName name="gfd" localSheetId="13" hidden="1">{"Werkdp_excl",#N/A,FALSE,"WERKdp"}</definedName>
    <definedName name="GG" localSheetId="13" hidden="1">{"Werkdp_excl",#N/A,FALSE,"WERKdp"}</definedName>
    <definedName name="hava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HTML_Control" localSheetId="13" hidden="1">{"'Produktion'!$A$19:$J$28"}</definedName>
    <definedName name="ısm" localSheetId="13" hidden="1">{"Werkdp_excl",#N/A,FALSE,"WERKdp"}</definedName>
    <definedName name="ısmmmm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jboix" localSheetId="13" hidden="1">{"Werkdp_excl",#N/A,FALSE,"WERKdp"}</definedName>
    <definedName name="jboixader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jjjjjjjşşşş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josep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klmklmşlm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ksrs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LJPİ" localSheetId="13" hidden="1">{"Werkdp_excl",#N/A,FALSE,"WERKdp"}</definedName>
    <definedName name="moft" localSheetId="1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NUEV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OLA" localSheetId="13" hidden="1">{"Werkdp_incl",#N/A,FALSE,"WERKdp"}</definedName>
    <definedName name="Org" localSheetId="13" hidden="1">{"Werkdp_excl",#N/A,FALSE,"WERKdp"}</definedName>
    <definedName name="qq" localSheetId="13" hidden="1">{"Werkdp_incl",#N/A,FALSE,"WERKdp"}</definedName>
    <definedName name="QQQQ" localSheetId="13" hidden="1">{"Werkdp_excl",#N/A,FALSE,"WERKdp"}</definedName>
    <definedName name="qqqqqqqqqq" localSheetId="13" hidden="1">{"Werkdp_excl",#N/A,FALSE,"WERKdp"}</definedName>
    <definedName name="sad" localSheetId="13" hidden="1">{"'Produktion'!$A$19:$J$28"}</definedName>
    <definedName name="sdf" localSheetId="13" hidden="1">{"'Produktion'!$A$19:$J$28"}</definedName>
    <definedName name="sdsdsds" localSheetId="13" hidden="1">{"'Produktion'!$A$19:$J$28"}</definedName>
    <definedName name="sfasdf" localSheetId="13" hidden="1">{"'Produktion'!$A$19:$J$28"}</definedName>
    <definedName name="sonuç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onuç1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SSS" localSheetId="13" hidden="1">{"Werkdp_excl",#N/A,FALSE,"WERKdp"}</definedName>
    <definedName name="t" localSheetId="13" hidden="1">{"forecast1",#N/A,FALSE,"P&amp;Lfc7";"forecast2",#N/A,FALSE,"P&amp;Lfc7"}</definedName>
    <definedName name="test" localSheetId="13">#REF!,#REF!</definedName>
    <definedName name="wrn.ACCTSPRINT." localSheetId="13" hidden="1">{"DEPTS",#N/A,FALSE,"A";"ACCTSPRINT",#N/A,FALSE,"A";"DISTRIB",#N/A,FALSE,"A"}</definedName>
    <definedName name="wrn.Bud_detail_excl." localSheetId="13" hidden="1">{"Budexl",#N/A,FALSE,"EUROM";"Budexl",#N/A,FALSE,"HOLDM";"Budexc",#N/A,FALSE,"WERKM";"Budexc",#N/A,FALSE,"MANRM";"Budexc",#N/A,FALSE,"BORLM";"Budexc",#N/A,FALSE,"AUKOM";"budexc",#N/A,FALSE,"KALYM";"budexc",#N/A,FALSE,"INCIM";"budexc",#N/A,FALSE,"SYSEM"}</definedName>
    <definedName name="wrn.Bud_detail_incl." localSheetId="13" hidden="1">{"Budinc",#N/A,FALSE,"EUROM";"Budinc",#N/A,FALSE,"HOLDM";"Budinc",#N/A,FALSE,"WERKM";"Budinc",#N/A,FALSE,"MANRM";"Budinc",#N/A,FALSE,"BORLM";"budinc",#N/A,FALSE,"AUKOM";"budinc",#N/A,FALSE,"KALYM";"budinc",#N/A,FALSE,"INCIM";"budinc",#N/A,FALSE,"SYSEM"}</definedName>
    <definedName name="wrn.Bud_präs_excl." localSheetId="13" hidden="1">{"Bud_excl_pr",#N/A,FALSE,"EUROPM";"Bud_excl_pr",#N/A,FALSE,"HOLDPM";"Bud_excl_pr",#N/A,FALSE,"WERKPM";"Bud_excl_pr",#N/A,FALSE,"MANRPM";"Bud_excl_pr",#N/A,FALSE,"BORLPM";"Bud_excl_pr",#N/A,FALSE,"AUKOPM";"Bud_excl_pr",#N/A,FALSE,"KALYPM";"Bud_excl_pr",#N/A,FALSE,"INCIPM";"Bud_excl_pr",#N/A,FALSE,"SYSEPM"}</definedName>
    <definedName name="wrn.Bud_präs_incl." localSheetId="13" hidden="1">{"Bud_incl_pr",#N/A,FALSE,"EUROPM";"Bud_incl_pr",#N/A,FALSE,"HOLDPM";"Bud_incl_pr",#N/A,FALSE,"WERKPM";"Bud_incl_pr",#N/A,FALSE,"MANRPM";"Bud_incl_pr",#N/A,FALSE,"BORLPM";"Bud_incl_pr",#N/A,FALSE,"AUKOPM";"Bud_incl_pr",#N/A,FALSE,"KALYPM";"Bud_incl_pr",#N/A,FALSE,"INCIPM";"Bud_incl_pr",#N/A,FALSE,"SYSEPM"}</definedName>
    <definedName name="wrn.Details_excl." localSheetId="13" hidden="1">{"Werkdp_excl",#N/A,FALSE,"WERKdp"}</definedName>
    <definedName name="wrn.Details_incl." localSheetId="13" hidden="1">{"Werkdp_incl",#N/A,FALSE,"WERKdp"}</definedName>
    <definedName name="wrn.FAX." localSheetId="13" hidden="1">{"FAX",#N/A,FALSE,"JVLOAN94"}</definedName>
    <definedName name="wrn.forecast." localSheetId="13" hidden="1">{"forecast1",#N/A,FALSE,"P&amp;Lfc7";"forecast2",#N/A,FALSE,"P&amp;Lfc7"}</definedName>
    <definedName name="wrn.GENRLPRINT." localSheetId="13" hidden="1">{"DEPTS",#N/A,FALSE,"A";"STAFFPRINT",#N/A,FALSE,"A";"DISTRIB",#N/A,FALSE,"A"}</definedName>
    <definedName name="wrn.MONITOR." localSheetId="13" hidden="1">{"MONITOR",#N/A,FALSE,"A"}</definedName>
    <definedName name="wrn.VATACCOUNT." localSheetId="13" hidden="1">{"VATACCOUNT",#N/A,FALSE,"A"}</definedName>
    <definedName name="_tab3" localSheetId="18">#REF!</definedName>
    <definedName name="Eingeben" localSheetId="18">#REF!</definedName>
    <definedName name="EingebenB" localSheetId="18">#REF!</definedName>
    <definedName name="k" localSheetId="18">#REF!</definedName>
    <definedName name="szo_dun" localSheetId="18">#REF!</definedName>
    <definedName name="tabelle" localSheetId="18">#REF!</definedName>
    <definedName name="tabelle2" localSheetId="18">#REF!</definedName>
    <definedName name="tabelle3" localSheetId="18">#REF!</definedName>
    <definedName name="_tab3" localSheetId="19">#REF!</definedName>
    <definedName name="Eingeben" localSheetId="19">#REF!</definedName>
    <definedName name="EingebenB" localSheetId="19">#REF!</definedName>
    <definedName name="k" localSheetId="19">#REF!</definedName>
    <definedName name="szo_dun" localSheetId="19">#REF!</definedName>
    <definedName name="tabelle" localSheetId="19">#REF!</definedName>
    <definedName name="tabelle2" localSheetId="19">#REF!</definedName>
    <definedName name="tabelle3" localSheetId="19">#REF!</definedName>
    <definedName name="_xlnm._FilterDatabase" localSheetId="19" hidden="1">'Bağış - İş Geliştirme Hariç'!$A$2:$O$154</definedName>
  </definedNames>
  <calcPr calcId="191028" fullCalcOnLoad="1" calcCompleted="0"/>
</workbook>
</file>

<file path=xl/styles.xml><?xml version="1.0" encoding="utf-8"?>
<styleSheet xmlns="http://schemas.openxmlformats.org/spreadsheetml/2006/main">
  <numFmts count="91">
    <numFmt numFmtId="164" formatCode="#,##0.0000"/>
    <numFmt numFmtId="165" formatCode="#,##0.0000;\-#,##0.0000;#,##0.0000"/>
    <numFmt numFmtId="166" formatCode="0.0%"/>
    <numFmt numFmtId="167" formatCode="#,##0.00_ ;\-#,##0.00\ "/>
    <numFmt numFmtId="168" formatCode="[$₺-41F]#,##0"/>
    <numFmt numFmtId="169" formatCode="[$€-2]\ #,##0.00"/>
    <numFmt numFmtId="170" formatCode="[$€-2]\ #,##0"/>
    <numFmt numFmtId="171" formatCode="_-* #,##0.00_-;\-* #,##0.00_-;_-* &quot;-&quot;??_-;_-@_-"/>
    <numFmt numFmtId="172" formatCode="_-* #,##0.0000_-;\-* #,##0.0000_-;_-* &quot;-&quot;??_-;_-@_-"/>
    <numFmt numFmtId="173" formatCode="#,##0.0"/>
    <numFmt numFmtId="174" formatCode="0.000%"/>
    <numFmt numFmtId="175" formatCode="###,000"/>
    <numFmt numFmtId="176" formatCode="_-* #,##0.00\ _₺_-;\-* #,##0.00\ _₺_-;_-* &quot;-&quot;??\ _₺_-;_-@_-"/>
    <numFmt numFmtId="177" formatCode="_(&quot;$&quot;* #,##0.00_);_(&quot;$&quot;* \(#,##0.00\);_(&quot;$&quot;* &quot;-&quot;??_);_(@_)"/>
    <numFmt numFmtId="178" formatCode="&quot;$&quot;#,##0_);\(&quot;$&quot;#,##0\)"/>
    <numFmt numFmtId="179" formatCode="&quot;$&quot;#,##0.00_);[Red]\(&quot;$&quot;#,##0.00\)"/>
    <numFmt numFmtId="180" formatCode=";;;"/>
    <numFmt numFmtId="181" formatCode="&quot;$&quot;#,##0.000_);\(&quot;$&quot;#,##0.000\)"/>
    <numFmt numFmtId="182" formatCode="_(* #,##0.0_);_(* \(#,##0.0\);_(* &quot;-&quot;?_);_(@_)"/>
    <numFmt numFmtId="183" formatCode="General_)"/>
    <numFmt numFmtId="184" formatCode="&quot;$&quot;#,##0.0_);[Red]\(&quot;$&quot;#,##0.0\)"/>
    <numFmt numFmtId="185" formatCode="mm/dd/yy_)"/>
    <numFmt numFmtId="186" formatCode="&quot;$&quot;#,##0.00_);\(&quot;$&quot;#,##0.00\)"/>
    <numFmt numFmtId="187" formatCode="&quot;$&quot;#,##0;\-&quot;$&quot;#,##0"/>
    <numFmt numFmtId="188" formatCode="\£#,##0_);\(\£#,##0\)"/>
    <numFmt numFmtId="189" formatCode="&quot;£&quot;#,##0_);[Red]\(&quot;£&quot;#,##0\)"/>
    <numFmt numFmtId="190" formatCode="[Blue]0;[Blue]\(0\);[Blue]0"/>
    <numFmt numFmtId="191" formatCode="_(* #,##0.0_);_(* \(#,##0.0\);_(* &quot;-&quot;??_);_(@_)"/>
    <numFmt numFmtId="192" formatCode="#,##0_%_);\(#,##0\)_%;#,##0_%_);@_%_)"/>
    <numFmt numFmtId="193" formatCode="#,##0_%_);\(#,##0\)_%;**;@_%_)"/>
    <numFmt numFmtId="194" formatCode="#,##0.00_%_);\(#,##0.00\)_%;#,##0.00_%_);@_%_)"/>
    <numFmt numFmtId="195" formatCode="_#\,##0___);\(#,##0\)"/>
    <numFmt numFmtId="196" formatCode="&quot;$&quot;#,##0_%_);\(&quot;$&quot;#,##0\)_%;&quot;$&quot;#,##0_%_);@_%_)"/>
    <numFmt numFmtId="197" formatCode="#,##0.0_)\x;\(#,##0.0\)\x"/>
    <numFmt numFmtId="198" formatCode="\£#,##0.00_);\(\£#,##0.00\)"/>
    <numFmt numFmtId="199" formatCode="&quot;$&quot;#,##0.0_);\(&quot;$&quot;#,##0.0\)"/>
    <numFmt numFmtId="200" formatCode="\£#,##0.0_);\(\£#,##0.0\)"/>
    <numFmt numFmtId="201" formatCode="m/d/yy_%_)"/>
    <numFmt numFmtId="202" formatCode="&quot;$&quot;#,##0.00"/>
    <numFmt numFmtId="203" formatCode="0_%_);\(0\)_%;0_%_);@_%_)"/>
    <numFmt numFmtId="204" formatCode="_([$€-2]* #,##0.00_);_([$€-2]* \(#,##0.00\);_([$€-2]* &quot;-&quot;??_)"/>
    <numFmt numFmtId="205" formatCode="#,##0.0,;\(#,##0.0,\)"/>
    <numFmt numFmtId="206" formatCode="&quot;$&quot;#,##0_);[Red]\(&quot;$&quot;#,##0\)"/>
    <numFmt numFmtId="207" formatCode="0.0\%_);\(0.0\%\);0.0\%_);@_%_)"/>
    <numFmt numFmtId="208" formatCode="_-* #,##0\ &quot;Kč&quot;_-;\-* #,##0\ &quot;Kč&quot;_-;_-* &quot;-&quot;\ &quot;Kč&quot;_-;_-@_-"/>
    <numFmt numFmtId="209" formatCode="_-* #,##0.00\ &quot;Kč&quot;_-;\-* #,##0.00\ &quot;Kč&quot;_-;_-* &quot;-&quot;??\ &quot;Kč&quot;_-;_-@_-"/>
    <numFmt numFmtId="210" formatCode="#,##0.000_);\(#,##0.000\)"/>
    <numFmt numFmtId="211" formatCode="0.00_)"/>
    <numFmt numFmtId="212" formatCode="_-* #,##0\ _D_M_-;\-* #,##0\ _D_M_-;_-* &quot;-&quot;\ _D_M_-;_-@_-"/>
    <numFmt numFmtId="213" formatCode="_(&quot;Cr$&quot;* #,##0_);_(&quot;Cr$&quot;* \(#,##0\);_(&quot;Cr$&quot;* &quot;-&quot;_);_(@_)"/>
    <numFmt numFmtId="214" formatCode="_(&quot;Cr$&quot;* #,##0.00_);_(&quot;Cr$&quot;* \(#,##0.00\);_(&quot;Cr$&quot;* &quot;-&quot;??_);_(@_)"/>
    <numFmt numFmtId="215" formatCode="_-* #,##0\ &quot;DM&quot;_-;\-* #,##0\ &quot;DM&quot;_-;_-* &quot;-&quot;\ &quot;DM&quot;_-;_-@_-"/>
    <numFmt numFmtId="216" formatCode="_-* #,##0.00\ &quot;DM&quot;_-;\-* #,##0.00\ &quot;DM&quot;_-;_-* &quot;-&quot;??\ &quot;DM&quot;_-;_-@_-"/>
    <numFmt numFmtId="217" formatCode="0.0\ \ "/>
    <numFmt numFmtId="218" formatCode="&quot;$&quot;#,##0.0_);&quot;$&quot;\(#,##0.0\)"/>
    <numFmt numFmtId="219" formatCode="0.0\x_)_);&quot;NM&quot;_x_)_);0.0\x_)_);@_%_)"/>
    <numFmt numFmtId="220" formatCode="0.0_)_x;\(0.0\)_x"/>
    <numFmt numFmtId="221" formatCode="0.0\x_);\(0.0\x\)"/>
    <numFmt numFmtId="222" formatCode="0.0"/>
    <numFmt numFmtId="223" formatCode="#,##0.00000_);[Red]\(#,##0.00000\)"/>
    <numFmt numFmtId="224" formatCode="0.0\x_)"/>
    <numFmt numFmtId="225" formatCode="#,##0.000000_);\(#,##0.000000\)"/>
    <numFmt numFmtId="226" formatCode="#,##0.0_);\(#,##0.0\)"/>
    <numFmt numFmtId="227" formatCode="#,##0.00\p_);\(#,##0.00\p\)"/>
    <numFmt numFmtId="228" formatCode="#,##0.00\x;[Red]\(#,##0.00\x"/>
    <numFmt numFmtId="229" formatCode="_(&quot;$&quot;* #,##0_);_(&quot;$&quot;* \(#,##0\);_(&quot;$&quot;* &quot;-&quot;??_);_(@_)"/>
    <numFmt numFmtId="230" formatCode="#,##0.00;[Red]\(#,##0.00\)"/>
    <numFmt numFmtId="231" formatCode="0.00\ \x_);\(0.00\ \x\)"/>
    <numFmt numFmtId="232" formatCode="0.0000%"/>
    <numFmt numFmtId="233" formatCode="\£0.0\ ;\(\£0.0_)"/>
    <numFmt numFmtId="234" formatCode="#,##0.0______________________\ ;[Red]\(#,##0\)"/>
    <numFmt numFmtId="235" formatCode="mm/dd/yy"/>
    <numFmt numFmtId="236" formatCode="_ * #,##0_)\ _R_$_ ;_ * \(#,##0\)\ _R_$_ ;_ * &quot;-&quot;_)\ _R_$_ ;_ @_ "/>
    <numFmt numFmtId="237" formatCode="_ * #,##0.00_)_R_$_ ;_ * \(#,##0.00\)_R_$_ ;_ * &quot;-&quot;??_)_R_$_ ;_ @_ "/>
    <numFmt numFmtId="238" formatCode="0;\(0\)"/>
    <numFmt numFmtId="239" formatCode="&quot;$&quot;#,##0.0;\(&quot;$&quot;#,##0.0\)"/>
    <numFmt numFmtId="240" formatCode="_-&quot;L.&quot;\ * #,##0_-;\-&quot;L.&quot;\ * #,##0_-;_-&quot;L.&quot;\ * &quot;-&quot;_-;_-@_-"/>
    <numFmt numFmtId="241" formatCode="#,##0.00000000_);\(#,##0.00000000\)"/>
    <numFmt numFmtId="242" formatCode="#,##0.0000000000_);\(#,##0.0000000000\)"/>
    <numFmt numFmtId="243" formatCode="\ \ #,##0.00_);\(\ \ #,##0.00\)"/>
    <numFmt numFmtId="244" formatCode="&quot;$&quot;\ #,##0_);\(&quot;$&quot;\ #,##0\)"/>
    <numFmt numFmtId="245" formatCode="0.0\ %;\(0.0%\)"/>
    <numFmt numFmtId="246" formatCode="#,##0.0;\(#,##0.0\)"/>
    <numFmt numFmtId="247" formatCode="#,##0;\(#,##0\)"/>
    <numFmt numFmtId="248" formatCode="0\ \ ;\(0\)\ \ \ "/>
    <numFmt numFmtId="249" formatCode="\¥#,##0_);\(\¥#,##0\)"/>
    <numFmt numFmtId="250" formatCode="&quot;Yes&quot;;;&quot;No&quot;"/>
    <numFmt numFmtId="251" formatCode="0_)"/>
    <numFmt numFmtId="252" formatCode="_-* #,##0.00\ _€_-;\-* #,##0.00\ _€_-;_-* &quot;-&quot;??\ _€_-;_-@_-"/>
    <numFmt numFmtId="253" formatCode="_-* #,##0.00\ _D_M_-;\-* #,##0.00\ _D_M_-;_-* &quot;-&quot;??\ _D_M_-;_-@_-"/>
    <numFmt numFmtId="254" formatCode="_-* #,##0.00\ _T_L_-;\-* #,##0.00\ _T_L_-;_-* &quot;-&quot;??\ _T_L_-;_-@_-"/>
  </numFmts>
  <fonts count="234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color theme="1"/>
      <sz val="13"/>
      <scheme val="minor"/>
    </font>
    <font>
      <name val="Calibri"/>
      <charset val="162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charset val="162"/>
      <family val="2"/>
      <b val="1"/>
      <color rgb="FFFF0000"/>
      <sz val="11"/>
      <scheme val="minor"/>
    </font>
    <font>
      <name val="Calibri"/>
      <charset val="162"/>
      <family val="2"/>
      <i val="1"/>
      <color theme="1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  <font>
      <name val="Calibri"/>
      <charset val="162"/>
      <family val="2"/>
      <i val="1"/>
      <color theme="1"/>
      <sz val="12"/>
      <scheme val="minor"/>
    </font>
    <font>
      <name val="Verdana"/>
      <charset val="162"/>
      <family val="2"/>
      <b val="1"/>
      <color rgb="FF1F497D"/>
      <sz val="8"/>
    </font>
    <font>
      <name val="Verdana"/>
      <charset val="162"/>
      <family val="2"/>
      <color rgb="FF1F497D"/>
      <sz val="8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11"/>
      <scheme val="minor"/>
    </font>
    <font>
      <name val="Arial"/>
      <family val="2"/>
      <sz val="10"/>
    </font>
    <font>
      <name val="Verdana"/>
      <charset val="162"/>
      <family val="2"/>
      <color rgb="FF000000"/>
      <sz val="8"/>
    </font>
    <font>
      <name val="Verdana"/>
      <charset val="162"/>
      <family val="2"/>
      <b val="1"/>
      <color rgb="FF00CC00"/>
      <sz val="8"/>
    </font>
    <font>
      <name val="Verdana"/>
      <charset val="162"/>
      <family val="2"/>
      <b val="1"/>
      <color rgb="FF33CC33"/>
      <sz val="8"/>
    </font>
    <font>
      <name val="Verdana"/>
      <charset val="162"/>
      <family val="2"/>
      <b val="1"/>
      <color rgb="FFFF9900"/>
      <sz val="8"/>
    </font>
    <font>
      <name val="Verdana"/>
      <charset val="162"/>
      <family val="2"/>
      <b val="1"/>
      <color rgb="FFFF0000"/>
      <sz val="8"/>
    </font>
    <font>
      <name val="Arial"/>
      <charset val="162"/>
      <family val="2"/>
      <color rgb="FF000000"/>
      <sz val="8"/>
    </font>
    <font>
      <name val="Verdana"/>
      <charset val="162"/>
      <family val="2"/>
      <color rgb="FFDBE5F1"/>
      <sz val="8"/>
    </font>
    <font>
      <name val="Verdana"/>
      <charset val="162"/>
      <family val="2"/>
      <i val="1"/>
      <color rgb="FF000000"/>
      <sz val="8"/>
    </font>
    <font>
      <name val="Verdana"/>
      <charset val="162"/>
      <family val="2"/>
      <b val="1"/>
      <i val="1"/>
      <color rgb="FF000000"/>
      <sz val="8"/>
    </font>
    <font>
      <name val="Verdana"/>
      <charset val="162"/>
      <family val="2"/>
      <b val="1"/>
      <i val="1"/>
      <color rgb="FF1F497D"/>
      <sz val="8"/>
    </font>
    <font>
      <name val="Verdana"/>
      <charset val="162"/>
      <family val="2"/>
      <i val="1"/>
      <color rgb="FF1F497D"/>
      <sz val="8"/>
    </font>
    <font>
      <name val="Helv"/>
      <charset val="204"/>
      <sz val="10"/>
    </font>
    <font>
      <name val="Calibri"/>
      <family val="2"/>
      <color theme="10"/>
      <sz val="11"/>
      <u val="single"/>
      <scheme val="minor"/>
    </font>
    <font>
      <name val="Arial"/>
      <family val="2"/>
      <b val="1"/>
      <sz val="12"/>
    </font>
    <font>
      <name val="Geneva"/>
      <sz val="10"/>
    </font>
    <font>
      <name val="Times New Roman"/>
      <family val="1"/>
      <color indexed="8"/>
      <sz val="11"/>
    </font>
    <font>
      <name val="Times New Roman"/>
      <family val="1"/>
      <sz val="10"/>
    </font>
    <font>
      <name val="Arial"/>
      <family val="2"/>
      <color indexed="8"/>
      <sz val="10"/>
    </font>
    <font>
      <name val="MS Sans Serif"/>
      <family val="2"/>
      <sz val="10"/>
    </font>
    <font>
      <name val="Arial CE"/>
      <charset val="238"/>
      <sz val="10"/>
    </font>
    <font>
      <name val="Times New Roman"/>
      <family val="1"/>
      <color indexed="12"/>
      <sz val="7"/>
    </font>
    <font>
      <name val="Times New Roman"/>
      <family val="1"/>
      <sz val="9"/>
    </font>
    <font>
      <name val="Times"/>
      <family val="1"/>
      <sz val="8"/>
    </font>
    <font>
      <name val="Tms Rmn"/>
      <b val="1"/>
      <sz val="12"/>
    </font>
    <font>
      <name val="Arial"/>
      <family val="2"/>
      <sz val="12"/>
    </font>
    <font>
      <name val="Tms Rmn"/>
      <color indexed="8"/>
      <sz val="10"/>
    </font>
    <font>
      <name val="Tms Rmn"/>
      <color indexed="12"/>
      <sz val="8"/>
    </font>
    <font>
      <name val="Times New Roman"/>
      <family val="1"/>
      <color indexed="12"/>
      <sz val="10"/>
    </font>
    <font>
      <name val="Tms Rmn"/>
      <sz val="12"/>
    </font>
    <font>
      <name val="Palatino"/>
      <family val="1"/>
      <b val="1"/>
      <sz val="12"/>
    </font>
    <font>
      <name val="Times New Roman"/>
      <family val="1"/>
      <sz val="8"/>
    </font>
    <font>
      <name val="MS Sans Serif"/>
      <family val="2"/>
      <b val="1"/>
      <sz val="10"/>
    </font>
    <font>
      <name val="Arial"/>
      <family val="2"/>
      <sz val="10"/>
      <u val="singleAccounting"/>
    </font>
    <font>
      <name val="Wingdings"/>
      <charset val="2"/>
      <b val="1"/>
      <color indexed="21"/>
      <sz val="6"/>
    </font>
    <font>
      <name val="Arial"/>
      <family val="2"/>
      <b val="1"/>
      <i val="1"/>
      <sz val="9"/>
    </font>
    <font>
      <name val="times new roman"/>
      <family val="1"/>
      <color indexed="10"/>
      <sz val="10"/>
    </font>
    <font>
      <name val="Times New Roman"/>
      <family val="1"/>
      <sz val="12"/>
    </font>
    <font>
      <name val="Myriad Pro"/>
      <family val="2"/>
      <b val="1"/>
      <sz val="10"/>
    </font>
    <font>
      <name val="Times New Roman"/>
      <family val="1"/>
      <b val="1"/>
      <sz val="12"/>
    </font>
    <font>
      <name val="Times New Roman"/>
      <family val="1"/>
      <color indexed="10"/>
      <sz val="6"/>
    </font>
    <font>
      <name val="Arial"/>
      <family val="2"/>
      <sz val="8"/>
    </font>
    <font>
      <name val="Arial"/>
      <family val="2"/>
      <b val="1"/>
      <i val="1"/>
      <sz val="8"/>
    </font>
    <font>
      <name val="Book Antiqua"/>
      <family val="1"/>
      <b val="1"/>
      <sz val="8"/>
    </font>
    <font>
      <name val="Arial"/>
      <family val="2"/>
      <color indexed="12"/>
      <sz val="10"/>
      <u val="single"/>
    </font>
    <font>
      <name val="Arial"/>
      <family val="2"/>
      <color indexed="36"/>
      <sz val="10"/>
      <u val="single"/>
    </font>
    <font>
      <name val="Times New Roman"/>
      <family val="1"/>
      <b val="1"/>
      <sz val="10"/>
    </font>
    <font>
      <name val="Times New Roman"/>
      <family val="1"/>
      <b val="1"/>
      <sz val="10"/>
      <u val="single"/>
    </font>
    <font>
      <name val="Arial"/>
      <family val="2"/>
      <b val="1"/>
      <sz val="8"/>
    </font>
    <font>
      <name val="Times New Roman"/>
      <family val="1"/>
      <color indexed="12"/>
      <sz val="8"/>
    </font>
    <font>
      <name val="Palatino"/>
      <family val="1"/>
      <sz val="8"/>
    </font>
    <font>
      <name val="Arial"/>
      <family val="2"/>
      <color indexed="24"/>
      <sz val="10"/>
    </font>
    <font>
      <name val="MS Serif"/>
      <family val="1"/>
      <sz val="10"/>
    </font>
    <font>
      <name val="Helv"/>
      <sz val="10"/>
    </font>
    <font>
      <name val="Arial"/>
      <family val="2"/>
      <b val="1"/>
      <color indexed="16"/>
      <sz val="16"/>
    </font>
    <font>
      <name val="Book Antiqua"/>
      <family val="1"/>
      <sz val="10"/>
    </font>
    <font>
      <name val="Tms Rmn"/>
      <sz val="10"/>
    </font>
    <font>
      <name val="Dixon Cn"/>
      <sz val="8"/>
    </font>
    <font>
      <name val="Times New Roman"/>
      <family val="1"/>
      <color indexed="14"/>
      <sz val="8"/>
    </font>
    <font>
      <name val="Arial"/>
      <family val="2"/>
      <sz val="10"/>
      <u val="doubleAccounting"/>
    </font>
    <font>
      <name val="MS Serif"/>
      <family val="1"/>
      <color indexed="16"/>
      <sz val="10"/>
    </font>
    <font>
      <name val="Arial"/>
      <family val="2"/>
      <b val="1"/>
      <color indexed="12"/>
      <sz val="7"/>
    </font>
    <font>
      <name val="Arial"/>
      <family val="2"/>
      <sz val="9"/>
    </font>
    <font>
      <name val="Tms Rmn"/>
      <b val="1"/>
      <i val="1"/>
      <sz val="14"/>
    </font>
    <font>
      <name val="Palatino"/>
      <family val="1"/>
      <sz val="7"/>
    </font>
    <font>
      <name val="Book Antiqua"/>
      <family val="1"/>
      <b val="1"/>
      <sz val="10"/>
    </font>
    <font>
      <name val="Arial"/>
      <family val="2"/>
      <sz val="7"/>
    </font>
    <font>
      <name val="Times New Roman"/>
      <family val="1"/>
      <color indexed="17"/>
      <sz val="10"/>
    </font>
    <font>
      <name val="Palatino"/>
      <family val="1"/>
      <color indexed="16"/>
      <sz val="6"/>
    </font>
    <font>
      <name val="Times New Roman"/>
      <family val="1"/>
      <b val="1"/>
      <color indexed="41"/>
      <sz val="11"/>
    </font>
    <font>
      <name val="Myriad Pro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0"/>
    </font>
    <font>
      <name val="Times New Roman"/>
      <family val="1"/>
      <b val="1"/>
      <i val="1"/>
      <sz val="22"/>
    </font>
    <font>
      <name val="Helv"/>
      <color indexed="12"/>
      <sz val="7"/>
    </font>
    <font>
      <name val="Helvetica-Narrow"/>
      <sz val="7"/>
    </font>
    <font>
      <name val="Helv"/>
      <color indexed="10"/>
      <sz val="8"/>
    </font>
    <font>
      <name val="Palatino"/>
      <family val="1"/>
      <b val="1"/>
      <sz val="10"/>
    </font>
    <font>
      <name val="MS Sans Serif"/>
      <family val="2"/>
      <color indexed="16"/>
      <sz val="10"/>
    </font>
    <font>
      <name val="Times New Roman"/>
      <family val="1"/>
      <sz val="11"/>
    </font>
    <font>
      <name val="Palatino"/>
      <family val="1"/>
      <sz val="10"/>
    </font>
    <font>
      <name val="Small Fonts"/>
      <family val="2"/>
      <sz val="7"/>
    </font>
    <font>
      <name val="Book Antiqua"/>
      <family val="1"/>
      <b val="1"/>
      <i val="1"/>
      <sz val="8"/>
    </font>
    <font>
      <name val="Arial"/>
      <family val="2"/>
      <color indexed="12"/>
      <sz val="7"/>
    </font>
    <font>
      <name val="Book Antiqua"/>
      <family val="1"/>
      <sz val="8"/>
    </font>
    <font>
      <name val="Times New Roman"/>
      <family val="1"/>
      <color indexed="8"/>
      <sz val="8"/>
    </font>
    <font>
      <name val="Tms Rmn"/>
      <sz val="8"/>
    </font>
    <font>
      <name val="Arial"/>
      <family val="2"/>
      <b val="1"/>
      <color indexed="8"/>
      <sz val="10"/>
    </font>
    <font>
      <name val="Times New Roman"/>
      <family val="1"/>
      <sz val="10"/>
      <u val="single"/>
    </font>
    <font>
      <name val="Times New Roman"/>
      <family val="1"/>
      <b val="1"/>
      <sz val="26"/>
    </font>
    <font>
      <name val="Helvetica-Black"/>
      <color indexed="16"/>
      <sz val="10"/>
    </font>
    <font>
      <name val="Times New Roman"/>
      <family val="1"/>
      <i val="1"/>
      <sz val="8"/>
    </font>
    <font>
      <name val="Myriad Pro"/>
      <family val="2"/>
      <i val="1"/>
      <sz val="8"/>
    </font>
    <font>
      <name val="Myriad Pro"/>
      <family val="2"/>
      <i val="1"/>
      <sz val="8"/>
      <u val="single"/>
    </font>
    <font>
      <name val="MS Sans Serif"/>
      <family val="2"/>
      <b val="1"/>
      <sz val="6.5"/>
    </font>
    <font>
      <name val="Helv"/>
      <sz val="8"/>
    </font>
    <font>
      <name val="Helvetica-Black"/>
      <color indexed="23"/>
      <sz val="9.5"/>
    </font>
    <font>
      <name val="Times New Roman"/>
      <family val="1"/>
      <b val="1"/>
      <i val="1"/>
      <sz val="12"/>
    </font>
    <font>
      <name val="Futura UBS Bk"/>
      <family val="2"/>
      <sz val="10"/>
    </font>
    <font>
      <name val="Bookman Old Style"/>
      <family val="1"/>
      <b val="1"/>
      <sz val="10"/>
    </font>
    <font>
      <name val="Times New Roman"/>
      <family val="1"/>
      <b val="1"/>
      <sz val="9"/>
    </font>
    <font>
      <name val="Times New Roman"/>
      <family val="1"/>
      <b val="1"/>
      <sz val="18"/>
    </font>
    <font>
      <name val="Helv"/>
      <b val="1"/>
      <color indexed="8"/>
      <sz val="8"/>
    </font>
    <font>
      <name val="Palatino"/>
      <family val="1"/>
      <b val="1"/>
      <sz val="9"/>
    </font>
    <font>
      <name val="Helvetica-Black"/>
      <color indexed="21"/>
      <sz val="9"/>
    </font>
    <font>
      <name val="Helvetica-Black"/>
      <sz val="9"/>
    </font>
    <font>
      <name val="Book Antiqua"/>
      <family val="1"/>
      <b val="1"/>
      <sz val="14"/>
    </font>
    <font>
      <name val="Palatino"/>
      <family val="1"/>
      <color indexed="8"/>
      <sz val="12"/>
    </font>
    <font>
      <name val="Helvetica-Black"/>
      <color indexed="8"/>
      <sz val="11"/>
    </font>
    <font>
      <name val="Book Antiqua"/>
      <family val="1"/>
      <b val="1"/>
      <sz val="12"/>
    </font>
    <font>
      <name val="Arial"/>
      <family val="2"/>
      <sz val="11"/>
    </font>
    <font>
      <name val="Arial"/>
      <family val="2"/>
      <b val="1"/>
      <sz val="9"/>
      <u val="single"/>
    </font>
    <font>
      <name val="Times New Roman"/>
      <family val="1"/>
      <b val="1"/>
      <sz val="8"/>
    </font>
    <font>
      <name val="Helv"/>
      <b val="1"/>
      <sz val="8"/>
    </font>
    <font>
      <name val="Arial"/>
      <family val="2"/>
      <b val="1"/>
      <sz val="7"/>
    </font>
    <font>
      <name val="Arial"/>
      <family val="2"/>
      <b val="1"/>
      <sz val="9"/>
    </font>
    <font>
      <name val="Times New Roman"/>
      <family val="1"/>
      <color indexed="8"/>
      <sz val="9"/>
    </font>
    <font>
      <name val="Arial"/>
      <family val="2"/>
      <b val="1"/>
      <i val="1"/>
      <sz val="24"/>
    </font>
    <font>
      <name val="Times New Roman"/>
      <family val="1"/>
      <color indexed="8"/>
      <sz val="12"/>
    </font>
    <font>
      <name val="Times New Roman"/>
      <family val="1"/>
      <sz val="7"/>
    </font>
    <font>
      <name val="Helv"/>
      <b val="1"/>
      <i val="1"/>
      <sz val="8"/>
    </font>
    <font>
      <name val="Times New Roman"/>
      <family val="1"/>
      <b val="1"/>
      <i val="1"/>
      <color indexed="12"/>
      <sz val="8"/>
    </font>
    <font>
      <name val="ＭＳ Ｐゴシック"/>
      <charset val="128"/>
      <family val="3"/>
      <sz val="11"/>
    </font>
    <font>
      <name val="Arial"/>
      <family val="2"/>
      <color indexed="8"/>
      <sz val="12"/>
    </font>
    <font>
      <name val="Arial"/>
      <family val="2"/>
      <b val="1"/>
      <color indexed="9"/>
      <sz val="16"/>
    </font>
    <font>
      <name val="Arial"/>
      <family val="2"/>
      <b val="1"/>
      <color indexed="10"/>
      <sz val="12"/>
      <u val="single"/>
    </font>
    <font>
      <name val="Arial"/>
      <family val="2"/>
      <b val="1"/>
      <color indexed="32"/>
      <sz val="10"/>
    </font>
    <font>
      <name val="Arial"/>
      <family val="2"/>
      <b val="1"/>
      <color indexed="8"/>
      <sz val="12"/>
    </font>
    <font>
      <name val="Times New Roman"/>
      <family val="1"/>
      <b val="1"/>
      <color indexed="8"/>
      <sz val="12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b val="1"/>
      <sz val="12"/>
      <u val="single"/>
    </font>
    <font>
      <name val="Arial"/>
      <family val="2"/>
      <b val="1"/>
      <i val="1"/>
      <sz val="10"/>
    </font>
    <font>
      <name val="Arial"/>
      <family val="2"/>
      <color indexed="32"/>
      <sz val="10"/>
    </font>
    <font>
      <name val="Courier"/>
      <family val="3"/>
      <sz val="14"/>
    </font>
    <font>
      <name val="Arial"/>
      <charset val="162"/>
      <family val="2"/>
      <sz val="10"/>
    </font>
    <font>
      <name val="Arial"/>
      <family val="2"/>
      <color theme="1"/>
      <sz val="12"/>
    </font>
    <font>
      <name val="Times New Roman"/>
      <family val="1"/>
      <color indexed="12"/>
      <sz val="9"/>
      <u val="single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Arial"/>
      <family val="2"/>
      <color indexed="8"/>
      <sz val="10"/>
      <u val="single"/>
    </font>
    <font>
      <name val="Arial"/>
      <family val="2"/>
      <color indexed="24"/>
      <sz val="12"/>
    </font>
    <font>
      <name val="Cambria"/>
      <family val="2"/>
      <b val="1"/>
      <color indexed="62"/>
      <sz val="18"/>
    </font>
    <font>
      <name val="MS Sans Serif"/>
      <family val="2"/>
      <color indexed="8"/>
      <sz val="10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8"/>
      <sz val="11"/>
    </font>
    <font>
      <name val="Arial"/>
      <charset val="238"/>
      <family val="2"/>
      <sz val="10"/>
    </font>
    <font>
      <name val="Verdana"/>
      <family val="2"/>
      <b val="1"/>
      <color rgb="FF1F497D"/>
      <sz val="8"/>
    </font>
    <font>
      <name val="Calibri"/>
      <charset val="162"/>
      <family val="2"/>
      <color rgb="FF000000"/>
      <sz val="11"/>
      <scheme val="minor"/>
    </font>
    <font>
      <name val="Calibri"/>
      <charset val="162"/>
      <family val="2"/>
      <b val="1"/>
      <color rgb="FF000000"/>
      <sz val="11"/>
      <scheme val="minor"/>
    </font>
    <font>
      <name val="Segoe UI"/>
      <charset val="162"/>
      <family val="2"/>
      <color theme="1"/>
      <sz val="14"/>
    </font>
    <font>
      <name val="Segoe UI"/>
      <charset val="162"/>
      <family val="2"/>
      <color theme="0"/>
      <sz val="14"/>
    </font>
    <font>
      <name val="Calibri"/>
      <charset val="162"/>
      <family val="2"/>
      <color indexed="8"/>
      <sz val="11"/>
    </font>
    <font>
      <name val="Arial Tur"/>
      <charset val="162"/>
      <sz val="10"/>
    </font>
    <font>
      <name val="Geneva"/>
      <family val="2"/>
      <sz val="10"/>
    </font>
    <font>
      <name val="Tahoma"/>
      <charset val="162"/>
      <family val="2"/>
      <b val="1"/>
      <color rgb="FFFF0000"/>
      <sz val="8"/>
    </font>
    <font>
      <name val="Tahoma"/>
      <charset val="162"/>
      <family val="2"/>
      <color theme="1"/>
      <sz val="8"/>
    </font>
    <font>
      <name val="Tahoma"/>
      <charset val="162"/>
      <family val="2"/>
      <b val="1"/>
      <color theme="0"/>
      <sz val="8"/>
    </font>
    <font>
      <name val="Tahoma"/>
      <charset val="162"/>
      <family val="2"/>
      <b val="1"/>
      <color theme="1"/>
      <sz val="8"/>
    </font>
    <font>
      <name val="Tahoma"/>
      <charset val="162"/>
      <family val="2"/>
      <color theme="0"/>
      <sz val="8"/>
    </font>
    <font>
      <name val="Tahoma"/>
      <charset val="162"/>
      <family val="2"/>
      <color rgb="FFFF0000"/>
      <sz val="8"/>
    </font>
    <font>
      <name val="Tahoma"/>
      <charset val="162"/>
      <family val="2"/>
      <sz val="8"/>
    </font>
    <font>
      <name val="Tahoma"/>
      <charset val="162"/>
      <family val="2"/>
      <b val="1"/>
      <color theme="0"/>
      <sz val="9"/>
    </font>
    <font>
      <name val="Tahoma"/>
      <charset val="162"/>
      <family val="2"/>
      <b val="1"/>
      <color theme="1"/>
      <sz val="10"/>
    </font>
    <font>
      <name val="Tahoma"/>
      <charset val="162"/>
      <family val="2"/>
      <b val="1"/>
      <color theme="2" tint="-0.749992370372631"/>
      <sz val="8"/>
    </font>
    <font>
      <name val="Tahoma"/>
      <charset val="162"/>
      <family val="2"/>
      <b val="1"/>
      <color theme="4" tint="-0.499984740745262"/>
      <sz val="8"/>
    </font>
    <font>
      <name val="Calibri"/>
      <charset val="162"/>
      <family val="2"/>
      <color rgb="FFFF0000"/>
      <sz val="11"/>
      <scheme val="minor"/>
    </font>
    <font>
      <name val="Calibri"/>
      <charset val="162"/>
      <family val="2"/>
      <color theme="4"/>
      <sz val="11"/>
      <scheme val="minor"/>
    </font>
    <font>
      <name val="Segoe UI"/>
      <charset val="162"/>
      <family val="2"/>
      <color theme="1"/>
      <sz val="13"/>
    </font>
    <font>
      <name val="Segoe UI Semibold"/>
      <charset val="162"/>
      <family val="2"/>
      <color theme="1"/>
      <sz val="13"/>
    </font>
    <font>
      <name val="Segoe UI Semibold"/>
      <charset val="162"/>
      <family val="2"/>
      <color theme="1"/>
      <sz val="15"/>
    </font>
    <font>
      <name val="Tahoma"/>
      <charset val="162"/>
      <family val="2"/>
      <color theme="1"/>
      <sz val="11"/>
    </font>
    <font>
      <name val="Tahoma"/>
      <charset val="162"/>
      <family val="2"/>
      <color theme="1"/>
      <sz val="10"/>
    </font>
    <font>
      <name val="Calibri"/>
      <charset val="162"/>
      <family val="2"/>
      <color theme="1"/>
      <sz val="10"/>
      <scheme val="minor"/>
    </font>
    <font>
      <name val="Calibri"/>
      <charset val="162"/>
      <family val="2"/>
      <b val="1"/>
      <color theme="0"/>
      <sz val="10"/>
      <scheme val="minor"/>
    </font>
    <font>
      <name val="Tahoma"/>
      <charset val="162"/>
      <family val="2"/>
      <b val="1"/>
      <color theme="0"/>
      <sz val="10"/>
    </font>
    <font>
      <name val="Calibri"/>
      <charset val="162"/>
      <family val="2"/>
      <color theme="0"/>
      <sz val="10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i val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charset val="162"/>
      <family val="2"/>
      <b val="1"/>
      <i val="1"/>
      <color theme="0" tint="-0.0499893185216834"/>
      <sz val="10"/>
      <scheme val="minor"/>
    </font>
    <font>
      <name val="Calibri"/>
      <charset val="162"/>
      <family val="2"/>
      <b val="1"/>
      <i val="1"/>
      <color theme="1"/>
      <sz val="10"/>
      <scheme val="minor"/>
    </font>
    <font>
      <name val="Calibri"/>
      <charset val="162"/>
      <family val="2"/>
      <color theme="1"/>
      <sz val="13"/>
      <scheme val="minor"/>
    </font>
    <font>
      <name val="Calibri"/>
      <charset val="162"/>
      <family val="2"/>
      <b val="1"/>
      <color theme="0"/>
      <sz val="13"/>
      <scheme val="minor"/>
    </font>
    <font>
      <name val="Calibri"/>
      <charset val="162"/>
      <family val="2"/>
      <b val="1"/>
      <i val="1"/>
      <color theme="0" tint="-0.0499893185216834"/>
      <sz val="13"/>
      <scheme val="minor"/>
    </font>
    <font>
      <name val="Calibri"/>
      <charset val="162"/>
      <family val="2"/>
      <color theme="0"/>
      <sz val="13"/>
      <scheme val="minor"/>
    </font>
    <font>
      <name val="Calibri"/>
      <charset val="162"/>
      <family val="2"/>
      <b val="1"/>
      <color theme="0" tint="-0.0499893185216834"/>
      <sz val="13"/>
      <scheme val="minor"/>
    </font>
    <font>
      <name val="Calibri"/>
      <charset val="162"/>
      <family val="2"/>
      <b val="1"/>
      <sz val="11"/>
      <scheme val="minor"/>
    </font>
    <font>
      <name val="Tahoma"/>
      <charset val="162"/>
      <family val="2"/>
      <color rgb="FFFF0000"/>
      <sz val="10"/>
    </font>
  </fonts>
  <fills count="8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E8EEF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9"/>
        <b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9"/>
      </patternFill>
    </fill>
    <fill>
      <patternFill patternType="lightGray">
        <fgColor indexed="38"/>
        <bgColor indexed="23"/>
      </patternFill>
    </fill>
    <fill>
      <patternFill patternType="solid">
        <fgColor indexed="44"/>
        <bgColor indexed="64"/>
      </patternFill>
    </fill>
    <fill>
      <patternFill patternType="mediumGray">
        <fgColor indexed="22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</patternFill>
    </fill>
    <fill>
      <patternFill patternType="lightGray">
        <fgColor indexed="13"/>
      </patternFill>
    </fill>
    <fill>
      <patternFill patternType="solid">
        <fgColor indexed="22"/>
        <bgColor indexed="19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CE18"/>
        <bgColor indexed="64"/>
      </patternFill>
    </fill>
    <fill>
      <patternFill patternType="lightGray">
        <fgColor theme="0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47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"/>
      </left>
      <right style="thin">
        <color theme="3" tint="-0.249946592608417"/>
      </right>
      <top style="thin">
        <color theme="3" tint="-0.249946592608417"/>
      </top>
      <bottom style="thin">
        <color theme="3" tint="-0.249946592608417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3" tint="-0.249946592608417"/>
      </right>
      <top style="thin">
        <color theme="3" tint="-0.249946592608417"/>
      </top>
      <bottom style="thin">
        <color theme="3" tint="-0.249946592608417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808080"/>
      </left>
      <right style="thin">
        <color theme="3" tint="-0.249946592608417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-0.249946592608417"/>
      </bottom>
      <diagonal/>
    </border>
    <border>
      <left style="thin">
        <color rgb="FF808080"/>
      </left>
      <right style="thin">
        <color theme="3" tint="-0.249946592608417"/>
      </right>
      <top style="thin">
        <color rgb="FF808080"/>
      </top>
      <bottom style="thin">
        <color theme="3" tint="-0.249946592608417"/>
      </bottom>
      <diagonal/>
    </border>
    <border>
      <left style="thin">
        <color theme="3" tint="0.5999633777886288"/>
      </left>
      <right style="thin">
        <color theme="3" tint="-0.249946592608417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 style="thin">
        <color theme="3" tint="-0.249946592608417"/>
      </right>
      <top style="thin">
        <color theme="3" tint="0.5999633777886288"/>
      </top>
      <bottom style="thin">
        <color theme="3" tint="-0.249946592608417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0"/>
      </left>
      <right/>
      <top/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3" tint="0.5999633777886288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ck">
        <color theme="1" tint="0.3499862666707358"/>
      </top>
      <bottom/>
      <diagonal/>
    </border>
    <border>
      <left/>
      <right/>
      <top/>
      <bottom style="thick">
        <color theme="1" tint="0.3499862666707358"/>
      </bottom>
      <diagonal/>
    </border>
    <border>
      <left/>
      <right/>
      <top style="thick">
        <color theme="2" tint="-0.499984740745262"/>
      </top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theme="0" tint="-0.1499679555650502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theme="0" tint="-0.1499679555650502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"/>
      </right>
      <top style="thin">
        <color indexed="64"/>
      </top>
      <bottom style="thin">
        <color indexed="22"/>
      </bottom>
      <diagonal/>
    </border>
    <border>
      <left/>
      <right style="thin">
        <color theme="0" tint="-0.1499679555650502"/>
      </right>
      <top style="thin">
        <color indexed="22"/>
      </top>
      <bottom style="thin">
        <color indexed="22"/>
      </bottom>
      <diagonal/>
    </border>
    <border>
      <left/>
      <right style="thin">
        <color theme="0" tint="-0.1499679555650502"/>
      </right>
      <top style="thin">
        <color indexed="2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1499679555650502"/>
      </right>
      <top style="thin">
        <color auto="1"/>
      </top>
      <bottom style="thin">
        <color indexed="22"/>
      </bottom>
      <diagonal/>
    </border>
    <border>
      <left/>
      <right style="thin">
        <color theme="0" tint="-0.1499679555650502"/>
      </right>
      <top style="thin">
        <color auto="1"/>
      </top>
      <bottom style="thin">
        <color indexed="64"/>
      </bottom>
      <diagonal/>
    </border>
    <border>
      <left/>
      <right style="thin">
        <color theme="0" tint="-0.1499679555650502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/>
      <bottom style="thin">
        <color indexed="22"/>
      </bottom>
      <diagonal/>
    </border>
    <border>
      <left/>
      <right style="thin">
        <color theme="0" tint="-0.1499679555650502"/>
      </right>
      <top style="thin">
        <color indexed="22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56">
    <xf numFmtId="0" fontId="12" fillId="0" borderId="0"/>
    <xf numFmtId="0" fontId="4" fillId="0" borderId="0"/>
    <xf numFmtId="0" fontId="4" fillId="0" borderId="0"/>
    <xf numFmtId="0" fontId="10" fillId="5" borderId="7" applyAlignment="1">
      <alignment horizontal="left" vertical="center" indent="1"/>
    </xf>
    <xf numFmtId="175" fontId="11" fillId="6" borderId="7" applyAlignment="1">
      <alignment horizontal="left" vertical="center" indent="1"/>
    </xf>
    <xf numFmtId="0" fontId="10" fillId="5" borderId="8" applyAlignment="1">
      <alignment horizontal="left" vertical="center" indent="1"/>
    </xf>
    <xf numFmtId="175" fontId="11" fillId="0" borderId="10" applyAlignment="1">
      <alignment horizontal="right" vertical="center"/>
    </xf>
    <xf numFmtId="175" fontId="10" fillId="0" borderId="8" applyAlignment="1">
      <alignment horizontal="right" vertical="center"/>
    </xf>
    <xf numFmtId="0" fontId="14" fillId="0" borderId="0"/>
    <xf numFmtId="43" fontId="14" fillId="0" borderId="0"/>
    <xf numFmtId="0" fontId="14" fillId="0" borderId="0"/>
    <xf numFmtId="176" fontId="4" fillId="0" borderId="0"/>
    <xf numFmtId="0" fontId="12" fillId="0" borderId="0"/>
    <xf numFmtId="175" fontId="11" fillId="6" borderId="7" applyAlignment="1">
      <alignment horizontal="left" vertical="center" indent="1"/>
    </xf>
    <xf numFmtId="0" fontId="15" fillId="9" borderId="8" applyAlignment="1" applyProtection="1">
      <alignment horizontal="left" vertical="center" indent="1"/>
      <protection locked="0" hidden="0"/>
    </xf>
    <xf numFmtId="0" fontId="15" fillId="10" borderId="8" applyAlignment="1">
      <alignment horizontal="left" vertical="center" indent="1"/>
    </xf>
    <xf numFmtId="175" fontId="11" fillId="11" borderId="10" applyAlignment="1" applyProtection="1">
      <alignment horizontal="right" vertical="center"/>
      <protection locked="0" hidden="0"/>
    </xf>
    <xf numFmtId="0" fontId="15" fillId="9" borderId="8" applyAlignment="1" applyProtection="1">
      <alignment horizontal="left" vertical="center" indent="1"/>
      <protection locked="0" hidden="0"/>
    </xf>
    <xf numFmtId="175" fontId="10" fillId="10" borderId="8" applyAlignment="1">
      <alignment horizontal="right" vertical="center"/>
    </xf>
    <xf numFmtId="175" fontId="10" fillId="11" borderId="8" applyAlignment="1" applyProtection="1">
      <alignment horizontal="right" vertical="center"/>
      <protection locked="0" hidden="0"/>
    </xf>
    <xf numFmtId="175" fontId="16" fillId="12" borderId="16" applyAlignment="1">
      <alignment horizontal="right" vertical="center" indent="1"/>
    </xf>
    <xf numFmtId="175" fontId="17" fillId="13" borderId="16" applyAlignment="1">
      <alignment horizontal="right" vertical="center" indent="1"/>
    </xf>
    <xf numFmtId="175" fontId="17" fillId="14" borderId="16" applyAlignment="1">
      <alignment horizontal="right" vertical="center" indent="1"/>
    </xf>
    <xf numFmtId="175" fontId="18" fillId="15" borderId="16" applyAlignment="1">
      <alignment horizontal="right" vertical="center" indent="1"/>
    </xf>
    <xf numFmtId="175" fontId="18" fillId="16" borderId="16" applyAlignment="1">
      <alignment horizontal="right" vertical="center" indent="1"/>
    </xf>
    <xf numFmtId="175" fontId="18" fillId="17" borderId="16" applyAlignment="1">
      <alignment horizontal="right" vertical="center" indent="1"/>
    </xf>
    <xf numFmtId="175" fontId="19" fillId="18" borderId="16" applyAlignment="1">
      <alignment horizontal="right" vertical="center" indent="1"/>
    </xf>
    <xf numFmtId="175" fontId="19" fillId="19" borderId="16" applyAlignment="1">
      <alignment horizontal="right" vertical="center" indent="1"/>
    </xf>
    <xf numFmtId="175" fontId="19" fillId="20" borderId="16" applyAlignment="1">
      <alignment horizontal="right" vertical="center" indent="1"/>
    </xf>
    <xf numFmtId="0" fontId="20" fillId="0" borderId="7"/>
    <xf numFmtId="175" fontId="21" fillId="6" borderId="0" applyAlignment="1">
      <alignment horizontal="left" vertical="center" indent="1"/>
    </xf>
    <xf numFmtId="0" fontId="20" fillId="0" borderId="17"/>
    <xf numFmtId="175" fontId="11" fillId="0" borderId="10" applyAlignment="1">
      <alignment horizontal="right" vertical="center"/>
    </xf>
    <xf numFmtId="0" fontId="15" fillId="21" borderId="7" applyAlignment="1">
      <alignment horizontal="left" vertical="center" indent="1"/>
    </xf>
    <xf numFmtId="0" fontId="15" fillId="22" borderId="7" applyAlignment="1">
      <alignment horizontal="left" vertical="center" indent="1"/>
    </xf>
    <xf numFmtId="0" fontId="15" fillId="23" borderId="7" applyAlignment="1">
      <alignment horizontal="left" vertical="center" indent="1"/>
    </xf>
    <xf numFmtId="0" fontId="15" fillId="11" borderId="7" applyAlignment="1">
      <alignment horizontal="left" vertical="center" indent="1"/>
    </xf>
    <xf numFmtId="0" fontId="15" fillId="10" borderId="8" applyAlignment="1">
      <alignment horizontal="left" vertical="center" indent="1"/>
    </xf>
    <xf numFmtId="0" fontId="22" fillId="0" borderId="18"/>
    <xf numFmtId="0" fontId="23" fillId="0" borderId="18"/>
    <xf numFmtId="0" fontId="22" fillId="9" borderId="8" applyAlignment="1" applyProtection="1">
      <alignment horizontal="left" vertical="center" indent="1"/>
      <protection locked="0" hidden="0"/>
    </xf>
    <xf numFmtId="0" fontId="22" fillId="9" borderId="8" applyAlignment="1" applyProtection="1">
      <alignment horizontal="left" vertical="center" indent="1"/>
      <protection locked="0" hidden="0"/>
    </xf>
    <xf numFmtId="0" fontId="22" fillId="10" borderId="8" applyAlignment="1">
      <alignment horizontal="left" vertical="center" indent="1"/>
    </xf>
    <xf numFmtId="175" fontId="24" fillId="10" borderId="8" applyAlignment="1">
      <alignment horizontal="right" vertical="center"/>
    </xf>
    <xf numFmtId="175" fontId="25" fillId="11" borderId="10" applyAlignment="1" applyProtection="1">
      <alignment horizontal="right" vertical="center"/>
      <protection locked="0" hidden="0"/>
    </xf>
    <xf numFmtId="175" fontId="24" fillId="11" borderId="8" applyAlignment="1" applyProtection="1">
      <alignment horizontal="right" vertical="center"/>
      <protection locked="0" hidden="0"/>
    </xf>
    <xf numFmtId="175" fontId="11" fillId="0" borderId="10" applyAlignment="1">
      <alignment horizontal="right" vertical="center"/>
    </xf>
    <xf numFmtId="9" fontId="12" fillId="0" borderId="0"/>
    <xf numFmtId="0" fontId="4" fillId="0" borderId="0"/>
    <xf numFmtId="43" fontId="12" fillId="0" borderId="0"/>
    <xf numFmtId="43" fontId="12" fillId="0" borderId="0"/>
    <xf numFmtId="9" fontId="4" fillId="0" borderId="0"/>
    <xf numFmtId="0" fontId="14" fillId="0" borderId="0"/>
    <xf numFmtId="43" fontId="14" fillId="0" borderId="0"/>
    <xf numFmtId="9" fontId="14" fillId="0" borderId="0"/>
    <xf numFmtId="0" fontId="26" fillId="0" borderId="0"/>
    <xf numFmtId="43" fontId="4" fillId="0" borderId="0"/>
    <xf numFmtId="177" fontId="4" fillId="0" borderId="0"/>
    <xf numFmtId="0" fontId="27" fillId="0" borderId="0"/>
    <xf numFmtId="0" fontId="14" fillId="0" borderId="0"/>
    <xf numFmtId="177" fontId="14" fillId="0" borderId="0"/>
    <xf numFmtId="0" fontId="14" fillId="0" borderId="0"/>
    <xf numFmtId="9" fontId="14" fillId="0" borderId="0"/>
    <xf numFmtId="178" fontId="29" fillId="0" borderId="0"/>
    <xf numFmtId="179" fontId="29" fillId="0" borderId="0"/>
    <xf numFmtId="9" fontId="29" fillId="0" borderId="0"/>
    <xf numFmtId="10" fontId="29" fillId="0" borderId="0"/>
    <xf numFmtId="39" fontId="30" fillId="0" borderId="0"/>
    <xf numFmtId="180" fontId="31" fillId="0" borderId="0"/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1" fontId="33" fillId="0" borderId="0"/>
    <xf numFmtId="3" fontId="34" fillId="0" borderId="0"/>
    <xf numFmtId="38" fontId="31" fillId="0" borderId="28"/>
    <xf numFmtId="173" fontId="34" fillId="0" borderId="0"/>
    <xf numFmtId="4" fontId="34" fillId="0" borderId="0"/>
    <xf numFmtId="181" fontId="35" fillId="0" borderId="0" applyProtection="1">
      <protection locked="0" hidden="0"/>
    </xf>
    <xf numFmtId="182" fontId="36" fillId="0" borderId="0"/>
    <xf numFmtId="0" fontId="37" fillId="0" borderId="0"/>
    <xf numFmtId="173" fontId="38" fillId="0" borderId="0"/>
    <xf numFmtId="0" fontId="14" fillId="0" borderId="0"/>
    <xf numFmtId="0" fontId="39" fillId="0" borderId="0"/>
    <xf numFmtId="183" fontId="14" fillId="0" borderId="29"/>
    <xf numFmtId="0" fontId="40" fillId="0" borderId="0"/>
    <xf numFmtId="0" fontId="41" fillId="0" borderId="0"/>
    <xf numFmtId="184" fontId="35" fillId="0" borderId="0" applyProtection="1">
      <protection locked="0" hidden="0"/>
    </xf>
    <xf numFmtId="185" fontId="35" fillId="0" borderId="0" applyAlignment="1" applyProtection="1">
      <alignment horizontal="right"/>
      <protection locked="0" hidden="0"/>
    </xf>
    <xf numFmtId="186" fontId="42" fillId="0" borderId="0" applyAlignment="1" applyProtection="1">
      <alignment horizontal="right"/>
      <protection locked="0" hidden="0"/>
    </xf>
    <xf numFmtId="0" fontId="35" fillId="0" borderId="0" applyAlignment="1" applyProtection="1">
      <alignment horizontal="right"/>
      <protection locked="0" hidden="0"/>
    </xf>
    <xf numFmtId="0" fontId="43" fillId="0" borderId="0"/>
    <xf numFmtId="0" fontId="44" fillId="0" borderId="0"/>
    <xf numFmtId="9" fontId="14" fillId="0" borderId="5"/>
    <xf numFmtId="0" fontId="45" fillId="0" borderId="19"/>
    <xf numFmtId="0" fontId="45" fillId="0" borderId="30"/>
    <xf numFmtId="0" fontId="29" fillId="0" borderId="21"/>
    <xf numFmtId="0" fontId="29" fillId="0" borderId="22"/>
    <xf numFmtId="0" fontId="29" fillId="0" borderId="23"/>
    <xf numFmtId="0" fontId="29" fillId="0" borderId="27"/>
    <xf numFmtId="187" fontId="46" fillId="0" borderId="27"/>
    <xf numFmtId="188" fontId="47" fillId="0" borderId="0"/>
    <xf numFmtId="0" fontId="48" fillId="0" borderId="0" applyAlignment="1">
      <alignment horizontal="right"/>
    </xf>
    <xf numFmtId="0" fontId="49" fillId="0" borderId="0"/>
    <xf numFmtId="38" fontId="33" fillId="0" borderId="0"/>
    <xf numFmtId="189" fontId="31" fillId="0" borderId="0"/>
    <xf numFmtId="0" fontId="50" fillId="0" borderId="0"/>
    <xf numFmtId="0" fontId="14" fillId="0" borderId="0"/>
    <xf numFmtId="39" fontId="45" fillId="32" borderId="0"/>
    <xf numFmtId="0" fontId="52" fillId="0" borderId="1"/>
    <xf numFmtId="0" fontId="53" fillId="0" borderId="21" applyAlignment="1">
      <alignment horizontal="centerContinuous" vertical="center"/>
    </xf>
    <xf numFmtId="190" fontId="33" fillId="33" borderId="0"/>
    <xf numFmtId="43" fontId="54" fillId="0" borderId="0"/>
    <xf numFmtId="0" fontId="55" fillId="0" borderId="0"/>
    <xf numFmtId="0" fontId="56" fillId="0" borderId="0"/>
    <xf numFmtId="0" fontId="55" fillId="0" borderId="0"/>
    <xf numFmtId="0" fontId="57" fillId="0" borderId="21" applyAlignment="1">
      <alignment horizontal="center"/>
    </xf>
    <xf numFmtId="0" fontId="58" fillId="0" borderId="0" applyAlignment="1" applyProtection="1">
      <alignment vertical="top"/>
      <protection locked="0" hidden="0"/>
    </xf>
    <xf numFmtId="0" fontId="59" fillId="0" borderId="0" applyAlignment="1" applyProtection="1">
      <alignment vertical="top"/>
      <protection locked="0" hidden="0"/>
    </xf>
    <xf numFmtId="0" fontId="60" fillId="0" borderId="21" applyAlignment="1">
      <alignment horizontal="centerContinuous"/>
    </xf>
    <xf numFmtId="0" fontId="61" fillId="0" borderId="0" applyAlignment="1">
      <alignment horizontal="center"/>
    </xf>
    <xf numFmtId="0" fontId="53" fillId="0" borderId="0" applyAlignment="1">
      <alignment horizontal="center" vertical="center"/>
    </xf>
    <xf numFmtId="0" fontId="62" fillId="0" borderId="87" applyAlignment="1">
      <alignment horizontal="center"/>
    </xf>
    <xf numFmtId="191" fontId="63" fillId="0" borderId="0"/>
    <xf numFmtId="39" fontId="31" fillId="0" borderId="0"/>
    <xf numFmtId="192" fontId="64" fillId="0" borderId="0" applyAlignment="1">
      <alignment horizontal="right"/>
    </xf>
    <xf numFmtId="193" fontId="64" fillId="0" borderId="0"/>
    <xf numFmtId="0" fontId="64" fillId="0" borderId="0" applyAlignment="1">
      <alignment horizontal="right"/>
    </xf>
    <xf numFmtId="194" fontId="64" fillId="0" borderId="0" applyAlignment="1">
      <alignment horizontal="right"/>
    </xf>
    <xf numFmtId="37" fontId="45" fillId="0" borderId="0"/>
    <xf numFmtId="3" fontId="65" fillId="0" borderId="0"/>
    <xf numFmtId="0" fontId="66" fillId="0" borderId="0" applyAlignment="1">
      <alignment horizontal="left"/>
    </xf>
    <xf numFmtId="195" fontId="31" fillId="0" borderId="0"/>
    <xf numFmtId="179" fontId="14" fillId="0" borderId="31" applyProtection="1">
      <protection locked="0" hidden="0"/>
    </xf>
    <xf numFmtId="196" fontId="64" fillId="0" borderId="0" applyAlignment="1">
      <alignment horizontal="right"/>
    </xf>
    <xf numFmtId="178" fontId="45" fillId="0" borderId="0"/>
    <xf numFmtId="197" fontId="67" fillId="0" borderId="0" applyAlignment="1">
      <alignment horizontal="right"/>
    </xf>
    <xf numFmtId="198" fontId="67" fillId="0" borderId="0" applyAlignment="1">
      <alignment horizontal="right"/>
    </xf>
    <xf numFmtId="199" fontId="63" fillId="0" borderId="0"/>
    <xf numFmtId="200" fontId="67" fillId="0" borderId="21" applyAlignment="1">
      <alignment horizontal="right"/>
    </xf>
    <xf numFmtId="0" fontId="68" fillId="0" borderId="0" applyAlignment="1">
      <alignment horizontal="right"/>
    </xf>
    <xf numFmtId="0" fontId="69" fillId="0" borderId="0" applyAlignment="1">
      <alignment horizontal="right"/>
    </xf>
    <xf numFmtId="14" fontId="70" fillId="0" borderId="0"/>
    <xf numFmtId="201" fontId="64" fillId="0" borderId="0"/>
    <xf numFmtId="15" fontId="31" fillId="0" borderId="0"/>
    <xf numFmtId="14" fontId="31" fillId="0" borderId="0" applyAlignment="1" applyProtection="1">
      <alignment horizontal="right"/>
      <protection locked="0" hidden="0"/>
    </xf>
    <xf numFmtId="184" fontId="31" fillId="0" borderId="0" applyAlignment="1">
      <alignment horizontal="right"/>
    </xf>
    <xf numFmtId="4" fontId="71" fillId="0" borderId="0"/>
    <xf numFmtId="199" fontId="45" fillId="0" borderId="0"/>
    <xf numFmtId="199" fontId="63" fillId="0" borderId="0" applyProtection="1">
      <protection locked="0" hidden="0"/>
    </xf>
    <xf numFmtId="186" fontId="45" fillId="0" borderId="0"/>
    <xf numFmtId="202" fontId="72" fillId="0" borderId="0"/>
    <xf numFmtId="203" fontId="64" fillId="0" borderId="32"/>
    <xf numFmtId="42" fontId="73" fillId="0" borderId="0"/>
    <xf numFmtId="0" fontId="74" fillId="0" borderId="0" applyAlignment="1">
      <alignment horizontal="left"/>
    </xf>
    <xf numFmtId="204" fontId="14" fillId="0" borderId="0"/>
    <xf numFmtId="0" fontId="51" fillId="0" borderId="0"/>
    <xf numFmtId="205" fontId="14" fillId="34" borderId="24" applyAlignment="1">
      <alignment horizontal="center"/>
    </xf>
    <xf numFmtId="3" fontId="75" fillId="0" borderId="0" applyAlignment="1">
      <alignment horizontal="left"/>
    </xf>
    <xf numFmtId="206" fontId="76" fillId="0" borderId="0"/>
    <xf numFmtId="2" fontId="65" fillId="0" borderId="0"/>
    <xf numFmtId="0" fontId="77" fillId="0" borderId="0"/>
    <xf numFmtId="0" fontId="78" fillId="0" borderId="0" applyAlignment="1">
      <alignment horizontal="left"/>
    </xf>
    <xf numFmtId="0" fontId="79" fillId="0" borderId="0"/>
    <xf numFmtId="0" fontId="80" fillId="0" borderId="0"/>
    <xf numFmtId="9" fontId="81" fillId="0" borderId="0"/>
    <xf numFmtId="38" fontId="55" fillId="27" borderId="0"/>
    <xf numFmtId="207" fontId="64" fillId="0" borderId="0" applyAlignment="1">
      <alignment horizontal="right"/>
    </xf>
    <xf numFmtId="0" fontId="82" fillId="0" borderId="0" applyAlignment="1">
      <alignment horizontal="right"/>
    </xf>
    <xf numFmtId="0" fontId="28" fillId="0" borderId="20" applyAlignment="1">
      <alignment horizontal="left" vertical="center"/>
    </xf>
    <xf numFmtId="0" fontId="28" fillId="0" borderId="5" applyAlignment="1">
      <alignment horizontal="left" vertical="center"/>
    </xf>
    <xf numFmtId="0" fontId="83" fillId="35" borderId="21"/>
    <xf numFmtId="0" fontId="60" fillId="0" borderId="0"/>
    <xf numFmtId="0" fontId="84" fillId="0" borderId="0" applyAlignment="1">
      <alignment horizontal="left"/>
    </xf>
    <xf numFmtId="183" fontId="85" fillId="0" borderId="0" applyAlignment="1">
      <alignment horizontal="right"/>
    </xf>
    <xf numFmtId="183" fontId="85" fillId="0" borderId="0" applyAlignment="1">
      <alignment horizontal="left"/>
    </xf>
    <xf numFmtId="37" fontId="85" fillId="0" borderId="0" applyAlignment="1">
      <alignment horizontal="left"/>
    </xf>
    <xf numFmtId="37" fontId="86" fillId="0" borderId="0" applyAlignment="1">
      <alignment horizontal="left"/>
    </xf>
    <xf numFmtId="37" fontId="53" fillId="0" borderId="0" applyAlignment="1">
      <alignment horizontal="left"/>
    </xf>
    <xf numFmtId="0" fontId="87" fillId="0" borderId="33" applyAlignment="1">
      <alignment horizontal="left"/>
    </xf>
    <xf numFmtId="180" fontId="31" fillId="0" borderId="0"/>
    <xf numFmtId="180" fontId="88" fillId="0" borderId="0" applyProtection="1">
      <protection locked="0" hidden="0"/>
    </xf>
    <xf numFmtId="10" fontId="55" fillId="28" borderId="1"/>
    <xf numFmtId="2" fontId="89" fillId="0" borderId="24" applyAlignment="1">
      <alignment horizontal="center"/>
    </xf>
    <xf numFmtId="40" fontId="31" fillId="0" borderId="0"/>
    <xf numFmtId="0" fontId="55" fillId="0" borderId="0"/>
    <xf numFmtId="0" fontId="62" fillId="0" borderId="0"/>
    <xf numFmtId="208" fontId="34" fillId="0" borderId="0"/>
    <xf numFmtId="209" fontId="34" fillId="0" borderId="0"/>
    <xf numFmtId="210" fontId="31" fillId="0" borderId="0"/>
    <xf numFmtId="1" fontId="90" fillId="1" borderId="25" applyProtection="1">
      <protection locked="0" hidden="0"/>
    </xf>
    <xf numFmtId="211" fontId="45" fillId="0" borderId="0" applyAlignment="1">
      <alignment horizontal="left"/>
    </xf>
    <xf numFmtId="166" fontId="14" fillId="0" borderId="34"/>
    <xf numFmtId="0" fontId="91" fillId="0" borderId="0"/>
    <xf numFmtId="37" fontId="92" fillId="0" borderId="0" applyAlignment="1">
      <alignment horizontal="right"/>
    </xf>
    <xf numFmtId="0" fontId="93" fillId="0" borderId="0"/>
    <xf numFmtId="0" fontId="14" fillId="0" borderId="0"/>
    <xf numFmtId="49" fontId="14" fillId="0" borderId="0"/>
    <xf numFmtId="212" fontId="14" fillId="0" borderId="0"/>
    <xf numFmtId="14" fontId="29" fillId="0" borderId="0"/>
    <xf numFmtId="213" fontId="93" fillId="0" borderId="0"/>
    <xf numFmtId="214" fontId="93" fillId="0" borderId="0"/>
    <xf numFmtId="215" fontId="14" fillId="0" borderId="0"/>
    <xf numFmtId="216" fontId="14" fillId="0" borderId="0"/>
    <xf numFmtId="217" fontId="31" fillId="0" borderId="21"/>
    <xf numFmtId="218" fontId="31" fillId="0" borderId="21"/>
    <xf numFmtId="219" fontId="64" fillId="0" borderId="0" applyAlignment="1">
      <alignment horizontal="right"/>
    </xf>
    <xf numFmtId="220" fontId="45" fillId="0" borderId="0"/>
    <xf numFmtId="221" fontId="45" fillId="0" borderId="0"/>
    <xf numFmtId="222" fontId="94" fillId="0" borderId="0"/>
    <xf numFmtId="223" fontId="69" fillId="0" borderId="0"/>
    <xf numFmtId="224" fontId="31" fillId="0" borderId="0"/>
    <xf numFmtId="37" fontId="95" fillId="0" borderId="0"/>
    <xf numFmtId="225" fontId="31" fillId="0" borderId="0"/>
    <xf numFmtId="183" fontId="57" fillId="0" borderId="0"/>
    <xf numFmtId="183" fontId="96" fillId="0" borderId="0"/>
    <xf numFmtId="0" fontId="39" fillId="0" borderId="0"/>
    <xf numFmtId="0" fontId="94" fillId="0" borderId="0"/>
    <xf numFmtId="0" fontId="34" fillId="0" borderId="0"/>
    <xf numFmtId="37" fontId="97" fillId="0" borderId="0"/>
    <xf numFmtId="183" fontId="98" fillId="0" borderId="0"/>
    <xf numFmtId="183" fontId="57" fillId="0" borderId="0"/>
    <xf numFmtId="1" fontId="63" fillId="0" borderId="0" applyAlignment="1" applyProtection="1">
      <alignment horizontal="right"/>
      <protection locked="0" hidden="0"/>
    </xf>
    <xf numFmtId="222" fontId="99" fillId="0" borderId="0" applyAlignment="1" applyProtection="1">
      <alignment horizontal="right"/>
      <protection locked="0" hidden="0"/>
    </xf>
    <xf numFmtId="226" fontId="63" fillId="0" borderId="0" applyProtection="1">
      <protection locked="0" hidden="0"/>
    </xf>
    <xf numFmtId="2" fontId="99" fillId="0" borderId="0" applyAlignment="1" applyProtection="1">
      <alignment horizontal="right"/>
      <protection locked="0" hidden="0"/>
    </xf>
    <xf numFmtId="2" fontId="63" fillId="0" borderId="0" applyAlignment="1" applyProtection="1">
      <alignment horizontal="right"/>
      <protection locked="0" hidden="0"/>
    </xf>
    <xf numFmtId="227" fontId="67" fillId="0" borderId="0" applyAlignment="1">
      <alignment horizontal="right"/>
    </xf>
    <xf numFmtId="211" fontId="67" fillId="0" borderId="0" applyAlignment="1">
      <alignment horizontal="right"/>
    </xf>
    <xf numFmtId="174" fontId="67" fillId="0" borderId="0" applyAlignment="1">
      <alignment horizontal="right"/>
    </xf>
    <xf numFmtId="228" fontId="43" fillId="0" borderId="0"/>
    <xf numFmtId="0" fontId="62" fillId="0" borderId="0"/>
    <xf numFmtId="229" fontId="43" fillId="0" borderId="0"/>
    <xf numFmtId="0" fontId="62" fillId="0" borderId="0"/>
    <xf numFmtId="0" fontId="98" fillId="0" borderId="0"/>
    <xf numFmtId="183" fontId="100" fillId="0" borderId="0"/>
    <xf numFmtId="230" fontId="32" fillId="36" borderId="0" applyAlignment="1">
      <alignment horizontal="right"/>
    </xf>
    <xf numFmtId="0" fontId="101" fillId="26" borderId="23"/>
    <xf numFmtId="0" fontId="51" fillId="37" borderId="0"/>
    <xf numFmtId="231" fontId="102" fillId="0" borderId="0"/>
    <xf numFmtId="231" fontId="45" fillId="0" borderId="0"/>
    <xf numFmtId="0" fontId="31" fillId="0" borderId="0"/>
    <xf numFmtId="231" fontId="45" fillId="0" borderId="0"/>
    <xf numFmtId="231" fontId="45" fillId="0" borderId="0"/>
    <xf numFmtId="0" fontId="31" fillId="0" borderId="0"/>
    <xf numFmtId="0" fontId="31" fillId="0" borderId="0"/>
    <xf numFmtId="231" fontId="102" fillId="0" borderId="0"/>
    <xf numFmtId="231" fontId="102" fillId="0" borderId="0"/>
    <xf numFmtId="0" fontId="31" fillId="0" borderId="0"/>
    <xf numFmtId="0" fontId="103" fillId="0" borderId="0" applyAlignment="1">
      <alignment horizontal="left"/>
    </xf>
    <xf numFmtId="1" fontId="104" fillId="0" borderId="0" applyAlignment="1">
      <alignment horizontal="right" vertical="center"/>
    </xf>
    <xf numFmtId="0" fontId="60" fillId="0" borderId="35"/>
    <xf numFmtId="0" fontId="31" fillId="29" borderId="0"/>
    <xf numFmtId="0" fontId="55" fillId="30" borderId="24" applyAlignment="1">
      <alignment horizontal="center"/>
    </xf>
    <xf numFmtId="0" fontId="55" fillId="38" borderId="24" applyAlignment="1">
      <alignment horizontal="center"/>
    </xf>
    <xf numFmtId="0" fontId="31" fillId="0" borderId="36"/>
    <xf numFmtId="0" fontId="31" fillId="0" borderId="37"/>
    <xf numFmtId="0" fontId="60" fillId="0" borderId="38"/>
    <xf numFmtId="166" fontId="45" fillId="0" borderId="0" applyAlignment="1">
      <alignment horizontal="right"/>
    </xf>
    <xf numFmtId="9" fontId="31" fillId="0" borderId="0"/>
    <xf numFmtId="10" fontId="31" fillId="0" borderId="0"/>
    <xf numFmtId="9" fontId="51" fillId="0" borderId="0"/>
    <xf numFmtId="166" fontId="105" fillId="0" borderId="0"/>
    <xf numFmtId="10" fontId="14" fillId="0" borderId="0"/>
    <xf numFmtId="0" fontId="45" fillId="0" borderId="0"/>
    <xf numFmtId="9" fontId="31" fillId="0" borderId="0"/>
    <xf numFmtId="166" fontId="67" fillId="0" borderId="0"/>
    <xf numFmtId="166" fontId="63" fillId="0" borderId="0"/>
    <xf numFmtId="232" fontId="67" fillId="0" borderId="0"/>
    <xf numFmtId="10" fontId="63" fillId="0" borderId="0" applyProtection="1">
      <protection locked="0" hidden="0"/>
    </xf>
    <xf numFmtId="9" fontId="14" fillId="0" borderId="0"/>
    <xf numFmtId="233" fontId="31" fillId="0" borderId="0"/>
    <xf numFmtId="234" fontId="14" fillId="0" borderId="0" applyAlignment="1">
      <alignment horizontal="right"/>
    </xf>
    <xf numFmtId="234" fontId="14" fillId="0" borderId="0" applyAlignment="1" applyProtection="1">
      <alignment horizontal="right"/>
      <protection locked="0" hidden="0"/>
    </xf>
    <xf numFmtId="37" fontId="39" fillId="36" borderId="0"/>
    <xf numFmtId="177" fontId="31" fillId="0" borderId="0" applyAlignment="1">
      <alignment horizontal="center"/>
    </xf>
    <xf numFmtId="0" fontId="33" fillId="0" borderId="0" applyAlignment="1">
      <alignment horizontal="left"/>
    </xf>
    <xf numFmtId="15" fontId="33" fillId="0" borderId="0"/>
    <xf numFmtId="4" fontId="33" fillId="0" borderId="0"/>
    <xf numFmtId="0" fontId="46" fillId="0" borderId="19" applyAlignment="1">
      <alignment horizontal="center"/>
    </xf>
    <xf numFmtId="3" fontId="33" fillId="0" borderId="0"/>
    <xf numFmtId="0" fontId="33" fillId="39" borderId="0"/>
    <xf numFmtId="0" fontId="31" fillId="0" borderId="0" applyAlignment="1">
      <alignment vertical="top"/>
    </xf>
    <xf numFmtId="0" fontId="31" fillId="0" borderId="0" applyAlignment="1">
      <alignment vertical="top"/>
    </xf>
    <xf numFmtId="226" fontId="31" fillId="0" borderId="0" applyAlignment="1">
      <alignment vertical="top"/>
    </xf>
    <xf numFmtId="226" fontId="31" fillId="0" borderId="0" applyAlignment="1">
      <alignment vertical="top"/>
    </xf>
    <xf numFmtId="0" fontId="69" fillId="0" borderId="0" applyAlignment="1">
      <alignment vertical="top"/>
    </xf>
    <xf numFmtId="226" fontId="31" fillId="0" borderId="0" applyAlignment="1">
      <alignment vertical="top"/>
    </xf>
    <xf numFmtId="0" fontId="69" fillId="0" borderId="0" applyAlignment="1">
      <alignment vertical="top"/>
    </xf>
    <xf numFmtId="226" fontId="31" fillId="0" borderId="0" applyAlignment="1">
      <alignment vertical="top"/>
    </xf>
    <xf numFmtId="0" fontId="106" fillId="0" borderId="0"/>
    <xf numFmtId="0" fontId="107" fillId="0" borderId="0"/>
    <xf numFmtId="0" fontId="108" fillId="36" borderId="0"/>
    <xf numFmtId="0" fontId="108" fillId="26" borderId="0"/>
    <xf numFmtId="235" fontId="109" fillId="0" borderId="0" applyAlignment="1">
      <alignment horizontal="left"/>
    </xf>
    <xf numFmtId="0" fontId="31" fillId="0" borderId="0"/>
    <xf numFmtId="0" fontId="31" fillId="0" borderId="0"/>
    <xf numFmtId="0" fontId="31" fillId="0" borderId="0"/>
    <xf numFmtId="0" fontId="110" fillId="0" borderId="39" applyAlignment="1">
      <alignment vertical="center"/>
    </xf>
    <xf numFmtId="0" fontId="111" fillId="0" borderId="19" applyAlignment="1">
      <alignment horizontal="right"/>
    </xf>
    <xf numFmtId="0" fontId="70" fillId="0" borderId="40"/>
    <xf numFmtId="236" fontId="14" fillId="0" borderId="0"/>
    <xf numFmtId="237" fontId="14" fillId="0" borderId="0"/>
    <xf numFmtId="238" fontId="33" fillId="33" borderId="0" applyAlignment="1">
      <alignment horizontal="right"/>
    </xf>
    <xf numFmtId="0" fontId="60" fillId="0" borderId="0" applyAlignment="1">
      <alignment horizontal="center"/>
    </xf>
    <xf numFmtId="0" fontId="112" fillId="0" borderId="0" applyAlignment="1">
      <alignment horizontal="center"/>
    </xf>
    <xf numFmtId="42" fontId="47" fillId="0" borderId="0"/>
    <xf numFmtId="183" fontId="113" fillId="0" borderId="0"/>
    <xf numFmtId="186" fontId="114" fillId="0" borderId="26"/>
    <xf numFmtId="0" fontId="115" fillId="0" borderId="0"/>
    <xf numFmtId="40" fontId="116" fillId="0" borderId="0" applyAlignment="1">
      <alignment horizontal="right"/>
    </xf>
    <xf numFmtId="0" fontId="14" fillId="0" borderId="0"/>
    <xf numFmtId="0" fontId="69" fillId="0" borderId="0"/>
    <xf numFmtId="0" fontId="117" fillId="0" borderId="0" applyAlignment="1">
      <alignment vertical="center"/>
    </xf>
    <xf numFmtId="203" fontId="117" fillId="0" borderId="21" applyAlignment="1">
      <alignment horizontal="right" vertical="center"/>
    </xf>
    <xf numFmtId="0" fontId="118" fillId="40" borderId="0" applyAlignment="1">
      <alignment horizontal="centerContinuous" vertical="center"/>
    </xf>
    <xf numFmtId="0" fontId="118" fillId="41" borderId="21" applyAlignment="1">
      <alignment horizontal="centerContinuous" vertical="center"/>
    </xf>
    <xf numFmtId="0" fontId="91" fillId="0" borderId="0"/>
    <xf numFmtId="0" fontId="94" fillId="0" borderId="0"/>
    <xf numFmtId="0" fontId="119" fillId="0" borderId="0" applyAlignment="1">
      <alignment horizontal="left"/>
    </xf>
    <xf numFmtId="0" fontId="78" fillId="0" borderId="22" applyAlignment="1">
      <alignment horizontal="left" vertical="top"/>
    </xf>
    <xf numFmtId="0" fontId="60" fillId="0" borderId="0" applyAlignment="1">
      <alignment horizontal="centerContinuous"/>
    </xf>
    <xf numFmtId="0" fontId="120" fillId="0" borderId="0"/>
    <xf numFmtId="0" fontId="121" fillId="0" borderId="0"/>
    <xf numFmtId="183" fontId="63" fillId="0" borderId="0" applyAlignment="1" applyProtection="1">
      <alignment horizontal="left"/>
      <protection locked="0" hidden="0"/>
    </xf>
    <xf numFmtId="0" fontId="122" fillId="0" borderId="0"/>
    <xf numFmtId="0" fontId="29" fillId="0" borderId="0" applyAlignment="1">
      <alignment horizontal="left" vertical="top" wrapText="1"/>
    </xf>
    <xf numFmtId="0" fontId="123" fillId="0" borderId="0"/>
    <xf numFmtId="0" fontId="31" fillId="0" borderId="0"/>
    <xf numFmtId="0" fontId="51" fillId="0" borderId="0"/>
    <xf numFmtId="0" fontId="124" fillId="0" borderId="0"/>
    <xf numFmtId="0" fontId="53" fillId="0" borderId="0"/>
    <xf numFmtId="0" fontId="28" fillId="0" borderId="0"/>
    <xf numFmtId="0" fontId="125" fillId="0" borderId="0"/>
    <xf numFmtId="0" fontId="105" fillId="0" borderId="0" applyAlignment="1">
      <alignment horizontal="centerContinuous"/>
    </xf>
    <xf numFmtId="211" fontId="60" fillId="0" borderId="0" applyAlignment="1">
      <alignment horizontal="centerContinuous"/>
    </xf>
    <xf numFmtId="211" fontId="31" fillId="0" borderId="41" applyAlignment="1">
      <alignment horizontal="centerContinuous"/>
    </xf>
    <xf numFmtId="211" fontId="126" fillId="0" borderId="0" applyAlignment="1" applyProtection="1">
      <alignment horizontal="centerContinuous"/>
      <protection locked="0" hidden="0"/>
    </xf>
    <xf numFmtId="211" fontId="126" fillId="0" borderId="0" applyAlignment="1">
      <alignment horizontal="left"/>
    </xf>
    <xf numFmtId="183" fontId="127" fillId="0" borderId="0" applyAlignment="1">
      <alignment horizontal="center"/>
    </xf>
    <xf numFmtId="183" fontId="127" fillId="0" borderId="0" applyAlignment="1">
      <alignment horizontal="left"/>
    </xf>
    <xf numFmtId="0" fontId="128" fillId="0" borderId="0"/>
    <xf numFmtId="0" fontId="129" fillId="0" borderId="0"/>
    <xf numFmtId="199" fontId="130" fillId="0" borderId="0"/>
    <xf numFmtId="0" fontId="131" fillId="0" borderId="0"/>
    <xf numFmtId="239" fontId="45" fillId="0" borderId="0" applyAlignment="1">
      <alignment horizontal="right"/>
    </xf>
    <xf numFmtId="0" fontId="14" fillId="0" borderId="0" applyAlignment="1">
      <alignment horizontal="fill"/>
    </xf>
    <xf numFmtId="0" fontId="14" fillId="0" borderId="0"/>
    <xf numFmtId="240" fontId="14" fillId="0" borderId="0"/>
    <xf numFmtId="241" fontId="31" fillId="0" borderId="0"/>
    <xf numFmtId="242" fontId="31" fillId="0" borderId="0"/>
    <xf numFmtId="243" fontId="14" fillId="0" borderId="0"/>
    <xf numFmtId="244" fontId="14" fillId="27" borderId="0" applyAlignment="1">
      <alignment horizontal="center"/>
    </xf>
    <xf numFmtId="245" fontId="51" fillId="0" borderId="42" applyAlignment="1">
      <alignment horizontal="centerContinuous" vertical="center"/>
    </xf>
    <xf numFmtId="246" fontId="51" fillId="31" borderId="42" applyAlignment="1">
      <alignment horizontal="centerContinuous" vertical="center"/>
    </xf>
    <xf numFmtId="245" fontId="132" fillId="0" borderId="42" applyAlignment="1">
      <alignment horizontal="centerContinuous" vertical="center"/>
    </xf>
    <xf numFmtId="247" fontId="51" fillId="0" borderId="42" applyAlignment="1">
      <alignment horizontal="centerContinuous" vertical="center"/>
    </xf>
    <xf numFmtId="0" fontId="31" fillId="0" borderId="0" applyAlignment="1">
      <alignment horizontal="right"/>
    </xf>
    <xf numFmtId="226" fontId="133" fillId="42" borderId="0" applyAlignment="1">
      <alignment horizontal="right"/>
    </xf>
    <xf numFmtId="248" fontId="134" fillId="0" borderId="21" applyAlignment="1">
      <alignment horizontal="right"/>
    </xf>
    <xf numFmtId="0" fontId="98" fillId="43" borderId="43" applyAlignment="1">
      <alignment horizontal="right"/>
    </xf>
    <xf numFmtId="249" fontId="47" fillId="0" borderId="0"/>
    <xf numFmtId="250" fontId="135" fillId="28" borderId="0" applyAlignment="1">
      <alignment horizontal="center"/>
    </xf>
    <xf numFmtId="43" fontId="14" fillId="0" borderId="0"/>
    <xf numFmtId="41" fontId="14" fillId="0" borderId="0"/>
    <xf numFmtId="0" fontId="136" fillId="0" borderId="0"/>
    <xf numFmtId="177" fontId="14" fillId="0" borderId="0"/>
    <xf numFmtId="42" fontId="14" fillId="0" borderId="0"/>
    <xf numFmtId="3" fontId="137" fillId="44" borderId="0" applyAlignment="1">
      <alignment horizontal="left"/>
    </xf>
    <xf numFmtId="3" fontId="101" fillId="27" borderId="0"/>
    <xf numFmtId="0" fontId="138" fillId="40" borderId="44" applyAlignment="1">
      <alignment horizontal="center"/>
    </xf>
    <xf numFmtId="0" fontId="32" fillId="27" borderId="0"/>
    <xf numFmtId="0" fontId="139" fillId="27" borderId="0" applyAlignment="1">
      <alignment horizontal="center"/>
    </xf>
    <xf numFmtId="0" fontId="140" fillId="27" borderId="0" applyAlignment="1">
      <alignment horizontal="left"/>
    </xf>
    <xf numFmtId="3" fontId="141" fillId="38" borderId="44" applyAlignment="1">
      <alignment horizontal="center"/>
    </xf>
    <xf numFmtId="3" fontId="142" fillId="44" borderId="21" applyAlignment="1">
      <alignment horizontal="center"/>
    </xf>
    <xf numFmtId="0" fontId="14" fillId="0" borderId="0"/>
    <xf numFmtId="37" fontId="29" fillId="0" borderId="0"/>
    <xf numFmtId="0" fontId="143" fillId="0" borderId="0"/>
    <xf numFmtId="0" fontId="4" fillId="0" borderId="0"/>
    <xf numFmtId="0" fontId="144" fillId="0" borderId="0" applyAlignment="1">
      <alignment horizontal="left" indent="1"/>
    </xf>
    <xf numFmtId="0" fontId="14" fillId="0" borderId="0" applyAlignment="1">
      <alignment horizontal="left" indent="1"/>
    </xf>
    <xf numFmtId="9" fontId="14" fillId="0" borderId="0"/>
    <xf numFmtId="3" fontId="140" fillId="45" borderId="0" applyAlignment="1">
      <alignment horizontal="left"/>
    </xf>
    <xf numFmtId="3" fontId="137" fillId="45" borderId="0" applyAlignment="1">
      <alignment horizontal="left"/>
    </xf>
    <xf numFmtId="3" fontId="145" fillId="45" borderId="0" applyAlignment="1">
      <alignment horizontal="center"/>
    </xf>
    <xf numFmtId="0" fontId="146" fillId="0" borderId="21" applyAlignment="1">
      <alignment horizontal="center"/>
    </xf>
    <xf numFmtId="3" fontId="142" fillId="27" borderId="21" applyAlignment="1">
      <alignment horizontal="center" vertical="center"/>
    </xf>
    <xf numFmtId="3" fontId="147" fillId="45" borderId="0" applyAlignment="1">
      <alignment horizontal="left"/>
    </xf>
    <xf numFmtId="3" fontId="101" fillId="46" borderId="0" applyAlignment="1">
      <alignment horizontal="right"/>
    </xf>
    <xf numFmtId="251" fontId="148" fillId="0" borderId="0"/>
    <xf numFmtId="0" fontId="14" fillId="0" borderId="0"/>
    <xf numFmtId="9" fontId="14" fillId="0" borderId="0"/>
    <xf numFmtId="43" fontId="4" fillId="0" borderId="0"/>
    <xf numFmtId="252" fontId="4" fillId="0" borderId="0"/>
    <xf numFmtId="183" fontId="14" fillId="0" borderId="29"/>
    <xf numFmtId="9" fontId="14" fillId="0" borderId="5"/>
    <xf numFmtId="0" fontId="29" fillId="0" borderId="21"/>
    <xf numFmtId="0" fontId="29" fillId="0" borderId="27"/>
    <xf numFmtId="0" fontId="52" fillId="0" borderId="1"/>
    <xf numFmtId="0" fontId="53" fillId="0" borderId="21" applyAlignment="1">
      <alignment horizontal="centerContinuous" vertical="center"/>
    </xf>
    <xf numFmtId="0" fontId="57" fillId="0" borderId="21" applyAlignment="1">
      <alignment horizontal="center"/>
    </xf>
    <xf numFmtId="0" fontId="60" fillId="0" borderId="21" applyAlignment="1">
      <alignment horizontal="centerContinuous"/>
    </xf>
    <xf numFmtId="179" fontId="14" fillId="0" borderId="31" applyProtection="1">
      <protection locked="0" hidden="0"/>
    </xf>
    <xf numFmtId="200" fontId="67" fillId="0" borderId="21" applyAlignment="1">
      <alignment horizontal="right"/>
    </xf>
    <xf numFmtId="204" fontId="14" fillId="0" borderId="0"/>
    <xf numFmtId="205" fontId="14" fillId="34" borderId="24" applyAlignment="1">
      <alignment horizontal="center"/>
    </xf>
    <xf numFmtId="0" fontId="28" fillId="0" borderId="5" applyAlignment="1">
      <alignment horizontal="left" vertical="center"/>
    </xf>
    <xf numFmtId="0" fontId="83" fillId="35" borderId="21"/>
    <xf numFmtId="10" fontId="55" fillId="28" borderId="1"/>
    <xf numFmtId="166" fontId="14" fillId="0" borderId="34"/>
    <xf numFmtId="217" fontId="31" fillId="0" borderId="21"/>
    <xf numFmtId="218" fontId="31" fillId="0" borderId="21"/>
    <xf numFmtId="10" fontId="14" fillId="0" borderId="0"/>
    <xf numFmtId="9" fontId="14" fillId="0" borderId="0"/>
    <xf numFmtId="234" fontId="14" fillId="0" borderId="0" applyAlignment="1">
      <alignment horizontal="right"/>
    </xf>
    <xf numFmtId="234" fontId="14" fillId="0" borderId="0" applyAlignment="1" applyProtection="1">
      <alignment horizontal="right"/>
      <protection locked="0" hidden="0"/>
    </xf>
    <xf numFmtId="0" fontId="14" fillId="0" borderId="0"/>
    <xf numFmtId="203" fontId="117" fillId="0" borderId="21" applyAlignment="1">
      <alignment horizontal="right" vertical="center"/>
    </xf>
    <xf numFmtId="0" fontId="118" fillId="41" borderId="21" applyAlignment="1">
      <alignment horizontal="centerContinuous" vertical="center"/>
    </xf>
    <xf numFmtId="0" fontId="14" fillId="0" borderId="0"/>
    <xf numFmtId="243" fontId="14" fillId="0" borderId="0"/>
    <xf numFmtId="244" fontId="14" fillId="27" borderId="0" applyAlignment="1">
      <alignment horizontal="center"/>
    </xf>
    <xf numFmtId="248" fontId="134" fillId="0" borderId="21" applyAlignment="1">
      <alignment horizontal="right"/>
    </xf>
    <xf numFmtId="9" fontId="14" fillId="0" borderId="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27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9" fontId="14" fillId="0" borderId="5"/>
    <xf numFmtId="211" fontId="31" fillId="0" borderId="41" applyAlignment="1">
      <alignment horizontal="centerContinuous"/>
    </xf>
    <xf numFmtId="9" fontId="14" fillId="0" borderId="5"/>
    <xf numFmtId="186" fontId="114" fillId="0" borderId="26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26"/>
    <xf numFmtId="0" fontId="149" fillId="0" borderId="0"/>
    <xf numFmtId="9" fontId="149" fillId="0" borderId="0"/>
    <xf numFmtId="0" fontId="37" fillId="0" borderId="0"/>
    <xf numFmtId="183" fontId="149" fillId="0" borderId="29"/>
    <xf numFmtId="0" fontId="44" fillId="0" borderId="0"/>
    <xf numFmtId="9" fontId="149" fillId="0" borderId="5"/>
    <xf numFmtId="0" fontId="52" fillId="0" borderId="1"/>
    <xf numFmtId="179" fontId="149" fillId="0" borderId="31" applyProtection="1">
      <protection locked="0" hidden="0"/>
    </xf>
    <xf numFmtId="204" fontId="149" fillId="0" borderId="0"/>
    <xf numFmtId="205" fontId="149" fillId="34" borderId="24" applyAlignment="1">
      <alignment horizontal="center"/>
    </xf>
    <xf numFmtId="10" fontId="55" fillId="28" borderId="1"/>
    <xf numFmtId="10" fontId="55" fillId="28" borderId="1"/>
    <xf numFmtId="166" fontId="149" fillId="0" borderId="34"/>
    <xf numFmtId="0" fontId="91" fillId="0" borderId="0"/>
    <xf numFmtId="222" fontId="94" fillId="0" borderId="0"/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10" fontId="149" fillId="0" borderId="0"/>
    <xf numFmtId="9" fontId="149" fillId="0" borderId="0"/>
    <xf numFmtId="234" fontId="149" fillId="0" borderId="0" applyAlignment="1">
      <alignment horizontal="right"/>
    </xf>
    <xf numFmtId="234" fontId="149" fillId="0" borderId="0" applyAlignment="1" applyProtection="1">
      <alignment horizontal="right"/>
      <protection locked="0" hidden="0"/>
    </xf>
    <xf numFmtId="9" fontId="149" fillId="0" borderId="5"/>
    <xf numFmtId="0" fontId="149" fillId="0" borderId="0"/>
    <xf numFmtId="0" fontId="149" fillId="0" borderId="0"/>
    <xf numFmtId="243" fontId="149" fillId="0" borderId="0"/>
    <xf numFmtId="244" fontId="149" fillId="27" borderId="0" applyAlignment="1">
      <alignment horizontal="center"/>
    </xf>
    <xf numFmtId="186" fontId="114" fillId="0" borderId="26"/>
    <xf numFmtId="211" fontId="31" fillId="0" borderId="41" applyAlignment="1">
      <alignment horizontal="centerContinuous"/>
    </xf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27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9" fontId="14" fillId="0" borderId="5"/>
    <xf numFmtId="211" fontId="31" fillId="0" borderId="41" applyAlignment="1">
      <alignment horizontal="centerContinuous"/>
    </xf>
    <xf numFmtId="9" fontId="14" fillId="0" borderId="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45"/>
    <xf numFmtId="9" fontId="149" fillId="0" borderId="5"/>
    <xf numFmtId="0" fontId="52" fillId="0" borderId="1"/>
    <xf numFmtId="179" fontId="149" fillId="0" borderId="31" applyProtection="1">
      <protection locked="0" hidden="0"/>
    </xf>
    <xf numFmtId="10" fontId="55" fillId="28" borderId="1"/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9" fontId="149" fillId="0" borderId="5"/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27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9" fontId="14" fillId="0" borderId="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27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9" fontId="14" fillId="0" borderId="5"/>
    <xf numFmtId="211" fontId="31" fillId="0" borderId="41" applyAlignment="1">
      <alignment horizontal="centerContinuous"/>
    </xf>
    <xf numFmtId="9" fontId="14" fillId="0" borderId="5"/>
    <xf numFmtId="186" fontId="114" fillId="0" borderId="4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45"/>
    <xf numFmtId="9" fontId="149" fillId="0" borderId="5"/>
    <xf numFmtId="0" fontId="52" fillId="0" borderId="1"/>
    <xf numFmtId="179" fontId="149" fillId="0" borderId="31" applyProtection="1">
      <protection locked="0" hidden="0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9" fontId="149" fillId="0" borderId="5"/>
    <xf numFmtId="211" fontId="31" fillId="0" borderId="41" applyAlignment="1">
      <alignment horizontal="centerContinuous"/>
    </xf>
    <xf numFmtId="0" fontId="118" fillId="41" borderId="21" applyAlignment="1">
      <alignment horizontal="centerContinuous" vertical="center"/>
    </xf>
    <xf numFmtId="203" fontId="117" fillId="0" borderId="21" applyAlignment="1">
      <alignment horizontal="right" vertical="center"/>
    </xf>
    <xf numFmtId="218" fontId="31" fillId="0" borderId="21"/>
    <xf numFmtId="217" fontId="31" fillId="0" borderId="21"/>
    <xf numFmtId="10" fontId="55" fillId="28" borderId="1"/>
    <xf numFmtId="0" fontId="83" fillId="35" borderId="21"/>
    <xf numFmtId="0" fontId="28" fillId="0" borderId="5" applyAlignment="1">
      <alignment horizontal="left" vertical="center"/>
    </xf>
    <xf numFmtId="200" fontId="67" fillId="0" borderId="21" applyAlignment="1">
      <alignment horizontal="right"/>
    </xf>
    <xf numFmtId="0" fontId="60" fillId="0" borderId="21" applyAlignment="1">
      <alignment horizontal="centerContinuous"/>
    </xf>
    <xf numFmtId="0" fontId="29" fillId="0" borderId="21"/>
    <xf numFmtId="9" fontId="14" fillId="0" borderId="5"/>
    <xf numFmtId="3" fontId="142" fillId="27" borderId="21" applyAlignment="1">
      <alignment horizontal="center" vertical="center"/>
    </xf>
    <xf numFmtId="0" fontId="146" fillId="0" borderId="21" applyAlignment="1">
      <alignment horizontal="center"/>
    </xf>
    <xf numFmtId="3" fontId="142" fillId="44" borderId="21" applyAlignment="1">
      <alignment horizontal="center"/>
    </xf>
    <xf numFmtId="0" fontId="29" fillId="0" borderId="27"/>
    <xf numFmtId="0" fontId="57" fillId="0" borderId="21" applyAlignment="1">
      <alignment horizontal="center"/>
    </xf>
    <xf numFmtId="0" fontId="53" fillId="0" borderId="21" applyAlignment="1">
      <alignment horizontal="centerContinuous" vertical="center"/>
    </xf>
    <xf numFmtId="0" fontId="52" fillId="0" borderId="1"/>
    <xf numFmtId="0" fontId="29" fillId="0" borderId="27"/>
    <xf numFmtId="186" fontId="114" fillId="0" borderId="45"/>
    <xf numFmtId="9" fontId="14" fillId="0" borderId="5"/>
    <xf numFmtId="10" fontId="55" fillId="28" borderId="1"/>
    <xf numFmtId="0" fontId="52" fillId="0" borderId="1"/>
    <xf numFmtId="211" fontId="31" fillId="0" borderId="41" applyAlignment="1">
      <alignment horizontal="centerContinuous"/>
    </xf>
    <xf numFmtId="9" fontId="14" fillId="0" borderId="5"/>
    <xf numFmtId="186" fontId="114" fillId="0" borderId="45"/>
    <xf numFmtId="0" fontId="52" fillId="0" borderId="1"/>
    <xf numFmtId="179" fontId="14" fillId="0" borderId="31" applyProtection="1">
      <protection locked="0" hidden="0"/>
    </xf>
    <xf numFmtId="0" fontId="52" fillId="0" borderId="1"/>
    <xf numFmtId="9" fontId="14" fillId="0" borderId="5"/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45"/>
    <xf numFmtId="9" fontId="14" fillId="0" borderId="5"/>
    <xf numFmtId="0" fontId="52" fillId="0" borderId="1"/>
    <xf numFmtId="211" fontId="31" fillId="0" borderId="41" applyAlignment="1">
      <alignment horizontal="centerContinuous"/>
    </xf>
    <xf numFmtId="186" fontId="114" fillId="0" borderId="45"/>
    <xf numFmtId="0" fontId="29" fillId="0" borderId="27"/>
    <xf numFmtId="211" fontId="31" fillId="0" borderId="41" applyAlignment="1">
      <alignment horizontal="centerContinuous"/>
    </xf>
    <xf numFmtId="9" fontId="14" fillId="0" borderId="5"/>
    <xf numFmtId="179" fontId="14" fillId="0" borderId="31" applyProtection="1">
      <protection locked="0" hidden="0"/>
    </xf>
    <xf numFmtId="9" fontId="14" fillId="0" borderId="5"/>
    <xf numFmtId="211" fontId="31" fillId="0" borderId="41" applyAlignment="1">
      <alignment horizontal="centerContinuous"/>
    </xf>
    <xf numFmtId="0" fontId="4" fillId="0" borderId="0"/>
    <xf numFmtId="0" fontId="150" fillId="0" borderId="0"/>
    <xf numFmtId="252" fontId="150" fillId="0" borderId="0"/>
    <xf numFmtId="9" fontId="150" fillId="0" borderId="0"/>
    <xf numFmtId="248" fontId="134" fillId="0" borderId="21" applyAlignment="1">
      <alignment horizontal="right"/>
    </xf>
    <xf numFmtId="0" fontId="52" fillId="0" borderId="1"/>
    <xf numFmtId="0" fontId="4" fillId="0" borderId="0"/>
    <xf numFmtId="0" fontId="151" fillId="0" borderId="0" applyAlignment="1" applyProtection="1">
      <alignment vertical="top"/>
      <protection locked="0" hidden="0"/>
    </xf>
    <xf numFmtId="0" fontId="14" fillId="0" borderId="0"/>
    <xf numFmtId="0" fontId="143" fillId="47" borderId="0"/>
    <xf numFmtId="0" fontId="143" fillId="48" borderId="0"/>
    <xf numFmtId="0" fontId="143" fillId="49" borderId="0"/>
    <xf numFmtId="0" fontId="143" fillId="50" borderId="0"/>
    <xf numFmtId="0" fontId="143" fillId="51" borderId="0"/>
    <xf numFmtId="0" fontId="143" fillId="52" borderId="0"/>
    <xf numFmtId="0" fontId="143" fillId="53" borderId="0"/>
    <xf numFmtId="0" fontId="143" fillId="54" borderId="0"/>
    <xf numFmtId="0" fontId="143" fillId="55" borderId="0"/>
    <xf numFmtId="0" fontId="143" fillId="50" borderId="0"/>
    <xf numFmtId="0" fontId="143" fillId="53" borderId="0"/>
    <xf numFmtId="0" fontId="143" fillId="56" borderId="0"/>
    <xf numFmtId="0" fontId="152" fillId="57" borderId="0"/>
    <xf numFmtId="0" fontId="152" fillId="54" borderId="0"/>
    <xf numFmtId="0" fontId="152" fillId="55" borderId="0"/>
    <xf numFmtId="0" fontId="152" fillId="58" borderId="0"/>
    <xf numFmtId="0" fontId="152" fillId="59" borderId="0"/>
    <xf numFmtId="0" fontId="152" fillId="60" borderId="0"/>
    <xf numFmtId="0" fontId="152" fillId="61" borderId="0"/>
    <xf numFmtId="0" fontId="152" fillId="62" borderId="0"/>
    <xf numFmtId="0" fontId="152" fillId="63" borderId="0"/>
    <xf numFmtId="0" fontId="152" fillId="58" borderId="0"/>
    <xf numFmtId="0" fontId="152" fillId="59" borderId="0"/>
    <xf numFmtId="0" fontId="152" fillId="64" borderId="0"/>
    <xf numFmtId="0" fontId="153" fillId="48" borderId="0"/>
    <xf numFmtId="0" fontId="154" fillId="65" borderId="47"/>
    <xf numFmtId="0" fontId="155" fillId="66" borderId="48"/>
    <xf numFmtId="40" fontId="29" fillId="0" borderId="0"/>
    <xf numFmtId="0" fontId="156" fillId="0" borderId="0"/>
    <xf numFmtId="0" fontId="157" fillId="49" borderId="0"/>
    <xf numFmtId="0" fontId="158" fillId="0" borderId="49"/>
    <xf numFmtId="0" fontId="159" fillId="0" borderId="50"/>
    <xf numFmtId="0" fontId="160" fillId="0" borderId="51"/>
    <xf numFmtId="0" fontId="160" fillId="0" borderId="0"/>
    <xf numFmtId="0" fontId="161" fillId="52" borderId="47"/>
    <xf numFmtId="0" fontId="162" fillId="0" borderId="52"/>
    <xf numFmtId="0" fontId="163" fillId="67" borderId="0"/>
    <xf numFmtId="0" fontId="29" fillId="68" borderId="53"/>
    <xf numFmtId="0" fontId="164" fillId="65" borderId="54"/>
    <xf numFmtId="0" fontId="165" fillId="0" borderId="0"/>
    <xf numFmtId="0" fontId="166" fillId="0" borderId="55"/>
    <xf numFmtId="0" fontId="167" fillId="0" borderId="0"/>
    <xf numFmtId="0" fontId="154" fillId="65" borderId="47"/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143" fillId="47" borderId="0"/>
    <xf numFmtId="0" fontId="143" fillId="48" borderId="0"/>
    <xf numFmtId="0" fontId="143" fillId="49" borderId="0"/>
    <xf numFmtId="0" fontId="143" fillId="50" borderId="0"/>
    <xf numFmtId="0" fontId="143" fillId="51" borderId="0"/>
    <xf numFmtId="0" fontId="143" fillId="52" borderId="0"/>
    <xf numFmtId="0" fontId="168" fillId="47" borderId="0" applyAlignment="1">
      <alignment vertical="center"/>
    </xf>
    <xf numFmtId="0" fontId="168" fillId="48" borderId="0" applyAlignment="1">
      <alignment vertical="center"/>
    </xf>
    <xf numFmtId="0" fontId="168" fillId="49" borderId="0" applyAlignment="1">
      <alignment vertical="center"/>
    </xf>
    <xf numFmtId="0" fontId="168" fillId="50" borderId="0" applyAlignment="1">
      <alignment vertical="center"/>
    </xf>
    <xf numFmtId="0" fontId="168" fillId="51" borderId="0" applyAlignment="1">
      <alignment vertical="center"/>
    </xf>
    <xf numFmtId="0" fontId="168" fillId="52" borderId="0" applyAlignment="1">
      <alignment vertical="center"/>
    </xf>
    <xf numFmtId="0" fontId="143" fillId="53" borderId="0"/>
    <xf numFmtId="0" fontId="143" fillId="54" borderId="0"/>
    <xf numFmtId="0" fontId="143" fillId="55" borderId="0"/>
    <xf numFmtId="0" fontId="143" fillId="50" borderId="0"/>
    <xf numFmtId="0" fontId="143" fillId="53" borderId="0"/>
    <xf numFmtId="0" fontId="143" fillId="56" borderId="0"/>
    <xf numFmtId="0" fontId="168" fillId="53" borderId="0" applyAlignment="1">
      <alignment vertical="center"/>
    </xf>
    <xf numFmtId="0" fontId="168" fillId="54" borderId="0" applyAlignment="1">
      <alignment vertical="center"/>
    </xf>
    <xf numFmtId="0" fontId="168" fillId="55" borderId="0" applyAlignment="1">
      <alignment vertical="center"/>
    </xf>
    <xf numFmtId="0" fontId="168" fillId="50" borderId="0" applyAlignment="1">
      <alignment vertical="center"/>
    </xf>
    <xf numFmtId="0" fontId="168" fillId="53" borderId="0" applyAlignment="1">
      <alignment vertical="center"/>
    </xf>
    <xf numFmtId="0" fontId="168" fillId="56" borderId="0" applyAlignment="1">
      <alignment vertical="center"/>
    </xf>
    <xf numFmtId="0" fontId="152" fillId="57" borderId="0"/>
    <xf numFmtId="0" fontId="152" fillId="54" borderId="0"/>
    <xf numFmtId="0" fontId="152" fillId="55" borderId="0"/>
    <xf numFmtId="0" fontId="152" fillId="58" borderId="0"/>
    <xf numFmtId="0" fontId="152" fillId="59" borderId="0"/>
    <xf numFmtId="0" fontId="152" fillId="60" borderId="0"/>
    <xf numFmtId="0" fontId="169" fillId="57" borderId="0" applyAlignment="1">
      <alignment vertical="center"/>
    </xf>
    <xf numFmtId="0" fontId="169" fillId="54" borderId="0" applyAlignment="1">
      <alignment vertical="center"/>
    </xf>
    <xf numFmtId="0" fontId="169" fillId="55" borderId="0" applyAlignment="1">
      <alignment vertical="center"/>
    </xf>
    <xf numFmtId="0" fontId="169" fillId="58" borderId="0" applyAlignment="1">
      <alignment vertical="center"/>
    </xf>
    <xf numFmtId="0" fontId="169" fillId="59" borderId="0" applyAlignment="1">
      <alignment vertical="center"/>
    </xf>
    <xf numFmtId="0" fontId="169" fillId="60" borderId="0" applyAlignment="1">
      <alignment vertical="center"/>
    </xf>
    <xf numFmtId="0" fontId="143" fillId="69" borderId="0"/>
    <xf numFmtId="0" fontId="143" fillId="69" borderId="0"/>
    <xf numFmtId="0" fontId="152" fillId="70" borderId="0"/>
    <xf numFmtId="0" fontId="143" fillId="71" borderId="0"/>
    <xf numFmtId="0" fontId="143" fillId="72" borderId="0"/>
    <xf numFmtId="0" fontId="152" fillId="73" borderId="0"/>
    <xf numFmtId="0" fontId="143" fillId="71" borderId="0"/>
    <xf numFmtId="0" fontId="143" fillId="74" borderId="0"/>
    <xf numFmtId="0" fontId="152" fillId="72" borderId="0"/>
    <xf numFmtId="0" fontId="143" fillId="69" borderId="0"/>
    <xf numFmtId="0" fontId="143" fillId="72" borderId="0"/>
    <xf numFmtId="0" fontId="152" fillId="72" borderId="0"/>
    <xf numFmtId="0" fontId="143" fillId="75" borderId="0"/>
    <xf numFmtId="0" fontId="143" fillId="69" borderId="0"/>
    <xf numFmtId="0" fontId="152" fillId="70" borderId="0"/>
    <xf numFmtId="0" fontId="143" fillId="71" borderId="0"/>
    <xf numFmtId="0" fontId="143" fillId="76" borderId="0"/>
    <xf numFmtId="0" fontId="152" fillId="76" borderId="0"/>
    <xf numFmtId="0" fontId="157" fillId="49" borderId="0"/>
    <xf numFmtId="179" fontId="14" fillId="0" borderId="31" applyProtection="1">
      <protection locked="0" hidden="0"/>
    </xf>
    <xf numFmtId="0" fontId="141" fillId="77" borderId="56" applyAlignment="1">
      <alignment horizontal="center"/>
    </xf>
    <xf numFmtId="0" fontId="157" fillId="49" borderId="0"/>
    <xf numFmtId="9" fontId="14" fillId="0" borderId="5"/>
    <xf numFmtId="0" fontId="29" fillId="0" borderId="46"/>
    <xf numFmtId="0" fontId="154" fillId="65" borderId="47"/>
    <xf numFmtId="0" fontId="154" fillId="65" borderId="47"/>
    <xf numFmtId="253" fontId="14" fillId="0" borderId="0"/>
    <xf numFmtId="0" fontId="155" fillId="66" borderId="48"/>
    <xf numFmtId="0" fontId="162" fillId="0" borderId="52"/>
    <xf numFmtId="0" fontId="155" fillId="66" borderId="48"/>
    <xf numFmtId="0" fontId="162" fillId="0" borderId="52"/>
    <xf numFmtId="0" fontId="170" fillId="0" borderId="0" applyAlignment="1" applyProtection="1">
      <alignment vertical="top"/>
      <protection locked="0" hidden="0"/>
    </xf>
    <xf numFmtId="210" fontId="31" fillId="0" borderId="0"/>
    <xf numFmtId="210" fontId="31" fillId="0" borderId="0"/>
    <xf numFmtId="210" fontId="31" fillId="0" borderId="0"/>
    <xf numFmtId="210" fontId="31" fillId="0" borderId="0"/>
    <xf numFmtId="210" fontId="31" fillId="0" borderId="0"/>
    <xf numFmtId="210" fontId="31" fillId="0" borderId="0"/>
    <xf numFmtId="210" fontId="31" fillId="0" borderId="0"/>
    <xf numFmtId="210" fontId="31" fillId="0" borderId="0"/>
    <xf numFmtId="41" fontId="14" fillId="0" borderId="0"/>
    <xf numFmtId="0" fontId="154" fillId="65" borderId="47"/>
    <xf numFmtId="179" fontId="14" fillId="0" borderId="31" applyProtection="1">
      <protection locked="0" hidden="0"/>
    </xf>
    <xf numFmtId="177" fontId="143" fillId="0" borderId="0"/>
    <xf numFmtId="42" fontId="14" fillId="0" borderId="0"/>
    <xf numFmtId="0" fontId="171" fillId="0" borderId="0"/>
    <xf numFmtId="9" fontId="14" fillId="0" borderId="5"/>
    <xf numFmtId="0" fontId="166" fillId="78" borderId="0"/>
    <xf numFmtId="0" fontId="166" fillId="79" borderId="0"/>
    <xf numFmtId="0" fontId="166" fillId="80" borderId="0"/>
    <xf numFmtId="0" fontId="152" fillId="61" borderId="0"/>
    <xf numFmtId="0" fontId="152" fillId="62" borderId="0"/>
    <xf numFmtId="0" fontId="152" fillId="63" borderId="0"/>
    <xf numFmtId="0" fontId="152" fillId="58" borderId="0"/>
    <xf numFmtId="0" fontId="152" fillId="59" borderId="0"/>
    <xf numFmtId="0" fontId="152" fillId="64" borderId="0"/>
    <xf numFmtId="0" fontId="161" fillId="52" borderId="47"/>
    <xf numFmtId="0" fontId="28" fillId="0" borderId="5" applyAlignment="1">
      <alignment horizontal="left" vertical="center"/>
    </xf>
    <xf numFmtId="0" fontId="153" fillId="48" borderId="0"/>
    <xf numFmtId="0" fontId="153" fillId="48" borderId="0"/>
    <xf numFmtId="41" fontId="14" fillId="0" borderId="0"/>
    <xf numFmtId="43" fontId="14" fillId="0" borderId="0"/>
    <xf numFmtId="253" fontId="14" fillId="0" borderId="0"/>
    <xf numFmtId="0" fontId="163" fillId="67" borderId="0"/>
    <xf numFmtId="0" fontId="14" fillId="68" borderId="53"/>
    <xf numFmtId="0" fontId="164" fillId="65" borderId="54"/>
    <xf numFmtId="0" fontId="29" fillId="68" borderId="53"/>
    <xf numFmtId="0" fontId="161" fillId="52" borderId="47"/>
    <xf numFmtId="0" fontId="154" fillId="65" borderId="47"/>
    <xf numFmtId="0" fontId="164" fillId="65" borderId="54"/>
    <xf numFmtId="0" fontId="164" fillId="65" borderId="54"/>
    <xf numFmtId="0" fontId="172" fillId="0" borderId="0"/>
    <xf numFmtId="0" fontId="173" fillId="0" borderId="0"/>
    <xf numFmtId="186" fontId="114" fillId="0" borderId="45"/>
    <xf numFmtId="49" fontId="34" fillId="0" borderId="0"/>
    <xf numFmtId="0" fontId="167" fillId="0" borderId="0"/>
    <xf numFmtId="0" fontId="156" fillId="0" borderId="0"/>
    <xf numFmtId="0" fontId="120" fillId="0" borderId="0"/>
    <xf numFmtId="0" fontId="167" fillId="0" borderId="0"/>
    <xf numFmtId="0" fontId="156" fillId="0" borderId="0"/>
    <xf numFmtId="211" fontId="31" fillId="0" borderId="41" applyAlignment="1">
      <alignment horizontal="centerContinuous"/>
    </xf>
    <xf numFmtId="0" fontId="165" fillId="0" borderId="0"/>
    <xf numFmtId="0" fontId="158" fillId="0" borderId="49"/>
    <xf numFmtId="0" fontId="159" fillId="0" borderId="50"/>
    <xf numFmtId="0" fontId="160" fillId="0" borderId="51"/>
    <xf numFmtId="0" fontId="160" fillId="0" borderId="0"/>
    <xf numFmtId="0" fontId="165" fillId="0" borderId="0"/>
    <xf numFmtId="0" fontId="158" fillId="0" borderId="49"/>
    <xf numFmtId="0" fontId="159" fillId="0" borderId="50"/>
    <xf numFmtId="0" fontId="160" fillId="0" borderId="51"/>
    <xf numFmtId="0" fontId="160" fillId="0" borderId="0"/>
    <xf numFmtId="0" fontId="169" fillId="61" borderId="0" applyAlignment="1">
      <alignment vertical="center"/>
    </xf>
    <xf numFmtId="0" fontId="169" fillId="62" borderId="0" applyAlignment="1">
      <alignment vertical="center"/>
    </xf>
    <xf numFmtId="0" fontId="169" fillId="63" borderId="0" applyAlignment="1">
      <alignment vertical="center"/>
    </xf>
    <xf numFmtId="0" fontId="169" fillId="58" borderId="0" applyAlignment="1">
      <alignment vertical="center"/>
    </xf>
    <xf numFmtId="0" fontId="169" fillId="59" borderId="0" applyAlignment="1">
      <alignment vertical="center"/>
    </xf>
    <xf numFmtId="0" fontId="169" fillId="64" borderId="0" applyAlignment="1">
      <alignment vertical="center"/>
    </xf>
    <xf numFmtId="0" fontId="174" fillId="0" borderId="0" applyAlignment="1">
      <alignment vertical="center"/>
    </xf>
    <xf numFmtId="0" fontId="175" fillId="66" borderId="48" applyAlignment="1">
      <alignment vertical="center"/>
    </xf>
    <xf numFmtId="0" fontId="176" fillId="67" borderId="0" applyAlignment="1">
      <alignment vertical="center"/>
    </xf>
    <xf numFmtId="0" fontId="14" fillId="68" borderId="53" applyAlignment="1">
      <alignment vertical="center"/>
    </xf>
    <xf numFmtId="0" fontId="177" fillId="0" borderId="52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0" fillId="48" borderId="0" applyAlignment="1">
      <alignment vertical="center"/>
    </xf>
    <xf numFmtId="0" fontId="181" fillId="49" borderId="0" applyAlignment="1">
      <alignment vertical="center"/>
    </xf>
    <xf numFmtId="0" fontId="182" fillId="0" borderId="49" applyAlignment="1">
      <alignment vertical="center"/>
    </xf>
    <xf numFmtId="0" fontId="183" fillId="0" borderId="50" applyAlignment="1">
      <alignment vertical="center"/>
    </xf>
    <xf numFmtId="0" fontId="184" fillId="0" borderId="51" applyAlignment="1">
      <alignment vertical="center"/>
    </xf>
    <xf numFmtId="0" fontId="184" fillId="0" borderId="0" applyAlignment="1">
      <alignment vertical="center"/>
    </xf>
    <xf numFmtId="0" fontId="185" fillId="65" borderId="47" applyAlignment="1">
      <alignment vertical="center"/>
    </xf>
    <xf numFmtId="0" fontId="186" fillId="0" borderId="0" applyAlignment="1">
      <alignment vertical="center"/>
    </xf>
    <xf numFmtId="0" fontId="187" fillId="0" borderId="0" applyAlignment="1">
      <alignment vertical="center"/>
    </xf>
    <xf numFmtId="0" fontId="188" fillId="0" borderId="55" applyAlignment="1">
      <alignment vertical="center"/>
    </xf>
    <xf numFmtId="0" fontId="14" fillId="0" borderId="0"/>
    <xf numFmtId="0" fontId="166" fillId="0" borderId="55"/>
    <xf numFmtId="43" fontId="14" fillId="0" borderId="0"/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0" fontId="32" fillId="0" borderId="0" applyAlignment="1">
      <alignment vertical="top"/>
    </xf>
    <xf numFmtId="1" fontId="33" fillId="0" borderId="0"/>
    <xf numFmtId="177" fontId="14" fillId="0" borderId="0"/>
    <xf numFmtId="177" fontId="14" fillId="0" borderId="0"/>
    <xf numFmtId="177" fontId="4" fillId="0" borderId="0"/>
    <xf numFmtId="0" fontId="55" fillId="0" borderId="0"/>
    <xf numFmtId="0" fontId="31" fillId="0" borderId="0"/>
    <xf numFmtId="231" fontId="45" fillId="0" borderId="0"/>
    <xf numFmtId="231" fontId="45" fillId="0" borderId="0"/>
    <xf numFmtId="0" fontId="31" fillId="0" borderId="0"/>
    <xf numFmtId="231" fontId="45" fillId="0" borderId="0"/>
    <xf numFmtId="0" fontId="31" fillId="0" borderId="0"/>
    <xf numFmtId="0" fontId="31" fillId="0" borderId="0"/>
    <xf numFmtId="9" fontId="14" fillId="0" borderId="0"/>
    <xf numFmtId="0" fontId="31" fillId="0" borderId="0" applyAlignment="1">
      <alignment vertical="top"/>
    </xf>
    <xf numFmtId="226" fontId="31" fillId="0" borderId="0" applyAlignment="1">
      <alignment vertical="top"/>
    </xf>
    <xf numFmtId="226" fontId="31" fillId="0" borderId="0" applyAlignment="1">
      <alignment vertical="top"/>
    </xf>
    <xf numFmtId="0" fontId="69" fillId="0" borderId="0" applyAlignment="1">
      <alignment vertical="top"/>
    </xf>
    <xf numFmtId="226" fontId="31" fillId="0" borderId="0" applyAlignment="1">
      <alignment vertical="top"/>
    </xf>
    <xf numFmtId="0" fontId="69" fillId="0" borderId="0" applyAlignment="1">
      <alignment vertical="top"/>
    </xf>
    <xf numFmtId="0" fontId="31" fillId="0" borderId="0" applyAlignment="1">
      <alignment vertical="top"/>
    </xf>
    <xf numFmtId="226" fontId="31" fillId="0" borderId="0" applyAlignment="1">
      <alignment vertical="top"/>
    </xf>
    <xf numFmtId="0" fontId="69" fillId="0" borderId="0"/>
    <xf numFmtId="226" fontId="133" fillId="42" borderId="0" applyAlignment="1">
      <alignment horizontal="right"/>
    </xf>
    <xf numFmtId="0" fontId="14" fillId="0" borderId="0"/>
    <xf numFmtId="0" fontId="189" fillId="0" borderId="0"/>
    <xf numFmtId="9" fontId="189" fillId="0" borderId="0"/>
    <xf numFmtId="0" fontId="161" fillId="52" borderId="47"/>
    <xf numFmtId="0" fontId="28" fillId="0" borderId="5" applyAlignment="1">
      <alignment horizontal="left" vertical="center"/>
    </xf>
    <xf numFmtId="10" fontId="55" fillId="28" borderId="1"/>
    <xf numFmtId="0" fontId="14" fillId="68" borderId="53"/>
    <xf numFmtId="0" fontId="164" fillId="65" borderId="54"/>
    <xf numFmtId="0" fontId="164" fillId="65" borderId="54"/>
    <xf numFmtId="186" fontId="114" fillId="0" borderId="26"/>
    <xf numFmtId="49" fontId="34" fillId="0" borderId="0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179" fontId="14" fillId="0" borderId="31" applyProtection="1">
      <protection locked="0" hidden="0"/>
    </xf>
    <xf numFmtId="10" fontId="55" fillId="28" borderId="1"/>
    <xf numFmtId="186" fontId="114" fillId="0" borderId="45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9" fontId="14" fillId="0" borderId="5"/>
    <xf numFmtId="10" fontId="55" fillId="28" borderId="1"/>
    <xf numFmtId="0" fontId="29" fillId="68" borderId="53"/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0" fontId="164" fillId="65" borderId="54"/>
    <xf numFmtId="9" fontId="149" fillId="0" borderId="5"/>
    <xf numFmtId="0" fontId="52" fillId="0" borderId="1"/>
    <xf numFmtId="186" fontId="114" fillId="0" borderId="45"/>
    <xf numFmtId="211" fontId="31" fillId="0" borderId="41" applyAlignment="1">
      <alignment horizontal="centerContinuous"/>
    </xf>
    <xf numFmtId="10" fontId="55" fillId="28" borderId="1"/>
    <xf numFmtId="179" fontId="14" fillId="0" borderId="31" applyProtection="1">
      <protection locked="0" hidden="0"/>
    </xf>
    <xf numFmtId="10" fontId="55" fillId="28" borderId="1"/>
    <xf numFmtId="179" fontId="14" fillId="0" borderId="31" applyProtection="1">
      <protection locked="0" hidden="0"/>
    </xf>
    <xf numFmtId="0" fontId="52" fillId="0" borderId="1"/>
    <xf numFmtId="0" fontId="52" fillId="0" borderId="1"/>
    <xf numFmtId="10" fontId="55" fillId="28" borderId="1"/>
    <xf numFmtId="0" fontId="52" fillId="0" borderId="1"/>
    <xf numFmtId="179" fontId="14" fillId="0" borderId="31" applyProtection="1">
      <protection locked="0" hidden="0"/>
    </xf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86" fontId="114" fillId="0" borderId="45"/>
    <xf numFmtId="9" fontId="149" fillId="0" borderId="5"/>
    <xf numFmtId="10" fontId="55" fillId="28" borderId="1"/>
    <xf numFmtId="179" fontId="149" fillId="0" borderId="31" applyProtection="1">
      <protection locked="0" hidden="0"/>
    </xf>
    <xf numFmtId="0" fontId="52" fillId="0" borderId="1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0" fontId="55" fillId="28" borderId="1"/>
    <xf numFmtId="179" fontId="14" fillId="0" borderId="31" applyProtection="1">
      <protection locked="0" hidden="0"/>
    </xf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0" fontId="52" fillId="0" borderId="1"/>
    <xf numFmtId="9" fontId="149" fillId="0" borderId="5"/>
    <xf numFmtId="0" fontId="52" fillId="0" borderId="1"/>
    <xf numFmtId="9" fontId="14" fillId="0" borderId="5"/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52" fillId="0" borderId="1"/>
    <xf numFmtId="211" fontId="31" fillId="0" borderId="41" applyAlignment="1">
      <alignment horizontal="centerContinuous"/>
    </xf>
    <xf numFmtId="179" fontId="14" fillId="0" borderId="31" applyProtection="1">
      <protection locked="0" hidden="0"/>
    </xf>
    <xf numFmtId="211" fontId="31" fillId="0" borderId="41" applyAlignment="1">
      <alignment horizontal="centerContinuous"/>
    </xf>
    <xf numFmtId="186" fontId="114" fillId="0" borderId="45"/>
    <xf numFmtId="10" fontId="55" fillId="28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10" fontId="55" fillId="28" borderId="1"/>
    <xf numFmtId="186" fontId="114" fillId="0" borderId="45"/>
    <xf numFmtId="10" fontId="55" fillId="28" borderId="1"/>
    <xf numFmtId="0" fontId="52" fillId="0" borderId="1"/>
    <xf numFmtId="9" fontId="14" fillId="0" borderId="5"/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3" fontId="141" fillId="38" borderId="44" applyAlignment="1">
      <alignment horizont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186" fontId="114" fillId="0" borderId="45"/>
    <xf numFmtId="10" fontId="55" fillId="28" borderId="1"/>
    <xf numFmtId="211" fontId="31" fillId="0" borderId="41" applyAlignment="1">
      <alignment horizontal="centerContinuous"/>
    </xf>
    <xf numFmtId="9" fontId="14" fillId="0" borderId="5"/>
    <xf numFmtId="179" fontId="14" fillId="0" borderId="31" applyProtection="1">
      <protection locked="0" hidden="0"/>
    </xf>
    <xf numFmtId="10" fontId="55" fillId="28" borderId="1"/>
    <xf numFmtId="10" fontId="55" fillId="28" borderId="1"/>
    <xf numFmtId="9" fontId="149" fillId="0" borderId="5"/>
    <xf numFmtId="0" fontId="52" fillId="0" borderId="1"/>
    <xf numFmtId="179" fontId="149" fillId="0" borderId="31" applyProtection="1">
      <protection locked="0" hidden="0"/>
    </xf>
    <xf numFmtId="179" fontId="149" fillId="0" borderId="31" applyProtection="1">
      <protection locked="0" hidden="0"/>
    </xf>
    <xf numFmtId="179" fontId="14" fillId="0" borderId="31" applyProtection="1">
      <protection locked="0" hidden="0"/>
    </xf>
    <xf numFmtId="211" fontId="31" fillId="0" borderId="41" applyAlignment="1">
      <alignment horizontal="centerContinuous"/>
    </xf>
    <xf numFmtId="9" fontId="14" fillId="0" borderId="5"/>
    <xf numFmtId="0" fontId="52" fillId="0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9" fontId="149" fillId="0" borderId="5"/>
    <xf numFmtId="179" fontId="149" fillId="0" borderId="31" applyProtection="1">
      <protection locked="0" hidden="0"/>
    </xf>
    <xf numFmtId="10" fontId="55" fillId="28" borderId="1"/>
    <xf numFmtId="9" fontId="149" fillId="0" borderId="5"/>
    <xf numFmtId="211" fontId="31" fillId="0" borderId="41" applyAlignment="1">
      <alignment horizontal="centerContinuous"/>
    </xf>
    <xf numFmtId="9" fontId="14" fillId="0" borderId="5"/>
    <xf numFmtId="211" fontId="31" fillId="0" borderId="41" applyAlignment="1">
      <alignment horizontal="centerContinuous"/>
    </xf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9" fontId="14" fillId="0" borderId="5"/>
    <xf numFmtId="0" fontId="52" fillId="0" borderId="1"/>
    <xf numFmtId="10" fontId="55" fillId="28" borderId="1"/>
    <xf numFmtId="0" fontId="52" fillId="0" borderId="1"/>
    <xf numFmtId="9" fontId="14" fillId="0" borderId="5"/>
    <xf numFmtId="10" fontId="55" fillId="28" borderId="1"/>
    <xf numFmtId="211" fontId="31" fillId="0" borderId="41" applyAlignment="1">
      <alignment horizontal="centerContinuous"/>
    </xf>
    <xf numFmtId="9" fontId="14" fillId="0" borderId="5"/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10" fontId="55" fillId="28" borderId="1"/>
    <xf numFmtId="0" fontId="166" fillId="0" borderId="55"/>
    <xf numFmtId="179" fontId="14" fillId="0" borderId="31" applyProtection="1">
      <protection locked="0" hidden="0"/>
    </xf>
    <xf numFmtId="10" fontId="55" fillId="28" borderId="1"/>
    <xf numFmtId="0" fontId="52" fillId="0" borderId="1"/>
    <xf numFmtId="186" fontId="114" fillId="0" borderId="45"/>
    <xf numFmtId="0" fontId="28" fillId="0" borderId="5" applyAlignment="1">
      <alignment horizontal="left" vertical="center"/>
    </xf>
    <xf numFmtId="9" fontId="14" fillId="0" borderId="5"/>
    <xf numFmtId="9" fontId="14" fillId="0" borderId="5"/>
    <xf numFmtId="179" fontId="14" fillId="0" borderId="31" applyProtection="1">
      <protection locked="0" hidden="0"/>
    </xf>
    <xf numFmtId="186" fontId="114" fillId="0" borderId="45"/>
    <xf numFmtId="0" fontId="52" fillId="0" borderId="1"/>
    <xf numFmtId="0" fontId="52" fillId="0" borderId="1"/>
    <xf numFmtId="0" fontId="52" fillId="0" borderId="1"/>
    <xf numFmtId="186" fontId="114" fillId="0" borderId="45"/>
    <xf numFmtId="179" fontId="149" fillId="0" borderId="31" applyProtection="1">
      <protection locked="0" hidden="0"/>
    </xf>
    <xf numFmtId="179" fontId="149" fillId="0" borderId="31" applyProtection="1">
      <protection locked="0" hidden="0"/>
    </xf>
    <xf numFmtId="0" fontId="52" fillId="0" borderId="1"/>
    <xf numFmtId="0" fontId="52" fillId="0" borderId="1"/>
    <xf numFmtId="186" fontId="114" fillId="0" borderId="45"/>
    <xf numFmtId="179" fontId="14" fillId="0" borderId="31" applyProtection="1">
      <protection locked="0" hidden="0"/>
    </xf>
    <xf numFmtId="0" fontId="52" fillId="0" borderId="1"/>
    <xf numFmtId="10" fontId="55" fillId="28" borderId="1"/>
    <xf numFmtId="0" fontId="52" fillId="0" borderId="1"/>
    <xf numFmtId="0" fontId="28" fillId="0" borderId="5" applyAlignment="1">
      <alignment horizontal="left" vertical="center"/>
    </xf>
    <xf numFmtId="186" fontId="114" fillId="0" borderId="4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86" fontId="114" fillId="0" borderId="45"/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186" fontId="114" fillId="0" borderId="45"/>
    <xf numFmtId="0" fontId="52" fillId="0" borderId="1"/>
    <xf numFmtId="179" fontId="14" fillId="0" borderId="31" applyProtection="1">
      <protection locked="0" hidden="0"/>
    </xf>
    <xf numFmtId="211" fontId="31" fillId="0" borderId="41" applyAlignment="1">
      <alignment horizontal="centerContinuous"/>
    </xf>
    <xf numFmtId="10" fontId="55" fillId="28" borderId="1"/>
    <xf numFmtId="179" fontId="14" fillId="0" borderId="31" applyProtection="1">
      <protection locked="0" hidden="0"/>
    </xf>
    <xf numFmtId="211" fontId="31" fillId="0" borderId="41" applyAlignment="1">
      <alignment horizontal="centerContinuous"/>
    </xf>
    <xf numFmtId="9" fontId="14" fillId="0" borderId="5"/>
    <xf numFmtId="186" fontId="114" fillId="0" borderId="26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26"/>
    <xf numFmtId="10" fontId="55" fillId="28" borderId="1"/>
    <xf numFmtId="211" fontId="31" fillId="0" borderId="41" applyAlignment="1">
      <alignment horizontal="centerContinuous"/>
    </xf>
    <xf numFmtId="0" fontId="52" fillId="0" borderId="1"/>
    <xf numFmtId="9" fontId="149" fillId="0" borderId="5"/>
    <xf numFmtId="0" fontId="52" fillId="0" borderId="1"/>
    <xf numFmtId="179" fontId="149" fillId="0" borderId="31" applyProtection="1">
      <protection locked="0" hidden="0"/>
    </xf>
    <xf numFmtId="179" fontId="14" fillId="0" borderId="31" applyProtection="1">
      <protection locked="0" hidden="0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0" fontId="52" fillId="0" borderId="1"/>
    <xf numFmtId="0" fontId="52" fillId="0" borderId="1"/>
    <xf numFmtId="179" fontId="14" fillId="0" borderId="31" applyProtection="1">
      <protection locked="0" hidden="0"/>
    </xf>
    <xf numFmtId="186" fontId="114" fillId="0" borderId="26"/>
    <xf numFmtId="211" fontId="31" fillId="0" borderId="41" applyAlignment="1">
      <alignment horizontal="centerContinuous"/>
    </xf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27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9" fontId="14" fillId="0" borderId="5"/>
    <xf numFmtId="211" fontId="31" fillId="0" borderId="41" applyAlignment="1">
      <alignment horizontal="centerContinuous"/>
    </xf>
    <xf numFmtId="9" fontId="14" fillId="0" borderId="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45"/>
    <xf numFmtId="9" fontId="149" fillId="0" borderId="5"/>
    <xf numFmtId="0" fontId="52" fillId="0" borderId="1"/>
    <xf numFmtId="179" fontId="149" fillId="0" borderId="31" applyProtection="1">
      <protection locked="0" hidden="0"/>
    </xf>
    <xf numFmtId="10" fontId="55" fillId="28" borderId="1"/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9" fontId="149" fillId="0" borderId="5"/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27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9" fontId="14" fillId="0" borderId="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27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9" fontId="14" fillId="0" borderId="5"/>
    <xf numFmtId="211" fontId="31" fillId="0" borderId="41" applyAlignment="1">
      <alignment horizontal="centerContinuous"/>
    </xf>
    <xf numFmtId="9" fontId="14" fillId="0" borderId="5"/>
    <xf numFmtId="186" fontId="114" fillId="0" borderId="45"/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45"/>
    <xf numFmtId="9" fontId="149" fillId="0" borderId="5"/>
    <xf numFmtId="0" fontId="52" fillId="0" borderId="1"/>
    <xf numFmtId="179" fontId="149" fillId="0" borderId="31" applyProtection="1">
      <protection locked="0" hidden="0"/>
    </xf>
    <xf numFmtId="10" fontId="55" fillId="28" borderId="1"/>
    <xf numFmtId="10" fontId="55" fillId="28" borderId="1"/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9" fontId="149" fillId="0" borderId="5"/>
    <xf numFmtId="211" fontId="31" fillId="0" borderId="41" applyAlignment="1">
      <alignment horizontal="centerContinuous"/>
    </xf>
    <xf numFmtId="0" fontId="52" fillId="0" borderId="1"/>
    <xf numFmtId="10" fontId="55" fillId="28" borderId="1"/>
    <xf numFmtId="0" fontId="28" fillId="0" borderId="5" applyAlignment="1">
      <alignment horizontal="left" vertical="center"/>
    </xf>
    <xf numFmtId="179" fontId="149" fillId="0" borderId="31" applyProtection="1">
      <protection locked="0" hidden="0"/>
    </xf>
    <xf numFmtId="0" fontId="28" fillId="0" borderId="5" applyAlignment="1">
      <alignment horizontal="left" vertical="center"/>
    </xf>
    <xf numFmtId="9" fontId="14" fillId="0" borderId="5"/>
    <xf numFmtId="0" fontId="52" fillId="0" borderId="1"/>
    <xf numFmtId="0" fontId="29" fillId="0" borderId="27"/>
    <xf numFmtId="0" fontId="28" fillId="0" borderId="5" applyAlignment="1">
      <alignment horizontal="left" vertical="center"/>
    </xf>
    <xf numFmtId="0" fontId="52" fillId="0" borderId="1"/>
    <xf numFmtId="0" fontId="29" fillId="0" borderId="27"/>
    <xf numFmtId="186" fontId="114" fillId="0" borderId="45"/>
    <xf numFmtId="9" fontId="14" fillId="0" borderId="5"/>
    <xf numFmtId="10" fontId="55" fillId="28" borderId="1"/>
    <xf numFmtId="0" fontId="52" fillId="0" borderId="1"/>
    <xf numFmtId="211" fontId="31" fillId="0" borderId="41" applyAlignment="1">
      <alignment horizontal="centerContinuous"/>
    </xf>
    <xf numFmtId="9" fontId="14" fillId="0" borderId="5"/>
    <xf numFmtId="186" fontId="114" fillId="0" borderId="45"/>
    <xf numFmtId="0" fontId="52" fillId="0" borderId="1"/>
    <xf numFmtId="179" fontId="14" fillId="0" borderId="31" applyProtection="1">
      <protection locked="0" hidden="0"/>
    </xf>
    <xf numFmtId="0" fontId="52" fillId="0" borderId="1"/>
    <xf numFmtId="9" fontId="14" fillId="0" borderId="5"/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186" fontId="114" fillId="0" borderId="45"/>
    <xf numFmtId="9" fontId="14" fillId="0" borderId="5"/>
    <xf numFmtId="0" fontId="52" fillId="0" borderId="1"/>
    <xf numFmtId="211" fontId="31" fillId="0" borderId="41" applyAlignment="1">
      <alignment horizontal="centerContinuous"/>
    </xf>
    <xf numFmtId="186" fontId="114" fillId="0" borderId="45"/>
    <xf numFmtId="0" fontId="29" fillId="0" borderId="27"/>
    <xf numFmtId="211" fontId="31" fillId="0" borderId="41" applyAlignment="1">
      <alignment horizontal="centerContinuous"/>
    </xf>
    <xf numFmtId="9" fontId="14" fillId="0" borderId="5"/>
    <xf numFmtId="179" fontId="14" fillId="0" borderId="31" applyProtection="1">
      <protection locked="0" hidden="0"/>
    </xf>
    <xf numFmtId="9" fontId="14" fillId="0" borderId="5"/>
    <xf numFmtId="211" fontId="31" fillId="0" borderId="41" applyAlignment="1">
      <alignment horizontal="centerContinuous"/>
    </xf>
    <xf numFmtId="10" fontId="55" fillId="28" borderId="1"/>
    <xf numFmtId="0" fontId="52" fillId="0" borderId="1"/>
    <xf numFmtId="211" fontId="31" fillId="0" borderId="41" applyAlignment="1">
      <alignment horizontal="centerContinuous"/>
    </xf>
    <xf numFmtId="179" fontId="14" fillId="0" borderId="31" applyProtection="1">
      <protection locked="0" hidden="0"/>
    </xf>
    <xf numFmtId="186" fontId="114" fillId="0" borderId="45"/>
    <xf numFmtId="211" fontId="31" fillId="0" borderId="41" applyAlignment="1">
      <alignment horizontal="centerContinuous"/>
    </xf>
    <xf numFmtId="0" fontId="52" fillId="0" borderId="1"/>
    <xf numFmtId="10" fontId="55" fillId="28" borderId="1"/>
    <xf numFmtId="0" fontId="52" fillId="0" borderId="1"/>
    <xf numFmtId="179" fontId="14" fillId="0" borderId="31" applyProtection="1">
      <protection locked="0" hidden="0"/>
    </xf>
    <xf numFmtId="0" fontId="52" fillId="0" borderId="1"/>
    <xf numFmtId="186" fontId="114" fillId="0" borderId="45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0" fontId="55" fillId="28" borderId="1"/>
    <xf numFmtId="9" fontId="149" fillId="0" borderId="5"/>
    <xf numFmtId="179" fontId="14" fillId="0" borderId="31" applyProtection="1">
      <protection locked="0" hidden="0"/>
    </xf>
    <xf numFmtId="0" fontId="154" fillId="65" borderId="47"/>
    <xf numFmtId="186" fontId="114" fillId="0" borderId="45"/>
    <xf numFmtId="0" fontId="161" fillId="52" borderId="47"/>
    <xf numFmtId="0" fontId="29" fillId="68" borderId="53"/>
    <xf numFmtId="0" fontId="164" fillId="65" borderId="54"/>
    <xf numFmtId="186" fontId="114" fillId="0" borderId="45"/>
    <xf numFmtId="0" fontId="166" fillId="0" borderId="55"/>
    <xf numFmtId="179" fontId="14" fillId="0" borderId="31" applyProtection="1">
      <protection locked="0" hidden="0"/>
    </xf>
    <xf numFmtId="0" fontId="154" fillId="65" borderId="47"/>
    <xf numFmtId="0" fontId="154" fillId="65" borderId="47"/>
    <xf numFmtId="0" fontId="166" fillId="0" borderId="55"/>
    <xf numFmtId="0" fontId="161" fillId="52" borderId="47"/>
    <xf numFmtId="0" fontId="52" fillId="0" borderId="1"/>
    <xf numFmtId="0" fontId="154" fillId="65" borderId="47"/>
    <xf numFmtId="0" fontId="52" fillId="0" borderId="1"/>
    <xf numFmtId="9" fontId="14" fillId="0" borderId="5"/>
    <xf numFmtId="186" fontId="114" fillId="0" borderId="45"/>
    <xf numFmtId="0" fontId="52" fillId="0" borderId="1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86" fontId="114" fillId="0" borderId="45"/>
    <xf numFmtId="0" fontId="52" fillId="0" borderId="1"/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186" fontId="114" fillId="0" borderId="45"/>
    <xf numFmtId="0" fontId="52" fillId="0" borderId="1"/>
    <xf numFmtId="10" fontId="55" fillId="28" borderId="1"/>
    <xf numFmtId="186" fontId="114" fillId="0" borderId="45"/>
    <xf numFmtId="9" fontId="14" fillId="0" borderId="5"/>
    <xf numFmtId="0" fontId="52" fillId="0" borderId="1"/>
    <xf numFmtId="186" fontId="114" fillId="0" borderId="45"/>
    <xf numFmtId="0" fontId="28" fillId="0" borderId="5" applyAlignment="1">
      <alignment horizontal="left" vertical="center"/>
    </xf>
    <xf numFmtId="0" fontId="52" fillId="0" borderId="1"/>
    <xf numFmtId="10" fontId="55" fillId="28" borderId="1"/>
    <xf numFmtId="10" fontId="55" fillId="28" borderId="1"/>
    <xf numFmtId="179" fontId="149" fillId="0" borderId="31" applyProtection="1">
      <protection locked="0" hidden="0"/>
    </xf>
    <xf numFmtId="10" fontId="55" fillId="28" borderId="1"/>
    <xf numFmtId="179" fontId="149" fillId="0" borderId="31" applyProtection="1">
      <protection locked="0" hidden="0"/>
    </xf>
    <xf numFmtId="0" fontId="52" fillId="0" borderId="1"/>
    <xf numFmtId="186" fontId="114" fillId="0" borderId="45"/>
    <xf numFmtId="0" fontId="52" fillId="0" borderId="1"/>
    <xf numFmtId="179" fontId="14" fillId="0" borderId="31" applyProtection="1">
      <protection locked="0" hidden="0"/>
    </xf>
    <xf numFmtId="10" fontId="55" fillId="28" borderId="1"/>
    <xf numFmtId="10" fontId="55" fillId="28" borderId="1"/>
    <xf numFmtId="9" fontId="14" fillId="0" borderId="5"/>
    <xf numFmtId="211" fontId="31" fillId="0" borderId="41" applyAlignment="1">
      <alignment horizontal="centerContinuous"/>
    </xf>
    <xf numFmtId="179" fontId="14" fillId="0" borderId="31" applyProtection="1">
      <protection locked="0" hidden="0"/>
    </xf>
    <xf numFmtId="10" fontId="55" fillId="28" borderId="1"/>
    <xf numFmtId="9" fontId="14" fillId="0" borderId="5"/>
    <xf numFmtId="0" fontId="29" fillId="0" borderId="46"/>
    <xf numFmtId="0" fontId="154" fillId="65" borderId="47"/>
    <xf numFmtId="0" fontId="154" fillId="65" borderId="47"/>
    <xf numFmtId="0" fontId="52" fillId="0" borderId="1"/>
    <xf numFmtId="211" fontId="31" fillId="0" borderId="41" applyAlignment="1">
      <alignment horizontal="centerContinuous"/>
    </xf>
    <xf numFmtId="9" fontId="14" fillId="0" borderId="5"/>
    <xf numFmtId="10" fontId="55" fillId="28" borderId="1"/>
    <xf numFmtId="10" fontId="55" fillId="28" borderId="1"/>
    <xf numFmtId="10" fontId="55" fillId="28" borderId="1"/>
    <xf numFmtId="179" fontId="149" fillId="0" borderId="31" applyProtection="1">
      <protection locked="0" hidden="0"/>
    </xf>
    <xf numFmtId="179" fontId="14" fillId="0" borderId="31" applyProtection="1">
      <protection locked="0" hidden="0"/>
    </xf>
    <xf numFmtId="0" fontId="154" fillId="65" borderId="47"/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9" fontId="14" fillId="0" borderId="5"/>
    <xf numFmtId="179" fontId="14" fillId="0" borderId="31" applyProtection="1">
      <protection locked="0" hidden="0"/>
    </xf>
    <xf numFmtId="9" fontId="14" fillId="0" borderId="5"/>
    <xf numFmtId="179" fontId="14" fillId="0" borderId="31" applyProtection="1">
      <protection locked="0" hidden="0"/>
    </xf>
    <xf numFmtId="186" fontId="114" fillId="0" borderId="45"/>
    <xf numFmtId="179" fontId="149" fillId="0" borderId="31" applyProtection="1">
      <protection locked="0" hidden="0"/>
    </xf>
    <xf numFmtId="211" fontId="31" fillId="0" borderId="41" applyAlignment="1">
      <alignment horizontal="centerContinuous"/>
    </xf>
    <xf numFmtId="0" fontId="52" fillId="0" borderId="1"/>
    <xf numFmtId="0" fontId="161" fillId="52" borderId="47"/>
    <xf numFmtId="0" fontId="28" fillId="0" borderId="5" applyAlignment="1">
      <alignment horizontal="left" vertical="center"/>
    </xf>
    <xf numFmtId="0" fontId="14" fillId="68" borderId="53"/>
    <xf numFmtId="0" fontId="164" fillId="65" borderId="54"/>
    <xf numFmtId="0" fontId="29" fillId="68" borderId="53"/>
    <xf numFmtId="0" fontId="161" fillId="52" borderId="47"/>
    <xf numFmtId="0" fontId="154" fillId="65" borderId="47"/>
    <xf numFmtId="0" fontId="164" fillId="65" borderId="54"/>
    <xf numFmtId="0" fontId="164" fillId="65" borderId="54"/>
    <xf numFmtId="10" fontId="55" fillId="28" borderId="1"/>
    <xf numFmtId="186" fontId="114" fillId="0" borderId="45"/>
    <xf numFmtId="186" fontId="114" fillId="0" borderId="45"/>
    <xf numFmtId="179" fontId="14" fillId="0" borderId="31" applyProtection="1">
      <protection locked="0" hidden="0"/>
    </xf>
    <xf numFmtId="10" fontId="55" fillId="28" borderId="1"/>
    <xf numFmtId="211" fontId="31" fillId="0" borderId="41" applyAlignment="1">
      <alignment horizontal="centerContinuous"/>
    </xf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0" fontId="55" fillId="28" borderId="1"/>
    <xf numFmtId="186" fontId="114" fillId="0" borderId="45"/>
    <xf numFmtId="211" fontId="31" fillId="0" borderId="41" applyAlignment="1">
      <alignment horizontal="centerContinuous"/>
    </xf>
    <xf numFmtId="0" fontId="52" fillId="0" borderId="1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0" fontId="28" fillId="0" borderId="5" applyAlignment="1">
      <alignment horizontal="left" vertical="center"/>
    </xf>
    <xf numFmtId="9" fontId="149" fillId="0" borderId="5"/>
    <xf numFmtId="0" fontId="28" fillId="0" borderId="5" applyAlignment="1">
      <alignment horizontal="left" vertical="center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179" fontId="14" fillId="0" borderId="31" applyProtection="1">
      <protection locked="0" hidden="0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166" fillId="0" borderId="55"/>
    <xf numFmtId="10" fontId="55" fillId="28" borderId="1"/>
    <xf numFmtId="0" fontId="164" fillId="65" borderId="54"/>
    <xf numFmtId="0" fontId="52" fillId="0" borderId="1"/>
    <xf numFmtId="0" fontId="29" fillId="68" borderId="53"/>
    <xf numFmtId="186" fontId="114" fillId="0" borderId="45"/>
    <xf numFmtId="0" fontId="52" fillId="0" borderId="1"/>
    <xf numFmtId="9" fontId="14" fillId="0" borderId="5"/>
    <xf numFmtId="9" fontId="14" fillId="0" borderId="5"/>
    <xf numFmtId="0" fontId="138" fillId="40" borderId="44" applyAlignment="1">
      <alignment horizontal="center"/>
    </xf>
    <xf numFmtId="0" fontId="28" fillId="0" borderId="5" applyAlignment="1">
      <alignment horizontal="left" vertical="center"/>
    </xf>
    <xf numFmtId="0" fontId="161" fillId="52" borderId="47"/>
    <xf numFmtId="0" fontId="28" fillId="0" borderId="5" applyAlignment="1">
      <alignment horizontal="left" vertical="center"/>
    </xf>
    <xf numFmtId="10" fontId="55" fillId="28" borderId="1"/>
    <xf numFmtId="0" fontId="14" fillId="68" borderId="53"/>
    <xf numFmtId="0" fontId="164" fillId="65" borderId="54"/>
    <xf numFmtId="0" fontId="164" fillId="65" borderId="54"/>
    <xf numFmtId="0" fontId="52" fillId="0" borderId="1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161" fillId="52" borderId="47"/>
    <xf numFmtId="0" fontId="154" fillId="65" borderId="47"/>
    <xf numFmtId="0" fontId="52" fillId="0" borderId="1"/>
    <xf numFmtId="211" fontId="31" fillId="0" borderId="41" applyAlignment="1">
      <alignment horizontal="centerContinuous"/>
    </xf>
    <xf numFmtId="9" fontId="14" fillId="0" borderId="5"/>
    <xf numFmtId="179" fontId="14" fillId="0" borderId="31" applyProtection="1">
      <protection locked="0" hidden="0"/>
    </xf>
    <xf numFmtId="211" fontId="31" fillId="0" borderId="41" applyAlignment="1">
      <alignment horizontal="centerContinuous"/>
    </xf>
    <xf numFmtId="186" fontId="114" fillId="0" borderId="45"/>
    <xf numFmtId="0" fontId="52" fillId="0" borderId="1"/>
    <xf numFmtId="9" fontId="14" fillId="0" borderId="5"/>
    <xf numFmtId="186" fontId="114" fillId="0" borderId="45"/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9" fontId="14" fillId="0" borderId="5"/>
    <xf numFmtId="0" fontId="29" fillId="0" borderId="46"/>
    <xf numFmtId="0" fontId="154" fillId="65" borderId="47"/>
    <xf numFmtId="0" fontId="154" fillId="65" borderId="47"/>
    <xf numFmtId="9" fontId="14" fillId="0" borderId="5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0" fontId="52" fillId="0" borderId="1"/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9" fontId="14" fillId="0" borderId="5"/>
    <xf numFmtId="211" fontId="31" fillId="0" borderId="41" applyAlignment="1">
      <alignment horizontal="centerContinuous"/>
    </xf>
    <xf numFmtId="9" fontId="14" fillId="0" borderId="5"/>
    <xf numFmtId="10" fontId="55" fillId="28" borderId="1"/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0" fontId="154" fillId="65" borderId="47"/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79" fontId="14" fillId="0" borderId="31" applyProtection="1">
      <protection locked="0" hidden="0"/>
    </xf>
    <xf numFmtId="0" fontId="52" fillId="0" borderId="1"/>
    <xf numFmtId="9" fontId="14" fillId="0" borderId="5"/>
    <xf numFmtId="211" fontId="31" fillId="0" borderId="41" applyAlignment="1">
      <alignment horizontal="centerContinuous"/>
    </xf>
    <xf numFmtId="186" fontId="114" fillId="0" borderId="45"/>
    <xf numFmtId="10" fontId="55" fillId="28" borderId="1"/>
    <xf numFmtId="0" fontId="28" fillId="0" borderId="5" applyAlignment="1">
      <alignment horizontal="left" vertical="center"/>
    </xf>
    <xf numFmtId="0" fontId="161" fillId="52" borderId="47"/>
    <xf numFmtId="0" fontId="28" fillId="0" borderId="5" applyAlignment="1">
      <alignment horizontal="left" vertical="center"/>
    </xf>
    <xf numFmtId="0" fontId="14" fillId="68" borderId="53"/>
    <xf numFmtId="0" fontId="164" fillId="65" borderId="54"/>
    <xf numFmtId="0" fontId="29" fillId="68" borderId="53"/>
    <xf numFmtId="0" fontId="161" fillId="52" borderId="47"/>
    <xf numFmtId="0" fontId="154" fillId="65" borderId="47"/>
    <xf numFmtId="0" fontId="164" fillId="65" borderId="54"/>
    <xf numFmtId="0" fontId="164" fillId="65" borderId="54"/>
    <xf numFmtId="186" fontId="114" fillId="0" borderId="45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166" fillId="0" borderId="55"/>
    <xf numFmtId="0" fontId="52" fillId="0" borderId="1"/>
    <xf numFmtId="10" fontId="55" fillId="28" borderId="1"/>
    <xf numFmtId="10" fontId="55" fillId="28" borderId="1"/>
    <xf numFmtId="0" fontId="161" fillId="52" borderId="47"/>
    <xf numFmtId="10" fontId="55" fillId="28" borderId="1"/>
    <xf numFmtId="0" fontId="14" fillId="68" borderId="53"/>
    <xf numFmtId="0" fontId="164" fillId="65" borderId="54"/>
    <xf numFmtId="0" fontId="164" fillId="65" borderId="54"/>
    <xf numFmtId="179" fontId="14" fillId="0" borderId="31" applyProtection="1">
      <protection locked="0" hidden="0"/>
    </xf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9" fontId="14" fillId="0" borderId="5"/>
    <xf numFmtId="0" fontId="29" fillId="0" borderId="27"/>
    <xf numFmtId="0" fontId="154" fillId="65" borderId="47"/>
    <xf numFmtId="0" fontId="154" fillId="65" borderId="47"/>
    <xf numFmtId="179" fontId="14" fillId="0" borderId="31" applyProtection="1">
      <protection locked="0" hidden="0"/>
    </xf>
    <xf numFmtId="9" fontId="14" fillId="0" borderId="5"/>
    <xf numFmtId="0" fontId="161" fillId="52" borderId="47"/>
    <xf numFmtId="0" fontId="28" fillId="0" borderId="5" applyAlignment="1">
      <alignment horizontal="left" vertical="center"/>
    </xf>
    <xf numFmtId="0" fontId="14" fillId="68" borderId="53"/>
    <xf numFmtId="0" fontId="164" fillId="65" borderId="54"/>
    <xf numFmtId="0" fontId="164" fillId="65" borderId="54"/>
    <xf numFmtId="186" fontId="114" fillId="0" borderId="45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28" fillId="0" borderId="5" applyAlignment="1">
      <alignment horizontal="left" vertical="center"/>
    </xf>
    <xf numFmtId="10" fontId="55" fillId="28" borderId="1"/>
    <xf numFmtId="0" fontId="14" fillId="0" borderId="0"/>
    <xf numFmtId="9" fontId="4" fillId="0" borderId="0"/>
    <xf numFmtId="43" fontId="4" fillId="0" borderId="0"/>
    <xf numFmtId="177" fontId="4" fillId="0" borderId="0"/>
    <xf numFmtId="9" fontId="14" fillId="0" borderId="86"/>
    <xf numFmtId="0" fontId="52" fillId="0" borderId="58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0" fontId="55" fillId="28" borderId="58"/>
    <xf numFmtId="9" fontId="14" fillId="0" borderId="86"/>
    <xf numFmtId="0" fontId="52" fillId="0" borderId="58"/>
    <xf numFmtId="179" fontId="14" fillId="0" borderId="31" applyProtection="1">
      <protection locked="0" hidden="0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0" fontId="55" fillId="28" borderId="58"/>
    <xf numFmtId="9" fontId="14" fillId="0" borderId="86"/>
    <xf numFmtId="211" fontId="31" fillId="0" borderId="41" applyAlignment="1">
      <alignment horizontal="centerContinuous"/>
    </xf>
    <xf numFmtId="9" fontId="14" fillId="0" borderId="86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179" fontId="14" fillId="0" borderId="31" applyProtection="1">
      <protection locked="0" hidden="0"/>
    </xf>
    <xf numFmtId="186" fontId="114" fillId="0" borderId="45"/>
    <xf numFmtId="9" fontId="149" fillId="0" borderId="86"/>
    <xf numFmtId="0" fontId="52" fillId="0" borderId="58"/>
    <xf numFmtId="179" fontId="149" fillId="0" borderId="31" applyProtection="1">
      <protection locked="0" hidden="0"/>
    </xf>
    <xf numFmtId="10" fontId="55" fillId="28" borderId="58"/>
    <xf numFmtId="0" fontId="28" fillId="0" borderId="86" applyAlignment="1">
      <alignment horizontal="left" vertical="center"/>
    </xf>
    <xf numFmtId="179" fontId="149" fillId="0" borderId="31" applyProtection="1">
      <protection locked="0" hidden="0"/>
    </xf>
    <xf numFmtId="9" fontId="149" fillId="0" borderId="86"/>
    <xf numFmtId="186" fontId="114" fillId="0" borderId="45"/>
    <xf numFmtId="211" fontId="31" fillId="0" borderId="41" applyAlignment="1">
      <alignment horizontal="centerContinuous"/>
    </xf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52" fillId="0" borderId="58"/>
    <xf numFmtId="0" fontId="28" fillId="0" borderId="86" applyAlignment="1">
      <alignment horizontal="left" vertical="center"/>
    </xf>
    <xf numFmtId="10" fontId="55" fillId="28" borderId="58"/>
    <xf numFmtId="9" fontId="14" fillId="0" borderId="86"/>
    <xf numFmtId="211" fontId="31" fillId="0" borderId="41" applyAlignment="1">
      <alignment horizontal="centerContinuous"/>
    </xf>
    <xf numFmtId="9" fontId="14" fillId="0" borderId="86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0" fontId="55" fillId="28" borderId="58"/>
    <xf numFmtId="10" fontId="55" fillId="28" borderId="58"/>
    <xf numFmtId="0" fontId="28" fillId="0" borderId="86" applyAlignment="1">
      <alignment horizontal="left" vertical="center"/>
    </xf>
    <xf numFmtId="179" fontId="14" fillId="0" borderId="31" applyProtection="1">
      <protection locked="0" hidden="0"/>
    </xf>
    <xf numFmtId="0" fontId="52" fillId="0" borderId="58"/>
    <xf numFmtId="186" fontId="114" fillId="0" borderId="45"/>
    <xf numFmtId="9" fontId="149" fillId="0" borderId="86"/>
    <xf numFmtId="0" fontId="52" fillId="0" borderId="58"/>
    <xf numFmtId="179" fontId="149" fillId="0" borderId="31" applyProtection="1">
      <protection locked="0" hidden="0"/>
    </xf>
    <xf numFmtId="10" fontId="55" fillId="28" borderId="58"/>
    <xf numFmtId="0" fontId="28" fillId="0" borderId="86" applyAlignment="1">
      <alignment horizontal="left" vertical="center"/>
    </xf>
    <xf numFmtId="179" fontId="149" fillId="0" borderId="31" applyProtection="1">
      <protection locked="0" hidden="0"/>
    </xf>
    <xf numFmtId="9" fontId="149" fillId="0" borderId="86"/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0" fontId="55" fillId="28" borderId="58"/>
    <xf numFmtId="9" fontId="14" fillId="0" borderId="86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0" fontId="55" fillId="28" borderId="58"/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0" fontId="55" fillId="28" borderId="58"/>
    <xf numFmtId="9" fontId="14" fillId="0" borderId="86"/>
    <xf numFmtId="211" fontId="31" fillId="0" borderId="41" applyAlignment="1">
      <alignment horizontal="centerContinuous"/>
    </xf>
    <xf numFmtId="9" fontId="14" fillId="0" borderId="86"/>
    <xf numFmtId="186" fontId="114" fillId="0" borderId="45"/>
    <xf numFmtId="0" fontId="52" fillId="0" borderId="58"/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10" fontId="55" fillId="28" borderId="58"/>
    <xf numFmtId="10" fontId="55" fillId="28" borderId="58"/>
    <xf numFmtId="0" fontId="28" fillId="0" borderId="86" applyAlignment="1">
      <alignment horizontal="left" vertical="center"/>
    </xf>
    <xf numFmtId="179" fontId="14" fillId="0" borderId="31" applyProtection="1">
      <protection locked="0" hidden="0"/>
    </xf>
    <xf numFmtId="0" fontId="52" fillId="0" borderId="58"/>
    <xf numFmtId="186" fontId="114" fillId="0" borderId="45"/>
    <xf numFmtId="9" fontId="149" fillId="0" borderId="86"/>
    <xf numFmtId="0" fontId="52" fillId="0" borderId="58"/>
    <xf numFmtId="179" fontId="149" fillId="0" borderId="31" applyProtection="1">
      <protection locked="0" hidden="0"/>
    </xf>
    <xf numFmtId="10" fontId="55" fillId="28" borderId="58"/>
    <xf numFmtId="10" fontId="55" fillId="28" borderId="58"/>
    <xf numFmtId="0" fontId="28" fillId="0" borderId="86" applyAlignment="1">
      <alignment horizontal="left" vertical="center"/>
    </xf>
    <xf numFmtId="179" fontId="149" fillId="0" borderId="31" applyProtection="1">
      <protection locked="0" hidden="0"/>
    </xf>
    <xf numFmtId="9" fontId="149" fillId="0" borderId="86"/>
    <xf numFmtId="211" fontId="31" fillId="0" borderId="41" applyAlignment="1">
      <alignment horizontal="centerContinuous"/>
    </xf>
    <xf numFmtId="10" fontId="55" fillId="28" borderId="58"/>
    <xf numFmtId="0" fontId="28" fillId="0" borderId="86" applyAlignment="1">
      <alignment horizontal="left" vertical="center"/>
    </xf>
    <xf numFmtId="9" fontId="14" fillId="0" borderId="86"/>
    <xf numFmtId="0" fontId="29" fillId="0" borderId="46"/>
    <xf numFmtId="0" fontId="52" fillId="0" borderId="58"/>
    <xf numFmtId="0" fontId="29" fillId="0" borderId="46"/>
    <xf numFmtId="186" fontId="114" fillId="0" borderId="45"/>
    <xf numFmtId="9" fontId="14" fillId="0" borderId="86"/>
    <xf numFmtId="10" fontId="55" fillId="28" borderId="58"/>
    <xf numFmtId="0" fontId="52" fillId="0" borderId="58"/>
    <xf numFmtId="211" fontId="31" fillId="0" borderId="41" applyAlignment="1">
      <alignment horizontal="centerContinuous"/>
    </xf>
    <xf numFmtId="9" fontId="14" fillId="0" borderId="86"/>
    <xf numFmtId="186" fontId="114" fillId="0" borderId="45"/>
    <xf numFmtId="0" fontId="52" fillId="0" borderId="58"/>
    <xf numFmtId="179" fontId="14" fillId="0" borderId="31" applyProtection="1">
      <protection locked="0" hidden="0"/>
    </xf>
    <xf numFmtId="0" fontId="52" fillId="0" borderId="58"/>
    <xf numFmtId="9" fontId="14" fillId="0" borderId="86"/>
    <xf numFmtId="179" fontId="14" fillId="0" borderId="31" applyProtection="1">
      <protection locked="0" hidden="0"/>
    </xf>
    <xf numFmtId="179" fontId="14" fillId="0" borderId="31" applyProtection="1">
      <protection locked="0" hidden="0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179" fontId="14" fillId="0" borderId="31" applyProtection="1">
      <protection locked="0" hidden="0"/>
    </xf>
    <xf numFmtId="0" fontId="52" fillId="0" borderId="58"/>
    <xf numFmtId="186" fontId="114" fillId="0" borderId="45"/>
    <xf numFmtId="9" fontId="14" fillId="0" borderId="86"/>
    <xf numFmtId="0" fontId="52" fillId="0" borderId="58"/>
    <xf numFmtId="211" fontId="31" fillId="0" borderId="41" applyAlignment="1">
      <alignment horizontal="centerContinuous"/>
    </xf>
    <xf numFmtId="186" fontId="114" fillId="0" borderId="45"/>
    <xf numFmtId="0" fontId="29" fillId="0" borderId="46"/>
    <xf numFmtId="211" fontId="31" fillId="0" borderId="41" applyAlignment="1">
      <alignment horizontal="centerContinuous"/>
    </xf>
    <xf numFmtId="9" fontId="14" fillId="0" borderId="86"/>
    <xf numFmtId="179" fontId="14" fillId="0" borderId="31" applyProtection="1">
      <protection locked="0" hidden="0"/>
    </xf>
    <xf numFmtId="9" fontId="14" fillId="0" borderId="86"/>
    <xf numFmtId="211" fontId="31" fillId="0" borderId="41" applyAlignment="1">
      <alignment horizontal="centerContinuous"/>
    </xf>
    <xf numFmtId="0" fontId="154" fillId="65" borderId="47"/>
    <xf numFmtId="0" fontId="161" fillId="52" borderId="47"/>
    <xf numFmtId="0" fontId="29" fillId="68" borderId="53"/>
    <xf numFmtId="0" fontId="164" fillId="65" borderId="54"/>
    <xf numFmtId="0" fontId="166" fillId="0" borderId="55"/>
    <xf numFmtId="0" fontId="154" fillId="65" borderId="47"/>
    <xf numFmtId="9" fontId="14" fillId="0" borderId="86"/>
    <xf numFmtId="0" fontId="29" fillId="0" borderId="27"/>
    <xf numFmtId="0" fontId="154" fillId="65" borderId="47"/>
    <xf numFmtId="0" fontId="154" fillId="65" borderId="47"/>
    <xf numFmtId="0" fontId="154" fillId="65" borderId="47"/>
    <xf numFmtId="0" fontId="161" fillId="52" borderId="47"/>
    <xf numFmtId="0" fontId="28" fillId="0" borderId="86" applyAlignment="1">
      <alignment horizontal="left" vertical="center"/>
    </xf>
    <xf numFmtId="0" fontId="14" fillId="68" borderId="53"/>
    <xf numFmtId="0" fontId="164" fillId="65" borderId="54"/>
    <xf numFmtId="0" fontId="29" fillId="68" borderId="53"/>
    <xf numFmtId="0" fontId="161" fillId="52" borderId="47"/>
    <xf numFmtId="0" fontId="154" fillId="65" borderId="47"/>
    <xf numFmtId="0" fontId="164" fillId="65" borderId="54"/>
    <xf numFmtId="0" fontId="164" fillId="65" borderId="54"/>
    <xf numFmtId="186" fontId="114" fillId="0" borderId="45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166" fillId="0" borderId="55"/>
    <xf numFmtId="0" fontId="161" fillId="52" borderId="47"/>
    <xf numFmtId="0" fontId="14" fillId="68" borderId="53"/>
    <xf numFmtId="0" fontId="164" fillId="65" borderId="54"/>
    <xf numFmtId="0" fontId="164" fillId="65" borderId="54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186" fontId="114" fillId="0" borderId="45"/>
    <xf numFmtId="0" fontId="28" fillId="0" borderId="5" applyAlignment="1">
      <alignment horizontal="left" vertical="center"/>
    </xf>
    <xf numFmtId="9" fontId="14" fillId="0" borderId="5"/>
    <xf numFmtId="0" fontId="29" fillId="68" borderId="53"/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0" fontId="164" fillId="65" borderId="54"/>
    <xf numFmtId="186" fontId="114" fillId="0" borderId="45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86" fontId="114" fillId="0" borderId="45"/>
    <xf numFmtId="9" fontId="149" fillId="0" borderId="5"/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9" fontId="149" fillId="0" borderId="5"/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86" fontId="114" fillId="0" borderId="45"/>
    <xf numFmtId="0" fontId="28" fillId="0" borderId="5" applyAlignment="1">
      <alignment horizontal="left" vertical="center"/>
    </xf>
    <xf numFmtId="186" fontId="114" fillId="0" borderId="45"/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211" fontId="31" fillId="0" borderId="41" applyAlignment="1">
      <alignment horizontal="centerContinuous"/>
    </xf>
    <xf numFmtId="0" fontId="166" fillId="0" borderId="55"/>
    <xf numFmtId="186" fontId="114" fillId="0" borderId="45"/>
    <xf numFmtId="0" fontId="28" fillId="0" borderId="5" applyAlignment="1">
      <alignment horizontal="left" vertical="center"/>
    </xf>
    <xf numFmtId="186" fontId="114" fillId="0" borderId="45"/>
    <xf numFmtId="186" fontId="114" fillId="0" borderId="45"/>
    <xf numFmtId="186" fontId="114" fillId="0" borderId="45"/>
    <xf numFmtId="186" fontId="114" fillId="0" borderId="45"/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9" fontId="14" fillId="0" borderId="86"/>
    <xf numFmtId="0" fontId="28" fillId="0" borderId="86" applyAlignment="1">
      <alignment horizontal="left" vertical="center"/>
    </xf>
    <xf numFmtId="211" fontId="31" fillId="0" borderId="41" applyAlignment="1">
      <alignment horizontal="centerContinuous"/>
    </xf>
    <xf numFmtId="9" fontId="149" fillId="0" borderId="86"/>
    <xf numFmtId="0" fontId="28" fillId="0" borderId="86" applyAlignment="1">
      <alignment horizontal="left" vertical="center"/>
    </xf>
    <xf numFmtId="211" fontId="31" fillId="0" borderId="41" applyAlignment="1">
      <alignment horizontal="centerContinuous"/>
    </xf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28" fillId="0" borderId="86" applyAlignment="1">
      <alignment horizontal="left" vertical="center"/>
    </xf>
    <xf numFmtId="9" fontId="14" fillId="0" borderId="86"/>
    <xf numFmtId="211" fontId="31" fillId="0" borderId="41" applyAlignment="1">
      <alignment horizontal="centerContinuous"/>
    </xf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186" fontId="114" fillId="0" borderId="45"/>
    <xf numFmtId="9" fontId="149" fillId="0" borderId="86"/>
    <xf numFmtId="0" fontId="28" fillId="0" borderId="5" applyAlignment="1">
      <alignment horizontal="left" vertical="center"/>
    </xf>
    <xf numFmtId="9" fontId="149" fillId="0" borderId="86"/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28" fillId="0" borderId="86" applyAlignment="1">
      <alignment horizontal="left" vertical="center"/>
    </xf>
    <xf numFmtId="9" fontId="14" fillId="0" borderId="86"/>
    <xf numFmtId="0" fontId="28" fillId="0" borderId="86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86"/>
    <xf numFmtId="0" fontId="29" fillId="0" borderId="46"/>
    <xf numFmtId="0" fontId="28" fillId="0" borderId="86" applyAlignment="1">
      <alignment horizontal="left" vertical="center"/>
    </xf>
    <xf numFmtId="9" fontId="14" fillId="0" borderId="86"/>
    <xf numFmtId="211" fontId="31" fillId="0" borderId="41" applyAlignment="1">
      <alignment horizontal="centerContinuous"/>
    </xf>
    <xf numFmtId="9" fontId="14" fillId="0" borderId="86"/>
    <xf numFmtId="186" fontId="114" fillId="0" borderId="45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186" fontId="114" fillId="0" borderId="45"/>
    <xf numFmtId="9" fontId="149" fillId="0" borderId="86"/>
    <xf numFmtId="0" fontId="28" fillId="0" borderId="86" applyAlignment="1">
      <alignment horizontal="left" vertical="center"/>
    </xf>
    <xf numFmtId="9" fontId="149" fillId="0" borderId="86"/>
    <xf numFmtId="211" fontId="31" fillId="0" borderId="41" applyAlignment="1">
      <alignment horizontal="centerContinuous"/>
    </xf>
    <xf numFmtId="0" fontId="28" fillId="0" borderId="86" applyAlignment="1">
      <alignment horizontal="left" vertical="center"/>
    </xf>
    <xf numFmtId="0" fontId="28" fillId="0" borderId="5" applyAlignment="1">
      <alignment horizontal="left" vertical="center"/>
    </xf>
    <xf numFmtId="9" fontId="14" fillId="0" borderId="86"/>
    <xf numFmtId="0" fontId="29" fillId="0" borderId="46"/>
    <xf numFmtId="0" fontId="29" fillId="0" borderId="46"/>
    <xf numFmtId="186" fontId="114" fillId="0" borderId="45"/>
    <xf numFmtId="9" fontId="14" fillId="0" borderId="86"/>
    <xf numFmtId="211" fontId="31" fillId="0" borderId="41" applyAlignment="1">
      <alignment horizontal="centerContinuous"/>
    </xf>
    <xf numFmtId="9" fontId="14" fillId="0" borderId="86"/>
    <xf numFmtId="186" fontId="114" fillId="0" borderId="45"/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186" fontId="114" fillId="0" borderId="45"/>
    <xf numFmtId="9" fontId="14" fillId="0" borderId="86"/>
    <xf numFmtId="211" fontId="31" fillId="0" borderId="41" applyAlignment="1">
      <alignment horizontal="centerContinuous"/>
    </xf>
    <xf numFmtId="186" fontId="114" fillId="0" borderId="45"/>
    <xf numFmtId="0" fontId="29" fillId="0" borderId="46"/>
    <xf numFmtId="211" fontId="31" fillId="0" borderId="41" applyAlignment="1">
      <alignment horizontal="centerContinuous"/>
    </xf>
    <xf numFmtId="9" fontId="14" fillId="0" borderId="86"/>
    <xf numFmtId="9" fontId="14" fillId="0" borderId="86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86" fontId="114" fillId="0" borderId="45"/>
    <xf numFmtId="211" fontId="31" fillId="0" borderId="41" applyAlignment="1">
      <alignment horizontal="centerContinuous"/>
    </xf>
    <xf numFmtId="186" fontId="114" fillId="0" borderId="45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0" fontId="154" fillId="65" borderId="47"/>
    <xf numFmtId="186" fontId="114" fillId="0" borderId="45"/>
    <xf numFmtId="0" fontId="161" fillId="52" borderId="47"/>
    <xf numFmtId="0" fontId="29" fillId="68" borderId="53"/>
    <xf numFmtId="0" fontId="164" fillId="65" borderId="54"/>
    <xf numFmtId="186" fontId="114" fillId="0" borderId="45"/>
    <xf numFmtId="0" fontId="166" fillId="0" borderId="55"/>
    <xf numFmtId="0" fontId="154" fillId="65" borderId="47"/>
    <xf numFmtId="0" fontId="154" fillId="65" borderId="47"/>
    <xf numFmtId="0" fontId="166" fillId="0" borderId="55"/>
    <xf numFmtId="0" fontId="161" fillId="52" borderId="47"/>
    <xf numFmtId="0" fontId="154" fillId="65" borderId="47"/>
    <xf numFmtId="186" fontId="114" fillId="0" borderId="45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86" fontId="114" fillId="0" borderId="45"/>
    <xf numFmtId="186" fontId="114" fillId="0" borderId="45"/>
    <xf numFmtId="186" fontId="114" fillId="0" borderId="45"/>
    <xf numFmtId="186" fontId="114" fillId="0" borderId="45"/>
    <xf numFmtId="0" fontId="28" fillId="0" borderId="5" applyAlignment="1">
      <alignment horizontal="left" vertical="center"/>
    </xf>
    <xf numFmtId="186" fontId="114" fillId="0" borderId="45"/>
    <xf numFmtId="211" fontId="31" fillId="0" borderId="41" applyAlignment="1">
      <alignment horizontal="centerContinuous"/>
    </xf>
    <xf numFmtId="9" fontId="14" fillId="0" borderId="5"/>
    <xf numFmtId="0" fontId="29" fillId="0" borderId="46"/>
    <xf numFmtId="0" fontId="154" fillId="65" borderId="47"/>
    <xf numFmtId="0" fontId="154" fillId="65" borderId="47"/>
    <xf numFmtId="211" fontId="31" fillId="0" borderId="41" applyAlignment="1">
      <alignment horizontal="centerContinuous"/>
    </xf>
    <xf numFmtId="9" fontId="14" fillId="0" borderId="5"/>
    <xf numFmtId="0" fontId="154" fillId="65" borderId="47"/>
    <xf numFmtId="9" fontId="14" fillId="0" borderId="86"/>
    <xf numFmtId="186" fontId="114" fillId="0" borderId="45"/>
    <xf numFmtId="211" fontId="31" fillId="0" borderId="41" applyAlignment="1">
      <alignment horizontal="centerContinuous"/>
    </xf>
    <xf numFmtId="0" fontId="161" fillId="52" borderId="47"/>
    <xf numFmtId="0" fontId="28" fillId="0" borderId="5" applyAlignment="1">
      <alignment horizontal="left" vertical="center"/>
    </xf>
    <xf numFmtId="0" fontId="14" fillId="68" borderId="53"/>
    <xf numFmtId="0" fontId="164" fillId="65" borderId="54"/>
    <xf numFmtId="0" fontId="29" fillId="68" borderId="53"/>
    <xf numFmtId="0" fontId="161" fillId="52" borderId="47"/>
    <xf numFmtId="0" fontId="154" fillId="65" borderId="47"/>
    <xf numFmtId="0" fontId="164" fillId="65" borderId="54"/>
    <xf numFmtId="0" fontId="164" fillId="65" borderId="54"/>
    <xf numFmtId="186" fontId="114" fillId="0" borderId="45"/>
    <xf numFmtId="186" fontId="114" fillId="0" borderId="45"/>
    <xf numFmtId="211" fontId="31" fillId="0" borderId="41" applyAlignment="1">
      <alignment horizontal="centerContinuous"/>
    </xf>
    <xf numFmtId="186" fontId="114" fillId="0" borderId="45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166" fillId="0" borderId="55"/>
    <xf numFmtId="0" fontId="164" fillId="65" borderId="54"/>
    <xf numFmtId="0" fontId="29" fillId="68" borderId="53"/>
    <xf numFmtId="186" fontId="114" fillId="0" borderId="45"/>
    <xf numFmtId="0" fontId="161" fillId="52" borderId="47"/>
    <xf numFmtId="0" fontId="28" fillId="0" borderId="86" applyAlignment="1">
      <alignment horizontal="left" vertical="center"/>
    </xf>
    <xf numFmtId="0" fontId="14" fillId="68" borderId="53"/>
    <xf numFmtId="0" fontId="164" fillId="65" borderId="54"/>
    <xf numFmtId="0" fontId="164" fillId="65" borderId="54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161" fillId="52" borderId="47"/>
    <xf numFmtId="0" fontId="154" fillId="65" borderId="47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186" fontId="114" fillId="0" borderId="45"/>
    <xf numFmtId="186" fontId="114" fillId="0" borderId="45"/>
    <xf numFmtId="9" fontId="14" fillId="0" borderId="5"/>
    <xf numFmtId="0" fontId="29" fillId="0" borderId="46"/>
    <xf numFmtId="0" fontId="154" fillId="65" borderId="47"/>
    <xf numFmtId="0" fontId="154" fillId="65" borderId="47"/>
    <xf numFmtId="211" fontId="31" fillId="0" borderId="41" applyAlignment="1">
      <alignment horizontal="centerContinuous"/>
    </xf>
    <xf numFmtId="211" fontId="31" fillId="0" borderId="41" applyAlignment="1">
      <alignment horizontal="centerContinuous"/>
    </xf>
    <xf numFmtId="0" fontId="154" fillId="65" borderId="47"/>
    <xf numFmtId="211" fontId="31" fillId="0" borderId="41" applyAlignment="1">
      <alignment horizontal="centerContinuous"/>
    </xf>
    <xf numFmtId="186" fontId="114" fillId="0" borderId="45"/>
    <xf numFmtId="0" fontId="28" fillId="0" borderId="5" applyAlignment="1">
      <alignment horizontal="left" vertical="center"/>
    </xf>
    <xf numFmtId="0" fontId="161" fillId="52" borderId="47"/>
    <xf numFmtId="0" fontId="28" fillId="0" borderId="5" applyAlignment="1">
      <alignment horizontal="left" vertical="center"/>
    </xf>
    <xf numFmtId="0" fontId="14" fillId="68" borderId="53"/>
    <xf numFmtId="0" fontId="164" fillId="65" borderId="54"/>
    <xf numFmtId="0" fontId="29" fillId="68" borderId="53"/>
    <xf numFmtId="0" fontId="161" fillId="52" borderId="47"/>
    <xf numFmtId="0" fontId="154" fillId="65" borderId="47"/>
    <xf numFmtId="0" fontId="164" fillId="65" borderId="54"/>
    <xf numFmtId="0" fontId="164" fillId="65" borderId="54"/>
    <xf numFmtId="186" fontId="114" fillId="0" borderId="45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0" fontId="166" fillId="0" borderId="55"/>
    <xf numFmtId="0" fontId="161" fillId="52" borderId="47"/>
    <xf numFmtId="0" fontId="14" fillId="68" borderId="53"/>
    <xf numFmtId="0" fontId="164" fillId="65" borderId="54"/>
    <xf numFmtId="0" fontId="164" fillId="65" borderId="54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9" fontId="14" fillId="0" borderId="5"/>
    <xf numFmtId="0" fontId="29" fillId="0" borderId="46"/>
    <xf numFmtId="0" fontId="154" fillId="65" borderId="47"/>
    <xf numFmtId="0" fontId="154" fillId="65" borderId="47"/>
    <xf numFmtId="0" fontId="161" fillId="52" borderId="47"/>
    <xf numFmtId="0" fontId="28" fillId="0" borderId="5" applyAlignment="1">
      <alignment horizontal="left" vertical="center"/>
    </xf>
    <xf numFmtId="0" fontId="14" fillId="68" borderId="53"/>
    <xf numFmtId="0" fontId="164" fillId="65" borderId="54"/>
    <xf numFmtId="0" fontId="164" fillId="65" borderId="54"/>
    <xf numFmtId="186" fontId="114" fillId="0" borderId="45"/>
    <xf numFmtId="211" fontId="31" fillId="0" borderId="41" applyAlignment="1">
      <alignment horizontal="centerContinuous"/>
    </xf>
    <xf numFmtId="0" fontId="14" fillId="68" borderId="53" applyAlignment="1">
      <alignment vertical="center"/>
    </xf>
    <xf numFmtId="0" fontId="178" fillId="52" borderId="47" applyAlignment="1">
      <alignment vertical="center"/>
    </xf>
    <xf numFmtId="0" fontId="179" fillId="65" borderId="54" applyAlignment="1">
      <alignment vertical="center"/>
    </xf>
    <xf numFmtId="0" fontId="185" fillId="65" borderId="47" applyAlignment="1">
      <alignment vertical="center"/>
    </xf>
    <xf numFmtId="0" fontId="188" fillId="0" borderId="55" applyAlignment="1">
      <alignment vertical="center"/>
    </xf>
    <xf numFmtId="9" fontId="149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9" fontId="14" fillId="0" borderId="86"/>
    <xf numFmtId="0" fontId="28" fillId="0" borderId="86" applyAlignment="1">
      <alignment horizontal="left" vertical="center"/>
    </xf>
    <xf numFmtId="9" fontId="14" fillId="0" borderId="86"/>
    <xf numFmtId="0" fontId="28" fillId="0" borderId="86" applyAlignment="1">
      <alignment horizontal="left" vertical="center"/>
    </xf>
    <xf numFmtId="9" fontId="14" fillId="0" borderId="86"/>
    <xf numFmtId="9" fontId="149" fillId="0" borderId="86"/>
    <xf numFmtId="9" fontId="14" fillId="0" borderId="86"/>
    <xf numFmtId="0" fontId="28" fillId="0" borderId="86" applyAlignment="1">
      <alignment horizontal="left" vertical="center"/>
    </xf>
    <xf numFmtId="9" fontId="149" fillId="0" borderId="86"/>
    <xf numFmtId="9" fontId="149" fillId="0" borderId="86"/>
    <xf numFmtId="9" fontId="14" fillId="0" borderId="86"/>
    <xf numFmtId="9" fontId="14" fillId="0" borderId="86"/>
    <xf numFmtId="9" fontId="14" fillId="0" borderId="86"/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9" fontId="14" fillId="0" borderId="86"/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9" fontId="149" fillId="0" borderId="86"/>
    <xf numFmtId="9" fontId="14" fillId="0" borderId="86"/>
    <xf numFmtId="9" fontId="14" fillId="0" borderId="86"/>
    <xf numFmtId="9" fontId="14" fillId="0" borderId="86"/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9" fontId="149" fillId="0" borderId="86"/>
    <xf numFmtId="0" fontId="28" fillId="0" borderId="86" applyAlignment="1">
      <alignment horizontal="left" vertical="center"/>
    </xf>
    <xf numFmtId="9" fontId="14" fillId="0" borderId="86"/>
    <xf numFmtId="9" fontId="14" fillId="0" borderId="86"/>
    <xf numFmtId="0" fontId="28" fillId="0" borderId="86" applyAlignment="1">
      <alignment horizontal="left" vertical="center"/>
    </xf>
    <xf numFmtId="9" fontId="14" fillId="0" borderId="86"/>
    <xf numFmtId="9" fontId="14" fillId="0" borderId="86"/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9" fontId="14" fillId="0" borderId="86"/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9" fontId="14" fillId="0" borderId="86"/>
    <xf numFmtId="9" fontId="14" fillId="0" borderId="86"/>
    <xf numFmtId="9" fontId="14" fillId="0" borderId="86"/>
    <xf numFmtId="0" fontId="28" fillId="0" borderId="86" applyAlignment="1">
      <alignment horizontal="left" vertical="center"/>
    </xf>
    <xf numFmtId="0" fontId="28" fillId="0" borderId="86" applyAlignment="1">
      <alignment horizontal="left" vertical="center"/>
    </xf>
    <xf numFmtId="43" fontId="12" fillId="0" borderId="0"/>
    <xf numFmtId="0" fontId="4" fillId="0" borderId="0"/>
    <xf numFmtId="43" fontId="14" fillId="0" borderId="0"/>
    <xf numFmtId="0" fontId="12" fillId="0" borderId="0"/>
    <xf numFmtId="254" fontId="195" fillId="0" borderId="0"/>
    <xf numFmtId="0" fontId="12" fillId="0" borderId="0"/>
    <xf numFmtId="254" fontId="195" fillId="0" borderId="0"/>
    <xf numFmtId="9" fontId="4" fillId="0" borderId="0"/>
    <xf numFmtId="43" fontId="4" fillId="0" borderId="0"/>
    <xf numFmtId="0" fontId="12" fillId="0" borderId="0"/>
    <xf numFmtId="0" fontId="14" fillId="0" borderId="0"/>
    <xf numFmtId="252" fontId="149" fillId="0" borderId="0"/>
    <xf numFmtId="0" fontId="149" fillId="0" borderId="0"/>
    <xf numFmtId="176" fontId="12" fillId="0" borderId="0"/>
    <xf numFmtId="9" fontId="12" fillId="0" borderId="0"/>
    <xf numFmtId="0" fontId="196" fillId="0" borderId="0"/>
    <xf numFmtId="9" fontId="196" fillId="0" borderId="0"/>
    <xf numFmtId="37" fontId="197" fillId="0" borderId="0"/>
    <xf numFmtId="0" fontId="4" fillId="0" borderId="0"/>
    <xf numFmtId="9" fontId="4" fillId="0" borderId="0"/>
    <xf numFmtId="0" fontId="4" fillId="0" borderId="0"/>
    <xf numFmtId="0" fontId="14" fillId="0" borderId="0" applyAlignment="1">
      <alignment vertical="top"/>
    </xf>
    <xf numFmtId="176" fontId="4" fillId="0" borderId="0"/>
    <xf numFmtId="0" fontId="14" fillId="0" borderId="0"/>
    <xf numFmtId="0" fontId="150" fillId="0" borderId="0"/>
    <xf numFmtId="252" fontId="150" fillId="0" borderId="0"/>
    <xf numFmtId="43" fontId="4" fillId="0" borderId="0"/>
  </cellStyleXfs>
  <cellXfs count="552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0" applyAlignment="1" pivotButton="0" quotePrefix="0" xfId="0">
      <alignment horizontal="left"/>
    </xf>
    <xf numFmtId="9" fontId="0" fillId="0" borderId="1" pivotButton="0" quotePrefix="0" xfId="0"/>
    <xf numFmtId="9" fontId="0" fillId="0" borderId="0" pivotButton="0" quotePrefix="0" xfId="0"/>
    <xf numFmtId="3" fontId="0" fillId="0" borderId="1" pivotButton="0" quotePrefix="0" xfId="0"/>
    <xf numFmtId="3" fontId="1" fillId="0" borderId="1" pivotButton="0" quotePrefix="0" xfId="0"/>
    <xf numFmtId="3" fontId="0" fillId="0" borderId="0" pivotButton="0" quotePrefix="0" xfId="0"/>
    <xf numFmtId="164" fontId="0" fillId="0" borderId="1" pivotButton="0" quotePrefix="0" xfId="0"/>
    <xf numFmtId="3" fontId="3" fillId="4" borderId="1" applyAlignment="1" pivotButton="0" quotePrefix="0" xfId="0">
      <alignment horizontal="center"/>
    </xf>
    <xf numFmtId="9" fontId="6" fillId="0" borderId="1" pivotButton="0" quotePrefix="0" xfId="0"/>
    <xf numFmtId="0" fontId="6" fillId="0" borderId="0" pivotButton="0" quotePrefix="0" xfId="0"/>
    <xf numFmtId="3" fontId="0" fillId="0" borderId="3" pivotButton="0" quotePrefix="0" xfId="0"/>
    <xf numFmtId="3" fontId="7" fillId="0" borderId="2" pivotButton="0" quotePrefix="0" xfId="0"/>
    <xf numFmtId="9" fontId="7" fillId="0" borderId="2" pivotButton="0" quotePrefix="0" xfId="0"/>
    <xf numFmtId="0" fontId="9" fillId="0" borderId="1" applyAlignment="1" pivotButton="0" quotePrefix="0" xfId="0">
      <alignment horizontal="left" indent="2"/>
    </xf>
    <xf numFmtId="3" fontId="7" fillId="0" borderId="1" pivotButton="0" quotePrefix="0" xfId="0"/>
    <xf numFmtId="3" fontId="8" fillId="0" borderId="1" pivotButton="0" quotePrefix="0" xfId="0"/>
    <xf numFmtId="0" fontId="6" fillId="0" borderId="1" pivotButton="0" quotePrefix="0" xfId="0"/>
    <xf numFmtId="3" fontId="8" fillId="0" borderId="2" pivotButton="0" quotePrefix="0" xfId="0"/>
    <xf numFmtId="9" fontId="8" fillId="0" borderId="2" pivotButton="0" quotePrefix="0" xfId="0"/>
    <xf numFmtId="39" fontId="11" fillId="0" borderId="10" applyAlignment="1" pivotButton="0" quotePrefix="0" xfId="6">
      <alignment horizontal="right" vertical="center"/>
    </xf>
    <xf numFmtId="39" fontId="10" fillId="0" borderId="11" applyAlignment="1" pivotButton="0" quotePrefix="0" xfId="7">
      <alignment horizontal="right" vertical="center"/>
    </xf>
    <xf numFmtId="4" fontId="8" fillId="0" borderId="2" pivotButton="0" quotePrefix="0" xfId="0"/>
    <xf numFmtId="0" fontId="8" fillId="0" borderId="2" applyAlignment="1" pivotButton="0" quotePrefix="0" xfId="0">
      <alignment horizontal="left" indent="3"/>
    </xf>
    <xf numFmtId="0" fontId="7" fillId="0" borderId="2" applyAlignment="1" pivotButton="0" quotePrefix="0" xfId="0">
      <alignment horizontal="left" indent="3"/>
    </xf>
    <xf numFmtId="9" fontId="9" fillId="0" borderId="1" applyAlignment="1" pivotButton="0" quotePrefix="0" xfId="0">
      <alignment horizontal="left" indent="5"/>
    </xf>
    <xf numFmtId="0" fontId="9" fillId="0" borderId="1" applyAlignment="1" pivotButton="0" quotePrefix="0" xfId="0">
      <alignment horizontal="left" indent="1"/>
    </xf>
    <xf numFmtId="9" fontId="13" fillId="0" borderId="1" pivotButton="0" quotePrefix="0" xfId="0"/>
    <xf numFmtId="0" fontId="7" fillId="7" borderId="1" pivotButton="0" quotePrefix="0" xfId="0"/>
    <xf numFmtId="3" fontId="7" fillId="7" borderId="1" pivotButton="0" quotePrefix="0" xfId="0"/>
    <xf numFmtId="3" fontId="7" fillId="7" borderId="2" pivotButton="0" quotePrefix="0" xfId="0"/>
    <xf numFmtId="9" fontId="7" fillId="7" borderId="2" pivotButton="0" quotePrefix="0" xfId="0"/>
    <xf numFmtId="0" fontId="8" fillId="7" borderId="1" pivotButton="0" quotePrefix="0" xfId="0"/>
    <xf numFmtId="3" fontId="8" fillId="7" borderId="1" pivotButton="0" quotePrefix="0" xfId="0"/>
    <xf numFmtId="3" fontId="8" fillId="7" borderId="2" pivotButton="0" quotePrefix="0" xfId="0"/>
    <xf numFmtId="9" fontId="8" fillId="7" borderId="2" pivotButton="0" quotePrefix="0" xfId="0"/>
    <xf numFmtId="3" fontId="1" fillId="0" borderId="1" applyAlignment="1" pivotButton="0" quotePrefix="0" xfId="0">
      <alignment horizontal="right"/>
    </xf>
    <xf numFmtId="3" fontId="9" fillId="0" borderId="1" pivotButton="0" quotePrefix="0" xfId="0"/>
    <xf numFmtId="3" fontId="6" fillId="0" borderId="1" pivotButton="0" quotePrefix="0" xfId="0"/>
    <xf numFmtId="0" fontId="1" fillId="0" borderId="0" applyAlignment="1" pivotButton="0" quotePrefix="0" xfId="0">
      <alignment horizontal="right"/>
    </xf>
    <xf numFmtId="3" fontId="3" fillId="0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8" borderId="4" pivotButton="0" quotePrefix="0" xfId="0"/>
    <xf numFmtId="9" fontId="0" fillId="8" borderId="6" pivotButton="0" quotePrefix="0" xfId="0"/>
    <xf numFmtId="0" fontId="0" fillId="8" borderId="0" pivotButton="0" quotePrefix="0" xfId="0"/>
    <xf numFmtId="9" fontId="1" fillId="8" borderId="6" pivotButton="0" quotePrefix="0" xfId="0"/>
    <xf numFmtId="0" fontId="1" fillId="8" borderId="0" pivotButton="0" quotePrefix="0" xfId="0"/>
    <xf numFmtId="37" fontId="0" fillId="0" borderId="0" pivotButton="0" quotePrefix="0" xfId="0"/>
    <xf numFmtId="37" fontId="0" fillId="0" borderId="1" pivotButton="0" quotePrefix="0" xfId="0"/>
    <xf numFmtId="37" fontId="1" fillId="0" borderId="1" pivotButton="0" quotePrefix="0" xfId="0"/>
    <xf numFmtId="9" fontId="1" fillId="0" borderId="1" pivotButton="0" quotePrefix="0" xfId="0"/>
    <xf numFmtId="9" fontId="0" fillId="0" borderId="3" pivotButton="0" quotePrefix="0" xfId="0"/>
    <xf numFmtId="9" fontId="1" fillId="0" borderId="3" pivotButton="0" quotePrefix="0" xfId="0"/>
    <xf numFmtId="10" fontId="6" fillId="0" borderId="1" pivotButton="0" quotePrefix="0" xfId="0"/>
    <xf numFmtId="3" fontId="5" fillId="2" borderId="1" applyAlignment="1" pivotButton="0" quotePrefix="0" xfId="0">
      <alignment horizontal="left"/>
    </xf>
    <xf numFmtId="0" fontId="10" fillId="5" borderId="7" pivotButton="0" quotePrefix="1" xfId="3"/>
    <xf numFmtId="0" fontId="11" fillId="6" borderId="7" pivotButton="0" quotePrefix="1" xfId="4"/>
    <xf numFmtId="165" fontId="11" fillId="0" borderId="10" applyAlignment="1" pivotButton="0" quotePrefix="0" xfId="6">
      <alignment horizontal="right" vertical="center"/>
    </xf>
    <xf numFmtId="165" fontId="11" fillId="0" borderId="14" applyAlignment="1" pivotButton="0" quotePrefix="0" xfId="6">
      <alignment horizontal="right" vertical="center"/>
    </xf>
    <xf numFmtId="37" fontId="11" fillId="0" borderId="10" applyAlignment="1" pivotButton="0" quotePrefix="0" xfId="6">
      <alignment horizontal="right" vertical="center"/>
    </xf>
    <xf numFmtId="37" fontId="11" fillId="0" borderId="14" applyAlignment="1" pivotButton="0" quotePrefix="0" xfId="6">
      <alignment horizontal="right" vertical="center"/>
    </xf>
    <xf numFmtId="37" fontId="11" fillId="0" borderId="12" applyAlignment="1" pivotButton="0" quotePrefix="0" xfId="6">
      <alignment horizontal="right" vertical="center"/>
    </xf>
    <xf numFmtId="37" fontId="11" fillId="0" borderId="15" applyAlignment="1" pivotButton="0" quotePrefix="0" xfId="6">
      <alignment horizontal="right" vertical="center"/>
    </xf>
    <xf numFmtId="0" fontId="10" fillId="5" borderId="9" pivotButton="0" quotePrefix="1" xfId="5"/>
    <xf numFmtId="165" fontId="10" fillId="0" borderId="11" applyAlignment="1" pivotButton="0" quotePrefix="0" xfId="7">
      <alignment horizontal="right" vertical="center"/>
    </xf>
    <xf numFmtId="37" fontId="10" fillId="0" borderId="11" applyAlignment="1" pivotButton="0" quotePrefix="0" xfId="7">
      <alignment horizontal="right" vertical="center"/>
    </xf>
    <xf numFmtId="37" fontId="10" fillId="0" borderId="13" applyAlignment="1" pivotButton="0" quotePrefix="0" xfId="7">
      <alignment horizontal="right" vertical="center"/>
    </xf>
    <xf numFmtId="9" fontId="0" fillId="0" borderId="3" pivotButton="0" quotePrefix="0" xfId="47"/>
    <xf numFmtId="166" fontId="9" fillId="0" borderId="1" applyAlignment="1" pivotButton="0" quotePrefix="0" xfId="0">
      <alignment horizontal="left" indent="5"/>
    </xf>
    <xf numFmtId="3" fontId="0" fillId="2" borderId="1" pivotButton="0" quotePrefix="0" xfId="0"/>
    <xf numFmtId="4" fontId="0" fillId="0" borderId="3" pivotButton="0" quotePrefix="0" xfId="0"/>
    <xf numFmtId="4" fontId="0" fillId="0" borderId="1" pivotButton="0" quotePrefix="0" xfId="0"/>
    <xf numFmtId="10" fontId="9" fillId="0" borderId="1" applyAlignment="1" pivotButton="0" quotePrefix="0" xfId="0">
      <alignment horizontal="left" indent="5"/>
    </xf>
    <xf numFmtId="0" fontId="0" fillId="24" borderId="0" pivotButton="0" quotePrefix="0" xfId="0"/>
    <xf numFmtId="165" fontId="0" fillId="24" borderId="0" pivotButton="0" quotePrefix="0" xfId="0"/>
    <xf numFmtId="37" fontId="0" fillId="24" borderId="0" pivotButton="0" quotePrefix="0" xfId="0"/>
    <xf numFmtId="4" fontId="0" fillId="24" borderId="0" pivotButton="0" quotePrefix="0" xfId="0"/>
    <xf numFmtId="165" fontId="1" fillId="24" borderId="0" pivotButton="0" quotePrefix="0" xfId="0"/>
    <xf numFmtId="165" fontId="1" fillId="24" borderId="0" applyAlignment="1" pivotButton="0" quotePrefix="0" xfId="0">
      <alignment horizontal="right"/>
    </xf>
    <xf numFmtId="4" fontId="8" fillId="0" borderId="1" pivotButton="0" quotePrefix="0" xfId="0"/>
    <xf numFmtId="165" fontId="1" fillId="24" borderId="0" applyAlignment="1" pivotButton="0" quotePrefix="0" xfId="0">
      <alignment horizontal="left"/>
    </xf>
    <xf numFmtId="0" fontId="1" fillId="24" borderId="0" applyAlignment="1" pivotButton="0" quotePrefix="0" xfId="0">
      <alignment horizontal="left"/>
    </xf>
    <xf numFmtId="37" fontId="1" fillId="24" borderId="0" applyAlignment="1" pivotButton="0" quotePrefix="0" xfId="0">
      <alignment horizontal="left"/>
    </xf>
    <xf numFmtId="166" fontId="1" fillId="24" borderId="0" applyAlignment="1" pivotButton="0" quotePrefix="0" xfId="0">
      <alignment horizontal="left"/>
    </xf>
    <xf numFmtId="0" fontId="11" fillId="5" borderId="7" applyAlignment="1" pivotButton="0" quotePrefix="1" xfId="3">
      <alignment horizontal="center"/>
    </xf>
    <xf numFmtId="3" fontId="8" fillId="2" borderId="2" pivotButton="0" quotePrefix="0" xfId="0"/>
    <xf numFmtId="37" fontId="1" fillId="0" borderId="0" pivotButton="0" quotePrefix="0" xfId="0"/>
    <xf numFmtId="9" fontId="6" fillId="0" borderId="0" pivotButton="0" quotePrefix="0" xfId="0"/>
    <xf numFmtId="3" fontId="11" fillId="0" borderId="14" applyAlignment="1" pivotButton="0" quotePrefix="0" xfId="6">
      <alignment horizontal="right" vertical="center"/>
    </xf>
    <xf numFmtId="4" fontId="0" fillId="0" borderId="0" pivotButton="0" quotePrefix="0" xfId="0"/>
    <xf numFmtId="4" fontId="7" fillId="7" borderId="1" pivotButton="0" quotePrefix="0" xfId="0"/>
    <xf numFmtId="164" fontId="0" fillId="0" borderId="0" pivotButton="0" quotePrefix="0" xfId="0"/>
    <xf numFmtId="3" fontId="10" fillId="0" borderId="11" applyAlignment="1" pivotButton="0" quotePrefix="0" xfId="7">
      <alignment horizontal="right" vertical="center"/>
    </xf>
    <xf numFmtId="37" fontId="11" fillId="81" borderId="10" applyAlignment="1" pivotButton="0" quotePrefix="0" xfId="6">
      <alignment horizontal="right" vertical="center"/>
    </xf>
    <xf numFmtId="37" fontId="10" fillId="81" borderId="11" applyAlignment="1" pivotButton="0" quotePrefix="0" xfId="7">
      <alignment horizontal="right" vertical="center"/>
    </xf>
    <xf numFmtId="3" fontId="11" fillId="81" borderId="10" applyAlignment="1" pivotButton="0" quotePrefix="0" xfId="6">
      <alignment horizontal="right" vertical="center"/>
    </xf>
    <xf numFmtId="3" fontId="10" fillId="81" borderId="11" applyAlignment="1" pivotButton="0" quotePrefix="0" xfId="7">
      <alignment horizontal="right" vertical="center"/>
    </xf>
    <xf numFmtId="37" fontId="190" fillId="0" borderId="10" applyAlignment="1" pivotButton="0" quotePrefix="0" xfId="6">
      <alignment horizontal="right" vertical="center"/>
    </xf>
    <xf numFmtId="37" fontId="190" fillId="81" borderId="10" applyAlignment="1" pivotButton="0" quotePrefix="0" xfId="6">
      <alignment horizontal="right" vertical="center"/>
    </xf>
    <xf numFmtId="3" fontId="11" fillId="0" borderId="0" applyAlignment="1" pivotButton="0" quotePrefix="0" xfId="6">
      <alignment horizontal="right" vertical="center"/>
    </xf>
    <xf numFmtId="9" fontId="1" fillId="0" borderId="1" pivotButton="0" quotePrefix="0" xfId="47"/>
    <xf numFmtId="4" fontId="11" fillId="6" borderId="7" pivotButton="0" quotePrefix="1" xfId="4"/>
    <xf numFmtId="4" fontId="11" fillId="0" borderId="10" applyAlignment="1" pivotButton="0" quotePrefix="0" xfId="6">
      <alignment horizontal="right" vertical="center"/>
    </xf>
    <xf numFmtId="166" fontId="13" fillId="0" borderId="1" pivotButton="0" quotePrefix="0" xfId="0"/>
    <xf numFmtId="10" fontId="13" fillId="0" borderId="1" pivotButton="0" quotePrefix="0" xfId="0"/>
    <xf numFmtId="4" fontId="0" fillId="8" borderId="0" pivotButton="0" quotePrefix="0" xfId="0"/>
    <xf numFmtId="166" fontId="6" fillId="0" borderId="1" pivotButton="0" quotePrefix="0" xfId="0"/>
    <xf numFmtId="10" fontId="8" fillId="7" borderId="2" pivotButton="0" quotePrefix="0" xfId="0"/>
    <xf numFmtId="10" fontId="7" fillId="7" borderId="2" pivotButton="0" quotePrefix="0" xfId="0"/>
    <xf numFmtId="3" fontId="191" fillId="82" borderId="1" pivotButton="0" quotePrefix="0" xfId="0"/>
    <xf numFmtId="3" fontId="191" fillId="82" borderId="6" pivotButton="0" quotePrefix="0" xfId="0"/>
    <xf numFmtId="166" fontId="6" fillId="0" borderId="1" pivotButton="0" quotePrefix="0" xfId="47"/>
    <xf numFmtId="166" fontId="13" fillId="0" borderId="1" pivotButton="0" quotePrefix="0" xfId="47"/>
    <xf numFmtId="10" fontId="6" fillId="0" borderId="1" pivotButton="0" quotePrefix="0" xfId="47"/>
    <xf numFmtId="0" fontId="0" fillId="0" borderId="0" applyAlignment="1" pivotButton="0" quotePrefix="0" xfId="0">
      <alignment vertical="top"/>
    </xf>
    <xf numFmtId="0" fontId="0" fillId="0" borderId="59" pivotButton="0" quotePrefix="0" xfId="0"/>
    <xf numFmtId="0" fontId="0" fillId="0" borderId="23" pivotButton="0" quotePrefix="0" xfId="0"/>
    <xf numFmtId="10" fontId="0" fillId="0" borderId="1" pivotButton="0" quotePrefix="0" xfId="47"/>
    <xf numFmtId="4" fontId="192" fillId="0" borderId="0" pivotButton="0" quotePrefix="0" xfId="0"/>
    <xf numFmtId="10" fontId="8" fillId="0" borderId="2" pivotButton="0" quotePrefix="0" xfId="0"/>
    <xf numFmtId="4" fontId="13" fillId="0" borderId="1" pivotButton="0" quotePrefix="0" xfId="0"/>
    <xf numFmtId="10" fontId="193" fillId="0" borderId="0" pivotButton="0" quotePrefix="0" xfId="47"/>
    <xf numFmtId="166" fontId="0" fillId="0" borderId="3" pivotButton="0" quotePrefix="0" xfId="0"/>
    <xf numFmtId="4" fontId="193" fillId="0" borderId="0" pivotButton="0" quotePrefix="0" xfId="47"/>
    <xf numFmtId="4" fontId="1" fillId="0" borderId="0" pivotButton="0" quotePrefix="0" xfId="0"/>
    <xf numFmtId="3" fontId="11" fillId="0" borderId="10" applyAlignment="1" pivotButton="0" quotePrefix="0" xfId="6">
      <alignment horizontal="right" vertical="center"/>
    </xf>
    <xf numFmtId="4" fontId="194" fillId="83" borderId="0" applyAlignment="1" pivotButton="0" quotePrefix="0" xfId="47">
      <alignment horizontal="center"/>
    </xf>
    <xf numFmtId="166" fontId="0" fillId="0" borderId="1" pivotButton="0" quotePrefix="0" xfId="47"/>
    <xf numFmtId="166" fontId="0" fillId="0" borderId="1" pivotButton="0" quotePrefix="0" xfId="0"/>
    <xf numFmtId="166" fontId="1" fillId="0" borderId="1" pivotButton="0" quotePrefix="0" xfId="0"/>
    <xf numFmtId="10" fontId="0" fillId="0" borderId="3" pivotButton="0" quotePrefix="0" xfId="47"/>
    <xf numFmtId="167" fontId="0" fillId="0" borderId="0" pivotButton="0" quotePrefix="0" xfId="0"/>
    <xf numFmtId="39" fontId="11" fillId="0" borderId="0" applyAlignment="1" pivotButton="0" quotePrefix="0" xfId="6">
      <alignment horizontal="right" vertical="center"/>
    </xf>
    <xf numFmtId="37" fontId="11" fillId="0" borderId="60" applyAlignment="1" pivotButton="0" quotePrefix="0" xfId="6">
      <alignment horizontal="right" vertical="center"/>
    </xf>
    <xf numFmtId="3" fontId="1" fillId="0" borderId="0" pivotButton="0" quotePrefix="0" xfId="0"/>
    <xf numFmtId="164" fontId="11" fillId="0" borderId="10" applyAlignment="1" pivotButton="0" quotePrefix="0" xfId="6">
      <alignment horizontal="right" vertical="center"/>
    </xf>
    <xf numFmtId="164" fontId="11" fillId="0" borderId="10" applyAlignment="1" pivotButton="0" quotePrefix="0" xfId="1929">
      <alignment horizontal="right" vertical="center"/>
    </xf>
    <xf numFmtId="10" fontId="0" fillId="0" borderId="1" pivotButton="0" quotePrefix="0" xfId="0"/>
    <xf numFmtId="10" fontId="1" fillId="0" borderId="1" pivotButton="0" quotePrefix="0" xfId="0"/>
    <xf numFmtId="37" fontId="6" fillId="0" borderId="0" pivotButton="0" quotePrefix="0" xfId="0"/>
    <xf numFmtId="10" fontId="0" fillId="0" borderId="0" pivotButton="0" quotePrefix="0" xfId="0"/>
    <xf numFmtId="0" fontId="198" fillId="24" borderId="0" applyAlignment="1" pivotButton="0" quotePrefix="0" xfId="0">
      <alignment horizontal="center"/>
    </xf>
    <xf numFmtId="0" fontId="199" fillId="24" borderId="19" pivotButton="0" quotePrefix="0" xfId="0"/>
    <xf numFmtId="0" fontId="199" fillId="24" borderId="19" applyAlignment="1" pivotButton="0" quotePrefix="0" xfId="0">
      <alignment horizontal="center"/>
    </xf>
    <xf numFmtId="0" fontId="199" fillId="24" borderId="0" pivotButton="0" quotePrefix="0" xfId="0"/>
    <xf numFmtId="0" fontId="200" fillId="0" borderId="19" pivotButton="0" quotePrefix="0" xfId="0"/>
    <xf numFmtId="0" fontId="200" fillId="25" borderId="0" applyAlignment="1" pivotButton="0" quotePrefix="0" xfId="0">
      <alignment horizontal="center"/>
    </xf>
    <xf numFmtId="0" fontId="200" fillId="24" borderId="0" applyAlignment="1" pivotButton="0" quotePrefix="0" xfId="0">
      <alignment horizontal="center"/>
    </xf>
    <xf numFmtId="0" fontId="202" fillId="24" borderId="0" applyAlignment="1" pivotButton="0" quotePrefix="0" xfId="0">
      <alignment horizontal="center"/>
    </xf>
    <xf numFmtId="0" fontId="201" fillId="24" borderId="19" applyAlignment="1" pivotButton="0" quotePrefix="0" xfId="0">
      <alignment horizontal="center"/>
    </xf>
    <xf numFmtId="0" fontId="199" fillId="24" borderId="0" applyAlignment="1" pivotButton="0" quotePrefix="0" xfId="0">
      <alignment horizontal="center"/>
    </xf>
    <xf numFmtId="3" fontId="199" fillId="24" borderId="0" applyAlignment="1" pivotButton="0" quotePrefix="0" xfId="0">
      <alignment horizontal="center"/>
    </xf>
    <xf numFmtId="9" fontId="199" fillId="24" borderId="0" applyAlignment="1" pivotButton="0" quotePrefix="0" xfId="0">
      <alignment horizontal="center"/>
    </xf>
    <xf numFmtId="0" fontId="201" fillId="24" borderId="0" pivotButton="0" quotePrefix="0" xfId="0"/>
    <xf numFmtId="168" fontId="199" fillId="24" borderId="0" applyAlignment="1" pivotButton="0" quotePrefix="0" xfId="0">
      <alignment horizontal="right"/>
    </xf>
    <xf numFmtId="166" fontId="199" fillId="24" borderId="0" applyAlignment="1" pivotButton="0" quotePrefix="0" xfId="0">
      <alignment horizontal="center"/>
    </xf>
    <xf numFmtId="9" fontId="199" fillId="24" borderId="0" applyAlignment="1" pivotButton="0" quotePrefix="0" xfId="47">
      <alignment horizontal="right"/>
    </xf>
    <xf numFmtId="3" fontId="199" fillId="24" borderId="0" pivotButton="0" quotePrefix="0" xfId="0"/>
    <xf numFmtId="168" fontId="199" fillId="24" borderId="0" applyAlignment="1" pivotButton="0" quotePrefix="0" xfId="0">
      <alignment horizontal="center"/>
    </xf>
    <xf numFmtId="166" fontId="203" fillId="24" borderId="0" applyAlignment="1" pivotButton="0" quotePrefix="0" xfId="0">
      <alignment horizontal="center"/>
    </xf>
    <xf numFmtId="37" fontId="199" fillId="24" borderId="0" pivotButton="0" quotePrefix="0" xfId="0"/>
    <xf numFmtId="169" fontId="199" fillId="24" borderId="0" applyAlignment="1" pivotButton="0" quotePrefix="0" xfId="0">
      <alignment horizontal="right"/>
    </xf>
    <xf numFmtId="10" fontId="199" fillId="24" borderId="0" applyAlignment="1" pivotButton="0" quotePrefix="0" xfId="0">
      <alignment horizontal="right"/>
    </xf>
    <xf numFmtId="166" fontId="199" fillId="24" borderId="0" pivotButton="0" quotePrefix="0" xfId="0"/>
    <xf numFmtId="0" fontId="201" fillId="24" borderId="19" pivotButton="0" quotePrefix="0" xfId="0"/>
    <xf numFmtId="168" fontId="199" fillId="24" borderId="19" applyAlignment="1" pivotButton="0" quotePrefix="0" xfId="0">
      <alignment horizontal="center"/>
    </xf>
    <xf numFmtId="166" fontId="203" fillId="24" borderId="19" applyAlignment="1" pivotButton="0" quotePrefix="0" xfId="0">
      <alignment horizontal="center"/>
    </xf>
    <xf numFmtId="2" fontId="199" fillId="24" borderId="0" pivotButton="0" quotePrefix="0" xfId="0"/>
    <xf numFmtId="168" fontId="199" fillId="24" borderId="0" pivotButton="0" quotePrefix="0" xfId="0"/>
    <xf numFmtId="168" fontId="199" fillId="24" borderId="19" applyAlignment="1" pivotButton="0" quotePrefix="0" xfId="0">
      <alignment horizontal="right"/>
    </xf>
    <xf numFmtId="0" fontId="199" fillId="24" borderId="20" pivotButton="0" quotePrefix="0" xfId="0"/>
    <xf numFmtId="0" fontId="199" fillId="24" borderId="20" applyAlignment="1" pivotButton="0" quotePrefix="0" xfId="0">
      <alignment horizontal="center"/>
    </xf>
    <xf numFmtId="4" fontId="199" fillId="24" borderId="0" pivotButton="0" quotePrefix="0" xfId="0"/>
    <xf numFmtId="10" fontId="199" fillId="24" borderId="0" pivotButton="0" quotePrefix="0" xfId="47"/>
    <xf numFmtId="166" fontId="199" fillId="24" borderId="19" applyAlignment="1" pivotButton="0" quotePrefix="0" xfId="0">
      <alignment horizontal="center"/>
    </xf>
    <xf numFmtId="9" fontId="199" fillId="24" borderId="0" pivotButton="0" quotePrefix="0" xfId="47"/>
    <xf numFmtId="166" fontId="204" fillId="24" borderId="0" applyAlignment="1" pivotButton="0" quotePrefix="0" xfId="0">
      <alignment horizontal="center"/>
    </xf>
    <xf numFmtId="166" fontId="199" fillId="24" borderId="0" applyAlignment="1" pivotButton="0" quotePrefix="0" xfId="0">
      <alignment horizontal="right"/>
    </xf>
    <xf numFmtId="9" fontId="199" fillId="24" borderId="0" pivotButton="0" quotePrefix="0" xfId="47"/>
    <xf numFmtId="166" fontId="204" fillId="24" borderId="19" applyAlignment="1" pivotButton="0" quotePrefix="0" xfId="0">
      <alignment horizontal="center"/>
    </xf>
    <xf numFmtId="166" fontId="203" fillId="24" borderId="19" applyAlignment="1" pivotButton="0" quotePrefix="0" xfId="47">
      <alignment horizontal="center"/>
    </xf>
    <xf numFmtId="170" fontId="199" fillId="24" borderId="0" applyAlignment="1" pivotButton="0" quotePrefix="0" xfId="0">
      <alignment horizontal="right"/>
    </xf>
    <xf numFmtId="170" fontId="199" fillId="24" borderId="0" applyAlignment="1" pivotButton="0" quotePrefix="0" xfId="0">
      <alignment horizontal="center"/>
    </xf>
    <xf numFmtId="170" fontId="199" fillId="24" borderId="19" applyAlignment="1" pivotButton="0" quotePrefix="0" xfId="0">
      <alignment horizontal="center"/>
    </xf>
    <xf numFmtId="166" fontId="204" fillId="24" borderId="19" applyAlignment="1" pivotButton="0" quotePrefix="0" xfId="47">
      <alignment horizontal="center"/>
    </xf>
    <xf numFmtId="170" fontId="199" fillId="24" borderId="19" applyAlignment="1" pivotButton="0" quotePrefix="0" xfId="0">
      <alignment horizontal="right"/>
    </xf>
    <xf numFmtId="170" fontId="199" fillId="24" borderId="0" pivotButton="0" quotePrefix="0" xfId="0"/>
    <xf numFmtId="3" fontId="201" fillId="24" borderId="19" applyAlignment="1" pivotButton="0" quotePrefix="0" xfId="0">
      <alignment horizontal="center"/>
    </xf>
    <xf numFmtId="9" fontId="201" fillId="24" borderId="19" applyAlignment="1" pivotButton="0" quotePrefix="0" xfId="0">
      <alignment horizontal="center"/>
    </xf>
    <xf numFmtId="9" fontId="201" fillId="24" borderId="0" applyAlignment="1" pivotButton="0" quotePrefix="0" xfId="0">
      <alignment horizontal="center"/>
    </xf>
    <xf numFmtId="0" fontId="205" fillId="24" borderId="0" applyAlignment="1" pivotButton="0" quotePrefix="0" xfId="0">
      <alignment horizontal="center"/>
    </xf>
    <xf numFmtId="3" fontId="201" fillId="24" borderId="0" applyAlignment="1" pivotButton="0" quotePrefix="0" xfId="0">
      <alignment horizontal="center"/>
    </xf>
    <xf numFmtId="0" fontId="201" fillId="24" borderId="0" applyAlignment="1" pivotButton="0" quotePrefix="0" xfId="0">
      <alignment horizontal="center"/>
    </xf>
    <xf numFmtId="9" fontId="199" fillId="24" borderId="19" applyAlignment="1" pivotButton="0" quotePrefix="0" xfId="0">
      <alignment horizontal="center"/>
    </xf>
    <xf numFmtId="0" fontId="198" fillId="24" borderId="0" applyAlignment="1" pivotButton="0" quotePrefix="0" xfId="0">
      <alignment horizontal="left"/>
    </xf>
    <xf numFmtId="9" fontId="199" fillId="24" borderId="0" applyAlignment="1" pivotButton="0" quotePrefix="0" xfId="0">
      <alignment horizontal="left"/>
    </xf>
    <xf numFmtId="9" fontId="199" fillId="24" borderId="19" applyAlignment="1" pivotButton="0" quotePrefix="0" xfId="0">
      <alignment horizontal="left"/>
    </xf>
    <xf numFmtId="9" fontId="201" fillId="24" borderId="0" applyAlignment="1" pivotButton="0" quotePrefix="0" xfId="0">
      <alignment horizontal="left"/>
    </xf>
    <xf numFmtId="0" fontId="199" fillId="24" borderId="0" applyAlignment="1" pivotButton="0" quotePrefix="0" xfId="0">
      <alignment horizontal="left"/>
    </xf>
    <xf numFmtId="3" fontId="199" fillId="24" borderId="0" applyAlignment="1" pivotButton="0" quotePrefix="0" xfId="0">
      <alignment horizontal="right"/>
    </xf>
    <xf numFmtId="3" fontId="199" fillId="24" borderId="19" applyAlignment="1" pivotButton="0" quotePrefix="0" xfId="0">
      <alignment horizontal="right"/>
    </xf>
    <xf numFmtId="0" fontId="199" fillId="24" borderId="61" pivotButton="0" quotePrefix="0" xfId="0"/>
    <xf numFmtId="9" fontId="199" fillId="24" borderId="61" applyAlignment="1" pivotButton="0" quotePrefix="0" xfId="0">
      <alignment horizontal="center"/>
    </xf>
    <xf numFmtId="0" fontId="199" fillId="24" borderId="61" applyAlignment="1" pivotButton="0" quotePrefix="0" xfId="0">
      <alignment horizontal="center"/>
    </xf>
    <xf numFmtId="0" fontId="206" fillId="24" borderId="0" applyAlignment="1" pivotButton="0" quotePrefix="0" xfId="0">
      <alignment horizontal="left"/>
    </xf>
    <xf numFmtId="0" fontId="207" fillId="24" borderId="0" applyAlignment="1" pivotButton="0" quotePrefix="0" xfId="0">
      <alignment horizontal="center" vertical="center"/>
    </xf>
    <xf numFmtId="0" fontId="207" fillId="24" borderId="19" applyAlignment="1" pivotButton="0" quotePrefix="0" xfId="0">
      <alignment horizontal="center" vertical="center"/>
    </xf>
    <xf numFmtId="9" fontId="199" fillId="24" borderId="61" applyAlignment="1" pivotButton="0" quotePrefix="0" xfId="0">
      <alignment horizontal="left"/>
    </xf>
    <xf numFmtId="3" fontId="199" fillId="24" borderId="61" applyAlignment="1" pivotButton="0" quotePrefix="0" xfId="0">
      <alignment horizontal="right"/>
    </xf>
    <xf numFmtId="0" fontId="206" fillId="84" borderId="0" applyAlignment="1" pivotButton="0" quotePrefix="0" xfId="0">
      <alignment horizontal="left"/>
    </xf>
    <xf numFmtId="0" fontId="207" fillId="84" borderId="0" applyAlignment="1" pivotButton="0" quotePrefix="0" xfId="0">
      <alignment horizontal="center" vertical="center"/>
    </xf>
    <xf numFmtId="0" fontId="205" fillId="85" borderId="0" applyAlignment="1" pivotButton="0" quotePrefix="0" xfId="0">
      <alignment horizontal="center"/>
    </xf>
    <xf numFmtId="0" fontId="200" fillId="85" borderId="0" applyAlignment="1" pivotButton="0" quotePrefix="0" xfId="0">
      <alignment horizontal="center"/>
    </xf>
    <xf numFmtId="0" fontId="201" fillId="84" borderId="19" pivotButton="0" quotePrefix="0" xfId="0"/>
    <xf numFmtId="0" fontId="207" fillId="84" borderId="19" applyAlignment="1" pivotButton="0" quotePrefix="0" xfId="0">
      <alignment horizontal="center" vertical="center"/>
    </xf>
    <xf numFmtId="0" fontId="199" fillId="84" borderId="62" pivotButton="0" quotePrefix="0" xfId="0"/>
    <xf numFmtId="3" fontId="199" fillId="84" borderId="62" applyAlignment="1" pivotButton="0" quotePrefix="0" xfId="0">
      <alignment horizontal="right"/>
    </xf>
    <xf numFmtId="0" fontId="199" fillId="84" borderId="64" applyAlignment="1" pivotButton="0" quotePrefix="0" xfId="0">
      <alignment horizontal="center"/>
    </xf>
    <xf numFmtId="3" fontId="199" fillId="84" borderId="64" applyAlignment="1" pivotButton="0" quotePrefix="0" xfId="0">
      <alignment horizontal="right"/>
    </xf>
    <xf numFmtId="9" fontId="199" fillId="84" borderId="64" applyAlignment="1" pivotButton="0" quotePrefix="0" xfId="0">
      <alignment horizontal="center"/>
    </xf>
    <xf numFmtId="9" fontId="199" fillId="85" borderId="0" applyAlignment="1" pivotButton="0" quotePrefix="0" xfId="0">
      <alignment horizontal="center"/>
    </xf>
    <xf numFmtId="9" fontId="199" fillId="84" borderId="0" applyAlignment="1" pivotButton="0" quotePrefix="0" xfId="0">
      <alignment horizontal="left"/>
    </xf>
    <xf numFmtId="3" fontId="199" fillId="84" borderId="0" applyAlignment="1" pivotButton="0" quotePrefix="0" xfId="0">
      <alignment horizontal="right"/>
    </xf>
    <xf numFmtId="0" fontId="199" fillId="84" borderId="0" pivotButton="0" quotePrefix="0" xfId="0"/>
    <xf numFmtId="9" fontId="199" fillId="84" borderId="0" applyAlignment="1" pivotButton="0" quotePrefix="0" xfId="0">
      <alignment horizontal="center"/>
    </xf>
    <xf numFmtId="0" fontId="199" fillId="84" borderId="0" applyAlignment="1" pivotButton="0" quotePrefix="0" xfId="0">
      <alignment horizontal="center"/>
    </xf>
    <xf numFmtId="9" fontId="199" fillId="84" borderId="19" applyAlignment="1" pivotButton="0" quotePrefix="0" xfId="0">
      <alignment horizontal="left"/>
    </xf>
    <xf numFmtId="3" fontId="199" fillId="84" borderId="19" applyAlignment="1" pivotButton="0" quotePrefix="0" xfId="0">
      <alignment horizontal="right"/>
    </xf>
    <xf numFmtId="0" fontId="201" fillId="84" borderId="63" pivotButton="0" quotePrefix="0" xfId="0"/>
    <xf numFmtId="3" fontId="201" fillId="84" borderId="63" applyAlignment="1" pivotButton="0" quotePrefix="0" xfId="0">
      <alignment horizontal="right"/>
    </xf>
    <xf numFmtId="0" fontId="201" fillId="84" borderId="65" applyAlignment="1" pivotButton="0" quotePrefix="0" xfId="0">
      <alignment horizontal="center"/>
    </xf>
    <xf numFmtId="3" fontId="201" fillId="84" borderId="65" applyAlignment="1" pivotButton="0" quotePrefix="0" xfId="0">
      <alignment horizontal="right"/>
    </xf>
    <xf numFmtId="9" fontId="201" fillId="85" borderId="0" applyAlignment="1" pivotButton="0" quotePrefix="0" xfId="0">
      <alignment horizontal="center"/>
    </xf>
    <xf numFmtId="9" fontId="201" fillId="24" borderId="19" applyAlignment="1" pivotButton="0" quotePrefix="0" xfId="0">
      <alignment horizontal="left"/>
    </xf>
    <xf numFmtId="4" fontId="201" fillId="24" borderId="19" applyAlignment="1" pivotButton="0" quotePrefix="0" xfId="0">
      <alignment horizontal="right"/>
    </xf>
    <xf numFmtId="9" fontId="199" fillId="24" borderId="61" applyAlignment="1" pivotButton="0" quotePrefix="0" xfId="0">
      <alignment horizontal="center" vertical="center"/>
    </xf>
    <xf numFmtId="9" fontId="199" fillId="24" borderId="0" applyAlignment="1" pivotButton="0" quotePrefix="0" xfId="0">
      <alignment horizontal="center" vertical="center"/>
    </xf>
    <xf numFmtId="9" fontId="199" fillId="24" borderId="19" applyAlignment="1" pivotButton="0" quotePrefix="0" xfId="0">
      <alignment horizontal="center" vertical="center"/>
    </xf>
    <xf numFmtId="9" fontId="201" fillId="24" borderId="19" applyAlignment="1" pivotButton="0" quotePrefix="0" xfId="0">
      <alignment horizontal="center" vertical="center"/>
    </xf>
    <xf numFmtId="4" fontId="201" fillId="24" borderId="0" applyAlignment="1" pivotButton="0" quotePrefix="0" xfId="0">
      <alignment horizontal="center"/>
    </xf>
    <xf numFmtId="4" fontId="199" fillId="24" borderId="0" applyAlignment="1" pivotButton="0" quotePrefix="0" xfId="0">
      <alignment horizontal="center"/>
    </xf>
    <xf numFmtId="166" fontId="201" fillId="84" borderId="65" applyAlignment="1" pivotButton="0" quotePrefix="0" xfId="0">
      <alignment horizontal="center"/>
    </xf>
    <xf numFmtId="2" fontId="0" fillId="0" borderId="0" pivotButton="0" quotePrefix="0" xfId="0"/>
    <xf numFmtId="4" fontId="201" fillId="24" borderId="0" applyAlignment="1" pivotButton="0" quotePrefix="0" xfId="0">
      <alignment horizontal="right"/>
    </xf>
    <xf numFmtId="0" fontId="201" fillId="24" borderId="19" applyAlignment="1" pivotButton="0" quotePrefix="0" xfId="0">
      <alignment horizontal="left"/>
    </xf>
    <xf numFmtId="0" fontId="208" fillId="84" borderId="19" applyAlignment="1" pivotButton="0" quotePrefix="0" xfId="0">
      <alignment horizontal="center" vertical="center"/>
    </xf>
    <xf numFmtId="9" fontId="208" fillId="24" borderId="61" applyAlignment="1" pivotButton="0" quotePrefix="0" xfId="0">
      <alignment horizontal="left"/>
    </xf>
    <xf numFmtId="0" fontId="208" fillId="24" borderId="19" applyAlignment="1" pivotButton="0" quotePrefix="0" xfId="0">
      <alignment horizontal="left"/>
    </xf>
    <xf numFmtId="0" fontId="207" fillId="84" borderId="19" applyAlignment="1" pivotButton="0" quotePrefix="0" xfId="0">
      <alignment horizontal="right" vertical="center"/>
    </xf>
    <xf numFmtId="0" fontId="208" fillId="84" borderId="19" applyAlignment="1" pivotButton="0" quotePrefix="0" xfId="0">
      <alignment horizontal="right" vertical="center"/>
    </xf>
    <xf numFmtId="9" fontId="199" fillId="24" borderId="0" applyAlignment="1" pivotButton="0" quotePrefix="0" xfId="47">
      <alignment horizontal="center"/>
    </xf>
    <xf numFmtId="9" fontId="199" fillId="84" borderId="64" applyAlignment="1" pivotButton="0" quotePrefix="0" xfId="47">
      <alignment horizontal="center"/>
    </xf>
    <xf numFmtId="9" fontId="199" fillId="84" borderId="0" applyAlignment="1" pivotButton="0" quotePrefix="0" xfId="47">
      <alignment horizontal="center"/>
    </xf>
    <xf numFmtId="9" fontId="201" fillId="24" borderId="19" applyAlignment="1" pivotButton="0" quotePrefix="0" xfId="47">
      <alignment horizontal="center"/>
    </xf>
    <xf numFmtId="9" fontId="201" fillId="84" borderId="65" applyAlignment="1" pivotButton="0" quotePrefix="0" xfId="47">
      <alignment horizontal="center"/>
    </xf>
    <xf numFmtId="9" fontId="201" fillId="84" borderId="65" applyAlignment="1" pivotButton="0" quotePrefix="0" xfId="0">
      <alignment horizontal="center"/>
    </xf>
    <xf numFmtId="0" fontId="201" fillId="84" borderId="0" pivotButton="0" quotePrefix="0" xfId="0"/>
    <xf numFmtId="0" fontId="207" fillId="84" borderId="65" applyAlignment="1" pivotButton="0" quotePrefix="0" xfId="0">
      <alignment horizontal="center" vertical="center"/>
    </xf>
    <xf numFmtId="9" fontId="201" fillId="24" borderId="61" applyAlignment="1" pivotButton="0" quotePrefix="0" xfId="0">
      <alignment horizontal="left"/>
    </xf>
    <xf numFmtId="9" fontId="199" fillId="84" borderId="19" applyAlignment="1" pivotButton="0" quotePrefix="0" xfId="0">
      <alignment horizontal="center"/>
    </xf>
    <xf numFmtId="9" fontId="201" fillId="84" borderId="0" applyAlignment="1" pivotButton="0" quotePrefix="0" xfId="0">
      <alignment horizontal="center"/>
    </xf>
    <xf numFmtId="9" fontId="201" fillId="84" borderId="19" applyAlignment="1" pivotButton="0" quotePrefix="0" xfId="0">
      <alignment horizontal="center"/>
    </xf>
    <xf numFmtId="9" fontId="203" fillId="84" borderId="0" applyAlignment="1" pivotButton="0" quotePrefix="0" xfId="0">
      <alignment horizontal="center"/>
    </xf>
    <xf numFmtId="9" fontId="203" fillId="84" borderId="19" applyAlignment="1" pivotButton="0" quotePrefix="0" xfId="0">
      <alignment horizontal="center"/>
    </xf>
    <xf numFmtId="0" fontId="206" fillId="84" borderId="0" applyAlignment="1" pivotButton="0" quotePrefix="0" xfId="0">
      <alignment horizontal="center"/>
    </xf>
    <xf numFmtId="166" fontId="7" fillId="7" borderId="2" pivotButton="0" quotePrefix="0" xfId="0"/>
    <xf numFmtId="4" fontId="6" fillId="0" borderId="0" pivotButton="0" quotePrefix="0" xfId="0"/>
    <xf numFmtId="10" fontId="7" fillId="0" borderId="0" pivotButton="0" quotePrefix="0" xfId="47"/>
    <xf numFmtId="166" fontId="201" fillId="24" borderId="19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4" fontId="3" fillId="3" borderId="0" applyAlignment="1" pivotButton="0" quotePrefix="0" xfId="0">
      <alignment horizontal="center"/>
    </xf>
    <xf numFmtId="1" fontId="3" fillId="3" borderId="0" applyAlignment="1" pivotButton="0" quotePrefix="0" xfId="0">
      <alignment horizontal="center"/>
    </xf>
    <xf numFmtId="14" fontId="1" fillId="0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" fontId="3" fillId="3" borderId="0" applyAlignment="1" pivotButton="0" quotePrefix="0" xfId="0">
      <alignment horizontal="left"/>
    </xf>
    <xf numFmtId="10" fontId="1" fillId="0" borderId="0" applyAlignment="1" pivotButton="0" quotePrefix="0" xfId="51">
      <alignment horizontal="left"/>
    </xf>
    <xf numFmtId="4" fontId="210" fillId="0" borderId="0" pivotButton="0" quotePrefix="0" xfId="0"/>
    <xf numFmtId="4" fontId="209" fillId="0" borderId="0" pivotButton="0" quotePrefix="0" xfId="0"/>
    <xf numFmtId="0" fontId="211" fillId="0" borderId="0" pivotButton="0" quotePrefix="0" xfId="0"/>
    <xf numFmtId="2" fontId="211" fillId="0" borderId="0" pivotButton="0" quotePrefix="0" xfId="0"/>
    <xf numFmtId="10" fontId="211" fillId="0" borderId="0" pivotButton="0" quotePrefix="0" xfId="47"/>
    <xf numFmtId="2" fontId="212" fillId="0" borderId="0" pivotButton="0" quotePrefix="0" xfId="0"/>
    <xf numFmtId="0" fontId="213" fillId="0" borderId="0" pivotButton="0" quotePrefix="0" xfId="0"/>
    <xf numFmtId="0" fontId="201" fillId="24" borderId="59" pivotButton="0" quotePrefix="0" xfId="0"/>
    <xf numFmtId="37" fontId="199" fillId="24" borderId="59" pivotButton="0" quotePrefix="0" xfId="0"/>
    <xf numFmtId="4" fontId="9" fillId="0" borderId="1" applyAlignment="1" pivotButton="0" quotePrefix="0" xfId="0">
      <alignment horizontal="left" indent="5"/>
    </xf>
    <xf numFmtId="166" fontId="199" fillId="84" borderId="0" applyAlignment="1" pivotButton="0" quotePrefix="0" xfId="0">
      <alignment horizontal="center"/>
    </xf>
    <xf numFmtId="166" fontId="199" fillId="84" borderId="19" applyAlignment="1" pivotButton="0" quotePrefix="0" xfId="0">
      <alignment horizontal="center"/>
    </xf>
    <xf numFmtId="4" fontId="6" fillId="0" borderId="1" pivotButton="0" quotePrefix="0" xfId="0"/>
    <xf numFmtId="10" fontId="6" fillId="0" borderId="0" pivotButton="0" quotePrefix="0" xfId="0"/>
    <xf numFmtId="171" fontId="0" fillId="0" borderId="0" pivotButton="0" quotePrefix="0" xfId="1929"/>
    <xf numFmtId="4" fontId="0" fillId="0" borderId="0" pivotButton="0" quotePrefix="0" xfId="1929"/>
    <xf numFmtId="4" fontId="210" fillId="0" borderId="0" pivotButton="0" quotePrefix="0" xfId="1929"/>
    <xf numFmtId="0" fontId="0" fillId="0" borderId="24" pivotButton="0" quotePrefix="0" xfId="0"/>
    <xf numFmtId="0" fontId="0" fillId="0" borderId="3" pivotButton="0" quotePrefix="0" xfId="0"/>
    <xf numFmtId="4" fontId="0" fillId="0" borderId="24" pivotButton="0" quotePrefix="0" xfId="0"/>
    <xf numFmtId="4" fontId="1" fillId="0" borderId="1" pivotButton="0" quotePrefix="0" xfId="0"/>
    <xf numFmtId="171" fontId="13" fillId="0" borderId="1" pivotButton="0" quotePrefix="0" xfId="1929"/>
    <xf numFmtId="4" fontId="210" fillId="2" borderId="0" pivotButton="0" quotePrefix="0" xfId="0"/>
    <xf numFmtId="4" fontId="0" fillId="2" borderId="0" pivotButton="0" quotePrefix="0" xfId="0"/>
    <xf numFmtId="0" fontId="0" fillId="2" borderId="0" pivotButton="0" quotePrefix="0" xfId="0"/>
    <xf numFmtId="4" fontId="209" fillId="2" borderId="0" pivotButton="0" quotePrefix="0" xfId="0"/>
    <xf numFmtId="0" fontId="210" fillId="2" borderId="0" pivotButton="0" quotePrefix="0" xfId="0"/>
    <xf numFmtId="10" fontId="7" fillId="0" borderId="2" pivotButton="0" quotePrefix="0" xfId="47"/>
    <xf numFmtId="171" fontId="0" fillId="0" borderId="0" pivotButton="0" quotePrefix="0" xfId="0"/>
    <xf numFmtId="2" fontId="214" fillId="0" borderId="0" pivotButton="0" quotePrefix="0" xfId="0"/>
    <xf numFmtId="10" fontId="214" fillId="0" borderId="0" pivotButton="0" quotePrefix="0" xfId="47"/>
    <xf numFmtId="37" fontId="11" fillId="81" borderId="0" applyAlignment="1" pivotButton="0" quotePrefix="0" xfId="6">
      <alignment horizontal="right" vertical="center"/>
    </xf>
    <xf numFmtId="0" fontId="214" fillId="0" borderId="0" pivotButton="0" quotePrefix="0" xfId="0"/>
    <xf numFmtId="10" fontId="214" fillId="0" borderId="0" pivotButton="0" quotePrefix="0" xfId="0"/>
    <xf numFmtId="172" fontId="214" fillId="0" borderId="0" pivotButton="0" quotePrefix="0" xfId="1929"/>
    <xf numFmtId="4" fontId="214" fillId="0" borderId="0" pivotButton="0" quotePrefix="0" xfId="1929"/>
    <xf numFmtId="3" fontId="199" fillId="84" borderId="61" applyAlignment="1" pivotButton="0" quotePrefix="0" xfId="0">
      <alignment horizontal="right"/>
    </xf>
    <xf numFmtId="0" fontId="215" fillId="24" borderId="0" pivotButton="0" quotePrefix="0" xfId="0"/>
    <xf numFmtId="0" fontId="215" fillId="24" borderId="0" applyAlignment="1" pivotButton="0" quotePrefix="0" xfId="0">
      <alignment horizontal="center"/>
    </xf>
    <xf numFmtId="0" fontId="206" fillId="24" borderId="0" pivotButton="0" quotePrefix="0" xfId="0"/>
    <xf numFmtId="0" fontId="216" fillId="24" borderId="0" applyAlignment="1" pivotButton="0" quotePrefix="0" xfId="0">
      <alignment horizontal="center"/>
    </xf>
    <xf numFmtId="0" fontId="216" fillId="24" borderId="0" pivotButton="0" quotePrefix="0" xfId="0"/>
    <xf numFmtId="9" fontId="220" fillId="24" borderId="0" applyAlignment="1" pivotButton="0" quotePrefix="0" xfId="0">
      <alignment horizontal="center" vertical="center"/>
    </xf>
    <xf numFmtId="0" fontId="219" fillId="24" borderId="0" applyAlignment="1" pivotButton="0" quotePrefix="0" xfId="0">
      <alignment horizontal="center" vertical="center"/>
    </xf>
    <xf numFmtId="0" fontId="217" fillId="24" borderId="0" applyAlignment="1" pivotButton="0" quotePrefix="0" xfId="0">
      <alignment horizontal="center"/>
    </xf>
    <xf numFmtId="9" fontId="220" fillId="24" borderId="0" applyAlignment="1" pivotButton="0" quotePrefix="0" xfId="0">
      <alignment horizontal="center"/>
    </xf>
    <xf numFmtId="0" fontId="206" fillId="24" borderId="0" applyAlignment="1" pivotButton="0" quotePrefix="0" xfId="0">
      <alignment horizontal="center" vertical="center"/>
    </xf>
    <xf numFmtId="173" fontId="221" fillId="87" borderId="0" applyAlignment="1" applyProtection="1" pivotButton="0" quotePrefix="0" xfId="0">
      <alignment horizontal="centerContinuous" vertical="center" wrapText="1"/>
      <protection locked="0" hidden="0"/>
    </xf>
    <xf numFmtId="41" fontId="222" fillId="26" borderId="0" applyAlignment="1" pivotButton="0" quotePrefix="0" xfId="0">
      <alignment vertical="center" wrapText="1"/>
    </xf>
    <xf numFmtId="41" fontId="222" fillId="0" borderId="66" applyAlignment="1" pivotButton="0" quotePrefix="0" xfId="0">
      <alignment vertical="center" wrapText="1"/>
    </xf>
    <xf numFmtId="41" fontId="222" fillId="26" borderId="66" applyAlignment="1" pivotButton="0" quotePrefix="0" xfId="0">
      <alignment vertical="center" wrapText="1"/>
    </xf>
    <xf numFmtId="41" fontId="222" fillId="26" borderId="67" applyAlignment="1" pivotButton="0" quotePrefix="0" xfId="0">
      <alignment vertical="center" wrapText="1"/>
    </xf>
    <xf numFmtId="41" fontId="222" fillId="26" borderId="68" applyAlignment="1" pivotButton="0" quotePrefix="0" xfId="0">
      <alignment vertical="center" wrapText="1"/>
    </xf>
    <xf numFmtId="41" fontId="222" fillId="26" borderId="0" applyAlignment="1" applyProtection="1" pivotButton="0" quotePrefix="0" xfId="0">
      <alignment vertical="center" wrapText="1"/>
      <protection locked="0" hidden="0"/>
    </xf>
    <xf numFmtId="41" fontId="222" fillId="0" borderId="67" applyAlignment="1" pivotButton="0" quotePrefix="0" xfId="0">
      <alignment vertical="center" wrapText="1"/>
    </xf>
    <xf numFmtId="41" fontId="221" fillId="26" borderId="69" applyAlignment="1" pivotButton="0" quotePrefix="0" xfId="0">
      <alignment vertical="center" wrapText="1"/>
    </xf>
    <xf numFmtId="41" fontId="222" fillId="0" borderId="67" applyAlignment="1" pivotButton="0" quotePrefix="0" xfId="53">
      <alignment vertical="center" wrapText="1"/>
    </xf>
    <xf numFmtId="41" fontId="222" fillId="26" borderId="69" applyAlignment="1" pivotButton="0" quotePrefix="0" xfId="0">
      <alignment vertical="center" wrapText="1"/>
    </xf>
    <xf numFmtId="41" fontId="222" fillId="26" borderId="70" applyAlignment="1" pivotButton="0" quotePrefix="0" xfId="0">
      <alignment vertical="center" wrapText="1"/>
    </xf>
    <xf numFmtId="41" fontId="222" fillId="26" borderId="71" applyAlignment="1" pivotButton="0" quotePrefix="0" xfId="0">
      <alignment vertical="center" wrapText="1"/>
    </xf>
    <xf numFmtId="41" fontId="222" fillId="26" borderId="72" applyAlignment="1" pivotButton="0" quotePrefix="0" xfId="0">
      <alignment vertical="center" wrapText="1"/>
    </xf>
    <xf numFmtId="41" fontId="222" fillId="26" borderId="0" applyAlignment="1" applyProtection="1" pivotButton="0" quotePrefix="0" xfId="0">
      <alignment vertical="center"/>
      <protection locked="0" hidden="0"/>
    </xf>
    <xf numFmtId="3" fontId="222" fillId="87" borderId="0" applyAlignment="1" applyProtection="1" pivotButton="0" quotePrefix="0" xfId="0">
      <alignment vertical="center" wrapText="1"/>
      <protection locked="0" hidden="0"/>
    </xf>
    <xf numFmtId="3" fontId="221" fillId="26" borderId="73" applyAlignment="1" applyProtection="1" pivotButton="0" quotePrefix="0" xfId="0">
      <alignment vertical="center" wrapText="1"/>
      <protection locked="0" hidden="0"/>
    </xf>
    <xf numFmtId="3" fontId="222" fillId="26" borderId="0" applyAlignment="1" applyProtection="1" pivotButton="0" quotePrefix="0" xfId="0">
      <alignment vertical="center" wrapText="1"/>
      <protection locked="0" hidden="0"/>
    </xf>
    <xf numFmtId="3" fontId="222" fillId="26" borderId="74" applyAlignment="1" applyProtection="1" pivotButton="0" quotePrefix="0" xfId="0">
      <alignment vertical="center" wrapText="1"/>
      <protection locked="0" hidden="0"/>
    </xf>
    <xf numFmtId="3" fontId="222" fillId="26" borderId="75" applyAlignment="1" applyProtection="1" pivotButton="0" quotePrefix="0" xfId="0">
      <alignment vertical="center" wrapText="1"/>
      <protection locked="0" hidden="0"/>
    </xf>
    <xf numFmtId="3" fontId="222" fillId="26" borderId="76" applyAlignment="1" applyProtection="1" pivotButton="0" quotePrefix="0" xfId="0">
      <alignment vertical="center" wrapText="1"/>
      <protection locked="0" hidden="0"/>
    </xf>
    <xf numFmtId="3" fontId="222" fillId="26" borderId="77" applyAlignment="1" applyProtection="1" pivotButton="0" quotePrefix="0" xfId="0">
      <alignment vertical="center" wrapText="1"/>
      <protection locked="0" hidden="0"/>
    </xf>
    <xf numFmtId="3" fontId="224" fillId="26" borderId="74" applyAlignment="1" applyProtection="1" pivotButton="0" quotePrefix="0" xfId="0">
      <alignment vertical="center" wrapText="1"/>
      <protection locked="0" hidden="0"/>
    </xf>
    <xf numFmtId="3" fontId="221" fillId="26" borderId="78" applyAlignment="1" applyProtection="1" pivotButton="0" quotePrefix="0" xfId="0">
      <alignment vertical="center" wrapText="1"/>
      <protection locked="0" hidden="0"/>
    </xf>
    <xf numFmtId="3" fontId="221" fillId="26" borderId="79" applyAlignment="1" applyProtection="1" pivotButton="0" quotePrefix="0" xfId="0">
      <alignment vertical="center" wrapText="1"/>
      <protection locked="0" hidden="0"/>
    </xf>
    <xf numFmtId="3" fontId="224" fillId="26" borderId="78" applyAlignment="1" applyProtection="1" pivotButton="0" quotePrefix="0" xfId="0">
      <alignment vertical="center" wrapText="1"/>
      <protection locked="0" hidden="0"/>
    </xf>
    <xf numFmtId="3" fontId="222" fillId="26" borderId="80" applyAlignment="1" applyProtection="1" pivotButton="0" quotePrefix="0" xfId="0">
      <alignment vertical="center" wrapText="1"/>
      <protection locked="0" hidden="0"/>
    </xf>
    <xf numFmtId="3" fontId="222" fillId="26" borderId="81" applyAlignment="1" applyProtection="1" pivotButton="0" quotePrefix="0" xfId="0">
      <alignment vertical="center" wrapText="1"/>
      <protection locked="0" hidden="0"/>
    </xf>
    <xf numFmtId="3" fontId="222" fillId="26" borderId="82" applyAlignment="1" applyProtection="1" pivotButton="0" quotePrefix="0" xfId="0">
      <alignment vertical="center" wrapText="1"/>
      <protection locked="0" hidden="0"/>
    </xf>
    <xf numFmtId="0" fontId="222" fillId="26" borderId="0" applyAlignment="1" applyProtection="1" pivotButton="0" quotePrefix="0" xfId="0">
      <alignment vertical="center"/>
      <protection locked="0" hidden="0"/>
    </xf>
    <xf numFmtId="0" fontId="223" fillId="88" borderId="73" applyAlignment="1" applyProtection="1" pivotButton="0" quotePrefix="0" xfId="0">
      <alignment vertical="center"/>
      <protection locked="0" hidden="0"/>
    </xf>
    <xf numFmtId="41" fontId="215" fillId="24" borderId="0" pivotButton="0" quotePrefix="0" xfId="0"/>
    <xf numFmtId="0" fontId="206" fillId="24" borderId="27" pivotButton="0" quotePrefix="0" xfId="0"/>
    <xf numFmtId="0" fontId="206" fillId="24" borderId="19" pivotButton="0" quotePrefix="0" xfId="0"/>
    <xf numFmtId="0" fontId="218" fillId="25" borderId="0" pivotButton="0" quotePrefix="0" xfId="0"/>
    <xf numFmtId="0" fontId="218" fillId="25" borderId="0" applyAlignment="1" pivotButton="0" quotePrefix="0" xfId="0">
      <alignment horizontal="right"/>
    </xf>
    <xf numFmtId="41" fontId="215" fillId="24" borderId="27" applyAlignment="1" pivotButton="0" quotePrefix="0" xfId="0">
      <alignment horizontal="right"/>
    </xf>
    <xf numFmtId="41" fontId="215" fillId="24" borderId="0" applyAlignment="1" pivotButton="0" quotePrefix="0" xfId="0">
      <alignment horizontal="right"/>
    </xf>
    <xf numFmtId="41" fontId="215" fillId="24" borderId="19" applyAlignment="1" pivotButton="0" quotePrefix="0" xfId="0">
      <alignment horizontal="right"/>
    </xf>
    <xf numFmtId="43" fontId="215" fillId="24" borderId="0" pivotButton="0" quotePrefix="0" xfId="0"/>
    <xf numFmtId="0" fontId="218" fillId="25" borderId="0" applyAlignment="1" pivotButton="0" quotePrefix="0" xfId="0">
      <alignment horizontal="left"/>
    </xf>
    <xf numFmtId="0" fontId="225" fillId="86" borderId="0" applyAlignment="1" pivotButton="0" quotePrefix="0" xfId="0">
      <alignment horizontal="center" vertical="center"/>
    </xf>
    <xf numFmtId="0" fontId="226" fillId="86" borderId="0" applyAlignment="1" pivotButton="0" quotePrefix="0" xfId="0">
      <alignment horizontal="center" vertical="center"/>
    </xf>
    <xf numFmtId="0" fontId="227" fillId="24" borderId="0" applyAlignment="1" pivotButton="0" quotePrefix="0" xfId="0">
      <alignment horizontal="center"/>
    </xf>
    <xf numFmtId="0" fontId="227" fillId="24" borderId="0" pivotButton="0" quotePrefix="0" xfId="0"/>
    <xf numFmtId="0" fontId="228" fillId="25" borderId="0" applyAlignment="1" pivotButton="0" quotePrefix="0" xfId="0">
      <alignment horizontal="center"/>
    </xf>
    <xf numFmtId="0" fontId="227" fillId="25" borderId="83" pivotButton="0" quotePrefix="0" xfId="0"/>
    <xf numFmtId="0" fontId="227" fillId="25" borderId="0" pivotButton="0" quotePrefix="0" xfId="0"/>
    <xf numFmtId="0" fontId="227" fillId="25" borderId="84" pivotButton="0" quotePrefix="0" xfId="0"/>
    <xf numFmtId="0" fontId="229" fillId="25" borderId="0" applyAlignment="1" pivotButton="0" quotePrefix="0" xfId="0">
      <alignment horizontal="center"/>
    </xf>
    <xf numFmtId="0" fontId="230" fillId="25" borderId="0" applyAlignment="1" pivotButton="0" quotePrefix="0" xfId="0">
      <alignment horizontal="center" vertical="center"/>
    </xf>
    <xf numFmtId="0" fontId="228" fillId="25" borderId="0" applyAlignment="1" pivotButton="0" quotePrefix="0" xfId="0">
      <alignment horizontal="center" vertical="center"/>
    </xf>
    <xf numFmtId="0" fontId="2" fillId="24" borderId="0" pivotButton="0" quotePrefix="0" xfId="0"/>
    <xf numFmtId="0" fontId="2" fillId="24" borderId="0" applyAlignment="1" pivotButton="0" quotePrefix="0" xfId="0">
      <alignment horizontal="right" vertical="center"/>
    </xf>
    <xf numFmtId="3" fontId="227" fillId="24" borderId="0" applyAlignment="1" pivotButton="0" quotePrefix="0" xfId="0">
      <alignment horizontal="center" vertical="center"/>
    </xf>
    <xf numFmtId="166" fontId="227" fillId="24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9" fontId="2" fillId="24" borderId="0" applyAlignment="1" pivotButton="0" quotePrefix="0" xfId="0">
      <alignment horizontal="center" vertical="center"/>
    </xf>
    <xf numFmtId="0" fontId="231" fillId="25" borderId="0" applyAlignment="1" pivotButton="0" quotePrefix="0" xfId="0">
      <alignment horizontal="center"/>
    </xf>
    <xf numFmtId="9" fontId="227" fillId="24" borderId="0" applyAlignment="1" pivotButton="0" quotePrefix="0" xfId="0">
      <alignment horizontal="center"/>
    </xf>
    <xf numFmtId="0" fontId="227" fillId="25" borderId="84" applyAlignment="1" pivotButton="0" quotePrefix="0" xfId="0">
      <alignment horizontal="center"/>
    </xf>
    <xf numFmtId="0" fontId="230" fillId="24" borderId="0" applyAlignment="1" pivotButton="0" quotePrefix="0" xfId="0">
      <alignment horizontal="center" vertical="center"/>
    </xf>
    <xf numFmtId="0" fontId="228" fillId="24" borderId="0" applyAlignment="1" pivotButton="0" quotePrefix="0" xfId="0">
      <alignment horizontal="center"/>
    </xf>
    <xf numFmtId="0" fontId="228" fillId="24" borderId="0" applyAlignment="1" pivotButton="0" quotePrefix="0" xfId="0">
      <alignment horizontal="center" vertical="center"/>
    </xf>
    <xf numFmtId="0" fontId="231" fillId="24" borderId="0" applyAlignment="1" pivotButton="0" quotePrefix="0" xfId="0">
      <alignment horizontal="center"/>
    </xf>
    <xf numFmtId="0" fontId="2" fillId="24" borderId="0" applyAlignment="1" pivotButton="0" quotePrefix="0" xfId="0">
      <alignment horizontal="center"/>
    </xf>
    <xf numFmtId="9" fontId="2" fillId="24" borderId="0" applyAlignment="1" pivotButton="0" quotePrefix="0" xfId="0">
      <alignment horizontal="center"/>
    </xf>
    <xf numFmtId="0" fontId="227" fillId="25" borderId="0" applyAlignment="1" pivotButton="0" quotePrefix="0" xfId="0">
      <alignment horizontal="center"/>
    </xf>
    <xf numFmtId="10" fontId="2" fillId="24" borderId="0" applyAlignment="1" pivotButton="0" quotePrefix="0" xfId="0">
      <alignment horizontal="center"/>
    </xf>
    <xf numFmtId="10" fontId="227" fillId="24" borderId="0" applyAlignment="1" pivotButton="0" quotePrefix="0" xfId="0">
      <alignment horizontal="center"/>
    </xf>
    <xf numFmtId="10" fontId="9" fillId="0" borderId="1" pivotButton="0" quotePrefix="0" xfId="0"/>
    <xf numFmtId="10" fontId="7" fillId="0" borderId="2" pivotButton="0" quotePrefix="0" xfId="0"/>
    <xf numFmtId="166" fontId="8" fillId="0" borderId="2" pivotButton="0" quotePrefix="0" xfId="0"/>
    <xf numFmtId="10" fontId="1" fillId="0" borderId="1" pivotButton="0" quotePrefix="0" xfId="47"/>
    <xf numFmtId="0" fontId="229" fillId="25" borderId="0" applyAlignment="1" pivotButton="0" quotePrefix="1" xfId="0">
      <alignment horizontal="center"/>
    </xf>
    <xf numFmtId="9" fontId="0" fillId="0" borderId="0" pivotButton="0" quotePrefix="0" xfId="47"/>
    <xf numFmtId="10" fontId="0" fillId="0" borderId="0" pivotButton="0" quotePrefix="0" xfId="47"/>
    <xf numFmtId="4" fontId="7" fillId="0" borderId="0" pivotButton="0" quotePrefix="0" xfId="0"/>
    <xf numFmtId="9" fontId="227" fillId="24" borderId="0" applyAlignment="1" pivotButton="0" quotePrefix="0" xfId="47">
      <alignment horizontal="center" vertical="center"/>
    </xf>
    <xf numFmtId="4" fontId="227" fillId="24" borderId="0" pivotButton="0" quotePrefix="0" xfId="0"/>
    <xf numFmtId="41" fontId="222" fillId="26" borderId="85" applyAlignment="1" pivotButton="0" quotePrefix="0" xfId="0">
      <alignment vertical="center" wrapText="1"/>
    </xf>
    <xf numFmtId="41" fontId="221" fillId="26" borderId="86" applyAlignment="1" pivotButton="0" quotePrefix="0" xfId="0">
      <alignment vertical="center" wrapText="1"/>
    </xf>
    <xf numFmtId="3" fontId="1" fillId="8" borderId="86" pivotButton="0" quotePrefix="0" xfId="0"/>
    <xf numFmtId="9" fontId="1" fillId="8" borderId="86" pivotButton="0" quotePrefix="0" xfId="0"/>
    <xf numFmtId="3" fontId="0" fillId="8" borderId="86" pivotButton="0" quotePrefix="0" xfId="0"/>
    <xf numFmtId="174" fontId="0" fillId="8" borderId="86" pivotButton="0" quotePrefix="0" xfId="47"/>
    <xf numFmtId="10" fontId="0" fillId="8" borderId="86" pivotButton="0" quotePrefix="0" xfId="47"/>
    <xf numFmtId="0" fontId="215" fillId="24" borderId="86" pivotButton="0" quotePrefix="0" xfId="0"/>
    <xf numFmtId="0" fontId="206" fillId="24" borderId="86" applyAlignment="1" pivotButton="0" quotePrefix="0" xfId="0">
      <alignment horizontal="right"/>
    </xf>
    <xf numFmtId="41" fontId="221" fillId="26" borderId="57" applyAlignment="1" pivotButton="0" quotePrefix="0" xfId="0">
      <alignment vertical="center" wrapText="1"/>
    </xf>
    <xf numFmtId="41" fontId="216" fillId="24" borderId="0" pivotButton="0" quotePrefix="0" xfId="0"/>
    <xf numFmtId="41" fontId="232" fillId="26" borderId="0" applyAlignment="1" pivotButton="0" quotePrefix="0" xfId="0">
      <alignment vertical="center" wrapText="1"/>
    </xf>
    <xf numFmtId="41" fontId="233" fillId="24" borderId="27" applyAlignment="1" pivotButton="0" quotePrefix="0" xfId="0">
      <alignment horizontal="right"/>
    </xf>
    <xf numFmtId="41" fontId="233" fillId="24" borderId="0" applyAlignment="1" pivotButton="0" quotePrefix="0" xfId="0">
      <alignment horizontal="right"/>
    </xf>
    <xf numFmtId="41" fontId="233" fillId="24" borderId="19" applyAlignment="1" pivotButton="0" quotePrefix="0" xfId="0">
      <alignment horizontal="right"/>
    </xf>
    <xf numFmtId="41" fontId="233" fillId="24" borderId="0" pivotButton="0" quotePrefix="0" xfId="0"/>
    <xf numFmtId="3" fontId="227" fillId="24" borderId="0" pivotButton="0" quotePrefix="0" xfId="0"/>
    <xf numFmtId="10" fontId="227" fillId="24" borderId="0" pivotButton="0" quotePrefix="0" xfId="0"/>
    <xf numFmtId="41" fontId="223" fillId="88" borderId="57" applyAlignment="1" pivotButton="0" quotePrefix="0" xfId="0">
      <alignment vertical="center"/>
    </xf>
    <xf numFmtId="0" fontId="0" fillId="0" borderId="87" pivotButton="0" quotePrefix="0" xfId="0"/>
    <xf numFmtId="4" fontId="0" fillId="0" borderId="87" pivotButton="0" quotePrefix="0" xfId="0"/>
    <xf numFmtId="10" fontId="0" fillId="0" borderId="0" applyAlignment="1" pivotButton="0" quotePrefix="0" xfId="47">
      <alignment vertical="top"/>
    </xf>
    <xf numFmtId="10" fontId="0" fillId="0" borderId="23" pivotButton="0" quotePrefix="0" xfId="47"/>
    <xf numFmtId="0" fontId="2" fillId="24" borderId="0" applyAlignment="1" pivotButton="0" quotePrefix="0" xfId="0">
      <alignment horizontal="center"/>
    </xf>
    <xf numFmtId="0" fontId="227" fillId="24" borderId="0" applyAlignment="1" pivotButton="0" quotePrefix="0" xfId="0">
      <alignment horizontal="center"/>
    </xf>
    <xf numFmtId="0" fontId="228" fillId="25" borderId="83" applyAlignment="1" pivotButton="0" quotePrefix="0" xfId="0">
      <alignment horizontal="center" vertical="center"/>
    </xf>
    <xf numFmtId="0" fontId="227" fillId="0" borderId="84" applyAlignment="1" pivotButton="0" quotePrefix="0" xfId="0">
      <alignment horizontal="center" vertical="center"/>
    </xf>
    <xf numFmtId="0" fontId="228" fillId="24" borderId="0" applyAlignment="1" pivotButton="0" quotePrefix="0" xfId="0">
      <alignment horizontal="center" vertical="center" wrapText="1"/>
    </xf>
    <xf numFmtId="10" fontId="2" fillId="24" borderId="0" applyAlignment="1" pivotButton="0" quotePrefix="0" xfId="0">
      <alignment horizontal="center"/>
    </xf>
    <xf numFmtId="10" fontId="227" fillId="24" borderId="0" applyAlignment="1" pivotButton="0" quotePrefix="0" xfId="0">
      <alignment horizontal="center"/>
    </xf>
    <xf numFmtId="0" fontId="228" fillId="25" borderId="0" applyAlignment="1" pivotButton="0" quotePrefix="0" xfId="0">
      <alignment horizontal="center"/>
    </xf>
    <xf numFmtId="0" fontId="227" fillId="25" borderId="0" applyAlignment="1" pivotButton="0" quotePrefix="0" xfId="0">
      <alignment horizontal="center"/>
    </xf>
    <xf numFmtId="0" fontId="230" fillId="25" borderId="0" applyAlignment="1" pivotButton="0" quotePrefix="0" xfId="0">
      <alignment horizontal="center" vertical="center"/>
    </xf>
    <xf numFmtId="0" fontId="230" fillId="25" borderId="84" applyAlignment="1" pivotButton="0" quotePrefix="0" xfId="0">
      <alignment horizontal="center" vertical="center"/>
    </xf>
    <xf numFmtId="0" fontId="228" fillId="25" borderId="0" applyAlignment="1" pivotButton="0" quotePrefix="0" xfId="0">
      <alignment horizontal="center" vertical="center"/>
    </xf>
    <xf numFmtId="0" fontId="227" fillId="0" borderId="0" applyAlignment="1" pivotButton="0" quotePrefix="0" xfId="0">
      <alignment horizontal="center" vertical="center"/>
    </xf>
    <xf numFmtId="0" fontId="228" fillId="24" borderId="0" applyAlignment="1" pivotButton="0" quotePrefix="0" xfId="0">
      <alignment horizontal="center" vertical="center"/>
    </xf>
    <xf numFmtId="0" fontId="230" fillId="24" borderId="0" applyAlignment="1" pivotButton="0" quotePrefix="0" xfId="0">
      <alignment horizontal="center" vertical="center"/>
    </xf>
    <xf numFmtId="0" fontId="228" fillId="25" borderId="84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/>
    </xf>
    <xf numFmtId="3" fontId="3" fillId="3" borderId="4" applyAlignment="1" pivotButton="0" quotePrefix="0" xfId="0">
      <alignment horizontal="center"/>
    </xf>
    <xf numFmtId="3" fontId="3" fillId="3" borderId="6" applyAlignment="1" pivotButton="0" quotePrefix="0" xfId="0">
      <alignment horizontal="center"/>
    </xf>
    <xf numFmtId="0" fontId="207" fillId="24" borderId="0" applyAlignment="1" pivotButton="0" quotePrefix="0" xfId="0">
      <alignment horizontal="center" vertical="center"/>
    </xf>
    <xf numFmtId="0" fontId="200" fillId="0" borderId="19" applyAlignment="1" pivotButton="0" quotePrefix="0" xfId="0">
      <alignment horizontal="center"/>
    </xf>
    <xf numFmtId="0" fontId="200" fillId="25" borderId="0" applyAlignment="1" pivotButton="0" quotePrefix="0" xfId="0">
      <alignment horizontal="center"/>
    </xf>
    <xf numFmtId="0" fontId="207" fillId="84" borderId="0" applyAlignment="1" pivotButton="0" quotePrefix="0" xfId="0">
      <alignment horizontal="center" vertical="center"/>
    </xf>
    <xf numFmtId="14" fontId="3" fillId="3" borderId="4" applyAlignment="1" pivotButton="0" quotePrefix="0" xfId="0">
      <alignment horizontal="center"/>
    </xf>
    <xf numFmtId="14" fontId="3" fillId="3" borderId="86" applyAlignment="1" pivotButton="0" quotePrefix="0" xfId="0">
      <alignment horizontal="center"/>
    </xf>
    <xf numFmtId="14" fontId="3" fillId="3" borderId="6" applyAlignment="1" pivotButton="0" quotePrefix="0" xfId="0">
      <alignment horizontal="center"/>
    </xf>
    <xf numFmtId="14" fontId="3" fillId="3" borderId="57" applyAlignment="1" pivotButton="0" quotePrefix="0" xfId="0">
      <alignment horizontal="center"/>
    </xf>
    <xf numFmtId="0" fontId="228" fillId="25" borderId="88" applyAlignment="1" pivotButton="0" quotePrefix="0" xfId="0">
      <alignment horizontal="center" vertical="center"/>
    </xf>
    <xf numFmtId="0" fontId="0" fillId="0" borderId="84" pivotButton="0" quotePrefix="0" xfId="0"/>
    <xf numFmtId="166" fontId="227" fillId="24" borderId="0" applyAlignment="1" pivotButton="0" quotePrefix="0" xfId="0">
      <alignment horizontal="center" vertical="center"/>
    </xf>
    <xf numFmtId="0" fontId="0" fillId="0" borderId="83" pivotButton="0" quotePrefix="0" xfId="0"/>
    <xf numFmtId="3" fontId="3" fillId="3" borderId="1" applyAlignment="1" pivotButton="0" quotePrefix="0" xfId="0">
      <alignment horizontal="center"/>
    </xf>
    <xf numFmtId="0" fontId="0" fillId="0" borderId="6" pivotButton="0" quotePrefix="0" xfId="0"/>
    <xf numFmtId="164" fontId="0" fillId="0" borderId="1" pivotButton="0" quotePrefix="0" xfId="0"/>
    <xf numFmtId="166" fontId="7" fillId="7" borderId="2" pivotButton="0" quotePrefix="0" xfId="0"/>
    <xf numFmtId="166" fontId="8" fillId="0" borderId="2" pivotButton="0" quotePrefix="0" xfId="0"/>
    <xf numFmtId="166" fontId="6" fillId="0" borderId="1" pivotButton="0" quotePrefix="0" xfId="0"/>
    <xf numFmtId="166" fontId="13" fillId="0" borderId="1" pivotButton="0" quotePrefix="0" xfId="0"/>
    <xf numFmtId="166" fontId="0" fillId="0" borderId="3" pivotButton="0" quotePrefix="0" xfId="0"/>
    <xf numFmtId="166" fontId="9" fillId="0" borderId="1" applyAlignment="1" pivotButton="0" quotePrefix="0" xfId="0">
      <alignment horizontal="left" indent="5"/>
    </xf>
    <xf numFmtId="166" fontId="6" fillId="0" borderId="1" pivotButton="0" quotePrefix="0" xfId="47"/>
    <xf numFmtId="166" fontId="13" fillId="0" borderId="1" pivotButton="0" quotePrefix="0" xfId="47"/>
    <xf numFmtId="174" fontId="0" fillId="8" borderId="86" pivotButton="0" quotePrefix="0" xfId="47"/>
    <xf numFmtId="171" fontId="13" fillId="0" borderId="1" pivotButton="0" quotePrefix="0" xfId="1929"/>
    <xf numFmtId="166" fontId="0" fillId="0" borderId="1" pivotButton="0" quotePrefix="0" xfId="47"/>
    <xf numFmtId="0" fontId="0" fillId="0" borderId="19" pivotButton="0" quotePrefix="0" xfId="0"/>
    <xf numFmtId="168" fontId="199" fillId="24" borderId="0" applyAlignment="1" pivotButton="0" quotePrefix="0" xfId="0">
      <alignment horizontal="right"/>
    </xf>
    <xf numFmtId="166" fontId="199" fillId="24" borderId="0" applyAlignment="1" pivotButton="0" quotePrefix="0" xfId="0">
      <alignment horizontal="center"/>
    </xf>
    <xf numFmtId="168" fontId="199" fillId="24" borderId="0" applyAlignment="1" pivotButton="0" quotePrefix="0" xfId="0">
      <alignment horizontal="center"/>
    </xf>
    <xf numFmtId="166" fontId="203" fillId="24" borderId="0" applyAlignment="1" pivotButton="0" quotePrefix="0" xfId="0">
      <alignment horizontal="center"/>
    </xf>
    <xf numFmtId="169" fontId="199" fillId="24" borderId="0" applyAlignment="1" pivotButton="0" quotePrefix="0" xfId="0">
      <alignment horizontal="right"/>
    </xf>
    <xf numFmtId="166" fontId="199" fillId="24" borderId="0" pivotButton="0" quotePrefix="0" xfId="0"/>
    <xf numFmtId="168" fontId="199" fillId="24" borderId="19" applyAlignment="1" pivotButton="0" quotePrefix="0" xfId="0">
      <alignment horizontal="center"/>
    </xf>
    <xf numFmtId="166" fontId="203" fillId="24" borderId="19" applyAlignment="1" pivotButton="0" quotePrefix="0" xfId="0">
      <alignment horizontal="center"/>
    </xf>
    <xf numFmtId="168" fontId="199" fillId="24" borderId="0" pivotButton="0" quotePrefix="0" xfId="0"/>
    <xf numFmtId="168" fontId="199" fillId="24" borderId="19" applyAlignment="1" pivotButton="0" quotePrefix="0" xfId="0">
      <alignment horizontal="right"/>
    </xf>
    <xf numFmtId="166" fontId="201" fillId="84" borderId="65" applyAlignment="1" pivotButton="0" quotePrefix="0" xfId="0">
      <alignment horizontal="center"/>
    </xf>
    <xf numFmtId="166" fontId="199" fillId="84" borderId="0" applyAlignment="1" pivotButton="0" quotePrefix="0" xfId="0">
      <alignment horizontal="center"/>
    </xf>
    <xf numFmtId="166" fontId="199" fillId="84" borderId="19" applyAlignment="1" pivotButton="0" quotePrefix="0" xfId="0">
      <alignment horizontal="center"/>
    </xf>
    <xf numFmtId="166" fontId="199" fillId="24" borderId="19" applyAlignment="1" pivotButton="0" quotePrefix="0" xfId="0">
      <alignment horizontal="center"/>
    </xf>
    <xf numFmtId="166" fontId="204" fillId="24" borderId="0" applyAlignment="1" pivotButton="0" quotePrefix="0" xfId="0">
      <alignment horizontal="center"/>
    </xf>
    <xf numFmtId="166" fontId="199" fillId="24" borderId="0" applyAlignment="1" pivotButton="0" quotePrefix="0" xfId="0">
      <alignment horizontal="right"/>
    </xf>
    <xf numFmtId="166" fontId="204" fillId="24" borderId="19" applyAlignment="1" pivotButton="0" quotePrefix="0" xfId="0">
      <alignment horizontal="center"/>
    </xf>
    <xf numFmtId="166" fontId="203" fillId="24" borderId="19" applyAlignment="1" pivotButton="0" quotePrefix="0" xfId="47">
      <alignment horizontal="center"/>
    </xf>
    <xf numFmtId="170" fontId="199" fillId="24" borderId="0" applyAlignment="1" pivotButton="0" quotePrefix="0" xfId="0">
      <alignment horizontal="right"/>
    </xf>
    <xf numFmtId="170" fontId="199" fillId="24" borderId="0" applyAlignment="1" pivotButton="0" quotePrefix="0" xfId="0">
      <alignment horizontal="center"/>
    </xf>
    <xf numFmtId="170" fontId="199" fillId="24" borderId="19" applyAlignment="1" pivotButton="0" quotePrefix="0" xfId="0">
      <alignment horizontal="center"/>
    </xf>
    <xf numFmtId="166" fontId="204" fillId="24" borderId="19" applyAlignment="1" pivotButton="0" quotePrefix="0" xfId="47">
      <alignment horizontal="center"/>
    </xf>
    <xf numFmtId="170" fontId="199" fillId="24" borderId="19" applyAlignment="1" pivotButton="0" quotePrefix="0" xfId="0">
      <alignment horizontal="right"/>
    </xf>
    <xf numFmtId="170" fontId="199" fillId="24" borderId="0" pivotButton="0" quotePrefix="0" xfId="0"/>
    <xf numFmtId="166" fontId="201" fillId="24" borderId="19" applyAlignment="1" pivotButton="0" quotePrefix="0" xfId="0">
      <alignment horizontal="center" vertical="center"/>
    </xf>
    <xf numFmtId="165" fontId="0" fillId="24" borderId="0" pivotButton="0" quotePrefix="0" xfId="0"/>
    <xf numFmtId="165" fontId="1" fillId="24" borderId="0" applyAlignment="1" pivotButton="0" quotePrefix="0" xfId="0">
      <alignment horizontal="right"/>
    </xf>
    <xf numFmtId="165" fontId="1" fillId="24" borderId="0" applyAlignment="1" pivotButton="0" quotePrefix="0" xfId="0">
      <alignment horizontal="left"/>
    </xf>
    <xf numFmtId="165" fontId="1" fillId="24" borderId="0" pivotButton="0" quotePrefix="0" xfId="0"/>
    <xf numFmtId="165" fontId="11" fillId="0" borderId="14" applyAlignment="1" pivotButton="0" quotePrefix="0" xfId="6">
      <alignment horizontal="right" vertical="center"/>
    </xf>
    <xf numFmtId="166" fontId="1" fillId="24" borderId="0" applyAlignment="1" pivotButton="0" quotePrefix="0" xfId="0">
      <alignment horizontal="left"/>
    </xf>
    <xf numFmtId="165" fontId="11" fillId="0" borderId="10" applyAlignment="1" pivotButton="0" quotePrefix="0" xfId="6">
      <alignment horizontal="right" vertical="center"/>
    </xf>
    <xf numFmtId="14" fontId="3" fillId="3" borderId="1" applyAlignment="1" pivotButton="0" quotePrefix="0" xfId="0">
      <alignment horizontal="center"/>
    </xf>
    <xf numFmtId="0" fontId="0" fillId="0" borderId="5" pivotButton="0" quotePrefix="0" xfId="0"/>
    <xf numFmtId="166" fontId="0" fillId="0" borderId="1" pivotButton="0" quotePrefix="0" xfId="0"/>
    <xf numFmtId="166" fontId="1" fillId="0" borderId="1" pivotButton="0" quotePrefix="0" xfId="0"/>
    <xf numFmtId="173" fontId="221" fillId="87" borderId="0" applyAlignment="1" applyProtection="1" pivotButton="0" quotePrefix="0" xfId="0">
      <alignment horizontal="centerContinuous" vertical="center" wrapText="1"/>
      <protection locked="0" hidden="0"/>
    </xf>
    <xf numFmtId="41" fontId="221" fillId="26" borderId="86" applyAlignment="1" pivotButton="0" quotePrefix="0" xfId="0">
      <alignment vertical="center" wrapText="1"/>
    </xf>
    <xf numFmtId="41" fontId="215" fillId="24" borderId="0" pivotButton="0" quotePrefix="0" xfId="0"/>
    <xf numFmtId="41" fontId="215" fillId="24" borderId="27" applyAlignment="1" pivotButton="0" quotePrefix="0" xfId="0">
      <alignment horizontal="right"/>
    </xf>
    <xf numFmtId="41" fontId="233" fillId="24" borderId="27" applyAlignment="1" pivotButton="0" quotePrefix="0" xfId="0">
      <alignment horizontal="right"/>
    </xf>
    <xf numFmtId="41" fontId="222" fillId="26" borderId="0" applyAlignment="1" pivotButton="0" quotePrefix="0" xfId="0">
      <alignment vertical="center" wrapText="1"/>
    </xf>
    <xf numFmtId="41" fontId="215" fillId="24" borderId="0" applyAlignment="1" pivotButton="0" quotePrefix="0" xfId="0">
      <alignment horizontal="right"/>
    </xf>
    <xf numFmtId="41" fontId="233" fillId="24" borderId="0" applyAlignment="1" pivotButton="0" quotePrefix="0" xfId="0">
      <alignment horizontal="right"/>
    </xf>
    <xf numFmtId="41" fontId="222" fillId="26" borderId="85" applyAlignment="1" pivotButton="0" quotePrefix="0" xfId="0">
      <alignment vertical="center" wrapText="1"/>
    </xf>
    <xf numFmtId="43" fontId="215" fillId="24" borderId="0" pivotButton="0" quotePrefix="0" xfId="0"/>
    <xf numFmtId="41" fontId="222" fillId="0" borderId="66" applyAlignment="1" pivotButton="0" quotePrefix="0" xfId="0">
      <alignment vertical="center" wrapText="1"/>
    </xf>
    <xf numFmtId="41" fontId="222" fillId="26" borderId="66" applyAlignment="1" pivotButton="0" quotePrefix="0" xfId="0">
      <alignment vertical="center" wrapText="1"/>
    </xf>
    <xf numFmtId="41" fontId="222" fillId="26" borderId="67" applyAlignment="1" pivotButton="0" quotePrefix="0" xfId="0">
      <alignment vertical="center" wrapText="1"/>
    </xf>
    <xf numFmtId="41" fontId="222" fillId="26" borderId="68" applyAlignment="1" pivotButton="0" quotePrefix="0" xfId="0">
      <alignment vertical="center" wrapText="1"/>
    </xf>
    <xf numFmtId="41" fontId="215" fillId="24" borderId="19" applyAlignment="1" pivotButton="0" quotePrefix="0" xfId="0">
      <alignment horizontal="right"/>
    </xf>
    <xf numFmtId="41" fontId="233" fillId="24" borderId="19" applyAlignment="1" pivotButton="0" quotePrefix="0" xfId="0">
      <alignment horizontal="right"/>
    </xf>
    <xf numFmtId="41" fontId="222" fillId="26" borderId="0" applyAlignment="1" applyProtection="1" pivotButton="0" quotePrefix="0" xfId="0">
      <alignment vertical="center" wrapText="1"/>
      <protection locked="0" hidden="0"/>
    </xf>
    <xf numFmtId="41" fontId="233" fillId="24" borderId="0" pivotButton="0" quotePrefix="0" xfId="0"/>
    <xf numFmtId="41" fontId="222" fillId="0" borderId="67" applyAlignment="1" pivotButton="0" quotePrefix="0" xfId="0">
      <alignment vertical="center" wrapText="1"/>
    </xf>
    <xf numFmtId="41" fontId="221" fillId="26" borderId="69" applyAlignment="1" pivotButton="0" quotePrefix="0" xfId="0">
      <alignment vertical="center" wrapText="1"/>
    </xf>
    <xf numFmtId="41" fontId="222" fillId="0" borderId="67" applyAlignment="1" pivotButton="0" quotePrefix="0" xfId="53">
      <alignment vertical="center" wrapText="1"/>
    </xf>
    <xf numFmtId="41" fontId="221" fillId="26" borderId="57" applyAlignment="1" pivotButton="0" quotePrefix="0" xfId="0">
      <alignment vertical="center" wrapText="1"/>
    </xf>
    <xf numFmtId="41" fontId="222" fillId="26" borderId="69" applyAlignment="1" pivotButton="0" quotePrefix="0" xfId="0">
      <alignment vertical="center" wrapText="1"/>
    </xf>
    <xf numFmtId="41" fontId="222" fillId="26" borderId="70" applyAlignment="1" pivotButton="0" quotePrefix="0" xfId="0">
      <alignment vertical="center" wrapText="1"/>
    </xf>
    <xf numFmtId="41" fontId="222" fillId="26" borderId="71" applyAlignment="1" pivotButton="0" quotePrefix="0" xfId="0">
      <alignment vertical="center" wrapText="1"/>
    </xf>
    <xf numFmtId="41" fontId="222" fillId="26" borderId="72" applyAlignment="1" pivotButton="0" quotePrefix="0" xfId="0">
      <alignment vertical="center" wrapText="1"/>
    </xf>
    <xf numFmtId="41" fontId="232" fillId="26" borderId="0" applyAlignment="1" pivotButton="0" quotePrefix="0" xfId="0">
      <alignment vertical="center" wrapText="1"/>
    </xf>
    <xf numFmtId="41" fontId="222" fillId="26" borderId="0" applyAlignment="1" applyProtection="1" pivotButton="0" quotePrefix="0" xfId="0">
      <alignment vertical="center"/>
      <protection locked="0" hidden="0"/>
    </xf>
    <xf numFmtId="41" fontId="223" fillId="88" borderId="57" applyAlignment="1" pivotButton="0" quotePrefix="0" xfId="0">
      <alignment vertical="center"/>
    </xf>
    <xf numFmtId="41" fontId="216" fillId="24" borderId="0" pivotButton="0" quotePrefix="0" xfId="0"/>
    <xf numFmtId="171" fontId="0" fillId="0" borderId="0" pivotButton="0" quotePrefix="0" xfId="1929"/>
    <xf numFmtId="171" fontId="0" fillId="0" borderId="0" pivotButton="0" quotePrefix="0" xfId="0"/>
    <xf numFmtId="164" fontId="11" fillId="0" borderId="10" applyAlignment="1" pivotButton="0" quotePrefix="0" xfId="6">
      <alignment horizontal="right" vertical="center"/>
    </xf>
    <xf numFmtId="165" fontId="10" fillId="0" borderId="11" applyAlignment="1" pivotButton="0" quotePrefix="0" xfId="7">
      <alignment horizontal="right" vertical="center"/>
    </xf>
    <xf numFmtId="164" fontId="11" fillId="0" borderId="10" applyAlignment="1" pivotButton="0" quotePrefix="0" xfId="1929">
      <alignment horizontal="right" vertical="center"/>
    </xf>
    <xf numFmtId="172" fontId="214" fillId="0" borderId="0" pivotButton="0" quotePrefix="0" xfId="1929"/>
    <xf numFmtId="167" fontId="0" fillId="0" borderId="0" pivotButton="0" quotePrefix="0" xfId="0"/>
    <xf numFmtId="164" fontId="0" fillId="0" borderId="0" pivotButton="0" quotePrefix="0" xfId="0"/>
  </cellXfs>
  <cellStyles count="1956">
    <cellStyle name="Normal" xfId="0" builtinId="0"/>
    <cellStyle name="Normal 7" xfId="1"/>
    <cellStyle name="Normal 100" xfId="2"/>
    <cellStyle name="SAPDimensionCell" xfId="3"/>
    <cellStyle name="SAPMemberCell" xfId="4"/>
    <cellStyle name="SAPMemberTotalCell" xfId="5"/>
    <cellStyle name="SAPDataCell" xfId="6"/>
    <cellStyle name="SAPDataTotalCell" xfId="7"/>
    <cellStyle name="Standard 2" xfId="8"/>
    <cellStyle name="Dezimal 2" xfId="9"/>
    <cellStyle name="Normal 30 2" xfId="10"/>
    <cellStyle name="Comma 3" xfId="11"/>
    <cellStyle name="Normal 2 3" xfId="12"/>
    <cellStyle name="SAPGroupingFillCell" xfId="13"/>
    <cellStyle name="SAPEditableDataCell" xfId="14"/>
    <cellStyle name="SAPReadonlyDataCell" xfId="15"/>
    <cellStyle name="SAPLockedDataCell" xfId="16"/>
    <cellStyle name="SAPEditableDataTotalCell" xfId="17"/>
    <cellStyle name="SAPReadonlyDataTotalCell" xfId="18"/>
    <cellStyle name="SAPLockedDataTotalCell" xfId="19"/>
    <cellStyle name="SAPExceptionLevel1" xfId="20"/>
    <cellStyle name="SAPExceptionLevel2" xfId="21"/>
    <cellStyle name="SAPExceptionLevel3" xfId="22"/>
    <cellStyle name="SAPExceptionLevel4" xfId="23"/>
    <cellStyle name="SAPExceptionLevel5" xfId="24"/>
    <cellStyle name="SAPExceptionLevel6" xfId="25"/>
    <cellStyle name="SAPExceptionLevel7" xfId="26"/>
    <cellStyle name="SAPExceptionLevel8" xfId="27"/>
    <cellStyle name="SAPExceptionLevel9" xfId="28"/>
    <cellStyle name="SAPBorder" xfId="29"/>
    <cellStyle name="SAPDataRemoved" xfId="30"/>
    <cellStyle name="SAPError" xfId="31"/>
    <cellStyle name="SAPMessageText" xfId="32"/>
    <cellStyle name="SAPHierarchyCell0" xfId="33"/>
    <cellStyle name="SAPHierarchyCell1" xfId="34"/>
    <cellStyle name="SAPHierarchyCell2" xfId="35"/>
    <cellStyle name="SAPHierarchyCell3" xfId="36"/>
    <cellStyle name="SAPHierarchyCell4" xfId="37"/>
    <cellStyle name="SAPEmphasized" xfId="38"/>
    <cellStyle name="SAPEmphasizedTotal" xfId="39"/>
    <cellStyle name="SAPEmphasizedEditableDataCell" xfId="40"/>
    <cellStyle name="SAPEmphasizedEditableDataTotalCell" xfId="41"/>
    <cellStyle name="SAPEmphasizedReadonlyDataCell" xfId="42"/>
    <cellStyle name="SAPEmphasizedReadonlyDataTotalCell" xfId="43"/>
    <cellStyle name="SAPEmphasizedLockedDataCell" xfId="44"/>
    <cellStyle name="SAPEmphasizedLockedDataTotalCell" xfId="45"/>
    <cellStyle name="SAPFormula" xfId="46"/>
    <cellStyle name="Yüzde" xfId="47" builtinId="5"/>
    <cellStyle name="Normal 2" xfId="48"/>
    <cellStyle name="Comma 2" xfId="49"/>
    <cellStyle name="Comma 9" xfId="50"/>
    <cellStyle name="Percent 5" xfId="51"/>
    <cellStyle name="Standard_Bud_Hypload_2005_Werke_rev_30_11_2004_SW" xfId="52"/>
    <cellStyle name="Comma 3 2" xfId="53"/>
    <cellStyle name="Percent 2" xfId="54"/>
    <cellStyle name="Style 1" xfId="55"/>
    <cellStyle name="Comma 7" xfId="56"/>
    <cellStyle name="Currency 7" xfId="57"/>
    <cellStyle name="Hyperlink 3" xfId="58"/>
    <cellStyle name="Normal 5" xfId="59"/>
    <cellStyle name="Currency 2" xfId="60"/>
    <cellStyle name="Normal 2 5" xfId="61"/>
    <cellStyle name="Percent 3" xfId="62"/>
    <cellStyle name="$" xfId="63"/>
    <cellStyle name="$ &amp; ¢" xfId="64"/>
    <cellStyle name="%" xfId="65"/>
    <cellStyle name="%.00" xfId="66"/>
    <cellStyle name=".00()" xfId="67"/>
    <cellStyle name=";;;" xfId="68"/>
    <cellStyle name="_2+10 Securitization Forecast" xfId="69"/>
    <cellStyle name="_2008 AOP Securitization Forecast" xfId="70"/>
    <cellStyle name="_AR Available" xfId="71"/>
    <cellStyle name="_New Citi GM 30 Day" xfId="72"/>
    <cellStyle name="_New Securitization Forecast June2006" xfId="73"/>
    <cellStyle name="_Securitization Fcst" xfId="74"/>
    <cellStyle name="0" xfId="75"/>
    <cellStyle name="0 desetin" xfId="76"/>
    <cellStyle name="000" xfId="77"/>
    <cellStyle name="1 desetina" xfId="78"/>
    <cellStyle name="2 desetiny" xfId="79"/>
    <cellStyle name="3$" xfId="80"/>
    <cellStyle name="Accounting" xfId="81"/>
    <cellStyle name="AFE" xfId="82"/>
    <cellStyle name="Andre's Title" xfId="83"/>
    <cellStyle name="Arial 10" xfId="84"/>
    <cellStyle name="Arial 12" xfId="85"/>
    <cellStyle name="Aus $.00" xfId="86"/>
    <cellStyle name="BLACK" xfId="87"/>
    <cellStyle name="Blue" xfId="88"/>
    <cellStyle name="blue currency" xfId="89"/>
    <cellStyle name="BLUE date" xfId="90"/>
    <cellStyle name="blue$00" xfId="91"/>
    <cellStyle name="BLUE_BLT_6_51" xfId="92"/>
    <cellStyle name="Body" xfId="93"/>
    <cellStyle name="bold big" xfId="94"/>
    <cellStyle name="Border" xfId="95"/>
    <cellStyle name="Border Heavy" xfId="96"/>
    <cellStyle name="Border Thin" xfId="97"/>
    <cellStyle name="Border, Bottom" xfId="98"/>
    <cellStyle name="Border, Left" xfId="99"/>
    <cellStyle name="Border, Right" xfId="100"/>
    <cellStyle name="Border, Top" xfId="101"/>
    <cellStyle name="Border_2+10 Securitization Forecast" xfId="102"/>
    <cellStyle name="British Pound" xfId="103"/>
    <cellStyle name="bullet" xfId="104"/>
    <cellStyle name="Business Description" xfId="105"/>
    <cellStyle name="C" xfId="106"/>
    <cellStyle name="Calc Currency (0)" xfId="107"/>
    <cellStyle name="Calculated" xfId="108"/>
    <cellStyle name="čárky [0]_SBP03-Meeting702_Schedules - 612-02.xls graf 3" xfId="109"/>
    <cellStyle name="Case" xfId="110"/>
    <cellStyle name="Category Heading" xfId="111"/>
    <cellStyle name="Center Across" xfId="112"/>
    <cellStyle name="Changeable" xfId="113"/>
    <cellStyle name="check" xfId="114"/>
    <cellStyle name="Co. Names" xfId="115"/>
    <cellStyle name="Co. Names - Bold" xfId="116"/>
    <cellStyle name="Co. Names_accretion dilution" xfId="117"/>
    <cellStyle name="COL HEADINGS" xfId="118"/>
    <cellStyle name="Collegamento ipertestuale" xfId="119"/>
    <cellStyle name="Collegamento ipertestuale visitato" xfId="120"/>
    <cellStyle name="Column Head 1" xfId="121"/>
    <cellStyle name="Column Head 2" xfId="122"/>
    <cellStyle name="Column Heading" xfId="123"/>
    <cellStyle name="Column_Title" xfId="124"/>
    <cellStyle name="Comma [1]" xfId="125"/>
    <cellStyle name="Comma [2]" xfId="126"/>
    <cellStyle name="Comma 0" xfId="127"/>
    <cellStyle name="Comma 0*" xfId="128"/>
    <cellStyle name="Comma 0_2+10 Securitization Forecast" xfId="129"/>
    <cellStyle name="Comma 2 3" xfId="130"/>
    <cellStyle name="Comma Input" xfId="131"/>
    <cellStyle name="Comma0" xfId="132"/>
    <cellStyle name="Copied" xfId="133"/>
    <cellStyle name="Currency [1]" xfId="134"/>
    <cellStyle name="Currency [2]" xfId="135"/>
    <cellStyle name="Currency 0" xfId="136"/>
    <cellStyle name="Currency Input" xfId="137"/>
    <cellStyle name="Currency0" xfId="138"/>
    <cellStyle name="Currency1" xfId="139"/>
    <cellStyle name="Currency1Blue" xfId="140"/>
    <cellStyle name="Currency2" xfId="141"/>
    <cellStyle name="dash" xfId="142"/>
    <cellStyle name="data" xfId="143"/>
    <cellStyle name="Date" xfId="144"/>
    <cellStyle name="Date Aligned" xfId="145"/>
    <cellStyle name="Date/Day" xfId="146"/>
    <cellStyle name="Date1" xfId="147"/>
    <cellStyle name="Dec_$_1" xfId="148"/>
    <cellStyle name="DixonC08" xfId="149"/>
    <cellStyle name="Dollar1" xfId="150"/>
    <cellStyle name="Dollar1Blue" xfId="151"/>
    <cellStyle name="Dollar2" xfId="152"/>
    <cellStyle name="Dollars" xfId="153"/>
    <cellStyle name="Dotted Line" xfId="154"/>
    <cellStyle name="Double Accounting" xfId="155"/>
    <cellStyle name="Entered" xfId="156"/>
    <cellStyle name="Euro" xfId="157"/>
    <cellStyle name="EY House" xfId="158"/>
    <cellStyle name="Ezra" xfId="159"/>
    <cellStyle name="FF_EURO" xfId="160"/>
    <cellStyle name="financial" xfId="161"/>
    <cellStyle name="Fixed" xfId="162"/>
    <cellStyle name="FOOTER - Style1" xfId="163"/>
    <cellStyle name="Footnote" xfId="164"/>
    <cellStyle name="footnote2" xfId="165"/>
    <cellStyle name="Footnotes" xfId="166"/>
    <cellStyle name="Green" xfId="167"/>
    <cellStyle name="Grey" xfId="168"/>
    <cellStyle name="Hard Percent" xfId="169"/>
    <cellStyle name="Header" xfId="170"/>
    <cellStyle name="Header1" xfId="171"/>
    <cellStyle name="Header2" xfId="172"/>
    <cellStyle name="Headers" xfId="173"/>
    <cellStyle name="Heading" xfId="174"/>
    <cellStyle name="Heading 5" xfId="175"/>
    <cellStyle name="Heading Left" xfId="176"/>
    <cellStyle name="Heading Right" xfId="177"/>
    <cellStyle name="Heading1" xfId="178"/>
    <cellStyle name="Heading2" xfId="179"/>
    <cellStyle name="Heading3" xfId="180"/>
    <cellStyle name="HeadingS" xfId="181"/>
    <cellStyle name="Hidden" xfId="182"/>
    <cellStyle name="Hide" xfId="183"/>
    <cellStyle name="Input [yellow]" xfId="184"/>
    <cellStyle name="Intl Coal Data" xfId="185"/>
    <cellStyle name="Italics" xfId="186"/>
    <cellStyle name="Item Descriptions" xfId="187"/>
    <cellStyle name="Item Descriptions - Bold" xfId="188"/>
    <cellStyle name="Kč (0)" xfId="189"/>
    <cellStyle name="Kč (2)" xfId="190"/>
    <cellStyle name="Komma [0]_laroux" xfId="191"/>
    <cellStyle name="kopregel" xfId="192"/>
    <cellStyle name="Lable8Left" xfId="193"/>
    <cellStyle name="Left" xfId="194"/>
    <cellStyle name="Line" xfId="195"/>
    <cellStyle name="Linked" xfId="196"/>
    <cellStyle name="m" xfId="197"/>
    <cellStyle name="měny_SBP03-Meeting702_Schedules - 612-02.xls graf 3" xfId="198"/>
    <cellStyle name="Migliaia (0)_EUBUD99" xfId="199"/>
    <cellStyle name="Millares [0]_Budget2003-Schedules - 1016-02_0320" xfId="200"/>
    <cellStyle name="mm/dd/yy" xfId="201"/>
    <cellStyle name="Moeda [0]_aola" xfId="202"/>
    <cellStyle name="Moeda_aola" xfId="203"/>
    <cellStyle name="Moneda [0]_Budget2003-Schedules - 1016-02_0320" xfId="204"/>
    <cellStyle name="Moneda_Budget2003-Schedules - 1016-02_0320" xfId="205"/>
    <cellStyle name="Mult No x" xfId="206"/>
    <cellStyle name="Mult With x" xfId="207"/>
    <cellStyle name="Multiple" xfId="208"/>
    <cellStyle name="Multiple (no x)" xfId="209"/>
    <cellStyle name="Multiple (x)" xfId="210"/>
    <cellStyle name="Multiple [0]" xfId="211"/>
    <cellStyle name="Multiple [1]" xfId="212"/>
    <cellStyle name="Multiple_1" xfId="213"/>
    <cellStyle name="no dec" xfId="214"/>
    <cellStyle name="Normal - Style1" xfId="215"/>
    <cellStyle name="Normal Bold" xfId="216"/>
    <cellStyle name="Normal Bold Italics" xfId="217"/>
    <cellStyle name="Normale_africer" xfId="218"/>
    <cellStyle name="NormalGB" xfId="219"/>
    <cellStyle name="normální_16_Capex_All" xfId="220"/>
    <cellStyle name="NOT" xfId="221"/>
    <cellStyle name="Notes" xfId="222"/>
    <cellStyle name="Notes bold" xfId="223"/>
    <cellStyle name="Num0Un" xfId="224"/>
    <cellStyle name="Num1" xfId="225"/>
    <cellStyle name="Num1Blue" xfId="226"/>
    <cellStyle name="Num2" xfId="227"/>
    <cellStyle name="Num2Un" xfId="228"/>
    <cellStyle name="Number0" xfId="229"/>
    <cellStyle name="Number1" xfId="230"/>
    <cellStyle name="Number2" xfId="231"/>
    <cellStyle name="Numbers" xfId="232"/>
    <cellStyle name="Numbers - Bold" xfId="233"/>
    <cellStyle name="Numbers - Bold - Italic" xfId="234"/>
    <cellStyle name="Numbers - Bold_Book1" xfId="235"/>
    <cellStyle name="Numbers - Large" xfId="236"/>
    <cellStyle name="Numbers_Accretion " xfId="237"/>
    <cellStyle name="OUTPUT AMOUNTS" xfId="238"/>
    <cellStyle name="Output Line Items" xfId="239"/>
    <cellStyle name="Output1_Back" xfId="240"/>
    <cellStyle name="p" xfId="241"/>
    <cellStyle name="p_DCF" xfId="242"/>
    <cellStyle name="p_DCF_ES061199" xfId="243"/>
    <cellStyle name="p_DCF_HISTFIN" xfId="244"/>
    <cellStyle name="p_DCF_JP061799" xfId="245"/>
    <cellStyle name="p_DCF_MODEL1" xfId="246"/>
    <cellStyle name="p_ES061199" xfId="247"/>
    <cellStyle name="p_HISTFIN" xfId="248"/>
    <cellStyle name="p_JP061799" xfId="249"/>
    <cellStyle name="p_MODEL1" xfId="250"/>
    <cellStyle name="Page Heading" xfId="251"/>
    <cellStyle name="Page Number" xfId="252"/>
    <cellStyle name="PB Table Heading" xfId="253"/>
    <cellStyle name="PB Table Highlight1" xfId="254"/>
    <cellStyle name="PB Table Highlight2" xfId="255"/>
    <cellStyle name="PB Table Highlight3" xfId="256"/>
    <cellStyle name="PB Table Standard Row" xfId="257"/>
    <cellStyle name="PB Table Subtotal Row" xfId="258"/>
    <cellStyle name="PB Table Total Row" xfId="259"/>
    <cellStyle name="Perc1" xfId="260"/>
    <cellStyle name="Percent [0%]" xfId="261"/>
    <cellStyle name="Percent [0.00%]" xfId="262"/>
    <cellStyle name="Percent [0]" xfId="263"/>
    <cellStyle name="Percent [1]" xfId="264"/>
    <cellStyle name="Percent [2]" xfId="265"/>
    <cellStyle name="Percent Input" xfId="266"/>
    <cellStyle name="Percent0" xfId="267"/>
    <cellStyle name="Percent1" xfId="268"/>
    <cellStyle name="Percent1Blue" xfId="269"/>
    <cellStyle name="Percent2" xfId="270"/>
    <cellStyle name="Percent2Blue" xfId="271"/>
    <cellStyle name="percentage" xfId="272"/>
    <cellStyle name="Pounds" xfId="273"/>
    <cellStyle name="Price" xfId="274"/>
    <cellStyle name="PriceUn" xfId="275"/>
    <cellStyle name="prin" xfId="276"/>
    <cellStyle name="Provisional" xfId="277"/>
    <cellStyle name="PSChar" xfId="278"/>
    <cellStyle name="PSDate" xfId="279"/>
    <cellStyle name="PSDec" xfId="280"/>
    <cellStyle name="PSHeading" xfId="281"/>
    <cellStyle name="PSInt" xfId="282"/>
    <cellStyle name="PSSpacer" xfId="283"/>
    <cellStyle name="r" xfId="284"/>
    <cellStyle name="r_Accretion " xfId="285"/>
    <cellStyle name="r_accretion dilution" xfId="286"/>
    <cellStyle name="r_Accretion Model" xfId="287"/>
    <cellStyle name="r_C-ANALYSIS" xfId="288"/>
    <cellStyle name="r_navajo1" xfId="289"/>
    <cellStyle name="r_PROFORMA" xfId="290"/>
    <cellStyle name="r_Trex Analysis 4-29-02_divestiture of AS" xfId="291"/>
    <cellStyle name="References/Notes" xfId="292"/>
    <cellStyle name="References/Notes Heading" xfId="293"/>
    <cellStyle name="Region" xfId="294"/>
    <cellStyle name="regional" xfId="295"/>
    <cellStyle name="RevList" xfId="296"/>
    <cellStyle name="Row title 1" xfId="297"/>
    <cellStyle name="Row title 2" xfId="298"/>
    <cellStyle name="Row total" xfId="299"/>
    <cellStyle name="Salomon Logo" xfId="300"/>
    <cellStyle name="scenario" xfId="301"/>
    <cellStyle name="ScotchRule" xfId="302"/>
    <cellStyle name="Separador de milhares [0]_Person" xfId="303"/>
    <cellStyle name="Separador de milhares_05- STEEL DOMESTIC AFTERMARKET PASS CARS LIGHT TRUCKS 2004-2009" xfId="304"/>
    <cellStyle name="Shaded" xfId="305"/>
    <cellStyle name="Sheetmult" xfId="306"/>
    <cellStyle name="Shtmultx" xfId="307"/>
    <cellStyle name="Single Accounting" xfId="308"/>
    <cellStyle name="Small Headings" xfId="309"/>
    <cellStyle name="Stock Price" xfId="310"/>
    <cellStyle name="Subtitle" xfId="311"/>
    <cellStyle name="Subtotal" xfId="312"/>
    <cellStyle name="t" xfId="313"/>
    <cellStyle name="t_TT Financials_2" xfId="314"/>
    <cellStyle name="Table Head" xfId="315"/>
    <cellStyle name="Table Head Aligned" xfId="316"/>
    <cellStyle name="Table Head Blue" xfId="317"/>
    <cellStyle name="Table Head Green" xfId="318"/>
    <cellStyle name="Table Head_Val_Sum_Graph" xfId="319"/>
    <cellStyle name="Table Text" xfId="320"/>
    <cellStyle name="Table Title" xfId="321"/>
    <cellStyle name="Table Units" xfId="322"/>
    <cellStyle name="Table_Header" xfId="323"/>
    <cellStyle name="text" xfId="324"/>
    <cellStyle name="Text 1" xfId="325"/>
    <cellStyle name="Text 8" xfId="326"/>
    <cellStyle name="Text Head 1" xfId="327"/>
    <cellStyle name="Text Wrap" xfId="328"/>
    <cellStyle name="text2" xfId="329"/>
    <cellStyle name="Times 10" xfId="330"/>
    <cellStyle name="Times 12" xfId="331"/>
    <cellStyle name="Times New Roman" xfId="332"/>
    <cellStyle name="times roman" xfId="333"/>
    <cellStyle name="Title - PROJECT" xfId="334"/>
    <cellStyle name="Title - Underline" xfId="335"/>
    <cellStyle name="Title1" xfId="336"/>
    <cellStyle name="Title10" xfId="337"/>
    <cellStyle name="Title2" xfId="338"/>
    <cellStyle name="Title8" xfId="339"/>
    <cellStyle name="Title8Left" xfId="340"/>
    <cellStyle name="TitleCenter" xfId="341"/>
    <cellStyle name="TitleLeft" xfId="342"/>
    <cellStyle name="Titles - Col. Headings" xfId="343"/>
    <cellStyle name="Titles - Other" xfId="344"/>
    <cellStyle name="Top_$" xfId="345"/>
    <cellStyle name="topline" xfId="346"/>
    <cellStyle name="TransVal" xfId="347"/>
    <cellStyle name="Underline_Double" xfId="348"/>
    <cellStyle name="Validation" xfId="349"/>
    <cellStyle name="Valuta (0)_Cartel1" xfId="350"/>
    <cellStyle name="Valuta [0]_laroux" xfId="351"/>
    <cellStyle name="Valuta_laroux" xfId="352"/>
    <cellStyle name="WhiteCells" xfId="353"/>
    <cellStyle name="WingDing" xfId="354"/>
    <cellStyle name="WoHo(0,0%)" xfId="355"/>
    <cellStyle name="woho(0,0)" xfId="356"/>
    <cellStyle name="WoHo(0,1%)" xfId="357"/>
    <cellStyle name="WoHo(1)" xfId="358"/>
    <cellStyle name="xstyle" xfId="359"/>
    <cellStyle name="y" xfId="360"/>
    <cellStyle name="year" xfId="361"/>
    <cellStyle name="yellow" xfId="362"/>
    <cellStyle name="Yen" xfId="363"/>
    <cellStyle name="Yes_No" xfId="364"/>
    <cellStyle name="桁区切り [0.00]_Credit Memos Japan 2001" xfId="365"/>
    <cellStyle name="桁区切り_Credit Memos Japan 2001" xfId="366"/>
    <cellStyle name="標準_BankDue Harada 042001" xfId="367"/>
    <cellStyle name="通貨 [0.00]_Credit Memos Japan 2001" xfId="368"/>
    <cellStyle name="通貨_Credit Memos Japan 2001" xfId="369"/>
    <cellStyle name="1o.nível" xfId="370"/>
    <cellStyle name="2o.nível" xfId="371"/>
    <cellStyle name="a_Divisão" xfId="372"/>
    <cellStyle name="a_normal" xfId="373"/>
    <cellStyle name="a_quebra_1" xfId="374"/>
    <cellStyle name="a_quebra_2" xfId="375"/>
    <cellStyle name="anos" xfId="376"/>
    <cellStyle name="movimentação" xfId="377"/>
    <cellStyle name="Normal 2 2" xfId="378"/>
    <cellStyle name="Normal 2 3 3" xfId="379"/>
    <cellStyle name="Normal 3" xfId="380"/>
    <cellStyle name="Normal 3 2" xfId="381"/>
    <cellStyle name="Normal1" xfId="382"/>
    <cellStyle name="Normal2" xfId="383"/>
    <cellStyle name="Porcentagem 2" xfId="384"/>
    <cellStyle name="ssubtitulo" xfId="385"/>
    <cellStyle name="subtitulo" xfId="386"/>
    <cellStyle name="titulo" xfId="387"/>
    <cellStyle name="Titulo de conta" xfId="388"/>
    <cellStyle name="titulomov" xfId="389"/>
    <cellStyle name="Todos" xfId="390"/>
    <cellStyle name="totalbalan" xfId="391"/>
    <cellStyle name="Normal 6" xfId="392"/>
    <cellStyle name="Normal 8" xfId="393"/>
    <cellStyle name="Percent 3 3" xfId="394"/>
    <cellStyle name="Comma 4" xfId="395"/>
    <cellStyle name="Comma 5" xfId="396"/>
    <cellStyle name="Aus $.00 2" xfId="397"/>
    <cellStyle name="Border 2" xfId="398"/>
    <cellStyle name="Border, Bottom 2" xfId="399"/>
    <cellStyle name="Border, Top 2" xfId="400"/>
    <cellStyle name="Category Heading 2" xfId="401"/>
    <cellStyle name="Center Across 2" xfId="402"/>
    <cellStyle name="COL HEADINGS 2" xfId="403"/>
    <cellStyle name="Column Head 1 2" xfId="404"/>
    <cellStyle name="Currency [2] 2" xfId="405"/>
    <cellStyle name="Currency2 2" xfId="406"/>
    <cellStyle name="Euro 2" xfId="407"/>
    <cellStyle name="Ezra 2" xfId="408"/>
    <cellStyle name="Header2 2" xfId="409"/>
    <cellStyle name="Headers 2" xfId="410"/>
    <cellStyle name="Input [yellow] 2" xfId="411"/>
    <cellStyle name="Left 2" xfId="412"/>
    <cellStyle name="Mult No x 2" xfId="413"/>
    <cellStyle name="Mult With x 2" xfId="414"/>
    <cellStyle name="Percent [2] 2" xfId="415"/>
    <cellStyle name="percentage 2" xfId="416"/>
    <cellStyle name="Price 2" xfId="417"/>
    <cellStyle name="PriceUn 2" xfId="418"/>
    <cellStyle name="t 2" xfId="419"/>
    <cellStyle name="Table Head Aligned 2" xfId="420"/>
    <cellStyle name="Table Head Green 2" xfId="421"/>
    <cellStyle name="Validation 2" xfId="422"/>
    <cellStyle name="WhiteCells 2" xfId="423"/>
    <cellStyle name="WingDing 2" xfId="424"/>
    <cellStyle name="year 2" xfId="425"/>
    <cellStyle name="Border 7" xfId="426"/>
    <cellStyle name="Category Heading 6" xfId="427"/>
    <cellStyle name="Currency [2] 7" xfId="428"/>
    <cellStyle name="Header2 6" xfId="429"/>
    <cellStyle name="Input [yellow] 7" xfId="430"/>
    <cellStyle name="Stock Price 5" xfId="431"/>
    <cellStyle name="Title2 4" xfId="432"/>
    <cellStyle name="Border 2 2" xfId="433"/>
    <cellStyle name="Border, Top 2 2" xfId="434"/>
    <cellStyle name="Category Heading 2 2" xfId="435"/>
    <cellStyle name="Currency [2] 2 2" xfId="436"/>
    <cellStyle name="Header2 2 2" xfId="437"/>
    <cellStyle name="Input [yellow] 2 2" xfId="438"/>
    <cellStyle name="Border 4" xfId="439"/>
    <cellStyle name="Title2 2" xfId="440"/>
    <cellStyle name="Border 3" xfId="441"/>
    <cellStyle name="Stock Price 3" xfId="442"/>
    <cellStyle name="Category Heading 3" xfId="443"/>
    <cellStyle name="Currency [2] 3" xfId="444"/>
    <cellStyle name="Header2 3" xfId="445"/>
    <cellStyle name="Input [yellow] 3" xfId="446"/>
    <cellStyle name="Input [yellow] 4" xfId="447"/>
    <cellStyle name="Header2 4" xfId="448"/>
    <cellStyle name="Currency [2] 4" xfId="449"/>
    <cellStyle name="Category Heading 4" xfId="450"/>
    <cellStyle name="Stock Price 2" xfId="451"/>
    <cellStyle name="Normal 2 4" xfId="452"/>
    <cellStyle name="Percent 3 2" xfId="453"/>
    <cellStyle name="AFE 2" xfId="454"/>
    <cellStyle name="Aus $.00 3" xfId="455"/>
    <cellStyle name="bold big 2" xfId="456"/>
    <cellStyle name="Border 5" xfId="457"/>
    <cellStyle name="Category Heading 5" xfId="458"/>
    <cellStyle name="Currency [2] 5" xfId="459"/>
    <cellStyle name="Euro 3" xfId="460"/>
    <cellStyle name="Ezra 3" xfId="461"/>
    <cellStyle name="Input [yellow] 5" xfId="462"/>
    <cellStyle name="Input [yellow] 6" xfId="463"/>
    <cellStyle name="Left 3" xfId="464"/>
    <cellStyle name="Line 2" xfId="465"/>
    <cellStyle name="Multiple [0] 2" xfId="466"/>
    <cellStyle name="Header2 5" xfId="467"/>
    <cellStyle name="Currency [2] 6" xfId="468"/>
    <cellStyle name="Percent [2] 3" xfId="469"/>
    <cellStyle name="percentage 3" xfId="470"/>
    <cellStyle name="Price 3" xfId="471"/>
    <cellStyle name="PriceUn 3" xfId="472"/>
    <cellStyle name="Border 6" xfId="473"/>
    <cellStyle name="t 3" xfId="474"/>
    <cellStyle name="Validation 3" xfId="475"/>
    <cellStyle name="WhiteCells 3" xfId="476"/>
    <cellStyle name="WingDing 3" xfId="477"/>
    <cellStyle name="Stock Price 4" xfId="478"/>
    <cellStyle name="Title2 3" xfId="479"/>
    <cellStyle name="Category Heading 11" xfId="480"/>
    <cellStyle name="Currency [2] 10" xfId="481"/>
    <cellStyle name="Header2 10" xfId="482"/>
    <cellStyle name="Stock Price 8" xfId="483"/>
    <cellStyle name="Title2 8" xfId="484"/>
    <cellStyle name="Border 2 5" xfId="485"/>
    <cellStyle name="Border, Top 2 5" xfId="486"/>
    <cellStyle name="Category Heading 2 5" xfId="487"/>
    <cellStyle name="Currency [2] 2 4" xfId="488"/>
    <cellStyle name="Header2 2 5" xfId="489"/>
    <cellStyle name="Input [yellow] 2 5" xfId="490"/>
    <cellStyle name="Border 4 4" xfId="491"/>
    <cellStyle name="Title2 2 4" xfId="492"/>
    <cellStyle name="Border 3 4" xfId="493"/>
    <cellStyle name="Category Heading 3 3" xfId="494"/>
    <cellStyle name="Currency [2] 3 4" xfId="495"/>
    <cellStyle name="Header2 3 4" xfId="496"/>
    <cellStyle name="Input [yellow] 3 3" xfId="497"/>
    <cellStyle name="Input [yellow] 4 3" xfId="498"/>
    <cellStyle name="Header2 4 4" xfId="499"/>
    <cellStyle name="Currency [2] 4 3" xfId="500"/>
    <cellStyle name="Category Heading 4 4" xfId="501"/>
    <cellStyle name="Stock Price 2 4" xfId="502"/>
    <cellStyle name="Border 5 4" xfId="503"/>
    <cellStyle name="Category Heading 5 4" xfId="504"/>
    <cellStyle name="Currency [2] 5 4" xfId="505"/>
    <cellStyle name="Input [yellow] 5 4" xfId="506"/>
    <cellStyle name="Header2 5 4" xfId="507"/>
    <cellStyle name="Currency [2] 6 4" xfId="508"/>
    <cellStyle name="Border 6 4" xfId="509"/>
    <cellStyle name="Stock Price 4 3" xfId="510"/>
    <cellStyle name="Title2 3 4" xfId="511"/>
    <cellStyle name="Border 10" xfId="512"/>
    <cellStyle name="Category Heading 10" xfId="513"/>
    <cellStyle name="Currency [2] 9" xfId="514"/>
    <cellStyle name="Header2 9" xfId="515"/>
    <cellStyle name="Stock Price 7" xfId="516"/>
    <cellStyle name="Title2 7" xfId="517"/>
    <cellStyle name="Border 2 4" xfId="518"/>
    <cellStyle name="Border, Top 2 4" xfId="519"/>
    <cellStyle name="Category Heading 2 4" xfId="520"/>
    <cellStyle name="Currency [2] 2 3" xfId="521"/>
    <cellStyle name="Header2 2 4" xfId="522"/>
    <cellStyle name="Input [yellow] 2 4" xfId="523"/>
    <cellStyle name="Border 7 2" xfId="524"/>
    <cellStyle name="Category Heading 6 2" xfId="525"/>
    <cellStyle name="Currency [2] 7 3" xfId="526"/>
    <cellStyle name="Header2 6 3" xfId="527"/>
    <cellStyle name="Input [yellow] 7 2" xfId="528"/>
    <cellStyle name="Stock Price 5 2" xfId="529"/>
    <cellStyle name="Title2 4 2" xfId="530"/>
    <cellStyle name="Border 2 2 2" xfId="531"/>
    <cellStyle name="Border, Top 2 2 2" xfId="532"/>
    <cellStyle name="Category Heading 2 2 2" xfId="533"/>
    <cellStyle name="Currency [2] 2 2 2" xfId="534"/>
    <cellStyle name="Header2 2 2 2" xfId="535"/>
    <cellStyle name="Input [yellow] 2 2 2" xfId="536"/>
    <cellStyle name="Border 4 3" xfId="537"/>
    <cellStyle name="Title2 2 3" xfId="538"/>
    <cellStyle name="Border 3 3" xfId="539"/>
    <cellStyle name="Stock Price 3 3" xfId="540"/>
    <cellStyle name="Category Heading 3 2" xfId="541"/>
    <cellStyle name="Currency [2] 3 3" xfId="542"/>
    <cellStyle name="Header2 3 3" xfId="543"/>
    <cellStyle name="Input [yellow] 3 2" xfId="544"/>
    <cellStyle name="Input [yellow] 4 2" xfId="545"/>
    <cellStyle name="Header2 4 3" xfId="546"/>
    <cellStyle name="Currency [2] 4 2" xfId="547"/>
    <cellStyle name="Category Heading 4 3" xfId="548"/>
    <cellStyle name="Stock Price 2 3" xfId="549"/>
    <cellStyle name="Border 5 3" xfId="550"/>
    <cellStyle name="Category Heading 5 3" xfId="551"/>
    <cellStyle name="Currency [2] 5 3" xfId="552"/>
    <cellStyle name="Input [yellow] 5 3" xfId="553"/>
    <cellStyle name="Input [yellow] 6 2" xfId="554"/>
    <cellStyle name="Header2 5 3" xfId="555"/>
    <cellStyle name="Currency [2] 6 3" xfId="556"/>
    <cellStyle name="Border 6 3" xfId="557"/>
    <cellStyle name="Title2 3 3" xfId="558"/>
    <cellStyle name="Table Head Green 2 2" xfId="559"/>
    <cellStyle name="Table Head Aligned 2 2" xfId="560"/>
    <cellStyle name="Mult With x 2 2" xfId="561"/>
    <cellStyle name="Mult No x 2 2" xfId="562"/>
    <cellStyle name="Input [yellow] 2 3" xfId="563"/>
    <cellStyle name="Headers 2 2" xfId="564"/>
    <cellStyle name="Header2 2 3" xfId="565"/>
    <cellStyle name="Currency2 2 2" xfId="566"/>
    <cellStyle name="Column Head 1 2 2" xfId="567"/>
    <cellStyle name="Border, Bottom 2 2" xfId="568"/>
    <cellStyle name="Border 2 3" xfId="569"/>
    <cellStyle name="titulomov 2" xfId="570"/>
    <cellStyle name="Titulo de conta 2" xfId="571"/>
    <cellStyle name="movimentação 2" xfId="572"/>
    <cellStyle name="Border, Top 4" xfId="573"/>
    <cellStyle name="COL HEADINGS 2 2" xfId="574"/>
    <cellStyle name="Center Across 2 2" xfId="575"/>
    <cellStyle name="Category Heading 2 3" xfId="576"/>
    <cellStyle name="Border, Top 2 3" xfId="577"/>
    <cellStyle name="Stock Price 6" xfId="578"/>
    <cellStyle name="Border 4 2" xfId="579"/>
    <cellStyle name="Input [yellow] 5 2" xfId="580"/>
    <cellStyle name="Category Heading 9" xfId="581"/>
    <cellStyle name="Title2 3 2" xfId="582"/>
    <cellStyle name="Border 3 2" xfId="583"/>
    <cellStyle name="Stock Price 3 2" xfId="584"/>
    <cellStyle name="Category Heading 5 2" xfId="585"/>
    <cellStyle name="Currency [2] 3 2" xfId="586"/>
    <cellStyle name="Category Heading 7" xfId="587"/>
    <cellStyle name="Border 9" xfId="588"/>
    <cellStyle name="Currency [2] 5 2" xfId="589"/>
    <cellStyle name="Currency [2] 8" xfId="590"/>
    <cellStyle name="Header2 3 2" xfId="591"/>
    <cellStyle name="Header2 5 2" xfId="592"/>
    <cellStyle name="Header2 7" xfId="593"/>
    <cellStyle name="Header2 8" xfId="594"/>
    <cellStyle name="Header2 6 2" xfId="595"/>
    <cellStyle name="Header2 4 2" xfId="596"/>
    <cellStyle name="Currency [2] 6 2" xfId="597"/>
    <cellStyle name="Category Heading 8" xfId="598"/>
    <cellStyle name="Stock Price 4 2" xfId="599"/>
    <cellStyle name="Border 6 2" xfId="600"/>
    <cellStyle name="Category Heading 4 2" xfId="601"/>
    <cellStyle name="Title2 5" xfId="602"/>
    <cellStyle name="Stock Price 2 2" xfId="603"/>
    <cellStyle name="Border, Top 3" xfId="604"/>
    <cellStyle name="Title2 2 2" xfId="605"/>
    <cellStyle name="Border 8" xfId="606"/>
    <cellStyle name="Currency [2] 7 2" xfId="607"/>
    <cellStyle name="Border 5 2" xfId="608"/>
    <cellStyle name="Title2 6" xfId="609"/>
    <cellStyle name="Normal 2 4 2" xfId="610"/>
    <cellStyle name="Normal 4" xfId="611"/>
    <cellStyle name="Comma 6" xfId="612"/>
    <cellStyle name="Percent 4" xfId="613"/>
    <cellStyle name="year 2 2" xfId="614"/>
    <cellStyle name="Category Heading 12" xfId="615"/>
    <cellStyle name="Normal 4 2" xfId="616"/>
    <cellStyle name="Hyperlink 2" xfId="617"/>
    <cellStyle name="Normal 3 3" xfId="618"/>
    <cellStyle name="20% - Accent1 2" xfId="619"/>
    <cellStyle name="20% - Accent2 2" xfId="620"/>
    <cellStyle name="20% - Accent3 2" xfId="621"/>
    <cellStyle name="20% - Accent4 2" xfId="622"/>
    <cellStyle name="20% - Accent5 2" xfId="623"/>
    <cellStyle name="20% - Accent6 2" xfId="624"/>
    <cellStyle name="40% - Accent1 2" xfId="625"/>
    <cellStyle name="40% - Accent2 2" xfId="626"/>
    <cellStyle name="40% - Accent3 2" xfId="627"/>
    <cellStyle name="40% - Accent4 2" xfId="628"/>
    <cellStyle name="40% - Accent5 2" xfId="629"/>
    <cellStyle name="40% - Accent6 2" xfId="630"/>
    <cellStyle name="60% - Accent1 2" xfId="631"/>
    <cellStyle name="60% - Accent2 2" xfId="632"/>
    <cellStyle name="60% - Accent3 2" xfId="633"/>
    <cellStyle name="60% - Accent4 2" xfId="634"/>
    <cellStyle name="60% - Accent5 2" xfId="635"/>
    <cellStyle name="60% - Accent6 2" xfId="636"/>
    <cellStyle name="Accent1 2" xfId="637"/>
    <cellStyle name="Accent2 2" xfId="638"/>
    <cellStyle name="Accent3 2" xfId="639"/>
    <cellStyle name="Accent4 2" xfId="640"/>
    <cellStyle name="Accent5 2" xfId="641"/>
    <cellStyle name="Accent6 2" xfId="642"/>
    <cellStyle name="Bad 2" xfId="643"/>
    <cellStyle name="Calculation 2" xfId="644"/>
    <cellStyle name="Check Cell 2" xfId="645"/>
    <cellStyle name="Comma 2 2" xfId="646"/>
    <cellStyle name="Explanatory Text 2" xfId="647"/>
    <cellStyle name="Good 2" xfId="648"/>
    <cellStyle name="Heading 1 2" xfId="649"/>
    <cellStyle name="Heading 2 2" xfId="650"/>
    <cellStyle name="Heading 3 2" xfId="651"/>
    <cellStyle name="Heading 4 2" xfId="652"/>
    <cellStyle name="Input 2" xfId="653"/>
    <cellStyle name="Linked Cell 2" xfId="654"/>
    <cellStyle name="Neutral 2" xfId="655"/>
    <cellStyle name="Note 2" xfId="656"/>
    <cellStyle name="Output 2" xfId="657"/>
    <cellStyle name="Title 2" xfId="658"/>
    <cellStyle name="Total 2" xfId="659"/>
    <cellStyle name="Warning Text 2" xfId="660"/>
    <cellStyle name="Càlcul 2" xfId="661"/>
    <cellStyle name="_2+10 Securitization Forecast_2012 AOP Template - Steel Akron" xfId="662"/>
    <cellStyle name="_2+10 Securitization Forecast_OperationsDashboardAlu-6plus6_12 IM" xfId="663"/>
    <cellStyle name="_2+10 Securitization Forecast_OperationsDashboardFab-4plus8_10" xfId="664"/>
    <cellStyle name="_2+10_2008 Securitization Fcst" xfId="665"/>
    <cellStyle name="_2+10_2008 Securitization Fcst_2011 AOP Template - Aluminum" xfId="666"/>
    <cellStyle name="_2+10_2008 Securitization Fcst_Akron Forecast Template 6+6" xfId="667"/>
    <cellStyle name="_2+10_2008 Securitization Fcst_BP template Alum Draft" xfId="668"/>
    <cellStyle name="_2+10_2008 Securitization Fcst_BP template Steel Draft" xfId="669"/>
    <cellStyle name="_2+10_2008 Securitization Fcst_OperationsDashboardAlu-6plus6_12 IM" xfId="670"/>
    <cellStyle name="_2008 AOP Securitization Forecast_2012 AOP Template - Steel Akron" xfId="671"/>
    <cellStyle name="_2008 AOP Securitization Forecast_OperationsDashboardAlu-6plus6_12 IM" xfId="672"/>
    <cellStyle name="_2008 AOP Securitization Forecast_OperationsDashboardFab-4plus8_10" xfId="673"/>
    <cellStyle name="_AR Available_2012 AOP Template - Steel Akron" xfId="674"/>
    <cellStyle name="_AR Available_OperationsDashboardAlu-6plus6_12 IM" xfId="675"/>
    <cellStyle name="_AR Available_OperationsDashboardFab-4plus8_10" xfId="676"/>
    <cellStyle name="_New Citi GM 30 Day_2012 AOP Template - Steel Akron" xfId="677"/>
    <cellStyle name="_New Citi GM 30 Day_OperationsDashboardAlu-6plus6_12 IM" xfId="678"/>
    <cellStyle name="_New Citi GM 30 Day_OperationsDashboardFab-4plus8_10" xfId="679"/>
    <cellStyle name="_New Securitization Forecast June2006_2012 AOP Template - Steel Akron" xfId="680"/>
    <cellStyle name="_New Securitization Forecast June2006_OperationsDashboardAlu-6plus6_12 IM" xfId="681"/>
    <cellStyle name="_New Securitization Forecast June2006_OperationsDashboardFab-4plus8_10" xfId="682"/>
    <cellStyle name="_Securitization Fcst_2012 AOP Template - Steel Akron" xfId="683"/>
    <cellStyle name="_Securitization Fcst_OperationsDashboardAlu-6plus6_12 IM" xfId="684"/>
    <cellStyle name="_Securitization Fcst_OperationsDashboardFab-4plus8_10" xfId="685"/>
    <cellStyle name="20% - Ênfase1" xfId="686"/>
    <cellStyle name="20% - Ênfase2" xfId="687"/>
    <cellStyle name="20% - Ênfase3" xfId="688"/>
    <cellStyle name="20% - Ênfase4" xfId="689"/>
    <cellStyle name="20% - Ênfase5" xfId="690"/>
    <cellStyle name="20% - Ênfase6" xfId="691"/>
    <cellStyle name="20% - アクセント 1" xfId="692"/>
    <cellStyle name="20% - アクセント 2" xfId="693"/>
    <cellStyle name="20% - アクセント 3" xfId="694"/>
    <cellStyle name="20% - アクセント 4" xfId="695"/>
    <cellStyle name="20% - アクセント 5" xfId="696"/>
    <cellStyle name="20% - アクセント 6" xfId="697"/>
    <cellStyle name="40% - Ênfase1" xfId="698"/>
    <cellStyle name="40% - Ênfase2" xfId="699"/>
    <cellStyle name="40% - Ênfase3" xfId="700"/>
    <cellStyle name="40% - Ênfase4" xfId="701"/>
    <cellStyle name="40% - Ênfase5" xfId="702"/>
    <cellStyle name="40% - Ênfase6" xfId="703"/>
    <cellStyle name="40% - アクセント 1" xfId="704"/>
    <cellStyle name="40% - アクセント 2" xfId="705"/>
    <cellStyle name="40% - アクセント 3" xfId="706"/>
    <cellStyle name="40% - アクセント 4" xfId="707"/>
    <cellStyle name="40% - アクセント 5" xfId="708"/>
    <cellStyle name="40% - アクセント 6" xfId="709"/>
    <cellStyle name="60% - Ênfase1" xfId="710"/>
    <cellStyle name="60% - Ênfase2" xfId="711"/>
    <cellStyle name="60% - Ênfase3" xfId="712"/>
    <cellStyle name="60% - Ênfase4" xfId="713"/>
    <cellStyle name="60% - Ênfase5" xfId="714"/>
    <cellStyle name="60% - Ênfase6" xfId="715"/>
    <cellStyle name="60% - アクセント 1" xfId="716"/>
    <cellStyle name="60% - アクセント 2" xfId="717"/>
    <cellStyle name="60% - アクセント 3" xfId="718"/>
    <cellStyle name="60% - アクセント 4" xfId="719"/>
    <cellStyle name="60% - アクセント 5" xfId="720"/>
    <cellStyle name="60% - アクセント 6" xfId="721"/>
    <cellStyle name="Accent1 - 20%" xfId="722"/>
    <cellStyle name="Accent1 - 40%" xfId="723"/>
    <cellStyle name="Accent1 - 60%" xfId="724"/>
    <cellStyle name="Accent2 - 20%" xfId="725"/>
    <cellStyle name="Accent2 - 40%" xfId="726"/>
    <cellStyle name="Accent2 - 60%" xfId="727"/>
    <cellStyle name="Accent3 - 20%" xfId="728"/>
    <cellStyle name="Accent3 - 40%" xfId="729"/>
    <cellStyle name="Accent3 - 60%" xfId="730"/>
    <cellStyle name="Accent4 - 20%" xfId="731"/>
    <cellStyle name="Accent4 - 40%" xfId="732"/>
    <cellStyle name="Accent4 - 60%" xfId="733"/>
    <cellStyle name="Accent5 - 20%" xfId="734"/>
    <cellStyle name="Accent5 - 40%" xfId="735"/>
    <cellStyle name="Accent5 - 60%" xfId="736"/>
    <cellStyle name="Accent6 - 20%" xfId="737"/>
    <cellStyle name="Accent6 - 40%" xfId="738"/>
    <cellStyle name="Accent6 - 60%" xfId="739"/>
    <cellStyle name="Bé" xfId="740"/>
    <cellStyle name="Currency [2] 12" xfId="741"/>
    <cellStyle name="BOLDCTR" xfId="742"/>
    <cellStyle name="Bom" xfId="743"/>
    <cellStyle name="Border 11" xfId="744"/>
    <cellStyle name="Border, Top 5" xfId="745"/>
    <cellStyle name="Càlcul" xfId="746"/>
    <cellStyle name="Cálculo" xfId="747"/>
    <cellStyle name="čárky_6_Capex" xfId="748"/>
    <cellStyle name="Cel·la de comprovació" xfId="749"/>
    <cellStyle name="Cel·la enllaçada" xfId="750"/>
    <cellStyle name="Célula de Verificação" xfId="751"/>
    <cellStyle name="Célula Vinculada" xfId="752"/>
    <cellStyle name="Collegamento ipertestuale_Price Passthru" xfId="753"/>
    <cellStyle name="Comma  - Style1" xfId="754"/>
    <cellStyle name="Comma  - Style2" xfId="755"/>
    <cellStyle name="Comma  - Style3" xfId="756"/>
    <cellStyle name="Comma  - Style4" xfId="757"/>
    <cellStyle name="Comma  - Style5" xfId="758"/>
    <cellStyle name="Comma  - Style6" xfId="759"/>
    <cellStyle name="Comma  - Style7" xfId="760"/>
    <cellStyle name="Comma  - Style8" xfId="761"/>
    <cellStyle name="Comma 4 2" xfId="762"/>
    <cellStyle name="Cálculo 2" xfId="763"/>
    <cellStyle name="Currency [2] 11" xfId="764"/>
    <cellStyle name="Currency 3" xfId="765"/>
    <cellStyle name="Currency 4" xfId="766"/>
    <cellStyle name="Date_06-08" xfId="767"/>
    <cellStyle name="Border 12" xfId="768"/>
    <cellStyle name="Emphasis 1" xfId="769"/>
    <cellStyle name="Emphasis 2" xfId="770"/>
    <cellStyle name="Emphasis 3" xfId="771"/>
    <cellStyle name="Ênfase1" xfId="772"/>
    <cellStyle name="Ênfase2" xfId="773"/>
    <cellStyle name="Ênfase3" xfId="774"/>
    <cellStyle name="Ênfase4" xfId="775"/>
    <cellStyle name="Ênfase5" xfId="776"/>
    <cellStyle name="Ênfase6" xfId="777"/>
    <cellStyle name="Entrada" xfId="778"/>
    <cellStyle name="Header2 11" xfId="779"/>
    <cellStyle name="Incorrecte" xfId="780"/>
    <cellStyle name="Incorreto" xfId="781"/>
    <cellStyle name="Migliaia [0]_Act_Sched_2006_02_Dello_070306" xfId="782"/>
    <cellStyle name="Migliaia_Foglio3" xfId="783"/>
    <cellStyle name="Millares_AOP2006_Hypload_IAW_Chihuahua" xfId="784"/>
    <cellStyle name="Neutra" xfId="785"/>
    <cellStyle name="Nota" xfId="786"/>
    <cellStyle name="Output 2 2" xfId="787"/>
    <cellStyle name="Note 2 2" xfId="788"/>
    <cellStyle name="Input 2 2" xfId="789"/>
    <cellStyle name="Calculation 2 2" xfId="790"/>
    <cellStyle name="Resultat" xfId="791"/>
    <cellStyle name="Saída" xfId="792"/>
    <cellStyle name="Sheet Title" xfId="793"/>
    <cellStyle name="Standaard_Blad1" xfId="794"/>
    <cellStyle name="Stock Price 9" xfId="795"/>
    <cellStyle name="text 2" xfId="796"/>
    <cellStyle name="Text d'advertiment" xfId="797"/>
    <cellStyle name="Text explicatiu" xfId="798"/>
    <cellStyle name="text_1a_WalkAcross_Month" xfId="799"/>
    <cellStyle name="Texto de Aviso" xfId="800"/>
    <cellStyle name="Texto Explicativo" xfId="801"/>
    <cellStyle name="Title2 9" xfId="802"/>
    <cellStyle name="Títol" xfId="803"/>
    <cellStyle name="Títol 1" xfId="804"/>
    <cellStyle name="Títol 2" xfId="805"/>
    <cellStyle name="Títol 3" xfId="806"/>
    <cellStyle name="Títol 4" xfId="807"/>
    <cellStyle name="Título" xfId="808"/>
    <cellStyle name="Título 1" xfId="809"/>
    <cellStyle name="Título 2" xfId="810"/>
    <cellStyle name="Título 3" xfId="811"/>
    <cellStyle name="Título 4" xfId="812"/>
    <cellStyle name="アクセント 1" xfId="813"/>
    <cellStyle name="アクセント 2" xfId="814"/>
    <cellStyle name="アクセント 3" xfId="815"/>
    <cellStyle name="アクセント 4" xfId="816"/>
    <cellStyle name="アクセント 5" xfId="817"/>
    <cellStyle name="アクセント 6" xfId="818"/>
    <cellStyle name="タイトル" xfId="819"/>
    <cellStyle name="チェック セル" xfId="820"/>
    <cellStyle name="どちらでもない" xfId="821"/>
    <cellStyle name="メモ" xfId="822"/>
    <cellStyle name="リンク セル" xfId="823"/>
    <cellStyle name="入力" xfId="824"/>
    <cellStyle name="出力" xfId="825"/>
    <cellStyle name="悪い" xfId="826"/>
    <cellStyle name="良い" xfId="827"/>
    <cellStyle name="見出し 1" xfId="828"/>
    <cellStyle name="見出し 2" xfId="829"/>
    <cellStyle name="見出し 3" xfId="830"/>
    <cellStyle name="見出し 4" xfId="831"/>
    <cellStyle name="計算" xfId="832"/>
    <cellStyle name="説明文" xfId="833"/>
    <cellStyle name="警告文" xfId="834"/>
    <cellStyle name="集計" xfId="835"/>
    <cellStyle name="Normal 6 2" xfId="836"/>
    <cellStyle name="Total 2 2" xfId="837"/>
    <cellStyle name="Comma 5 2" xfId="838"/>
    <cellStyle name="_2+10 Securitization Forecast_Sales and EBITDA 2013 vs 2012" xfId="839"/>
    <cellStyle name="_2+10_2008 Securitization Fcst_7+5 WC vs AOP" xfId="840"/>
    <cellStyle name="_2+10_2008 Securitization Fcst_Sales and EBITDA 2013 vs 2012" xfId="841"/>
    <cellStyle name="_2008 AOP Securitization Forecast_Sales and EBITDA 2013 vs 2012" xfId="842"/>
    <cellStyle name="_AR Available_Sales and EBITDA 2013 vs 2012" xfId="843"/>
    <cellStyle name="_New Citi GM 30 Day_Sales and EBITDA 2013 vs 2012" xfId="844"/>
    <cellStyle name="_New Securitization Forecast June2006_Sales and EBITDA 2013 vs 2012" xfId="845"/>
    <cellStyle name="_Securitization Fcst_Sales and EBITDA 2013 vs 2012" xfId="846"/>
    <cellStyle name="0_Sales and EBITDA 2013 vs 2012" xfId="847"/>
    <cellStyle name="Currency 5" xfId="848"/>
    <cellStyle name="Currency 5 2" xfId="849"/>
    <cellStyle name="Currency 6" xfId="850"/>
    <cellStyle name="Item Descriptions_Sales and EBITDA 2013 vs 2012" xfId="851"/>
    <cellStyle name="p_DCF_ES061199_Sales and EBITDA 2013 vs 2012" xfId="852"/>
    <cellStyle name="p_DCF_HISTFIN_Sales and EBITDA 2013 vs 2012" xfId="853"/>
    <cellStyle name="p_DCF_JP061799_Sales and EBITDA 2013 vs 2012" xfId="854"/>
    <cellStyle name="p_DCF_MODEL1_Sales and EBITDA 2013 vs 2012" xfId="855"/>
    <cellStyle name="p_DCF_Sales and EBITDA 2013 vs 2012" xfId="856"/>
    <cellStyle name="p_ES061199_Sales and EBITDA 2013 vs 2012" xfId="857"/>
    <cellStyle name="p_MODEL1_Sales and EBITDA 2013 vs 2012" xfId="858"/>
    <cellStyle name="Percent 3 2 2" xfId="859"/>
    <cellStyle name="r_Accretion _Sales and EBITDA 2013 vs 2012" xfId="860"/>
    <cellStyle name="r_accretion dilution_Sales and EBITDA 2013 vs 2012" xfId="861"/>
    <cellStyle name="r_Accretion Model_Sales and EBITDA 2013 vs 2012" xfId="862"/>
    <cellStyle name="r_C-ANALYSIS_Sales and EBITDA 2013 vs 2012" xfId="863"/>
    <cellStyle name="r_navajo1_Sales and EBITDA 2013 vs 2012" xfId="864"/>
    <cellStyle name="r_PROFORMA_Sales and EBITDA 2013 vs 2012" xfId="865"/>
    <cellStyle name="r_Sales and EBITDA 2013 vs 2012" xfId="866"/>
    <cellStyle name="r_Trex Analysis 4-29-02_divestiture of AS_Sales and EBITDA 2013 vs 2012" xfId="867"/>
    <cellStyle name="t_TT Financials_2_Sales and EBITDA 2013 vs 2012" xfId="868"/>
    <cellStyle name="y_Sales and EBITDA 2013 vs 2012" xfId="869"/>
    <cellStyle name="Normal 5 2" xfId="870"/>
    <cellStyle name="Normal 2 3 2" xfId="871"/>
    <cellStyle name="Percent 3 3 2" xfId="872"/>
    <cellStyle name="Entrada 2" xfId="873"/>
    <cellStyle name="Header2 12" xfId="874"/>
    <cellStyle name="Input [yellow] 8" xfId="875"/>
    <cellStyle name="Nota 2" xfId="876"/>
    <cellStyle name="Resultat 2" xfId="877"/>
    <cellStyle name="Saída 2" xfId="878"/>
    <cellStyle name="Stock Price 10" xfId="879"/>
    <cellStyle name="text 3" xfId="880"/>
    <cellStyle name="Title2 10" xfId="881"/>
    <cellStyle name="メモ 2" xfId="882"/>
    <cellStyle name="入力 2" xfId="883"/>
    <cellStyle name="出力 2" xfId="884"/>
    <cellStyle name="計算 2" xfId="885"/>
    <cellStyle name="集計 2" xfId="886"/>
    <cellStyle name="Currency [2] 3 6" xfId="887"/>
    <cellStyle name="Input [yellow] 9" xfId="888"/>
    <cellStyle name="Stock Price 2 6" xfId="889"/>
    <cellStyle name="Currency [2] 7 6" xfId="890"/>
    <cellStyle name="Header2 5 6" xfId="891"/>
    <cellStyle name="Border 3 6" xfId="892"/>
    <cellStyle name="Input [yellow] 2 2 4" xfId="893"/>
    <cellStyle name="Note 2 4" xfId="894"/>
    <cellStyle name="Header2 10 4" xfId="895"/>
    <cellStyle name="Title2 5 4" xfId="896"/>
    <cellStyle name="Output 2 5" xfId="897"/>
    <cellStyle name="Border 5 3 3" xfId="898"/>
    <cellStyle name="Category Heading 3 2 3" xfId="899"/>
    <cellStyle name="Stock Price 3 3 3" xfId="900"/>
    <cellStyle name="Title2 2 3 3" xfId="901"/>
    <cellStyle name="Input [yellow] 2 2 2 3" xfId="902"/>
    <cellStyle name="Currency [2] 2 2 2 3" xfId="903"/>
    <cellStyle name="Input [yellow] 7 2 3" xfId="904"/>
    <cellStyle name="Currency [2] 7 3 3" xfId="905"/>
    <cellStyle name="Category Heading 6 2 3" xfId="906"/>
    <cellStyle name="Category Heading 5 3 4" xfId="907"/>
    <cellStyle name="Input [yellow] 2 4 3" xfId="908"/>
    <cellStyle name="Category Heading 2 8" xfId="909"/>
    <cellStyle name="Currency [2] 2 3 3" xfId="910"/>
    <cellStyle name="Title2 7 3" xfId="911"/>
    <cellStyle name="Title2 3 4 3" xfId="912"/>
    <cellStyle name="Stock Price 4 3 3" xfId="913"/>
    <cellStyle name="Border 6 4 3" xfId="914"/>
    <cellStyle name="Input [yellow] 5 4 3" xfId="915"/>
    <cellStyle name="Currency [2] 5 4 3" xfId="916"/>
    <cellStyle name="Category Heading 5 4 3" xfId="917"/>
    <cellStyle name="Category Heading 4 4 3" xfId="918"/>
    <cellStyle name="Currency [2] 4 3 3" xfId="919"/>
    <cellStyle name="Header2 4 4 3" xfId="920"/>
    <cellStyle name="Input [yellow] 4 3 3" xfId="921"/>
    <cellStyle name="Input [yellow] 3 3 3" xfId="922"/>
    <cellStyle name="Currency [2] 3 4 3" xfId="923"/>
    <cellStyle name="Category Heading 13" xfId="924"/>
    <cellStyle name="Currency [2] 2 4 3" xfId="925"/>
    <cellStyle name="Header2 2 3 3" xfId="926"/>
    <cellStyle name="Title2 8 3" xfId="927"/>
    <cellStyle name="Header2 10 3" xfId="928"/>
    <cellStyle name="Currency [2] 10 3" xfId="929"/>
    <cellStyle name="Category Heading 11 3" xfId="930"/>
    <cellStyle name="Title2 3 6" xfId="931"/>
    <cellStyle name="Header2 5 3 3" xfId="932"/>
    <cellStyle name="Currency [2] 6 6" xfId="933"/>
    <cellStyle name="Category Heading 5 6" xfId="934"/>
    <cellStyle name="Border 5 6" xfId="935"/>
    <cellStyle name="Category Heading 2 3 4" xfId="936"/>
    <cellStyle name="Border 9 3" xfId="937"/>
    <cellStyle name="Header2 6 2 3" xfId="938"/>
    <cellStyle name="Header2 3 6" xfId="939"/>
    <cellStyle name="Category Heading 3 5" xfId="940"/>
    <cellStyle name="Title2 2 6" xfId="941"/>
    <cellStyle name="Currency [2] 13" xfId="942"/>
    <cellStyle name="Title2 4 4" xfId="943"/>
    <cellStyle name="Stock Price 5 4" xfId="944"/>
    <cellStyle name="Input [yellow] 7 4" xfId="945"/>
    <cellStyle name="Header2 6 5" xfId="946"/>
    <cellStyle name="Currency [2] 7 5" xfId="947"/>
    <cellStyle name="Input [yellow] 2 7" xfId="948"/>
    <cellStyle name="Stock Price 3 3 4" xfId="949"/>
    <cellStyle name="Input [yellow] 4 2 4" xfId="950"/>
    <cellStyle name="Category Heading 11 4" xfId="951"/>
    <cellStyle name="Border 13" xfId="952"/>
    <cellStyle name="Header2 13" xfId="953"/>
    <cellStyle name="Title2 12" xfId="954"/>
    <cellStyle name="anos 2" xfId="955"/>
    <cellStyle name="Header2 14" xfId="956"/>
    <cellStyle name="Header2 2 6" xfId="957"/>
    <cellStyle name="Stock Price 11" xfId="958"/>
    <cellStyle name="Input [yellow] 2 2 5" xfId="959"/>
    <cellStyle name="Title2 2 7" xfId="960"/>
    <cellStyle name="Border 3 7" xfId="961"/>
    <cellStyle name="Currency [2] 3 7" xfId="962"/>
    <cellStyle name="Input [yellow] 3 6" xfId="963"/>
    <cellStyle name="Input [yellow] 4 6" xfId="964"/>
    <cellStyle name="Border 5 7" xfId="965"/>
    <cellStyle name="Category Heading 5 7" xfId="966"/>
    <cellStyle name="Currency [2] 5 7" xfId="967"/>
    <cellStyle name="Currency [2] 6 7" xfId="968"/>
    <cellStyle name="Currency [2] 14" xfId="969"/>
    <cellStyle name="Title2 8 4" xfId="970"/>
    <cellStyle name="Border 2 5 3" xfId="971"/>
    <cellStyle name="Category Heading 2 5 4" xfId="972"/>
    <cellStyle name="Header2 4 4 4" xfId="973"/>
    <cellStyle name="Currency [2] 4 3 4" xfId="974"/>
    <cellStyle name="Border 5 4 3" xfId="975"/>
    <cellStyle name="Currency [2] 5 4 4" xfId="976"/>
    <cellStyle name="Input [yellow] 5 4 4" xfId="977"/>
    <cellStyle name="Border 6 4 4" xfId="978"/>
    <cellStyle name="Title2 3 4 4" xfId="979"/>
    <cellStyle name="Border 10 3" xfId="980"/>
    <cellStyle name="Title2 11" xfId="981"/>
    <cellStyle name="Currency [2] 9 4" xfId="982"/>
    <cellStyle name="Header2 9 4" xfId="983"/>
    <cellStyle name="Border 2 4 3" xfId="984"/>
    <cellStyle name="Category Heading 14" xfId="985"/>
    <cellStyle name="Input [yellow] 2 4 4" xfId="986"/>
    <cellStyle name="Category Heading 6 2 4" xfId="987"/>
    <cellStyle name="Border 4 2 3" xfId="988"/>
    <cellStyle name="Input [yellow] 5 2 4" xfId="989"/>
    <cellStyle name="Title2 3 2 4" xfId="990"/>
    <cellStyle name="Border 3 2 3" xfId="991"/>
    <cellStyle name="Header2 3 2 3" xfId="992"/>
    <cellStyle name="Header2 5 2 3" xfId="993"/>
    <cellStyle name="Header2 8 3" xfId="994"/>
    <cellStyle name="Header2 4 2 3" xfId="995"/>
    <cellStyle name="Input [yellow] 3 3 4" xfId="996"/>
    <cellStyle name="Total 2 5" xfId="997"/>
    <cellStyle name="Currency [2] 7 2 3" xfId="998"/>
    <cellStyle name="Input [yellow] 3 2 4" xfId="999"/>
    <cellStyle name="Category Heading 4 4 4" xfId="1000"/>
    <cellStyle name="Stock Price 12" xfId="1001"/>
    <cellStyle name="Header2 15" xfId="1002"/>
    <cellStyle name="Border 4 5" xfId="1003"/>
    <cellStyle name="Border 2 2 2 3" xfId="1004"/>
    <cellStyle name="Currency [2] 4 2 4" xfId="1005"/>
    <cellStyle name="Stock Price 6 4" xfId="1006"/>
    <cellStyle name="Category Heading 9 4" xfId="1007"/>
    <cellStyle name="Category Heading 4 6" xfId="1008"/>
    <cellStyle name="Category Heading 2 2 2 3" xfId="1009"/>
    <cellStyle name="Stock Price 7 3" xfId="1010"/>
    <cellStyle name="Currency [2] 6 4 3" xfId="1011"/>
    <cellStyle name="Currency [2] 6 3 4" xfId="1012"/>
    <cellStyle name="Category Heading 2 6" xfId="1013"/>
    <cellStyle name="Category Heading 2 5 3" xfId="1014"/>
    <cellStyle name="Stock Price 4 5" xfId="1015"/>
    <cellStyle name="Currency [2] 2 5" xfId="1016"/>
    <cellStyle name="Category Heading 6 4" xfId="1017"/>
    <cellStyle name="Input [yellow] 2 6" xfId="1018"/>
    <cellStyle name="Category Heading 15" xfId="1019"/>
    <cellStyle name="Header2 4 5" xfId="1020"/>
    <cellStyle name="Stock Price 3 2 4" xfId="1021"/>
    <cellStyle name="Category Heading 6 3" xfId="1022"/>
    <cellStyle name="Currency [2] 7 4" xfId="1023"/>
    <cellStyle name="Header2 6 4" xfId="1024"/>
    <cellStyle name="Input [yellow] 7 3" xfId="1025"/>
    <cellStyle name="Stock Price 5 3" xfId="1026"/>
    <cellStyle name="Title2 4 3" xfId="1027"/>
    <cellStyle name="Header2 9 3" xfId="1028"/>
    <cellStyle name="Stock Price 2 4 3" xfId="1029"/>
    <cellStyle name="Category Heading 2 2 3" xfId="1030"/>
    <cellStyle name="Currency [2] 2 2 3" xfId="1031"/>
    <cellStyle name="Title2 13" xfId="1032"/>
    <cellStyle name="Input [yellow] 2 2 3" xfId="1033"/>
    <cellStyle name="Currency [2] 9 3" xfId="1034"/>
    <cellStyle name="Title2 2 5" xfId="1035"/>
    <cellStyle name="Border 3 5" xfId="1036"/>
    <cellStyle name="Stock Price 3 4" xfId="1037"/>
    <cellStyle name="Category Heading 3 4" xfId="1038"/>
    <cellStyle name="Currency [2] 3 5" xfId="1039"/>
    <cellStyle name="Header2 3 5" xfId="1040"/>
    <cellStyle name="Input [yellow] 3 4" xfId="1041"/>
    <cellStyle name="Input [yellow] 4 4" xfId="1042"/>
    <cellStyle name="Header2 7 3" xfId="1043"/>
    <cellStyle name="Currency [2] 4 4" xfId="1044"/>
    <cellStyle name="Category Heading 4 5" xfId="1045"/>
    <cellStyle name="Stock Price 2 5" xfId="1046"/>
    <cellStyle name="Input [yellow] 2 3 4" xfId="1047"/>
    <cellStyle name="Title2 2 3 4" xfId="1048"/>
    <cellStyle name="Category Heading 2 4 3" xfId="1049"/>
    <cellStyle name="Border 5 5" xfId="1050"/>
    <cellStyle name="Category Heading 5 5" xfId="1051"/>
    <cellStyle name="Currency [2] 5 5" xfId="1052"/>
    <cellStyle name="Currency [2] 5 2 4" xfId="1053"/>
    <cellStyle name="Input [yellow] 5 5" xfId="1054"/>
    <cellStyle name="Input [yellow] 6 3" xfId="1055"/>
    <cellStyle name="Header2 5 5" xfId="1056"/>
    <cellStyle name="Currency [2] 6 5" xfId="1057"/>
    <cellStyle name="Category Heading 10 3" xfId="1058"/>
    <cellStyle name="Category Heading 3 6" xfId="1059"/>
    <cellStyle name="Currency [2] 8 4" xfId="1060"/>
    <cellStyle name="Stock Price 4 4" xfId="1061"/>
    <cellStyle name="Title2 3 5" xfId="1062"/>
    <cellStyle name="Category Heading 11 2" xfId="1063"/>
    <cellStyle name="Currency [2] 10 2" xfId="1064"/>
    <cellStyle name="Header2 10 2" xfId="1065"/>
    <cellStyle name="Stock Price 8 2" xfId="1066"/>
    <cellStyle name="Title2 8 2" xfId="1067"/>
    <cellStyle name="Border 2 5 2" xfId="1068"/>
    <cellStyle name="Border, Top 2 5 2" xfId="1069"/>
    <cellStyle name="Category Heading 2 5 2" xfId="1070"/>
    <cellStyle name="Currency [2] 2 4 2" xfId="1071"/>
    <cellStyle name="Header2 2 5 2" xfId="1072"/>
    <cellStyle name="Input [yellow] 2 5 2" xfId="1073"/>
    <cellStyle name="Border 4 4 2" xfId="1074"/>
    <cellStyle name="Title2 2 4 2" xfId="1075"/>
    <cellStyle name="Border 3 4 2" xfId="1076"/>
    <cellStyle name="Category Heading 3 3 2" xfId="1077"/>
    <cellStyle name="Currency [2] 3 4 2" xfId="1078"/>
    <cellStyle name="Header2 3 4 2" xfId="1079"/>
    <cellStyle name="Input [yellow] 3 3 2" xfId="1080"/>
    <cellStyle name="Input [yellow] 4 3 2" xfId="1081"/>
    <cellStyle name="Header2 4 4 2" xfId="1082"/>
    <cellStyle name="Currency [2] 4 3 2" xfId="1083"/>
    <cellStyle name="Category Heading 4 4 2" xfId="1084"/>
    <cellStyle name="Stock Price 2 4 2" xfId="1085"/>
    <cellStyle name="Border 5 4 2" xfId="1086"/>
    <cellStyle name="Category Heading 5 4 2" xfId="1087"/>
    <cellStyle name="Currency [2] 5 4 2" xfId="1088"/>
    <cellStyle name="Input [yellow] 5 4 2" xfId="1089"/>
    <cellStyle name="Header2 5 4 2" xfId="1090"/>
    <cellStyle name="Currency [2] 6 4 2" xfId="1091"/>
    <cellStyle name="Border 6 4 2" xfId="1092"/>
    <cellStyle name="Stock Price 4 3 2" xfId="1093"/>
    <cellStyle name="Title2 3 4 2" xfId="1094"/>
    <cellStyle name="Border 10 2" xfId="1095"/>
    <cellStyle name="Category Heading 10 2" xfId="1096"/>
    <cellStyle name="Currency [2] 9 2" xfId="1097"/>
    <cellStyle name="Header2 9 2" xfId="1098"/>
    <cellStyle name="Stock Price 7 2" xfId="1099"/>
    <cellStyle name="Title2 7 2" xfId="1100"/>
    <cellStyle name="Border 2 4 2" xfId="1101"/>
    <cellStyle name="Border, Top 2 4 2" xfId="1102"/>
    <cellStyle name="Category Heading 2 4 2" xfId="1103"/>
    <cellStyle name="Currency [2] 2 3 2" xfId="1104"/>
    <cellStyle name="Header2 2 4 2" xfId="1105"/>
    <cellStyle name="Input [yellow] 2 4 2" xfId="1106"/>
    <cellStyle name="Border 7 2 2" xfId="1107"/>
    <cellStyle name="Category Heading 6 2 2" xfId="1108"/>
    <cellStyle name="Currency [2] 7 3 2" xfId="1109"/>
    <cellStyle name="Header2 6 3 2" xfId="1110"/>
    <cellStyle name="Input [yellow] 7 2 2" xfId="1111"/>
    <cellStyle name="Stock Price 5 2 2" xfId="1112"/>
    <cellStyle name="Title2 4 2 2" xfId="1113"/>
    <cellStyle name="Border 2 2 2 2" xfId="1114"/>
    <cellStyle name="Border, Top 2 2 2 2" xfId="1115"/>
    <cellStyle name="Category Heading 2 2 2 2" xfId="1116"/>
    <cellStyle name="Currency [2] 2 2 2 2" xfId="1117"/>
    <cellStyle name="Header2 2 2 2 2" xfId="1118"/>
    <cellStyle name="Input [yellow] 2 2 2 2" xfId="1119"/>
    <cellStyle name="Border 4 3 2" xfId="1120"/>
    <cellStyle name="Title2 2 3 2" xfId="1121"/>
    <cellStyle name="Border 3 3 2" xfId="1122"/>
    <cellStyle name="Stock Price 3 3 2" xfId="1123"/>
    <cellStyle name="Category Heading 3 2 2" xfId="1124"/>
    <cellStyle name="Currency [2] 3 3 2" xfId="1125"/>
    <cellStyle name="Header2 3 3 2" xfId="1126"/>
    <cellStyle name="Input [yellow] 3 2 2" xfId="1127"/>
    <cellStyle name="Input [yellow] 4 2 2" xfId="1128"/>
    <cellStyle name="Header2 4 3 2" xfId="1129"/>
    <cellStyle name="Currency [2] 4 2 2" xfId="1130"/>
    <cellStyle name="Category Heading 4 3 2" xfId="1131"/>
    <cellStyle name="Stock Price 2 3 2" xfId="1132"/>
    <cellStyle name="Border 5 3 2" xfId="1133"/>
    <cellStyle name="Category Heading 5 3 2" xfId="1134"/>
    <cellStyle name="Currency [2] 5 3 2" xfId="1135"/>
    <cellStyle name="Input [yellow] 5 3 2" xfId="1136"/>
    <cellStyle name="Input [yellow] 6 2 2" xfId="1137"/>
    <cellStyle name="Header2 5 3 2" xfId="1138"/>
    <cellStyle name="Currency [2] 6 3 2" xfId="1139"/>
    <cellStyle name="Border 6 3 2" xfId="1140"/>
    <cellStyle name="Title2 3 3 2" xfId="1141"/>
    <cellStyle name="Category Heading 4 7" xfId="1142"/>
    <cellStyle name="Input [yellow] 2 3 2" xfId="1143"/>
    <cellStyle name="Header2 2 3 2" xfId="1144"/>
    <cellStyle name="Currency [2] 5 3 4" xfId="1145"/>
    <cellStyle name="Header2 5 4 3" xfId="1146"/>
    <cellStyle name="Border 2 3 2" xfId="1147"/>
    <cellStyle name="Category Heading 4 3 4" xfId="1148"/>
    <cellStyle name="Border, Top 4 2" xfId="1149"/>
    <cellStyle name="Header2 2 2 2 3" xfId="1150"/>
    <cellStyle name="Category Heading 2 3 2" xfId="1151"/>
    <cellStyle name="Border, Top 2 3 2" xfId="1152"/>
    <cellStyle name="Stock Price 6 2" xfId="1153"/>
    <cellStyle name="Border 4 2 2" xfId="1154"/>
    <cellStyle name="Input [yellow] 5 2 2" xfId="1155"/>
    <cellStyle name="Category Heading 9 2" xfId="1156"/>
    <cellStyle name="Title2 3 2 2" xfId="1157"/>
    <cellStyle name="Border 3 2 2" xfId="1158"/>
    <cellStyle name="Stock Price 3 2 2" xfId="1159"/>
    <cellStyle name="Category Heading 5 2 2" xfId="1160"/>
    <cellStyle name="Currency [2] 3 2 2" xfId="1161"/>
    <cellStyle name="Category Heading 7 2" xfId="1162"/>
    <cellStyle name="Border 9 2" xfId="1163"/>
    <cellStyle name="Currency [2] 5 2 2" xfId="1164"/>
    <cellStyle name="Currency [2] 8 2" xfId="1165"/>
    <cellStyle name="Header2 3 2 2" xfId="1166"/>
    <cellStyle name="Header2 5 2 2" xfId="1167"/>
    <cellStyle name="Header2 7 2" xfId="1168"/>
    <cellStyle name="Header2 8 2" xfId="1169"/>
    <cellStyle name="Header2 6 2 2" xfId="1170"/>
    <cellStyle name="Header2 4 2 2" xfId="1171"/>
    <cellStyle name="Currency [2] 6 2 2" xfId="1172"/>
    <cellStyle name="Category Heading 8 2" xfId="1173"/>
    <cellStyle name="Stock Price 4 2 2" xfId="1174"/>
    <cellStyle name="Border 6 2 2" xfId="1175"/>
    <cellStyle name="Category Heading 4 2 2" xfId="1176"/>
    <cellStyle name="Title2 5 2" xfId="1177"/>
    <cellStyle name="Stock Price 2 2 2" xfId="1178"/>
    <cellStyle name="Border, Top 3 2" xfId="1179"/>
    <cellStyle name="Title2 2 2 2" xfId="1180"/>
    <cellStyle name="Border 8 2" xfId="1181"/>
    <cellStyle name="Currency [2] 7 2 2" xfId="1182"/>
    <cellStyle name="Border 5 2 2" xfId="1183"/>
    <cellStyle name="Title2 6 2" xfId="1184"/>
    <cellStyle name="Input [yellow] 3 5" xfId="1185"/>
    <cellStyle name="Category Heading 12 2" xfId="1186"/>
    <cellStyle name="Title2 2 2 3" xfId="1187"/>
    <cellStyle name="Currency [2] 2 2 2 4" xfId="1188"/>
    <cellStyle name="Stock Price 2 2 3" xfId="1189"/>
    <cellStyle name="Title2 5 3" xfId="1190"/>
    <cellStyle name="Category Heading 4 2 3" xfId="1191"/>
    <cellStyle name="Input [yellow] 6 2 4" xfId="1192"/>
    <cellStyle name="Category Heading 7 3" xfId="1193"/>
    <cellStyle name="Currency [2] 3 2 3" xfId="1194"/>
    <cellStyle name="Category Heading 5 2 3" xfId="1195"/>
    <cellStyle name="Stock Price 3 2 3" xfId="1196"/>
    <cellStyle name="Title2 3 2 3" xfId="1197"/>
    <cellStyle name="Title2 3 3 3" xfId="1198"/>
    <cellStyle name="Input [yellow] 6 2 3" xfId="1199"/>
    <cellStyle name="Border 6 3 3" xfId="1200"/>
    <cellStyle name="Currency [2] 3 3 3" xfId="1201"/>
    <cellStyle name="Calculation 2 3" xfId="1202"/>
    <cellStyle name="Stock Price 8 3" xfId="1203"/>
    <cellStyle name="Input 2 3" xfId="1204"/>
    <cellStyle name="Note 2 3" xfId="1205"/>
    <cellStyle name="Output 2 3" xfId="1206"/>
    <cellStyle name="Stock Price 4 3 4" xfId="1207"/>
    <cellStyle name="Total 2 3" xfId="1208"/>
    <cellStyle name="Currency [2] 6 2 4" xfId="1209"/>
    <cellStyle name="Càlcul 2 2" xfId="1210"/>
    <cellStyle name="Càlcul 2 3" xfId="1211"/>
    <cellStyle name="Total 2 4" xfId="1212"/>
    <cellStyle name="Input 2 4" xfId="1213"/>
    <cellStyle name="Category Heading 10 4" xfId="1214"/>
    <cellStyle name="Calculation 2 4" xfId="1215"/>
    <cellStyle name="Category Heading 7 4" xfId="1216"/>
    <cellStyle name="Border 8 3" xfId="1217"/>
    <cellStyle name="Stock Price 13" xfId="1218"/>
    <cellStyle name="Category Heading 12 3" xfId="1219"/>
    <cellStyle name="Title2 6 3" xfId="1220"/>
    <cellStyle name="Title2 3 3 4" xfId="1221"/>
    <cellStyle name="Stock Price 4 2 3" xfId="1222"/>
    <cellStyle name="Category Heading 8 3" xfId="1223"/>
    <cellStyle name="Currency [2] 6 2 3" xfId="1224"/>
    <cellStyle name="Currency [2] 8 3" xfId="1225"/>
    <cellStyle name="Currency [2] 5 2 3" xfId="1226"/>
    <cellStyle name="Stock Price 2 3 4" xfId="1227"/>
    <cellStyle name="Category Heading 9 3" xfId="1228"/>
    <cellStyle name="Input [yellow] 5 2 3" xfId="1229"/>
    <cellStyle name="Stock Price 6 3" xfId="1230"/>
    <cellStyle name="Border 4 3 3" xfId="1231"/>
    <cellStyle name="Category Heading 2 3 3" xfId="1232"/>
    <cellStyle name="Stock Price 7 4" xfId="1233"/>
    <cellStyle name="Header2 5 4 4" xfId="1234"/>
    <cellStyle name="Category Heading 2 2 2 4" xfId="1235"/>
    <cellStyle name="Input [yellow] 2 3 3" xfId="1236"/>
    <cellStyle name="Input [yellow] 5 3 4" xfId="1237"/>
    <cellStyle name="Currency [2] 6 3 3" xfId="1238"/>
    <cellStyle name="Input [yellow] 5 3 3" xfId="1239"/>
    <cellStyle name="Currency [2] 5 3 3" xfId="1240"/>
    <cellStyle name="Category Heading 5 3 3" xfId="1241"/>
    <cellStyle name="Stock Price 2 3 3" xfId="1242"/>
    <cellStyle name="Category Heading 4 3 3" xfId="1243"/>
    <cellStyle name="Currency [2] 4 2 3" xfId="1244"/>
    <cellStyle name="Input [yellow] 4 2 3" xfId="1245"/>
    <cellStyle name="Input [yellow] 3 2 3" xfId="1246"/>
    <cellStyle name="Border 2 6" xfId="1247"/>
    <cellStyle name="Title2 4 2 3" xfId="1248"/>
    <cellStyle name="Currency [2] 12 2" xfId="1249"/>
    <cellStyle name="Input [yellow] 2 2 2 4" xfId="1250"/>
    <cellStyle name="Border 11 2" xfId="1251"/>
    <cellStyle name="Border, Top 5 2" xfId="1252"/>
    <cellStyle name="Càlcul 3" xfId="1253"/>
    <cellStyle name="Cálculo 3" xfId="1254"/>
    <cellStyle name="Category Heading 3 3 3" xfId="1255"/>
    <cellStyle name="Title2 2 4 3" xfId="1256"/>
    <cellStyle name="Border 4 4 3" xfId="1257"/>
    <cellStyle name="Input [yellow] 2 5 3" xfId="1258"/>
    <cellStyle name="Input [yellow] 6 4" xfId="1259"/>
    <cellStyle name="Input [yellow] 5 6" xfId="1260"/>
    <cellStyle name="Currency [2] 5 6" xfId="1261"/>
    <cellStyle name="Currency [2] 4 5" xfId="1262"/>
    <cellStyle name="Cálculo 2 2" xfId="1263"/>
    <cellStyle name="Currency [2] 11 2" xfId="1264"/>
    <cellStyle name="Currency [2] 2 2 4" xfId="1265"/>
    <cellStyle name="Border 12 2" xfId="1266"/>
    <cellStyle name="Currency [2] 2 7" xfId="1267"/>
    <cellStyle name="Border 7 3" xfId="1268"/>
    <cellStyle name="Currency [2] 2 6" xfId="1269"/>
    <cellStyle name="Stock Price 2 4 4" xfId="1270"/>
    <cellStyle name="Currency [2] 6 4 4" xfId="1271"/>
    <cellStyle name="Title2 7 4" xfId="1272"/>
    <cellStyle name="Category Heading 2 7" xfId="1273"/>
    <cellStyle name="Entrada 3" xfId="1274"/>
    <cellStyle name="Header2 11 2" xfId="1275"/>
    <cellStyle name="Nota 3" xfId="1276"/>
    <cellStyle name="Output 2 2 2" xfId="1277"/>
    <cellStyle name="Note 2 2 2" xfId="1278"/>
    <cellStyle name="Input 2 2 2" xfId="1279"/>
    <cellStyle name="Calculation 2 2 2" xfId="1280"/>
    <cellStyle name="Resultat 3" xfId="1281"/>
    <cellStyle name="Saída 3" xfId="1282"/>
    <cellStyle name="Input [yellow] 2 8" xfId="1283"/>
    <cellStyle name="Stock Price 9 2" xfId="1284"/>
    <cellStyle name="Stock Price 8 4" xfId="1285"/>
    <cellStyle name="Currency [2] 2 4 4" xfId="1286"/>
    <cellStyle name="Input [yellow] 4 3 4" xfId="1287"/>
    <cellStyle name="Title2 9 2" xfId="1288"/>
    <cellStyle name="Currency [2] 7 3 4" xfId="1289"/>
    <cellStyle name="Header2 6 3 3" xfId="1290"/>
    <cellStyle name="Input [yellow] 7 2 4" xfId="1291"/>
    <cellStyle name="Stock Price 5 2 4" xfId="1292"/>
    <cellStyle name="Title2 4 2 4" xfId="1293"/>
    <cellStyle name="Category Heading 3 2 4" xfId="1294"/>
    <cellStyle name="Currency [2] 3 3 4" xfId="1295"/>
    <cellStyle name="Header2 3 3 3" xfId="1296"/>
    <cellStyle name="Header2 4 3 3" xfId="1297"/>
    <cellStyle name="Border 6 5" xfId="1298"/>
    <cellStyle name="Header2 5 7" xfId="1299"/>
    <cellStyle name="メモ 3" xfId="1300"/>
    <cellStyle name="入力 3" xfId="1301"/>
    <cellStyle name="出力 3" xfId="1302"/>
    <cellStyle name="Currency [2] 10 4" xfId="1303"/>
    <cellStyle name="計算 3" xfId="1304"/>
    <cellStyle name="集計 3" xfId="1305"/>
    <cellStyle name="Total 2 2 2" xfId="1306"/>
    <cellStyle name="Input [yellow] 4 5" xfId="1307"/>
    <cellStyle name="Output 2 4" xfId="1308"/>
    <cellStyle name="Category Heading 8 4" xfId="1309"/>
    <cellStyle name="Note 2 5" xfId="1310"/>
    <cellStyle name="Stock Price 5 2 3" xfId="1311"/>
    <cellStyle name="Category Heading 2 2 4" xfId="1312"/>
    <cellStyle name="Border 3 3 3" xfId="1313"/>
    <cellStyle name="Border 2 3 3" xfId="1314"/>
    <cellStyle name="a_Divisão 2" xfId="1315"/>
    <cellStyle name="Header2 3 7" xfId="1316"/>
    <cellStyle name="Entrada 2 2" xfId="1317"/>
    <cellStyle name="Header2 12 2" xfId="1318"/>
    <cellStyle name="Input [yellow] 8 2" xfId="1319"/>
    <cellStyle name="Nota 2 2" xfId="1320"/>
    <cellStyle name="Resultat 2 2" xfId="1321"/>
    <cellStyle name="Saída 2 2" xfId="1322"/>
    <cellStyle name="Category Heading 6 5" xfId="1323"/>
    <cellStyle name="Title2 10 2" xfId="1324"/>
    <cellStyle name="メモ 2 2" xfId="1325"/>
    <cellStyle name="入力 2 2" xfId="1326"/>
    <cellStyle name="出力 2 2" xfId="1327"/>
    <cellStyle name="計算 2 2" xfId="1328"/>
    <cellStyle name="集計 2 2" xfId="1329"/>
    <cellStyle name="Input 2 5" xfId="1330"/>
    <cellStyle name="Calculation 2 5" xfId="1331"/>
    <cellStyle name="Category Heading 12 4" xfId="1332"/>
    <cellStyle name="Title2 6 4" xfId="1333"/>
    <cellStyle name="Border 5 2 3" xfId="1334"/>
    <cellStyle name="Currency [2] 7 2 4" xfId="1335"/>
    <cellStyle name="Title2 2 2 4" xfId="1336"/>
    <cellStyle name="Stock Price 2 2 4" xfId="1337"/>
    <cellStyle name="Category Heading 4 2 4" xfId="1338"/>
    <cellStyle name="Border 6 2 3" xfId="1339"/>
    <cellStyle name="Stock Price 4 2 4" xfId="1340"/>
    <cellStyle name="Currency [2] 3 2 4" xfId="1341"/>
    <cellStyle name="Currency [2] 12 3" xfId="1342"/>
    <cellStyle name="Border 11 3" xfId="1343"/>
    <cellStyle name="Border, Top 5 3" xfId="1344"/>
    <cellStyle name="Càlcul 4" xfId="1345"/>
    <cellStyle name="Cálculo 4" xfId="1346"/>
    <cellStyle name="Border 7 2 3" xfId="1347"/>
    <cellStyle name="Header2 2 4 3" xfId="1348"/>
    <cellStyle name="Currency [2] 2 3 4" xfId="1349"/>
    <cellStyle name="Category Heading 2 4 4" xfId="1350"/>
    <cellStyle name="Category Heading 5 4 4" xfId="1351"/>
    <cellStyle name="Header2 3 4 3" xfId="1352"/>
    <cellStyle name="Currency [2] 3 4 4" xfId="1353"/>
    <cellStyle name="Category Heading 3 3 4" xfId="1354"/>
    <cellStyle name="Border 3 4 3" xfId="1355"/>
    <cellStyle name="Title2 2 4 4" xfId="1356"/>
    <cellStyle name="Border 4 4 4" xfId="1357"/>
    <cellStyle name="Input [yellow] 2 5 4" xfId="1358"/>
    <cellStyle name="Header2 2 5 3" xfId="1359"/>
    <cellStyle name="Title2 3 7" xfId="1360"/>
    <cellStyle name="Cálculo 2 3" xfId="1361"/>
    <cellStyle name="Currency [2] 11 3" xfId="1362"/>
    <cellStyle name="Currency [2] 4 6" xfId="1363"/>
    <cellStyle name="Header2 2 2 3" xfId="1364"/>
    <cellStyle name="Currency [2] 2 2 5" xfId="1365"/>
    <cellStyle name="Category Heading 2 2 5" xfId="1366"/>
    <cellStyle name="Border 2 2 3" xfId="1367"/>
    <cellStyle name="Title2 4 5" xfId="1368"/>
    <cellStyle name="Stock Price 5 5" xfId="1369"/>
    <cellStyle name="Input [yellow] 7 5" xfId="1370"/>
    <cellStyle name="Header2 6 6" xfId="1371"/>
    <cellStyle name="Entrada 4" xfId="1372"/>
    <cellStyle name="Header2 11 3" xfId="1373"/>
    <cellStyle name="Nota 4" xfId="1374"/>
    <cellStyle name="Output 2 2 3" xfId="1375"/>
    <cellStyle name="Note 2 2 3" xfId="1376"/>
    <cellStyle name="Input 2 2 3" xfId="1377"/>
    <cellStyle name="Calculation 2 2 3" xfId="1378"/>
    <cellStyle name="Resultat 4" xfId="1379"/>
    <cellStyle name="Saída 4" xfId="1380"/>
    <cellStyle name="Stock Price 9 3" xfId="1381"/>
    <cellStyle name="Title2 9 3" xfId="1382"/>
    <cellStyle name="メモ 4" xfId="1383"/>
    <cellStyle name="入力 4" xfId="1384"/>
    <cellStyle name="出力 4" xfId="1385"/>
    <cellStyle name="計算 4" xfId="1386"/>
    <cellStyle name="集計 4" xfId="1387"/>
    <cellStyle name="Total 2 2 3" xfId="1388"/>
    <cellStyle name="Category Heading 5 2 4" xfId="1389"/>
    <cellStyle name="Input [yellow] 6 5" xfId="1390"/>
    <cellStyle name="Input [yellow] 5 7" xfId="1391"/>
    <cellStyle name="Entrada 2 3" xfId="1392"/>
    <cellStyle name="Input [yellow] 8 3" xfId="1393"/>
    <cellStyle name="Nota 2 3" xfId="1394"/>
    <cellStyle name="Resultat 2 3" xfId="1395"/>
    <cellStyle name="Saída 2 3" xfId="1396"/>
    <cellStyle name="Currency [2] 15" xfId="1397"/>
    <cellStyle name="Title2 10 3" xfId="1398"/>
    <cellStyle name="メモ 2 3" xfId="1399"/>
    <cellStyle name="入力 2 3" xfId="1400"/>
    <cellStyle name="出力 2 3" xfId="1401"/>
    <cellStyle name="計算 2 3" xfId="1402"/>
    <cellStyle name="集計 2 3" xfId="1403"/>
    <cellStyle name="Border 11 4" xfId="1404"/>
    <cellStyle name="Border, Top 5 4" xfId="1405"/>
    <cellStyle name="Càlcul 5" xfId="1406"/>
    <cellStyle name="Cálculo 5" xfId="1407"/>
    <cellStyle name="Currency [2] 11 4" xfId="1408"/>
    <cellStyle name="Border 12 3" xfId="1409"/>
    <cellStyle name="Entrada 5" xfId="1410"/>
    <cellStyle name="Header2 11 4" xfId="1411"/>
    <cellStyle name="Nota 5" xfId="1412"/>
    <cellStyle name="Resultat 5" xfId="1413"/>
    <cellStyle name="Saída 5" xfId="1414"/>
    <cellStyle name="Stock Price 9 4" xfId="1415"/>
    <cellStyle name="Title2 9 4" xfId="1416"/>
    <cellStyle name="メモ 5" xfId="1417"/>
    <cellStyle name="入力 5" xfId="1418"/>
    <cellStyle name="出力 5" xfId="1419"/>
    <cellStyle name="計算 5" xfId="1420"/>
    <cellStyle name="集計 5" xfId="1421"/>
    <cellStyle name="Header2 12 3" xfId="1422"/>
    <cellStyle name="Input [yellow] 8 4" xfId="1423"/>
    <cellStyle name="Normal 63" xfId="1424"/>
    <cellStyle name="Percent 6" xfId="1425"/>
    <cellStyle name="Comma 8" xfId="1426"/>
    <cellStyle name="Currency 8" xfId="1427"/>
    <cellStyle name="Border 14" xfId="1428"/>
    <cellStyle name="Category Heading 16" xfId="1429"/>
    <cellStyle name="Currency [2] 16" xfId="1430"/>
    <cellStyle name="Header2 16" xfId="1431"/>
    <cellStyle name="Stock Price 14" xfId="1432"/>
    <cellStyle name="Title2 14" xfId="1433"/>
    <cellStyle name="Border 2 7" xfId="1434"/>
    <cellStyle name="Border, Top 2 6" xfId="1435"/>
    <cellStyle name="Category Heading 2 9" xfId="1436"/>
    <cellStyle name="Currency [2] 2 8" xfId="1437"/>
    <cellStyle name="Header2 2 7" xfId="1438"/>
    <cellStyle name="Input [yellow] 2 9" xfId="1439"/>
    <cellStyle name="Border 7 4" xfId="1440"/>
    <cellStyle name="Category Heading 6 6" xfId="1441"/>
    <cellStyle name="Currency [2] 7 7" xfId="1442"/>
    <cellStyle name="Header2 6 7" xfId="1443"/>
    <cellStyle name="Stock Price 5 6" xfId="1444"/>
    <cellStyle name="Title2 4 6" xfId="1445"/>
    <cellStyle name="Border 2 2 4" xfId="1446"/>
    <cellStyle name="Border, Top 2 2 3" xfId="1447"/>
    <cellStyle name="Category Heading 2 2 6" xfId="1448"/>
    <cellStyle name="Currency [2] 2 2 6" xfId="1449"/>
    <cellStyle name="Header2 2 2 4" xfId="1450"/>
    <cellStyle name="Input [yellow] 2 2 6" xfId="1451"/>
    <cellStyle name="Border 4 6" xfId="1452"/>
    <cellStyle name="Title2 2 8" xfId="1453"/>
    <cellStyle name="Border 3 8" xfId="1454"/>
    <cellStyle name="Currency [2] 3 8" xfId="1455"/>
    <cellStyle name="Header2 3 8" xfId="1456"/>
    <cellStyle name="Header2 4 6" xfId="1457"/>
    <cellStyle name="Currency [2] 4 7" xfId="1458"/>
    <cellStyle name="Stock Price 2 7" xfId="1459"/>
    <cellStyle name="Border 5 8" xfId="1460"/>
    <cellStyle name="Category Heading 5 8" xfId="1461"/>
    <cellStyle name="Currency [2] 5 8" xfId="1462"/>
    <cellStyle name="Input [yellow] 5 8" xfId="1463"/>
    <cellStyle name="Header2 5 8" xfId="1464"/>
    <cellStyle name="Currency [2] 6 8" xfId="1465"/>
    <cellStyle name="Border 6 6" xfId="1466"/>
    <cellStyle name="Stock Price 4 6" xfId="1467"/>
    <cellStyle name="Title2 3 8" xfId="1468"/>
    <cellStyle name="Category Heading 11 5" xfId="1469"/>
    <cellStyle name="Currency [2] 10 5" xfId="1470"/>
    <cellStyle name="Header2 10 5" xfId="1471"/>
    <cellStyle name="Stock Price 8 5" xfId="1472"/>
    <cellStyle name="Title2 8 5" xfId="1473"/>
    <cellStyle name="Border 2 5 4" xfId="1474"/>
    <cellStyle name="Border, Top 2 5 3" xfId="1475"/>
    <cellStyle name="Category Heading 2 5 5" xfId="1476"/>
    <cellStyle name="Header2 2 5 4" xfId="1477"/>
    <cellStyle name="Input [yellow] 2 5 5" xfId="1478"/>
    <cellStyle name="Border 4 4 5" xfId="1479"/>
    <cellStyle name="Title2 2 4 5" xfId="1480"/>
    <cellStyle name="Border 3 4 4" xfId="1481"/>
    <cellStyle name="Category Heading 3 3 5" xfId="1482"/>
    <cellStyle name="Currency [2] 3 4 5" xfId="1483"/>
    <cellStyle name="Header2 3 4 4" xfId="1484"/>
    <cellStyle name="Input [yellow] 3 3 5" xfId="1485"/>
    <cellStyle name="Input [yellow] 4 3 5" xfId="1486"/>
    <cellStyle name="Header2 4 4 5" xfId="1487"/>
    <cellStyle name="Currency [2] 4 3 5" xfId="1488"/>
    <cellStyle name="Category Heading 4 4 5" xfId="1489"/>
    <cellStyle name="Stock Price 2 4 5" xfId="1490"/>
    <cellStyle name="Border 5 4 4" xfId="1491"/>
    <cellStyle name="Category Heading 5 4 5" xfId="1492"/>
    <cellStyle name="Currency [2] 5 4 5" xfId="1493"/>
    <cellStyle name="Input [yellow] 5 4 5" xfId="1494"/>
    <cellStyle name="Header2 5 4 5" xfId="1495"/>
    <cellStyle name="Currency [2] 6 4 5" xfId="1496"/>
    <cellStyle name="Border 6 4 5" xfId="1497"/>
    <cellStyle name="Stock Price 4 3 5" xfId="1498"/>
    <cellStyle name="Title2 3 4 5" xfId="1499"/>
    <cellStyle name="Border 10 4" xfId="1500"/>
    <cellStyle name="Category Heading 10 5" xfId="1501"/>
    <cellStyle name="Currency [2] 9 5" xfId="1502"/>
    <cellStyle name="Header2 9 5" xfId="1503"/>
    <cellStyle name="Stock Price 7 5" xfId="1504"/>
    <cellStyle name="Title2 7 5" xfId="1505"/>
    <cellStyle name="Border 2 4 4" xfId="1506"/>
    <cellStyle name="Border, Top 2 4 3" xfId="1507"/>
    <cellStyle name="Category Heading 2 4 5" xfId="1508"/>
    <cellStyle name="Currency [2] 2 3 5" xfId="1509"/>
    <cellStyle name="Header2 2 4 4" xfId="1510"/>
    <cellStyle name="Input [yellow] 2 4 5" xfId="1511"/>
    <cellStyle name="Border 7 2 4" xfId="1512"/>
    <cellStyle name="Category Heading 6 2 5" xfId="1513"/>
    <cellStyle name="Currency [2] 7 3 5" xfId="1514"/>
    <cellStyle name="Header2 6 3 4" xfId="1515"/>
    <cellStyle name="Input [yellow] 7 2 5" xfId="1516"/>
    <cellStyle name="Stock Price 5 2 5" xfId="1517"/>
    <cellStyle name="Title2 4 2 5" xfId="1518"/>
    <cellStyle name="Border 2 2 2 4" xfId="1519"/>
    <cellStyle name="Border, Top 2 2 2 3" xfId="1520"/>
    <cellStyle name="Category Heading 2 2 2 5" xfId="1521"/>
    <cellStyle name="Currency [2] 2 2 2 5" xfId="1522"/>
    <cellStyle name="Header2 2 2 2 4" xfId="1523"/>
    <cellStyle name="Input [yellow] 2 2 2 5" xfId="1524"/>
    <cellStyle name="Border 4 3 4" xfId="1525"/>
    <cellStyle name="Title2 2 3 5" xfId="1526"/>
    <cellStyle name="Border 3 3 4" xfId="1527"/>
    <cellStyle name="Stock Price 3 3 5" xfId="1528"/>
    <cellStyle name="Category Heading 3 2 5" xfId="1529"/>
    <cellStyle name="Currency [2] 3 3 5" xfId="1530"/>
    <cellStyle name="Header2 3 3 4" xfId="1531"/>
    <cellStyle name="Input [yellow] 3 2 5" xfId="1532"/>
    <cellStyle name="Input [yellow] 4 2 5" xfId="1533"/>
    <cellStyle name="Header2 4 3 4" xfId="1534"/>
    <cellStyle name="Currency [2] 4 2 5" xfId="1535"/>
    <cellStyle name="Category Heading 4 3 5" xfId="1536"/>
    <cellStyle name="Stock Price 2 3 5" xfId="1537"/>
    <cellStyle name="Border 5 3 4" xfId="1538"/>
    <cellStyle name="Category Heading 5 3 5" xfId="1539"/>
    <cellStyle name="Currency [2] 5 3 5" xfId="1540"/>
    <cellStyle name="Input [yellow] 5 3 5" xfId="1541"/>
    <cellStyle name="Input [yellow] 6 2 5" xfId="1542"/>
    <cellStyle name="Header2 5 3 4" xfId="1543"/>
    <cellStyle name="Currency [2] 6 3 5" xfId="1544"/>
    <cellStyle name="Border 6 3 4" xfId="1545"/>
    <cellStyle name="Title2 3 3 5" xfId="1546"/>
    <cellStyle name="Input [yellow] 2 3 5" xfId="1547"/>
    <cellStyle name="Header2 2 3 4" xfId="1548"/>
    <cellStyle name="Border 2 3 4" xfId="1549"/>
    <cellStyle name="Border, Top 4 3" xfId="1550"/>
    <cellStyle name="Category Heading 2 3 5" xfId="1551"/>
    <cellStyle name="Border, Top 2 3 3" xfId="1552"/>
    <cellStyle name="Stock Price 6 5" xfId="1553"/>
    <cellStyle name="Border 4 2 4" xfId="1554"/>
    <cellStyle name="Input [yellow] 5 2 5" xfId="1555"/>
    <cellStyle name="Category Heading 9 5" xfId="1556"/>
    <cellStyle name="Title2 3 2 5" xfId="1557"/>
    <cellStyle name="Border 3 2 4" xfId="1558"/>
    <cellStyle name="Stock Price 3 2 5" xfId="1559"/>
    <cellStyle name="Category Heading 5 2 5" xfId="1560"/>
    <cellStyle name="Currency [2] 3 2 5" xfId="1561"/>
    <cellStyle name="Category Heading 7 5" xfId="1562"/>
    <cellStyle name="Border 9 4" xfId="1563"/>
    <cellStyle name="Currency [2] 5 2 5" xfId="1564"/>
    <cellStyle name="Currency [2] 8 5" xfId="1565"/>
    <cellStyle name="Header2 3 2 4" xfId="1566"/>
    <cellStyle name="Header2 5 2 4" xfId="1567"/>
    <cellStyle name="Header2 7 4" xfId="1568"/>
    <cellStyle name="Header2 8 4" xfId="1569"/>
    <cellStyle name="Header2 6 2 4" xfId="1570"/>
    <cellStyle name="Header2 4 2 4" xfId="1571"/>
    <cellStyle name="Currency [2] 6 2 5" xfId="1572"/>
    <cellStyle name="Category Heading 8 5" xfId="1573"/>
    <cellStyle name="Stock Price 4 2 5" xfId="1574"/>
    <cellStyle name="Border 6 2 4" xfId="1575"/>
    <cellStyle name="Category Heading 4 2 5" xfId="1576"/>
    <cellStyle name="Title2 5 5" xfId="1577"/>
    <cellStyle name="Stock Price 2 2 5" xfId="1578"/>
    <cellStyle name="Border, Top 3 3" xfId="1579"/>
    <cellStyle name="Title2 2 2 5" xfId="1580"/>
    <cellStyle name="Border 8 4" xfId="1581"/>
    <cellStyle name="Currency [2] 7 2 5" xfId="1582"/>
    <cellStyle name="Border 5 2 4" xfId="1583"/>
    <cellStyle name="Title2 6 5" xfId="1584"/>
    <cellStyle name="Calculation 2 6" xfId="1585"/>
    <cellStyle name="Input 2 6" xfId="1586"/>
    <cellStyle name="Note 2 6" xfId="1587"/>
    <cellStyle name="Output 2 6" xfId="1588"/>
    <cellStyle name="Total 2 6" xfId="1589"/>
    <cellStyle name="Càlcul 2 4" xfId="1590"/>
    <cellStyle name="Border 11 5" xfId="1591"/>
    <cellStyle name="Border, Top 5 5" xfId="1592"/>
    <cellStyle name="Càlcul 6" xfId="1593"/>
    <cellStyle name="Cálculo 6" xfId="1594"/>
    <cellStyle name="Cálculo 2 4" xfId="1595"/>
    <cellStyle name="Entrada 6" xfId="1596"/>
    <cellStyle name="Header2 11 5" xfId="1597"/>
    <cellStyle name="Nota 6" xfId="1598"/>
    <cellStyle name="Output 2 2 4" xfId="1599"/>
    <cellStyle name="Note 2 2 4" xfId="1600"/>
    <cellStyle name="Input 2 2 4" xfId="1601"/>
    <cellStyle name="Calculation 2 2 4" xfId="1602"/>
    <cellStyle name="Resultat 6" xfId="1603"/>
    <cellStyle name="Saída 6" xfId="1604"/>
    <cellStyle name="Stock Price 9 5" xfId="1605"/>
    <cellStyle name="Title2 9 5" xfId="1606"/>
    <cellStyle name="メモ 6" xfId="1607"/>
    <cellStyle name="入力 6" xfId="1608"/>
    <cellStyle name="出力 6" xfId="1609"/>
    <cellStyle name="計算 6" xfId="1610"/>
    <cellStyle name="集計 6" xfId="1611"/>
    <cellStyle name="Total 2 2 4" xfId="1612"/>
    <cellStyle name="Entrada 2 4" xfId="1613"/>
    <cellStyle name="Nota 2 4" xfId="1614"/>
    <cellStyle name="Resultat 2 4" xfId="1615"/>
    <cellStyle name="Saída 2 4" xfId="1616"/>
    <cellStyle name="Title2 10 4" xfId="1617"/>
    <cellStyle name="メモ 2 4" xfId="1618"/>
    <cellStyle name="入力 2 4" xfId="1619"/>
    <cellStyle name="出力 2 4" xfId="1620"/>
    <cellStyle name="計算 2 4" xfId="1621"/>
    <cellStyle name="集計 2 4" xfId="1622"/>
    <cellStyle name="Stock Price 2 6 2" xfId="1623"/>
    <cellStyle name="Header2 5 6 2" xfId="1624"/>
    <cellStyle name="Border 3 6 2" xfId="1625"/>
    <cellStyle name="Note 2 4 2" xfId="1626"/>
    <cellStyle name="Header2 10 4 2" xfId="1627"/>
    <cellStyle name="Title2 5 4 2" xfId="1628"/>
    <cellStyle name="Output 2 5 2" xfId="1629"/>
    <cellStyle name="Stock Price 3 3 3 2" xfId="1630"/>
    <cellStyle name="Title2 2 3 3 2" xfId="1631"/>
    <cellStyle name="Title2 7 3 2" xfId="1632"/>
    <cellStyle name="Title2 3 4 3 2" xfId="1633"/>
    <cellStyle name="Stock Price 4 3 3 2" xfId="1634"/>
    <cellStyle name="Border 6 4 3 2" xfId="1635"/>
    <cellStyle name="Header2 4 4 3 2" xfId="1636"/>
    <cellStyle name="Title2 8 3 2" xfId="1637"/>
    <cellStyle name="Header2 10 3 2" xfId="1638"/>
    <cellStyle name="Title2 3 6 2" xfId="1639"/>
    <cellStyle name="Border 5 6 2" xfId="1640"/>
    <cellStyle name="Header2 3 6 2" xfId="1641"/>
    <cellStyle name="Title2 2 6 2" xfId="1642"/>
    <cellStyle name="Title2 4 4 2" xfId="1643"/>
    <cellStyle name="Stock Price 5 4 2" xfId="1644"/>
    <cellStyle name="Header2 6 5 2" xfId="1645"/>
    <cellStyle name="Stock Price 3 3 4 2" xfId="1646"/>
    <cellStyle name="Header2 13 2" xfId="1647"/>
    <cellStyle name="Title2 12 2" xfId="1648"/>
    <cellStyle name="Header2 14 2" xfId="1649"/>
    <cellStyle name="Stock Price 11 2" xfId="1650"/>
    <cellStyle name="Title2 2 7 2" xfId="1651"/>
    <cellStyle name="Title2 8 4 2" xfId="1652"/>
    <cellStyle name="Title2 3 4 4 2" xfId="1653"/>
    <cellStyle name="Title2 11 2" xfId="1654"/>
    <cellStyle name="Header2 9 4 2" xfId="1655"/>
    <cellStyle name="Title2 3 2 4 2" xfId="1656"/>
    <cellStyle name="Total 2 5 2" xfId="1657"/>
    <cellStyle name="Stock Price 12 2" xfId="1658"/>
    <cellStyle name="Header2 15 2" xfId="1659"/>
    <cellStyle name="Stock Price 6 4 2" xfId="1660"/>
    <cellStyle name="Stock Price 7 3 2" xfId="1661"/>
    <cellStyle name="Stock Price 4 5 2" xfId="1662"/>
    <cellStyle name="Stock Price 3 2 4 2" xfId="1663"/>
    <cellStyle name="Header2 6 4 2" xfId="1664"/>
    <cellStyle name="Stock Price 5 3 2" xfId="1665"/>
    <cellStyle name="Title2 4 3 2" xfId="1666"/>
    <cellStyle name="Header2 9 3 2" xfId="1667"/>
    <cellStyle name="Stock Price 2 4 3 2" xfId="1668"/>
    <cellStyle name="Title2 13 2" xfId="1669"/>
    <cellStyle name="Title2 2 5 2" xfId="1670"/>
    <cellStyle name="Border 3 5 2" xfId="1671"/>
    <cellStyle name="Header2 3 5 2" xfId="1672"/>
    <cellStyle name="Title2 2 3 4 2" xfId="1673"/>
    <cellStyle name="Border 5 5 2" xfId="1674"/>
    <cellStyle name="Header2 5 5 2" xfId="1675"/>
    <cellStyle name="Title2 3 5 2" xfId="1676"/>
    <cellStyle name="Header2 10 2 2" xfId="1677"/>
    <cellStyle name="Stock Price 8 2 2" xfId="1678"/>
    <cellStyle name="Title2 8 2 2" xfId="1679"/>
    <cellStyle name="Border 2 5 2 2" xfId="1680"/>
    <cellStyle name="Border, Top 2 5 2 2" xfId="1681"/>
    <cellStyle name="Header2 2 5 2 2" xfId="1682"/>
    <cellStyle name="Border 4 4 2 2" xfId="1683"/>
    <cellStyle name="Title2 2 4 2 2" xfId="1684"/>
    <cellStyle name="Border 3 4 2 2" xfId="1685"/>
    <cellStyle name="Header2 3 4 2 2" xfId="1686"/>
    <cellStyle name="Header2 4 4 2 2" xfId="1687"/>
    <cellStyle name="Stock Price 2 4 2 2" xfId="1688"/>
    <cellStyle name="Border 5 4 2 2" xfId="1689"/>
    <cellStyle name="Header2 5 4 2 2" xfId="1690"/>
    <cellStyle name="Border 6 4 2 2" xfId="1691"/>
    <cellStyle name="Stock Price 4 3 2 2" xfId="1692"/>
    <cellStyle name="Title2 3 4 2 2" xfId="1693"/>
    <cellStyle name="Border 10 2 2" xfId="1694"/>
    <cellStyle name="Header2 9 2 2" xfId="1695"/>
    <cellStyle name="Stock Price 7 2 2" xfId="1696"/>
    <cellStyle name="Title2 7 2 2" xfId="1697"/>
    <cellStyle name="Border 2 4 2 2" xfId="1698"/>
    <cellStyle name="Border, Top 2 4 2 2" xfId="1699"/>
    <cellStyle name="Header2 2 4 2 2" xfId="1700"/>
    <cellStyle name="Border 7 2 2 2" xfId="1701"/>
    <cellStyle name="Header2 6 3 2 2" xfId="1702"/>
    <cellStyle name="Stock Price 5 2 2 2" xfId="1703"/>
    <cellStyle name="Title2 4 2 2 2" xfId="1704"/>
    <cellStyle name="Border 2 2 2 2 2" xfId="1705"/>
    <cellStyle name="Border, Top 2 2 2 2 2" xfId="1706"/>
    <cellStyle name="Header2 2 2 2 2 2" xfId="1707"/>
    <cellStyle name="Border 4 3 2 2" xfId="1708"/>
    <cellStyle name="Title2 2 3 2 2" xfId="1709"/>
    <cellStyle name="Border 3 3 2 2" xfId="1710"/>
    <cellStyle name="Stock Price 3 3 2 2" xfId="1711"/>
    <cellStyle name="Header2 3 3 2 2" xfId="1712"/>
    <cellStyle name="Header2 4 3 2 2" xfId="1713"/>
    <cellStyle name="Stock Price 2 3 2 2" xfId="1714"/>
    <cellStyle name="Border 5 3 2 2" xfId="1715"/>
    <cellStyle name="Header2 5 3 2 2" xfId="1716"/>
    <cellStyle name="Border 6 3 2 2" xfId="1717"/>
    <cellStyle name="Title2 3 3 2 2" xfId="1718"/>
    <cellStyle name="Header2 2 3 2 2" xfId="1719"/>
    <cellStyle name="Header2 5 4 3 2" xfId="1720"/>
    <cellStyle name="Border 2 3 2 2" xfId="1721"/>
    <cellStyle name="Border, Top 4 2 2" xfId="1722"/>
    <cellStyle name="Border, Top 2 3 2 2" xfId="1723"/>
    <cellStyle name="Stock Price 6 2 2" xfId="1724"/>
    <cellStyle name="Border 4 2 2 2" xfId="1725"/>
    <cellStyle name="Title2 3 2 2 2" xfId="1726"/>
    <cellStyle name="Border 3 2 2 2" xfId="1727"/>
    <cellStyle name="Stock Price 3 2 2 2" xfId="1728"/>
    <cellStyle name="Border 9 2 2" xfId="1729"/>
    <cellStyle name="Header2 3 2 2 2" xfId="1730"/>
    <cellStyle name="Header2 5 2 2 2" xfId="1731"/>
    <cellStyle name="Header2 7 2 2" xfId="1732"/>
    <cellStyle name="Header2 8 2 2" xfId="1733"/>
    <cellStyle name="Header2 6 2 2 2" xfId="1734"/>
    <cellStyle name="Header2 4 2 2 2" xfId="1735"/>
    <cellStyle name="Stock Price 4 2 2 2" xfId="1736"/>
    <cellStyle name="Border 6 2 2 2" xfId="1737"/>
    <cellStyle name="Title2 5 2 2" xfId="1738"/>
    <cellStyle name="Stock Price 2 2 2 2" xfId="1739"/>
    <cellStyle name="Border, Top 3 2 2" xfId="1740"/>
    <cellStyle name="Title2 2 2 2 2" xfId="1741"/>
    <cellStyle name="Border 8 2 2" xfId="1742"/>
    <cellStyle name="Border 5 2 2 2" xfId="1743"/>
    <cellStyle name="Title2 6 2 2" xfId="1744"/>
    <cellStyle name="Title2 2 2 3 2" xfId="1745"/>
    <cellStyle name="Stock Price 2 2 3 2" xfId="1746"/>
    <cellStyle name="Title2 5 3 2" xfId="1747"/>
    <cellStyle name="Stock Price 3 2 3 2" xfId="1748"/>
    <cellStyle name="Title2 3 2 3 2" xfId="1749"/>
    <cellStyle name="Title2 3 3 3 2" xfId="1750"/>
    <cellStyle name="Calculation 2 3 2" xfId="1751"/>
    <cellStyle name="Stock Price 8 3 2" xfId="1752"/>
    <cellStyle name="Input 2 3 2" xfId="1753"/>
    <cellStyle name="Note 2 3 2" xfId="1754"/>
    <cellStyle name="Output 2 3 2" xfId="1755"/>
    <cellStyle name="Stock Price 4 3 4 2" xfId="1756"/>
    <cellStyle name="Total 2 3 2" xfId="1757"/>
    <cellStyle name="Càlcul 2 2 2" xfId="1758"/>
    <cellStyle name="Càlcul 2 3 2" xfId="1759"/>
    <cellStyle name="Total 2 4 2" xfId="1760"/>
    <cellStyle name="Input 2 4 2" xfId="1761"/>
    <cellStyle name="Calculation 2 4 2" xfId="1762"/>
    <cellStyle name="Stock Price 13 2" xfId="1763"/>
    <cellStyle name="Title2 6 3 2" xfId="1764"/>
    <cellStyle name="Title2 3 3 4 2" xfId="1765"/>
    <cellStyle name="Stock Price 4 2 3 2" xfId="1766"/>
    <cellStyle name="Stock Price 2 3 4 2" xfId="1767"/>
    <cellStyle name="Stock Price 6 3 2" xfId="1768"/>
    <cellStyle name="Stock Price 7 4 2" xfId="1769"/>
    <cellStyle name="Header2 5 4 4 2" xfId="1770"/>
    <cellStyle name="Stock Price 2 3 3 2" xfId="1771"/>
    <cellStyle name="Title2 4 2 3 2" xfId="1772"/>
    <cellStyle name="Border 11 2 2" xfId="1773"/>
    <cellStyle name="Border, Top 5 2 2" xfId="1774"/>
    <cellStyle name="Càlcul 3 2" xfId="1775"/>
    <cellStyle name="Cálculo 3 2" xfId="1776"/>
    <cellStyle name="Title2 2 4 3 2" xfId="1777"/>
    <cellStyle name="Border 4 4 3 2" xfId="1778"/>
    <cellStyle name="Cálculo 2 2 2" xfId="1779"/>
    <cellStyle name="Border 12 2 2" xfId="1780"/>
    <cellStyle name="Stock Price 2 4 4 2" xfId="1781"/>
    <cellStyle name="Title2 7 4 2" xfId="1782"/>
    <cellStyle name="Entrada 3 2" xfId="1783"/>
    <cellStyle name="Header2 11 2 2" xfId="1784"/>
    <cellStyle name="Nota 3 2" xfId="1785"/>
    <cellStyle name="Output 2 2 2 2" xfId="1786"/>
    <cellStyle name="Note 2 2 2 2" xfId="1787"/>
    <cellStyle name="Input 2 2 2 2" xfId="1788"/>
    <cellStyle name="Calculation 2 2 2 2" xfId="1789"/>
    <cellStyle name="Resultat 3 2" xfId="1790"/>
    <cellStyle name="Saída 3 2" xfId="1791"/>
    <cellStyle name="Stock Price 9 2 2" xfId="1792"/>
    <cellStyle name="Stock Price 8 4 2" xfId="1793"/>
    <cellStyle name="Title2 9 2 2" xfId="1794"/>
    <cellStyle name="Stock Price 5 2 4 2" xfId="1795"/>
    <cellStyle name="Title2 4 2 4 2" xfId="1796"/>
    <cellStyle name="メモ 3 2" xfId="1797"/>
    <cellStyle name="入力 3 2" xfId="1798"/>
    <cellStyle name="出力 3 2" xfId="1799"/>
    <cellStyle name="計算 3 2" xfId="1800"/>
    <cellStyle name="集計 3 2" xfId="1801"/>
    <cellStyle name="Total 2 2 2 2" xfId="1802"/>
    <cellStyle name="Output 2 4 2" xfId="1803"/>
    <cellStyle name="Note 2 5 2" xfId="1804"/>
    <cellStyle name="Stock Price 5 2 3 2" xfId="1805"/>
    <cellStyle name="Entrada 2 2 2" xfId="1806"/>
    <cellStyle name="Header2 12 2 2" xfId="1807"/>
    <cellStyle name="Nota 2 2 2" xfId="1808"/>
    <cellStyle name="Resultat 2 2 2" xfId="1809"/>
    <cellStyle name="Saída 2 2 2" xfId="1810"/>
    <cellStyle name="Title2 10 2 2" xfId="1811"/>
    <cellStyle name="メモ 2 2 2" xfId="1812"/>
    <cellStyle name="入力 2 2 2" xfId="1813"/>
    <cellStyle name="出力 2 2 2" xfId="1814"/>
    <cellStyle name="計算 2 2 2" xfId="1815"/>
    <cellStyle name="集計 2 2 2" xfId="1816"/>
    <cellStyle name="Input 2 5 2" xfId="1817"/>
    <cellStyle name="Calculation 2 5 2" xfId="1818"/>
    <cellStyle name="Title2 6 4 2" xfId="1819"/>
    <cellStyle name="Title2 2 2 4 2" xfId="1820"/>
    <cellStyle name="Stock Price 2 2 4 2" xfId="1821"/>
    <cellStyle name="Stock Price 4 2 4 2" xfId="1822"/>
    <cellStyle name="Border 11 3 2" xfId="1823"/>
    <cellStyle name="Border, Top 5 3 2" xfId="1824"/>
    <cellStyle name="Càlcul 4 2" xfId="1825"/>
    <cellStyle name="Cálculo 4 2" xfId="1826"/>
    <cellStyle name="Title2 2 4 4 2" xfId="1827"/>
    <cellStyle name="Title2 3 7 2" xfId="1828"/>
    <cellStyle name="Cálculo 2 3 2" xfId="1829"/>
    <cellStyle name="Title2 4 5 2" xfId="1830"/>
    <cellStyle name="Stock Price 5 5 2" xfId="1831"/>
    <cellStyle name="Header2 6 6 2" xfId="1832"/>
    <cellStyle name="Entrada 4 2" xfId="1833"/>
    <cellStyle name="Header2 11 3 2" xfId="1834"/>
    <cellStyle name="Nota 4 2" xfId="1835"/>
    <cellStyle name="Output 2 2 3 2" xfId="1836"/>
    <cellStyle name="Note 2 2 3 2" xfId="1837"/>
    <cellStyle name="Input 2 2 3 2" xfId="1838"/>
    <cellStyle name="Calculation 2 2 3 2" xfId="1839"/>
    <cellStyle name="Resultat 4 2" xfId="1840"/>
    <cellStyle name="Saída 4 2" xfId="1841"/>
    <cellStyle name="Stock Price 9 3 2" xfId="1842"/>
    <cellStyle name="Title2 9 3 2" xfId="1843"/>
    <cellStyle name="メモ 4 2" xfId="1844"/>
    <cellStyle name="入力 4 2" xfId="1845"/>
    <cellStyle name="出力 4 2" xfId="1846"/>
    <cellStyle name="計算 4 2" xfId="1847"/>
    <cellStyle name="集計 4 2" xfId="1848"/>
    <cellStyle name="Total 2 2 3 2" xfId="1849"/>
    <cellStyle name="Entrada 2 3 2" xfId="1850"/>
    <cellStyle name="Nota 2 3 2" xfId="1851"/>
    <cellStyle name="Resultat 2 3 2" xfId="1852"/>
    <cellStyle name="Saída 2 3 2" xfId="1853"/>
    <cellStyle name="Title2 10 3 2" xfId="1854"/>
    <cellStyle name="メモ 2 3 2" xfId="1855"/>
    <cellStyle name="入力 2 3 2" xfId="1856"/>
    <cellStyle name="出力 2 3 2" xfId="1857"/>
    <cellStyle name="計算 2 3 2" xfId="1858"/>
    <cellStyle name="集計 2 3 2" xfId="1859"/>
    <cellStyle name="Border 11 4 2" xfId="1860"/>
    <cellStyle name="Border, Top 5 4 2" xfId="1861"/>
    <cellStyle name="Càlcul 5 2" xfId="1862"/>
    <cellStyle name="Cálculo 5 2" xfId="1863"/>
    <cellStyle name="Entrada 5 2" xfId="1864"/>
    <cellStyle name="Header2 11 4 2" xfId="1865"/>
    <cellStyle name="Nota 5 2" xfId="1866"/>
    <cellStyle name="Resultat 5 2" xfId="1867"/>
    <cellStyle name="Saída 5 2" xfId="1868"/>
    <cellStyle name="Stock Price 9 4 2" xfId="1869"/>
    <cellStyle name="Title2 9 4 2" xfId="1870"/>
    <cellStyle name="メモ 5 2" xfId="1871"/>
    <cellStyle name="入力 5 2" xfId="1872"/>
    <cellStyle name="出力 5 2" xfId="1873"/>
    <cellStyle name="計算 5 2" xfId="1874"/>
    <cellStyle name="集計 5 2" xfId="1875"/>
    <cellStyle name="Border 5 3 3 2" xfId="1876"/>
    <cellStyle name="Header2 2 3 3 2" xfId="1877"/>
    <cellStyle name="Header2 5 3 3 2" xfId="1878"/>
    <cellStyle name="Border 9 3 2" xfId="1879"/>
    <cellStyle name="Header2 6 2 3 2" xfId="1880"/>
    <cellStyle name="Border 13 2" xfId="1881"/>
    <cellStyle name="Header2 2 6 2" xfId="1882"/>
    <cellStyle name="Border 3 7 2" xfId="1883"/>
    <cellStyle name="Border 5 7 2" xfId="1884"/>
    <cellStyle name="Border 2 5 3 2" xfId="1885"/>
    <cellStyle name="Header2 4 4 4 2" xfId="1886"/>
    <cellStyle name="Border 5 4 3 2" xfId="1887"/>
    <cellStyle name="Border 6 4 4 2" xfId="1888"/>
    <cellStyle name="Border 10 3 2" xfId="1889"/>
    <cellStyle name="Border 2 4 3 2" xfId="1890"/>
    <cellStyle name="Border 4 2 3 2" xfId="1891"/>
    <cellStyle name="Border 3 2 3 2" xfId="1892"/>
    <cellStyle name="Header2 3 2 3 2" xfId="1893"/>
    <cellStyle name="Header2 5 2 3 2" xfId="1894"/>
    <cellStyle name="Header2 8 3 2" xfId="1895"/>
    <cellStyle name="Header2 4 2 3 2" xfId="1896"/>
    <cellStyle name="Border 4 5 2" xfId="1897"/>
    <cellStyle name="Border 2 2 2 3 2" xfId="1898"/>
    <cellStyle name="Header2 4 5 2" xfId="1899"/>
    <cellStyle name="Header2 7 3 2" xfId="1900"/>
    <cellStyle name="Header2 2 2 2 3 2" xfId="1901"/>
    <cellStyle name="Border 6 3 3 2" xfId="1902"/>
    <cellStyle name="Border 8 3 2" xfId="1903"/>
    <cellStyle name="Border 4 3 3 2" xfId="1904"/>
    <cellStyle name="Border 2 6 2" xfId="1905"/>
    <cellStyle name="Border 7 3 2" xfId="1906"/>
    <cellStyle name="Header2 6 3 3 2" xfId="1907"/>
    <cellStyle name="Header2 3 3 3 2" xfId="1908"/>
    <cellStyle name="Header2 4 3 3 2" xfId="1909"/>
    <cellStyle name="Border 6 5 2" xfId="1910"/>
    <cellStyle name="Header2 5 7 2" xfId="1911"/>
    <cellStyle name="Border 3 3 3 2" xfId="1912"/>
    <cellStyle name="Border 2 3 3 2" xfId="1913"/>
    <cellStyle name="Header2 3 7 2" xfId="1914"/>
    <cellStyle name="Border 5 2 3 2" xfId="1915"/>
    <cellStyle name="Border 6 2 3 2" xfId="1916"/>
    <cellStyle name="Border 7 2 3 2" xfId="1917"/>
    <cellStyle name="Header2 2 4 3 2" xfId="1918"/>
    <cellStyle name="Header2 3 4 3 2" xfId="1919"/>
    <cellStyle name="Border 3 4 3 2" xfId="1920"/>
    <cellStyle name="Border 4 4 4 2" xfId="1921"/>
    <cellStyle name="Header2 2 5 3 2" xfId="1922"/>
    <cellStyle name="Header2 2 2 3 2" xfId="1923"/>
    <cellStyle name="Border 2 2 3 2" xfId="1924"/>
    <cellStyle name="Border 11 4 3" xfId="1925"/>
    <cellStyle name="Border 12 3 2" xfId="1926"/>
    <cellStyle name="Header2 11 4 3" xfId="1927"/>
    <cellStyle name="Header2 12 3 2" xfId="1928"/>
    <cellStyle name="Virgül" xfId="1929" builtinId="3"/>
    <cellStyle name="Normal 9" xfId="1930"/>
    <cellStyle name="Dezimal 2 2" xfId="1931"/>
    <cellStyle name="Normal 2 2 3" xfId="1932"/>
    <cellStyle name="Comma 11" xfId="1933"/>
    <cellStyle name="Normal 3 4" xfId="1934"/>
    <cellStyle name="Virgül 3 2 2 2 2" xfId="1935"/>
    <cellStyle name="Percent 7" xfId="1936"/>
    <cellStyle name="Comma 2 4" xfId="1937"/>
    <cellStyle name="Normal 4 3" xfId="1938"/>
    <cellStyle name="Normal 2 2 2" xfId="1939"/>
    <cellStyle name="Binlik Ayracı 2" xfId="1940"/>
    <cellStyle name="Normal 2 3 4" xfId="1941"/>
    <cellStyle name="Comma 3 3" xfId="1942"/>
    <cellStyle name="Percent 2 2" xfId="1943"/>
    <cellStyle name="Normal 5 3" xfId="1944"/>
    <cellStyle name="Percent 3 4" xfId="1945"/>
    <cellStyle name="Normal 2 5 2" xfId="1946"/>
    <cellStyle name="Normal 3 3 2" xfId="1947"/>
    <cellStyle name="Percent 8" xfId="1948"/>
    <cellStyle name="Normal 10" xfId="1949"/>
    <cellStyle name="Normal 2 3 2 2" xfId="1950"/>
    <cellStyle name="Comma 2 2 2" xfId="1951"/>
    <cellStyle name="Normal 62" xfId="1952"/>
    <cellStyle name="Normal 4 2 2" xfId="1953"/>
    <cellStyle name="Comma 5 3" xfId="1954"/>
    <cellStyle name="Comma 4 3" xfId="1955"/>
  </cellStyles>
  <dxfs count="117">
    <dxf>
      <font>
        <color theme="1"/>
      </font>
    </dxf>
    <dxf>
      <font>
        <color theme="1"/>
      </font>
    </dxf>
    <dxf>
      <font>
        <color theme="1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color theme="1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color auto="1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color auto="1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  <dxf>
      <font>
        <b val="1"/>
        <color theme="9" tint="-0.249946592608417"/>
      </font>
    </dxf>
    <dxf>
      <font>
        <b val="1"/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V103"/>
  <sheetViews>
    <sheetView topLeftCell="B1" zoomScale="50" zoomScaleNormal="50" workbookViewId="0">
      <selection activeCell="G13" sqref="G13"/>
    </sheetView>
  </sheetViews>
  <sheetFormatPr baseColWidth="8" defaultColWidth="8.7265625" defaultRowHeight="17"/>
  <cols>
    <col width="8.7265625" customWidth="1" style="373" min="1" max="1"/>
    <col width="3.81640625" customWidth="1" style="373" min="2" max="2"/>
    <col width="19.54296875" customWidth="1" style="433" min="3" max="3"/>
    <col width="11.1796875" bestFit="1" customWidth="1" style="373" min="4" max="4"/>
    <col width="20.81640625" bestFit="1" customWidth="1" style="433" min="5" max="5"/>
    <col width="11.1796875" bestFit="1" customWidth="1" style="433" min="6" max="6"/>
    <col width="20.81640625" bestFit="1" customWidth="1" style="373" min="7" max="7"/>
    <col width="22.1796875" customWidth="1" style="433" min="8" max="8"/>
    <col width="20.81640625" bestFit="1" customWidth="1" style="373" min="9" max="9"/>
    <col width="11.1796875" bestFit="1" customWidth="1" style="373" min="10" max="10"/>
    <col width="20.81640625" bestFit="1" customWidth="1" style="373" min="11" max="11"/>
    <col width="11.1796875" bestFit="1" customWidth="1" style="373" min="12" max="12"/>
    <col width="20.81640625" bestFit="1" customWidth="1" style="373" min="13" max="13"/>
    <col width="21.7265625" customWidth="1" style="373" min="14" max="14"/>
    <col width="20.81640625" bestFit="1" customWidth="1" style="373" min="15" max="15"/>
    <col width="3.81640625" customWidth="1" style="373" min="16" max="16"/>
    <col width="51.26953125" customWidth="1" style="373" min="17" max="17"/>
    <col width="34.1796875" customWidth="1" style="373" min="18" max="19"/>
    <col width="4.1796875" customWidth="1" style="373" min="20" max="20"/>
    <col width="13.1796875" bestFit="1" customWidth="1" style="373" min="21" max="21"/>
    <col width="34.54296875" bestFit="1" customWidth="1" style="373" min="22" max="22"/>
    <col width="35.1796875" bestFit="1" customWidth="1" style="373" min="23" max="23"/>
    <col width="27.453125" bestFit="1" customWidth="1" style="373" min="24" max="24"/>
    <col width="8.7265625" customWidth="1" style="373" min="25" max="16384"/>
  </cols>
  <sheetData>
    <row r="2" ht="16.5" customHeight="1"/>
    <row r="3">
      <c r="C3" s="439" t="inlineStr">
        <is>
          <t>AYLIK</t>
        </is>
      </c>
      <c r="D3" s="375" t="n"/>
      <c r="E3" s="376" t="n"/>
      <c r="F3" s="377" t="n"/>
      <c r="G3" s="375" t="n"/>
      <c r="H3" s="376" t="n"/>
      <c r="I3" s="377" t="n"/>
      <c r="J3" s="375" t="n"/>
      <c r="K3" s="376" t="n"/>
      <c r="L3" s="377" t="n"/>
      <c r="M3" s="376" t="n"/>
      <c r="N3" s="376" t="n"/>
      <c r="O3" s="376" t="n"/>
      <c r="Q3" s="433" t="n"/>
      <c r="V3" s="433" t="n"/>
    </row>
    <row r="4">
      <c r="C4" s="378" t="inlineStr">
        <is>
          <t>bin Avro</t>
        </is>
      </c>
      <c r="D4" s="459" t="inlineStr">
        <is>
          <t>Ciro</t>
        </is>
      </c>
      <c r="F4" s="460" t="n"/>
      <c r="G4" s="459" t="inlineStr">
        <is>
          <t xml:space="preserve">Brüt Kar </t>
        </is>
      </c>
      <c r="I4" s="460" t="n"/>
      <c r="J4" s="459" t="inlineStr">
        <is>
          <t>EBITDA</t>
        </is>
      </c>
      <c r="L4" s="460" t="n"/>
      <c r="M4" s="443" t="inlineStr">
        <is>
          <t>Net Kar</t>
        </is>
      </c>
      <c r="T4" s="381" t="n"/>
    </row>
    <row r="5" ht="13" customFormat="1" customHeight="1" s="323">
      <c r="C5" s="370" t="n"/>
      <c r="D5" s="371" t="inlineStr">
        <is>
          <t>Gerçekleşme</t>
        </is>
      </c>
      <c r="E5" s="371" t="inlineStr">
        <is>
          <t>Bütçe - Gerçekleşme Fark</t>
        </is>
      </c>
      <c r="F5" s="371" t="inlineStr">
        <is>
          <t>% Değişim</t>
        </is>
      </c>
      <c r="G5" s="371" t="inlineStr">
        <is>
          <t>Gerçekleşme</t>
        </is>
      </c>
      <c r="H5" s="371" t="inlineStr">
        <is>
          <t>Bütçe - Gerçekleşme Fark</t>
        </is>
      </c>
      <c r="I5" s="371" t="inlineStr">
        <is>
          <t>% Değişim</t>
        </is>
      </c>
      <c r="J5" s="371" t="inlineStr">
        <is>
          <t>Gerçekleşme</t>
        </is>
      </c>
      <c r="K5" s="371" t="inlineStr">
        <is>
          <t>Bütçe - Gerçekleşme Fark</t>
        </is>
      </c>
      <c r="L5" s="371" t="inlineStr">
        <is>
          <t>% Değişim</t>
        </is>
      </c>
      <c r="M5" s="371" t="inlineStr">
        <is>
          <t>Gerçekleşme</t>
        </is>
      </c>
      <c r="N5" s="371" t="inlineStr">
        <is>
          <t>Bütçe - Gerçekleşme Fark</t>
        </is>
      </c>
      <c r="O5" s="371" t="inlineStr">
        <is>
          <t>% Değişim</t>
        </is>
      </c>
      <c r="U5" s="322" t="n"/>
    </row>
    <row r="6" ht="16" customHeight="1">
      <c r="C6" s="382" t="inlineStr">
        <is>
          <t>Toplam</t>
        </is>
      </c>
      <c r="D6" s="383">
        <f>SUM(D7:D14)</f>
        <v/>
      </c>
      <c r="E6" s="383">
        <f>SUM(E7:E14)</f>
        <v/>
      </c>
      <c r="F6" s="461">
        <f>(D6/(D6-E6))-1</f>
        <v/>
      </c>
      <c r="G6" s="383">
        <f>SUM(G7:G14)</f>
        <v/>
      </c>
      <c r="H6" s="383">
        <f>SUM(H7:H14)</f>
        <v/>
      </c>
      <c r="I6" s="461">
        <f>(G6/(G6-H6))-1</f>
        <v/>
      </c>
      <c r="J6" s="383">
        <f>SUM(J7:J14)</f>
        <v/>
      </c>
      <c r="K6" s="383">
        <f>SUM(K7:K14)</f>
        <v/>
      </c>
      <c r="L6" s="461">
        <f>(J6/(J6-K6))-1</f>
        <v/>
      </c>
      <c r="M6" s="383">
        <f>SUM(M7:M14)</f>
        <v/>
      </c>
      <c r="N6" s="383">
        <f>SUM(N7:N14)</f>
        <v/>
      </c>
      <c r="O6" s="461">
        <f>(M6/(M6-N6))-1</f>
        <v/>
      </c>
      <c r="T6" s="381" t="n"/>
    </row>
    <row r="7" ht="16" customHeight="1">
      <c r="C7" s="382" t="inlineStr">
        <is>
          <t xml:space="preserve">İnci Holding </t>
        </is>
      </c>
      <c r="D7" s="383">
        <f>'A -Döviz'!AD9/1000</f>
        <v/>
      </c>
      <c r="E7" s="383">
        <f>('A -Döviz'!AD9-'A -Döviz'!AC9)/1000</f>
        <v/>
      </c>
      <c r="F7" s="461">
        <f>(D7/(D7-E7))-1</f>
        <v/>
      </c>
      <c r="G7" s="383">
        <f>('A -Döviz'!AD36)/1000</f>
        <v/>
      </c>
      <c r="H7" s="383">
        <f>('A -Döviz'!AD36-'A -Döviz'!AC36)/1000</f>
        <v/>
      </c>
      <c r="I7" s="461">
        <f>(G7/(G7-H7))-1</f>
        <v/>
      </c>
      <c r="J7" s="383">
        <f>'A -Döviz'!AD139/1000</f>
        <v/>
      </c>
      <c r="K7" s="383">
        <f>('A -Döviz'!AD139-'A -Döviz'!AC139)/1000</f>
        <v/>
      </c>
      <c r="L7" s="461">
        <f>(J7/(J7-K7))-1</f>
        <v/>
      </c>
      <c r="M7" s="383">
        <f>'A -Döviz'!AD215/1000</f>
        <v/>
      </c>
      <c r="N7" s="383">
        <f>('A -Döviz'!AD215-'A -Döviz'!AC215)/1000</f>
        <v/>
      </c>
      <c r="O7" s="461">
        <f>(M7/(M7-N7))-1</f>
        <v/>
      </c>
      <c r="U7" s="433" t="n"/>
    </row>
    <row r="8" ht="16" customHeight="1">
      <c r="C8" s="382" t="inlineStr">
        <is>
          <t xml:space="preserve">ISM </t>
        </is>
      </c>
      <c r="D8" s="383">
        <f>'A -Döviz'!AD10/1000</f>
        <v/>
      </c>
      <c r="E8" s="383">
        <f>('A -Döviz'!AD10-'A -Döviz'!AC10)/1000</f>
        <v/>
      </c>
      <c r="F8" s="461">
        <f>(D8/(D8-E8))-1</f>
        <v/>
      </c>
      <c r="G8" s="383">
        <f>('A -Döviz'!AD37)/1000</f>
        <v/>
      </c>
      <c r="H8" s="383">
        <f>('A -Döviz'!AD37-'A -Döviz'!AC37)/1000</f>
        <v/>
      </c>
      <c r="I8" s="461">
        <f>(G8/(G8-H8))-1</f>
        <v/>
      </c>
      <c r="J8" s="383">
        <f>'A -Döviz'!AD140/1000</f>
        <v/>
      </c>
      <c r="K8" s="383">
        <f>('A -Döviz'!AD140-'A -Döviz'!AC140)/1000</f>
        <v/>
      </c>
      <c r="L8" s="461">
        <f>((J8/(J8-K8))-1)</f>
        <v/>
      </c>
      <c r="M8" s="383">
        <f>'A -Döviz'!AD216/1000</f>
        <v/>
      </c>
      <c r="N8" s="383">
        <f>('A -Döviz'!AD216-'A -Döviz'!AC216)/1000</f>
        <v/>
      </c>
      <c r="O8" s="461">
        <f>((M8/(M8-N8))-1)</f>
        <v/>
      </c>
      <c r="T8" s="381" t="n"/>
    </row>
    <row r="9" ht="16" customHeight="1">
      <c r="C9" s="382" t="inlineStr">
        <is>
          <t>İncitaş</t>
        </is>
      </c>
      <c r="D9" s="383">
        <f>'A -Döviz'!AD11/1000</f>
        <v/>
      </c>
      <c r="E9" s="383">
        <f>('A -Döviz'!AD11-'A -Döviz'!AC11)/1000</f>
        <v/>
      </c>
      <c r="F9" s="461">
        <f>(D9/(D9-E9))-1</f>
        <v/>
      </c>
      <c r="G9" s="383">
        <f>('A -Döviz'!AD38)/1000</f>
        <v/>
      </c>
      <c r="H9" s="383">
        <f>('A -Döviz'!AD38-'A -Döviz'!AC38)/1000</f>
        <v/>
      </c>
      <c r="I9" s="461">
        <f>(G9/(G9-H9))-1</f>
        <v/>
      </c>
      <c r="J9" s="383">
        <f>'A -Döviz'!AD141/1000</f>
        <v/>
      </c>
      <c r="K9" s="383">
        <f>('A -Döviz'!AD141-'A -Döviz'!AC141)/1000</f>
        <v/>
      </c>
      <c r="L9" s="461">
        <f>((J9/(J9-K9))-1)</f>
        <v/>
      </c>
      <c r="M9" s="383">
        <f>'A -Döviz'!AD217/1000</f>
        <v/>
      </c>
      <c r="N9" s="383">
        <f>('A -Döviz'!AD217-'A -Döviz'!AC217)/1000</f>
        <v/>
      </c>
      <c r="O9" s="461">
        <f>((M9/(M9-N9))-1)</f>
        <v/>
      </c>
      <c r="Q9" s="425" t="n"/>
      <c r="U9" s="433" t="n"/>
      <c r="V9" s="433" t="n"/>
    </row>
    <row r="10" ht="16" customHeight="1">
      <c r="C10" s="382" t="inlineStr">
        <is>
          <t>İnci GS Yuasa</t>
        </is>
      </c>
      <c r="D10" s="383">
        <f>'A -Döviz'!AD12/1000</f>
        <v/>
      </c>
      <c r="E10" s="383">
        <f>('A -Döviz'!AD12-'A -Döviz'!AC12)/1000</f>
        <v/>
      </c>
      <c r="F10" s="461">
        <f>(D10/(D10-E10))-1</f>
        <v/>
      </c>
      <c r="G10" s="383">
        <f>('A -Döviz'!AD39)/1000</f>
        <v/>
      </c>
      <c r="H10" s="383">
        <f>('A -Döviz'!AD39-'A -Döviz'!AC39)/1000</f>
        <v/>
      </c>
      <c r="I10" s="461">
        <f>(G10/(G10-H10))-1</f>
        <v/>
      </c>
      <c r="J10" s="383">
        <f>'A -Döviz'!AD142/1000</f>
        <v/>
      </c>
      <c r="K10" s="383">
        <f>('A -Döviz'!AD142-'A -Döviz'!AC142)/1000</f>
        <v/>
      </c>
      <c r="L10" s="461">
        <f>(J10/(J10-K10))-1</f>
        <v/>
      </c>
      <c r="M10" s="383">
        <f>'A -Döviz'!AD218/1000</f>
        <v/>
      </c>
      <c r="N10" s="383">
        <f>('A -Döviz'!AD218-'A -Döviz'!AC218)/1000</f>
        <v/>
      </c>
      <c r="O10" s="461">
        <f>((M10/(M10-N10))-1)</f>
        <v/>
      </c>
      <c r="U10" s="433" t="n"/>
      <c r="V10" s="433" t="n"/>
    </row>
    <row r="11" ht="16" customHeight="1">
      <c r="C11" s="382" t="inlineStr">
        <is>
          <t>Yusen İnci Loj.</t>
        </is>
      </c>
      <c r="D11" s="383">
        <f>'A -Döviz'!AD13/1000</f>
        <v/>
      </c>
      <c r="E11" s="383">
        <f>('A -Döviz'!AD13-'A -Döviz'!AC13)/1000</f>
        <v/>
      </c>
      <c r="F11" s="461">
        <f>(D11/(D11-E11))-1</f>
        <v/>
      </c>
      <c r="G11" s="383">
        <f>('A -Döviz'!AD40)/1000</f>
        <v/>
      </c>
      <c r="H11" s="383">
        <f>('A -Döviz'!AD40-'A -Döviz'!AC40)/1000</f>
        <v/>
      </c>
      <c r="I11" s="461">
        <f>(G11/(G11-H11))-1</f>
        <v/>
      </c>
      <c r="J11" s="383">
        <f>'A -Döviz'!AD143/1000</f>
        <v/>
      </c>
      <c r="K11" s="383">
        <f>('A -Döviz'!AD143-'A -Döviz'!AC143)/1000</f>
        <v/>
      </c>
      <c r="L11" s="461">
        <f>(J11/(J11-K11))-1</f>
        <v/>
      </c>
      <c r="M11" s="383">
        <f>'A -Döviz'!AD219/1000</f>
        <v/>
      </c>
      <c r="N11" s="383">
        <f>('A -Döviz'!AD219-'A -Döviz'!AC219)/1000</f>
        <v/>
      </c>
      <c r="O11" s="461">
        <f>(M11/(M11-N11))-1</f>
        <v/>
      </c>
      <c r="U11" s="433" t="n"/>
      <c r="V11" s="433" t="n"/>
    </row>
    <row r="12" ht="16" customHeight="1">
      <c r="C12" s="382" t="inlineStr">
        <is>
          <t>Jantaş</t>
        </is>
      </c>
      <c r="D12" s="383">
        <f>'A -Döviz'!AD14/1000</f>
        <v/>
      </c>
      <c r="E12" s="383">
        <f>('A -Döviz'!AD14-'A -Döviz'!AC14)/1000</f>
        <v/>
      </c>
      <c r="F12" s="461">
        <f>(D12/(D12-E12))-1</f>
        <v/>
      </c>
      <c r="G12" s="383">
        <f>('A -Döviz'!AD41)/1000</f>
        <v/>
      </c>
      <c r="H12" s="383">
        <f>('A -Döviz'!AD41-'A -Döviz'!AC41)/1000</f>
        <v/>
      </c>
      <c r="I12" s="461">
        <f>(G12/(G12-H12))-1</f>
        <v/>
      </c>
      <c r="J12" s="383">
        <f>'A -Döviz'!AD144/1000</f>
        <v/>
      </c>
      <c r="K12" s="383">
        <f>('A -Döviz'!AD144-'A -Döviz'!AC144)/1000</f>
        <v/>
      </c>
      <c r="L12" s="461">
        <f>(J12/(J12-K12))-1</f>
        <v/>
      </c>
      <c r="M12" s="383">
        <f>'A -Döviz'!AD220/1000</f>
        <v/>
      </c>
      <c r="N12" s="383">
        <f>('A -Döviz'!AD220-'A -Döviz'!AC220)/1000</f>
        <v/>
      </c>
      <c r="O12" s="461">
        <f>(M12/(M12-N12))-1</f>
        <v/>
      </c>
      <c r="U12" s="433" t="n"/>
      <c r="V12" s="433" t="n"/>
    </row>
    <row r="13" ht="16" customHeight="1">
      <c r="C13" s="382" t="inlineStr">
        <is>
          <t>Çelik</t>
        </is>
      </c>
      <c r="D13" s="383">
        <f>'A -Döviz'!AD15/1000</f>
        <v/>
      </c>
      <c r="E13" s="383">
        <f>('A -Döviz'!AD15-'A -Döviz'!AC15)/1000</f>
        <v/>
      </c>
      <c r="F13" s="461">
        <f>(D13/(D13-E13))-1</f>
        <v/>
      </c>
      <c r="G13" s="383">
        <f>('A -Döviz'!AD42)/1000</f>
        <v/>
      </c>
      <c r="H13" s="383">
        <f>('A -Döviz'!AD42-'A -Döviz'!AC42)/1000</f>
        <v/>
      </c>
      <c r="I13" s="461">
        <f>(G13/(G13-H13))-1</f>
        <v/>
      </c>
      <c r="J13" s="383">
        <f>'A -Döviz'!AD145/1000</f>
        <v/>
      </c>
      <c r="K13" s="383">
        <f>('A -Döviz'!AD145-'A -Döviz'!AC145)/1000</f>
        <v/>
      </c>
      <c r="L13" s="461">
        <f>(J13/(J13-K13))-1</f>
        <v/>
      </c>
      <c r="M13" s="383">
        <f>'A -Döviz'!AD221/1000</f>
        <v/>
      </c>
      <c r="N13" s="383">
        <f>('A -Döviz'!AD221-'A -Döviz'!AC221)/1000</f>
        <v/>
      </c>
      <c r="O13" s="461">
        <f>(M13/(M13-N13))-1</f>
        <v/>
      </c>
      <c r="U13" s="433" t="n"/>
      <c r="V13" s="433" t="n"/>
    </row>
    <row r="14" ht="16" customHeight="1">
      <c r="C14" s="382" t="inlineStr">
        <is>
          <t>Alüminyum</t>
        </is>
      </c>
      <c r="D14" s="383">
        <f>'A -Döviz'!AD16/1000</f>
        <v/>
      </c>
      <c r="E14" s="383">
        <f>('A -Döviz'!AD16-'A -Döviz'!AC16)/1000</f>
        <v/>
      </c>
      <c r="F14" s="461">
        <f>(D14/(D14-E14))-1</f>
        <v/>
      </c>
      <c r="G14" s="383">
        <f>('A -Döviz'!AD43)/1000</f>
        <v/>
      </c>
      <c r="H14" s="383">
        <f>('A -Döviz'!AD43-'A -Döviz'!AC43)/1000</f>
        <v/>
      </c>
      <c r="I14" s="461">
        <f>(G14/(G14-H14))-1</f>
        <v/>
      </c>
      <c r="J14" s="383">
        <f>'A -Döviz'!AD146/1000</f>
        <v/>
      </c>
      <c r="K14" s="383">
        <f>('A -Döviz'!AD146-'A -Döviz'!AC146)/1000</f>
        <v/>
      </c>
      <c r="L14" s="461">
        <f>(J14/(J14-K14))-1</f>
        <v/>
      </c>
      <c r="M14" s="383">
        <f>'A -Döviz'!AD222/1000</f>
        <v/>
      </c>
      <c r="N14" s="383">
        <f>('A -Döviz'!AD222-'A -Döviz'!AC222)/1000</f>
        <v/>
      </c>
      <c r="O14" s="461">
        <f>(M14/(M14-N14))-1</f>
        <v/>
      </c>
      <c r="U14" s="433" t="n"/>
      <c r="V14" s="433" t="n"/>
    </row>
    <row r="15" ht="16" customHeight="1">
      <c r="C15" s="382" t="n"/>
      <c r="D15" s="385" t="n"/>
      <c r="E15" s="385" t="n"/>
      <c r="F15" s="386" t="n"/>
      <c r="G15" s="385" t="n"/>
      <c r="H15" s="385" t="n"/>
      <c r="I15" s="386" t="n"/>
      <c r="J15" s="385" t="n"/>
      <c r="K15" s="385" t="n"/>
      <c r="L15" s="386" t="n"/>
      <c r="M15" s="385" t="n"/>
      <c r="N15" s="385" t="n"/>
      <c r="O15" s="386" t="n"/>
      <c r="U15" s="433" t="n"/>
      <c r="V15" s="433" t="n"/>
    </row>
    <row r="16" ht="16" customHeight="1">
      <c r="C16" s="439" t="n"/>
      <c r="D16" s="375" t="n"/>
      <c r="E16" s="376" t="n"/>
      <c r="F16" s="377" t="n"/>
      <c r="G16" s="375" t="n"/>
      <c r="H16" s="376" t="n"/>
      <c r="I16" s="377" t="n"/>
      <c r="J16" s="375" t="n"/>
      <c r="K16" s="376" t="n"/>
      <c r="L16" s="377" t="n"/>
      <c r="M16" s="376" t="n"/>
      <c r="N16" s="376" t="n"/>
      <c r="O16" s="376" t="n"/>
      <c r="U16" s="433" t="n"/>
      <c r="V16" s="433" t="n"/>
    </row>
    <row r="17" ht="16" customHeight="1">
      <c r="C17" s="378" t="inlineStr">
        <is>
          <t>bin Avro</t>
        </is>
      </c>
      <c r="D17" s="459" t="inlineStr">
        <is>
          <t>Vergi</t>
        </is>
      </c>
      <c r="F17" s="460" t="n"/>
      <c r="G17" s="459" t="inlineStr">
        <is>
          <t>Operasyonel Nakit</t>
        </is>
      </c>
      <c r="I17" s="460" t="n"/>
      <c r="J17" s="459" t="inlineStr">
        <is>
          <t>Serbest Nakit</t>
        </is>
      </c>
      <c r="L17" s="460" t="n"/>
      <c r="M17" s="443" t="inlineStr">
        <is>
          <t>Net Nakit</t>
        </is>
      </c>
      <c r="V17" s="388" t="n"/>
    </row>
    <row r="18" ht="13" customFormat="1" customHeight="1" s="323">
      <c r="C18" s="370" t="n"/>
      <c r="D18" s="371" t="inlineStr">
        <is>
          <t>Gerçekleşme</t>
        </is>
      </c>
      <c r="E18" s="371" t="inlineStr">
        <is>
          <t>Bütçe - Gerçekleşme Fark</t>
        </is>
      </c>
      <c r="F18" s="371" t="inlineStr">
        <is>
          <t>% Değişim</t>
        </is>
      </c>
      <c r="G18" s="371" t="inlineStr">
        <is>
          <t>Gerçekleşme</t>
        </is>
      </c>
      <c r="H18" s="371" t="inlineStr">
        <is>
          <t>Bütçe - Gerçekleşme Fark</t>
        </is>
      </c>
      <c r="I18" s="371" t="inlineStr">
        <is>
          <t>% Değişim</t>
        </is>
      </c>
      <c r="J18" s="371" t="inlineStr">
        <is>
          <t>Gerçekleşme</t>
        </is>
      </c>
      <c r="K18" s="371" t="inlineStr">
        <is>
          <t>Bütçe - Gerçekleşme Fark</t>
        </is>
      </c>
      <c r="L18" s="371" t="inlineStr">
        <is>
          <t>% Değişim</t>
        </is>
      </c>
      <c r="M18" s="371" t="inlineStr">
        <is>
          <t>Gerçekleşme</t>
        </is>
      </c>
      <c r="N18" s="371" t="inlineStr">
        <is>
          <t>Bütçe - Gerçekleşme Fark</t>
        </is>
      </c>
      <c r="O18" s="371" t="inlineStr">
        <is>
          <t>% Değişim</t>
        </is>
      </c>
      <c r="U18" s="322" t="n"/>
    </row>
    <row r="19" ht="16" customHeight="1">
      <c r="C19" s="382" t="inlineStr">
        <is>
          <t>Toplam</t>
        </is>
      </c>
      <c r="D19" s="383">
        <f>SUM(D20:D27)</f>
        <v/>
      </c>
      <c r="E19" s="383">
        <f>SUM(E20:E27)</f>
        <v/>
      </c>
      <c r="F19" s="461">
        <f>(D19/(D19-E19))</f>
        <v/>
      </c>
      <c r="G19" s="383">
        <f>SUM(G20:G27)</f>
        <v/>
      </c>
      <c r="H19" s="383">
        <f>SUM(H20:H27)</f>
        <v/>
      </c>
      <c r="I19" s="461">
        <f>((G19/(G19-H19))-1)</f>
        <v/>
      </c>
      <c r="J19" s="383">
        <f>SUM(J20:J27)</f>
        <v/>
      </c>
      <c r="K19" s="383">
        <f>SUM(K20:K27)</f>
        <v/>
      </c>
      <c r="L19" s="461">
        <f>((J19/(J19-K19))-1)</f>
        <v/>
      </c>
      <c r="M19" s="383">
        <f>SUM(M20:M27)</f>
        <v/>
      </c>
      <c r="N19" s="383">
        <f>SUM(N20:N27)</f>
        <v/>
      </c>
      <c r="O19" s="461">
        <f>(M19/(M19-N19))-1</f>
        <v/>
      </c>
      <c r="V19" s="388" t="n"/>
    </row>
    <row r="20" ht="16" customHeight="1">
      <c r="C20" s="382" t="inlineStr">
        <is>
          <t xml:space="preserve">İnci Holding </t>
        </is>
      </c>
      <c r="D20" s="383">
        <f>'A -Döviz'!AA202/1000</f>
        <v/>
      </c>
      <c r="E20" s="383">
        <f>('A -Döviz'!AA202-'A -Döviz'!Z202)/1000</f>
        <v/>
      </c>
      <c r="F20" s="461">
        <f>-((D20/(D20-E20))-1)</f>
        <v/>
      </c>
      <c r="G20" s="383">
        <f>'A -Döviz'!AA291/1000</f>
        <v/>
      </c>
      <c r="H20" s="383">
        <f>('A -Döviz'!AA291-'A -Döviz'!Z291)/1000</f>
        <v/>
      </c>
      <c r="I20" s="461">
        <f>((G20/(G20-H20))-1)</f>
        <v/>
      </c>
      <c r="J20" s="383">
        <f>'A -Döviz'!AA304/1000</f>
        <v/>
      </c>
      <c r="K20" s="383">
        <f>('A -Döviz'!AA304-'A -Döviz'!Z304)/1000</f>
        <v/>
      </c>
      <c r="L20" s="461">
        <f>((J20/(J20-K20))-1)</f>
        <v/>
      </c>
      <c r="M20" s="383">
        <f>'A -Döviz'!AA265/1000</f>
        <v/>
      </c>
      <c r="N20" s="383">
        <f>('A -Döviz'!AA265-'A -Döviz'!Z265)/1000</f>
        <v/>
      </c>
      <c r="O20" s="461">
        <f>(M20/(M20-N20))-1</f>
        <v/>
      </c>
      <c r="V20" s="388" t="n"/>
    </row>
    <row r="21" ht="16" customHeight="1">
      <c r="C21" s="382" t="inlineStr">
        <is>
          <t xml:space="preserve">ISM </t>
        </is>
      </c>
      <c r="D21" s="383">
        <f>'A -Döviz'!AA203/1000</f>
        <v/>
      </c>
      <c r="E21" s="383">
        <f>('A -Döviz'!AA203-'A -Döviz'!Z203)/1000</f>
        <v/>
      </c>
      <c r="F21" s="461">
        <f>-((D21/(D21-E21))-1)</f>
        <v/>
      </c>
      <c r="G21" s="383">
        <f>'A -Döviz'!AA292/1000</f>
        <v/>
      </c>
      <c r="H21" s="383">
        <f>('A -Döviz'!AA292-'A -Döviz'!Z292)/1000</f>
        <v/>
      </c>
      <c r="I21" s="461">
        <f>((G21/(G21-H21))-1)</f>
        <v/>
      </c>
      <c r="J21" s="383">
        <f>'A -Döviz'!AA305/1000</f>
        <v/>
      </c>
      <c r="K21" s="383">
        <f>('A -Döviz'!AA305-'A -Döviz'!Z305)/1000</f>
        <v/>
      </c>
      <c r="L21" s="461">
        <f>((J21/(J21-K21))-1)</f>
        <v/>
      </c>
      <c r="M21" s="383">
        <f>'A -Döviz'!AA266/1000</f>
        <v/>
      </c>
      <c r="N21" s="383">
        <f>('A -Döviz'!AA266-'A -Döviz'!Z266)/1000</f>
        <v/>
      </c>
      <c r="O21" s="461">
        <f>-((M21/(M21-N21))-1)</f>
        <v/>
      </c>
      <c r="V21" s="388" t="n"/>
    </row>
    <row r="22" ht="16" customHeight="1">
      <c r="C22" s="382" t="inlineStr">
        <is>
          <t>İncitaş</t>
        </is>
      </c>
      <c r="D22" s="383">
        <f>'A -Döviz'!AA204/1000</f>
        <v/>
      </c>
      <c r="E22" s="383">
        <f>('A -Döviz'!AA204-'A -Döviz'!Z204)/1000</f>
        <v/>
      </c>
      <c r="F22" s="461">
        <f>-IFERROR((D22/(D22-E22))-1,0)</f>
        <v/>
      </c>
      <c r="G22" s="383">
        <f>'A -Döviz'!AA293/1000</f>
        <v/>
      </c>
      <c r="H22" s="383">
        <f>('A -Döviz'!AA293-'A -Döviz'!Z293)/1000</f>
        <v/>
      </c>
      <c r="I22" s="461">
        <f>((G22/(G22-H22))-1)</f>
        <v/>
      </c>
      <c r="J22" s="383">
        <f>'A -Döviz'!AA306/1000</f>
        <v/>
      </c>
      <c r="K22" s="383">
        <f>('A -Döviz'!AA306-'A -Döviz'!Z306)/1000</f>
        <v/>
      </c>
      <c r="L22" s="461">
        <f>((J22/(J22-K22))-1)</f>
        <v/>
      </c>
      <c r="M22" s="383">
        <f>'A -Döviz'!AA267/1000</f>
        <v/>
      </c>
      <c r="N22" s="383">
        <f>('A -Döviz'!AA267-'A -Döviz'!Z267)/1000</f>
        <v/>
      </c>
      <c r="O22" s="461">
        <f>-((M22/(M22-N22))-1)</f>
        <v/>
      </c>
      <c r="V22" s="388" t="n"/>
    </row>
    <row r="23" ht="16" customHeight="1">
      <c r="C23" s="382" t="inlineStr">
        <is>
          <t>İnci GS Yuasa</t>
        </is>
      </c>
      <c r="D23" s="383">
        <f>'A -Döviz'!AA205/1000</f>
        <v/>
      </c>
      <c r="E23" s="383">
        <f>('A -Döviz'!AA205-'A -Döviz'!Z205)/1000</f>
        <v/>
      </c>
      <c r="F23" s="461" t="n">
        <v>0</v>
      </c>
      <c r="G23" s="383">
        <f>'A -Döviz'!AA294/1000</f>
        <v/>
      </c>
      <c r="H23" s="383">
        <f>('A -Döviz'!AA294-'A -Döviz'!Z294)/1000</f>
        <v/>
      </c>
      <c r="I23" s="461">
        <f>((G23/(G23-H23))-1)</f>
        <v/>
      </c>
      <c r="J23" s="383">
        <f>'A -Döviz'!AA307/1000</f>
        <v/>
      </c>
      <c r="K23" s="383">
        <f>('A -Döviz'!AA307-'A -Döviz'!Z307)/1000</f>
        <v/>
      </c>
      <c r="L23" s="461">
        <f>-((J23/(J23-K23)))</f>
        <v/>
      </c>
      <c r="M23" s="383">
        <f>'A -Döviz'!AA268/1000</f>
        <v/>
      </c>
      <c r="N23" s="383">
        <f>('A -Döviz'!AA268-'A -Döviz'!Z268)/1000</f>
        <v/>
      </c>
      <c r="O23" s="461">
        <f>-((M23/(M23-N23))-1)</f>
        <v/>
      </c>
      <c r="V23" s="388" t="n"/>
    </row>
    <row r="24" ht="16" customHeight="1">
      <c r="C24" s="382" t="inlineStr">
        <is>
          <t>Yusen İnci Loj.</t>
        </is>
      </c>
      <c r="D24" s="383">
        <f>'A -Döviz'!AA206/1000</f>
        <v/>
      </c>
      <c r="E24" s="383">
        <f>('A -Döviz'!AA206-'A -Döviz'!Z206)/1000</f>
        <v/>
      </c>
      <c r="F24" s="407">
        <f>-((D24/(D24-E24))-1)</f>
        <v/>
      </c>
      <c r="G24" s="383">
        <f>'A -Döviz'!AA295/1000</f>
        <v/>
      </c>
      <c r="H24" s="383">
        <f>('A -Döviz'!AA295-'A -Döviz'!Z295)/1000</f>
        <v/>
      </c>
      <c r="I24" s="461">
        <f>(G24/(G24-H24))-1</f>
        <v/>
      </c>
      <c r="J24" s="383">
        <f>'A -Döviz'!AA308/1000</f>
        <v/>
      </c>
      <c r="K24" s="383">
        <f>('A -Döviz'!AA308-'A -Döviz'!Z308)/1000</f>
        <v/>
      </c>
      <c r="L24" s="461">
        <f>(J24/(J24-K24))-1</f>
        <v/>
      </c>
      <c r="M24" s="383">
        <f>'A -Döviz'!AA269/1000</f>
        <v/>
      </c>
      <c r="N24" s="383">
        <f>('A -Döviz'!AA269-'A -Döviz'!Z269)/1000</f>
        <v/>
      </c>
      <c r="O24" s="461">
        <f>(M24/(M24-N24))-1</f>
        <v/>
      </c>
      <c r="Q24" s="426" t="n"/>
      <c r="V24" s="388" t="n"/>
    </row>
    <row r="25" ht="16" customHeight="1">
      <c r="C25" s="382" t="inlineStr">
        <is>
          <t>Jantaş</t>
        </is>
      </c>
      <c r="D25" s="383">
        <f>'A -Döviz'!AA207/1000</f>
        <v/>
      </c>
      <c r="E25" s="383">
        <f>('A -Döviz'!AA207-'A -Döviz'!Z207)/1000</f>
        <v/>
      </c>
      <c r="F25" s="461">
        <f>-((D25/(D25-E25))-1)</f>
        <v/>
      </c>
      <c r="G25" s="383">
        <f>'A -Döviz'!AA296/1000</f>
        <v/>
      </c>
      <c r="H25" s="383">
        <f>('A -Döviz'!AA296-'A -Döviz'!Z296)/1000</f>
        <v/>
      </c>
      <c r="I25" s="461">
        <f>((G25/(G25-H25))-1)</f>
        <v/>
      </c>
      <c r="J25" s="383">
        <f>'A -Döviz'!AA309/1000</f>
        <v/>
      </c>
      <c r="K25" s="383">
        <f>('A -Döviz'!AA309-'A -Döviz'!Z309)/1000</f>
        <v/>
      </c>
      <c r="L25" s="461">
        <f>((J25/(J25-K25))-1)</f>
        <v/>
      </c>
      <c r="M25" s="383">
        <f>'A -Döviz'!AA270/1000</f>
        <v/>
      </c>
      <c r="N25" s="383">
        <f>('A -Döviz'!AA270-'A -Döviz'!Z270)/1000</f>
        <v/>
      </c>
      <c r="O25" s="461">
        <f>(M25/(M25-N25))-1</f>
        <v/>
      </c>
      <c r="V25" s="388" t="n"/>
    </row>
    <row r="26" ht="16" customHeight="1">
      <c r="C26" s="382" t="inlineStr">
        <is>
          <t>Çelik</t>
        </is>
      </c>
      <c r="D26" s="383">
        <f>'A -Döviz'!AA208/1000</f>
        <v/>
      </c>
      <c r="E26" s="383">
        <f>('A -Döviz'!AA208-'A -Döviz'!Z208)/1000</f>
        <v/>
      </c>
      <c r="F26" s="461">
        <f>-((D26/(D26-E26))-1)</f>
        <v/>
      </c>
      <c r="G26" s="383">
        <f>'A -Döviz'!AA297/1000</f>
        <v/>
      </c>
      <c r="H26" s="383">
        <f>('A -Döviz'!AA297-'A -Döviz'!Z297)/1000</f>
        <v/>
      </c>
      <c r="I26" s="461">
        <f>((G26/(G26-H26))-1)</f>
        <v/>
      </c>
      <c r="J26" s="383">
        <f>'A -Döviz'!AA310/1000</f>
        <v/>
      </c>
      <c r="K26" s="383">
        <f>('A -Döviz'!AA310-'A -Döviz'!Z310)/1000</f>
        <v/>
      </c>
      <c r="L26" s="461">
        <f>((J26/(J26-K26))-1)</f>
        <v/>
      </c>
      <c r="M26" s="383">
        <f>'A -Döviz'!AA271/1000</f>
        <v/>
      </c>
      <c r="N26" s="383">
        <f>('A -Döviz'!AA271-'A -Döviz'!Z271)/1000</f>
        <v/>
      </c>
      <c r="O26" s="461">
        <f>(M26/(M26-N26))-1</f>
        <v/>
      </c>
      <c r="V26" s="388" t="n"/>
    </row>
    <row r="27" ht="16" customHeight="1">
      <c r="C27" s="382" t="inlineStr">
        <is>
          <t>Alüminyum</t>
        </is>
      </c>
      <c r="D27" s="383">
        <f>'A -Döviz'!AA209/1000</f>
        <v/>
      </c>
      <c r="E27" s="383">
        <f>('A -Döviz'!AA209-'A -Döviz'!Z209)/1000</f>
        <v/>
      </c>
      <c r="F27" s="461">
        <f>-((D27/(D27-E27))-1)</f>
        <v/>
      </c>
      <c r="G27" s="383">
        <f>'A -Döviz'!AA298/1000</f>
        <v/>
      </c>
      <c r="H27" s="383">
        <f>('A -Döviz'!AA298-'A -Döviz'!Z298)/1000</f>
        <v/>
      </c>
      <c r="I27" s="461">
        <f>((G27/(G27-H27))-1)</f>
        <v/>
      </c>
      <c r="J27" s="383">
        <f>'A -Döviz'!AA311/1000</f>
        <v/>
      </c>
      <c r="K27" s="383">
        <f>('A -Döviz'!AA311-'A -Döviz'!Z311)/1000</f>
        <v/>
      </c>
      <c r="L27" s="461">
        <f>((J27/(J27-K27))-1)</f>
        <v/>
      </c>
      <c r="M27" s="383">
        <f>'A -Döviz'!AA272/1000</f>
        <v/>
      </c>
      <c r="N27" s="383">
        <f>('A -Döviz'!AA272-'A -Döviz'!Z272)/1000</f>
        <v/>
      </c>
      <c r="O27" s="461">
        <f>(M27/(M27-N27))-1</f>
        <v/>
      </c>
    </row>
    <row r="28" ht="16" customHeight="1">
      <c r="C28" s="382" t="n"/>
      <c r="D28" s="382" t="n"/>
      <c r="E28" s="382" t="n"/>
      <c r="F28" s="382" t="n"/>
      <c r="G28" s="382" t="n"/>
      <c r="H28" s="382" t="n"/>
      <c r="I28" s="382" t="n"/>
      <c r="J28" s="385" t="n"/>
      <c r="K28" s="385" t="n"/>
      <c r="L28" s="385" t="n"/>
      <c r="M28" s="386" t="n"/>
      <c r="N28" s="385" t="n"/>
      <c r="O28" s="385" t="n"/>
      <c r="P28" s="386" t="n"/>
    </row>
    <row r="29" ht="16" customHeight="1">
      <c r="C29" s="439" t="n"/>
      <c r="D29" s="375" t="n"/>
      <c r="E29" s="389" t="n"/>
      <c r="F29" s="375" t="n"/>
      <c r="G29" s="389" t="n"/>
      <c r="H29" s="375" t="n"/>
      <c r="I29" s="389" t="n"/>
      <c r="J29" s="375" t="n"/>
      <c r="K29" s="389" t="n"/>
      <c r="L29" s="375" t="n"/>
      <c r="M29" s="389" t="n"/>
      <c r="N29" s="376" t="n"/>
      <c r="O29" s="376" t="n"/>
    </row>
    <row r="30" ht="16" customHeight="1">
      <c r="C30" s="387" t="n"/>
      <c r="D30" s="459" t="inlineStr">
        <is>
          <t>Faaliyet Giderleri Marjı</t>
        </is>
      </c>
      <c r="E30" s="460" t="n"/>
      <c r="F30" s="459" t="inlineStr">
        <is>
          <t>Brüt Kar Marjı</t>
        </is>
      </c>
      <c r="G30" s="460" t="n"/>
      <c r="H30" s="459" t="inlineStr">
        <is>
          <t>EBITDA Marjı</t>
        </is>
      </c>
      <c r="I30" s="460" t="n"/>
      <c r="J30" s="459" t="inlineStr">
        <is>
          <t>Net Kar Marjı</t>
        </is>
      </c>
      <c r="K30" s="460" t="n"/>
      <c r="L30" s="459" t="inlineStr">
        <is>
          <t>Operasyonel Nakit Marjı</t>
        </is>
      </c>
      <c r="M30" s="460" t="n"/>
      <c r="N30" s="443" t="inlineStr">
        <is>
          <t>Serbest Nakit Marjı</t>
        </is>
      </c>
      <c r="P30" s="446" t="n"/>
    </row>
    <row r="31" ht="13" customFormat="1" customHeight="1" s="323">
      <c r="C31" s="370" t="n"/>
      <c r="D31" s="371" t="inlineStr">
        <is>
          <t>Gerçekleşme</t>
        </is>
      </c>
      <c r="E31" s="371" t="inlineStr">
        <is>
          <t>Bütçe - Gerçekleşme Fark</t>
        </is>
      </c>
      <c r="F31" s="371" t="inlineStr">
        <is>
          <t>Gerçekleşme</t>
        </is>
      </c>
      <c r="G31" s="371" t="inlineStr">
        <is>
          <t>Bütçe - Gerçekleşme Fark</t>
        </is>
      </c>
      <c r="H31" s="371" t="inlineStr">
        <is>
          <t>Gerçekleşme</t>
        </is>
      </c>
      <c r="I31" s="371" t="inlineStr">
        <is>
          <t>Bütçe - Gerçekleşme Fark</t>
        </is>
      </c>
      <c r="J31" s="371" t="inlineStr">
        <is>
          <t>Gerçekleşme</t>
        </is>
      </c>
      <c r="K31" s="371" t="inlineStr">
        <is>
          <t>Bütçe - Gerçekleşme Fark</t>
        </is>
      </c>
      <c r="L31" s="371" t="inlineStr">
        <is>
          <t>Gerçekleşme</t>
        </is>
      </c>
      <c r="M31" s="371" t="inlineStr">
        <is>
          <t>Bütçe - Gerçekleşme Fark</t>
        </is>
      </c>
      <c r="N31" s="371" t="inlineStr">
        <is>
          <t>Gerçekleşme</t>
        </is>
      </c>
      <c r="O31" s="371" t="inlineStr">
        <is>
          <t>Bütçe - Gerçekleşme Fark</t>
        </is>
      </c>
      <c r="U31" s="322" t="n"/>
    </row>
    <row r="32" ht="16" customHeight="1">
      <c r="C32" s="382" t="n"/>
      <c r="D32" s="383" t="n"/>
      <c r="E32" s="383" t="n"/>
      <c r="F32" s="383" t="n"/>
      <c r="G32" s="383" t="n"/>
      <c r="H32" s="383" t="n"/>
      <c r="I32" s="383" t="n"/>
      <c r="J32" s="383" t="n"/>
      <c r="K32" s="383" t="n"/>
      <c r="L32" s="383" t="n"/>
      <c r="M32" s="383" t="n"/>
      <c r="N32" s="383" t="n"/>
      <c r="O32" s="383" t="n"/>
      <c r="P32" s="386" t="n"/>
    </row>
    <row r="33" ht="16" customHeight="1">
      <c r="C33" s="382" t="inlineStr">
        <is>
          <t xml:space="preserve">İnci Holding </t>
        </is>
      </c>
      <c r="D33" s="461">
        <f>'A -Döviz'!AA102</f>
        <v/>
      </c>
      <c r="E33" s="461">
        <f>-('A -Döviz'!AA102-'A -Döviz'!Z102)</f>
        <v/>
      </c>
      <c r="F33" s="461">
        <f>'A -Döviz'!AA79</f>
        <v/>
      </c>
      <c r="G33" s="461">
        <f>'A -Döviz'!AA79-'A -Döviz'!Z79</f>
        <v/>
      </c>
      <c r="H33" s="461">
        <f>'A -Döviz'!AA150</f>
        <v/>
      </c>
      <c r="I33" s="461">
        <f>'A -Döviz'!AA150-'A -Döviz'!Z150</f>
        <v/>
      </c>
      <c r="J33" s="461">
        <f>'A -Döviz'!AA226</f>
        <v/>
      </c>
      <c r="K33" s="461">
        <f>'A -Döviz'!AA226-'A -Döviz'!Z226</f>
        <v/>
      </c>
      <c r="L33" s="461">
        <f>'A -Döviz'!AA291/'A -Döviz'!AA9</f>
        <v/>
      </c>
      <c r="M33" s="461">
        <f>L33-('A -Döviz'!Z291/'A -Döviz'!Z9)</f>
        <v/>
      </c>
      <c r="N33" s="461">
        <f>'A -Döviz'!AA304/'A -Döviz'!AA9</f>
        <v/>
      </c>
      <c r="O33" s="461">
        <f>N33-'A -Döviz'!Z304/'A -Döviz'!Z9</f>
        <v/>
      </c>
      <c r="P33" s="386" t="n"/>
    </row>
    <row r="34" ht="16" customHeight="1">
      <c r="C34" s="382" t="inlineStr">
        <is>
          <t xml:space="preserve">ISM </t>
        </is>
      </c>
      <c r="D34" s="461">
        <f>'A -Döviz'!AA103</f>
        <v/>
      </c>
      <c r="E34" s="461">
        <f>-('A -Döviz'!AA103-'A -Döviz'!Z103)</f>
        <v/>
      </c>
      <c r="F34" s="461">
        <f>'A -Döviz'!AA80</f>
        <v/>
      </c>
      <c r="G34" s="461">
        <f>'A -Döviz'!AA80-'A -Döviz'!Z80</f>
        <v/>
      </c>
      <c r="H34" s="461">
        <f>'A -Döviz'!AA151</f>
        <v/>
      </c>
      <c r="I34" s="461">
        <f>'A -Döviz'!AA151-'A -Döviz'!Z151</f>
        <v/>
      </c>
      <c r="J34" s="461">
        <f>'A -Döviz'!AA227</f>
        <v/>
      </c>
      <c r="K34" s="461">
        <f>'A -Döviz'!AA227-'A -Döviz'!Z227</f>
        <v/>
      </c>
      <c r="L34" s="461">
        <f>'A -Döviz'!AA292/'A -Döviz'!AA10</f>
        <v/>
      </c>
      <c r="M34" s="461">
        <f>L34-('A -Döviz'!Z292/'A -Döviz'!Z10)</f>
        <v/>
      </c>
      <c r="N34" s="461">
        <f>'A -Döviz'!AA305/'A -Döviz'!AA10</f>
        <v/>
      </c>
      <c r="O34" s="461">
        <f>N34-'A -Döviz'!Z305/'A -Döviz'!Z10</f>
        <v/>
      </c>
      <c r="P34" s="386" t="n"/>
    </row>
    <row r="35" ht="16" customHeight="1">
      <c r="C35" s="382" t="inlineStr">
        <is>
          <t>İncitaş</t>
        </is>
      </c>
      <c r="D35" s="461">
        <f>'A -Döviz'!AA104</f>
        <v/>
      </c>
      <c r="E35" s="461">
        <f>-('A -Döviz'!AA104-'A -Döviz'!Z104)</f>
        <v/>
      </c>
      <c r="F35" s="461">
        <f>'A -Döviz'!AA81</f>
        <v/>
      </c>
      <c r="G35" s="461">
        <f>'A -Döviz'!AA81-'A -Döviz'!Z81</f>
        <v/>
      </c>
      <c r="H35" s="461">
        <f>'A -Döviz'!AA152</f>
        <v/>
      </c>
      <c r="I35" s="461">
        <f>'A -Döviz'!AA152-'A -Döviz'!Z152</f>
        <v/>
      </c>
      <c r="J35" s="461">
        <f>'A -Döviz'!AA228</f>
        <v/>
      </c>
      <c r="K35" s="461">
        <f>'A -Döviz'!AA228-'A -Döviz'!Z228</f>
        <v/>
      </c>
      <c r="L35" s="461">
        <f>'A -Döviz'!AA293/'A -Döviz'!AA11</f>
        <v/>
      </c>
      <c r="M35" s="461">
        <f>L35-('A -Döviz'!Z293/'A -Döviz'!Z11)</f>
        <v/>
      </c>
      <c r="N35" s="461">
        <f>'A -Döviz'!AA306/'A -Döviz'!AA11</f>
        <v/>
      </c>
      <c r="O35" s="461">
        <f>N35-'A -Döviz'!Z306/'A -Döviz'!Z11</f>
        <v/>
      </c>
      <c r="P35" s="386" t="n"/>
    </row>
    <row r="36" ht="16" customHeight="1">
      <c r="C36" s="382" t="inlineStr">
        <is>
          <t>İnci GS Yuasa</t>
        </is>
      </c>
      <c r="D36" s="461">
        <f>'A -Döviz'!AA105</f>
        <v/>
      </c>
      <c r="E36" s="461">
        <f>-('A -Döviz'!AA105-'A -Döviz'!Z105)</f>
        <v/>
      </c>
      <c r="F36" s="461">
        <f>'A -Döviz'!AA82</f>
        <v/>
      </c>
      <c r="G36" s="461">
        <f>'A -Döviz'!AA82-'A -Döviz'!Z82</f>
        <v/>
      </c>
      <c r="H36" s="461">
        <f>'A -Döviz'!AA153</f>
        <v/>
      </c>
      <c r="I36" s="461">
        <f>'A -Döviz'!AA153-'A -Döviz'!Z153</f>
        <v/>
      </c>
      <c r="J36" s="461">
        <f>'A -Döviz'!AA229</f>
        <v/>
      </c>
      <c r="K36" s="461">
        <f>'A -Döviz'!AA229-'A -Döviz'!Z229</f>
        <v/>
      </c>
      <c r="L36" s="461">
        <f>'A -Döviz'!AA294/'A -Döviz'!AA12</f>
        <v/>
      </c>
      <c r="M36" s="461">
        <f>L36-('A -Döviz'!Z294/'A -Döviz'!Z12)</f>
        <v/>
      </c>
      <c r="N36" s="461">
        <f>'A -Döviz'!AA307/'A -Döviz'!AA12</f>
        <v/>
      </c>
      <c r="O36" s="461">
        <f>N36-'A -Döviz'!Z307/'A -Döviz'!Z12</f>
        <v/>
      </c>
      <c r="P36" s="386" t="n"/>
    </row>
    <row r="37" ht="16" customHeight="1">
      <c r="C37" s="382" t="inlineStr">
        <is>
          <t>Yusen İnci Loj.</t>
        </is>
      </c>
      <c r="D37" s="461">
        <f>'A -Döviz'!AA106</f>
        <v/>
      </c>
      <c r="E37" s="461">
        <f>-('A -Döviz'!AA106-'A -Döviz'!Z106)</f>
        <v/>
      </c>
      <c r="F37" s="461">
        <f>'A -Döviz'!AA83</f>
        <v/>
      </c>
      <c r="G37" s="461">
        <f>'A -Döviz'!AA83-'A -Döviz'!Z83</f>
        <v/>
      </c>
      <c r="H37" s="461">
        <f>'A -Döviz'!AA154</f>
        <v/>
      </c>
      <c r="I37" s="461">
        <f>'A -Döviz'!AA154-'A -Döviz'!Z154</f>
        <v/>
      </c>
      <c r="J37" s="461">
        <f>'A -Döviz'!AA230</f>
        <v/>
      </c>
      <c r="K37" s="461">
        <f>'A -Döviz'!AA230-'A -Döviz'!Z230</f>
        <v/>
      </c>
      <c r="L37" s="461">
        <f>'A -Döviz'!AA295/'A -Döviz'!AA13</f>
        <v/>
      </c>
      <c r="M37" s="461">
        <f>L37-('A -Döviz'!Z295/'A -Döviz'!Z13)</f>
        <v/>
      </c>
      <c r="N37" s="461">
        <f>'A -Döviz'!AA308/'A -Döviz'!AA13</f>
        <v/>
      </c>
      <c r="O37" s="461">
        <f>N37-'A -Döviz'!Z308/'A -Döviz'!Z13</f>
        <v/>
      </c>
      <c r="P37" s="386" t="n"/>
    </row>
    <row r="38" ht="16" customHeight="1">
      <c r="C38" s="382" t="inlineStr">
        <is>
          <t>Jantaş</t>
        </is>
      </c>
      <c r="D38" s="461">
        <f>'A -Döviz'!AA107</f>
        <v/>
      </c>
      <c r="E38" s="461">
        <f>-('A -Döviz'!AA107-'A -Döviz'!Z107)</f>
        <v/>
      </c>
      <c r="F38" s="461">
        <f>'A -Döviz'!AA84</f>
        <v/>
      </c>
      <c r="G38" s="461">
        <f>'A -Döviz'!AA84-'A -Döviz'!Z84</f>
        <v/>
      </c>
      <c r="H38" s="461">
        <f>'A -Döviz'!AA155</f>
        <v/>
      </c>
      <c r="I38" s="461">
        <f>'A -Döviz'!AA155-'A -Döviz'!Z155</f>
        <v/>
      </c>
      <c r="J38" s="461">
        <f>'A -Döviz'!AA231</f>
        <v/>
      </c>
      <c r="K38" s="461">
        <f>'A -Döviz'!AA231-'A -Döviz'!Z231</f>
        <v/>
      </c>
      <c r="L38" s="461">
        <f>'A -Döviz'!AA296/'A -Döviz'!AA14</f>
        <v/>
      </c>
      <c r="M38" s="461">
        <f>L38-('A -Döviz'!Z296/'A -Döviz'!Z14)</f>
        <v/>
      </c>
      <c r="N38" s="461">
        <f>'A -Döviz'!AA309/'A -Döviz'!AA14</f>
        <v/>
      </c>
      <c r="O38" s="461">
        <f>N38-'A -Döviz'!Z309/'A -Döviz'!Z14</f>
        <v/>
      </c>
      <c r="P38" s="386" t="n"/>
    </row>
    <row r="39" ht="16" customHeight="1">
      <c r="C39" s="382" t="inlineStr">
        <is>
          <t>Çelik</t>
        </is>
      </c>
      <c r="D39" s="461">
        <f>'A -Döviz'!AA108</f>
        <v/>
      </c>
      <c r="E39" s="461">
        <f>-('A -Döviz'!AA108-'A -Döviz'!Z108)</f>
        <v/>
      </c>
      <c r="F39" s="461">
        <f>'A -Döviz'!AA85</f>
        <v/>
      </c>
      <c r="G39" s="461">
        <f>'A -Döviz'!AA85-'A -Döviz'!Z85</f>
        <v/>
      </c>
      <c r="H39" s="461">
        <f>'A -Döviz'!AA156</f>
        <v/>
      </c>
      <c r="I39" s="461">
        <f>'A -Döviz'!AA156-'A -Döviz'!Z156</f>
        <v/>
      </c>
      <c r="J39" s="461">
        <f>'A -Döviz'!AA232</f>
        <v/>
      </c>
      <c r="K39" s="461">
        <f>'A -Döviz'!AA232-'A -Döviz'!Z232</f>
        <v/>
      </c>
      <c r="L39" s="461">
        <f>'A -Döviz'!AA297/'A -Döviz'!AA15</f>
        <v/>
      </c>
      <c r="M39" s="461">
        <f>L39-('A -Döviz'!Z297/'A -Döviz'!Z15)</f>
        <v/>
      </c>
      <c r="N39" s="461">
        <f>'A -Döviz'!AA310/'A -Döviz'!AA15</f>
        <v/>
      </c>
      <c r="O39" s="461">
        <f>N39-'A -Döviz'!Z310/'A -Döviz'!Z15</f>
        <v/>
      </c>
      <c r="P39" s="386" t="n"/>
    </row>
    <row r="40" ht="16" customHeight="1">
      <c r="C40" s="382" t="inlineStr">
        <is>
          <t>Alüminyum</t>
        </is>
      </c>
      <c r="D40" s="461">
        <f>'A -Döviz'!AA109</f>
        <v/>
      </c>
      <c r="E40" s="461">
        <f>-('A -Döviz'!AA109-'A -Döviz'!Z109)</f>
        <v/>
      </c>
      <c r="F40" s="461">
        <f>'A -Döviz'!AA86</f>
        <v/>
      </c>
      <c r="G40" s="461">
        <f>'A -Döviz'!AA86-'A -Döviz'!Z86</f>
        <v/>
      </c>
      <c r="H40" s="461">
        <f>'A -Döviz'!AA157</f>
        <v/>
      </c>
      <c r="I40" s="461">
        <f>'A -Döviz'!AA157-'A -Döviz'!Z157</f>
        <v/>
      </c>
      <c r="J40" s="461">
        <f>'A -Döviz'!AA233</f>
        <v/>
      </c>
      <c r="K40" s="461">
        <f>'A -Döviz'!AA233-'A -Döviz'!Z233</f>
        <v/>
      </c>
      <c r="L40" s="461">
        <f>'A -Döviz'!AA298/'A -Döviz'!AA16</f>
        <v/>
      </c>
      <c r="M40" s="461">
        <f>L40-('A -Döviz'!Z298/'A -Döviz'!Z16)</f>
        <v/>
      </c>
      <c r="N40" s="461">
        <f>'A -Döviz'!AA311/'A -Döviz'!AA16</f>
        <v/>
      </c>
      <c r="O40" s="461">
        <f>N40-'A -Döviz'!Z311/'A -Döviz'!Z16</f>
        <v/>
      </c>
      <c r="P40" s="386" t="n"/>
    </row>
    <row r="41" ht="36" customHeight="1">
      <c r="C41" s="391" t="n"/>
      <c r="D41" s="445" t="n"/>
      <c r="G41" s="445" t="n"/>
      <c r="J41" s="445" t="n"/>
      <c r="K41" s="445" t="n"/>
      <c r="N41" s="445" t="n"/>
      <c r="O41" s="445" t="n"/>
    </row>
    <row r="42" ht="13.5" customHeight="1">
      <c r="C42" s="393" t="n"/>
      <c r="D42" s="391" t="n"/>
      <c r="E42" s="391" t="n"/>
      <c r="F42" s="391" t="n"/>
      <c r="G42" s="391" t="n"/>
      <c r="H42" s="391" t="n"/>
      <c r="I42" s="391" t="n"/>
      <c r="J42" s="393" t="n"/>
      <c r="K42" s="391" t="n"/>
      <c r="L42" s="391" t="n"/>
      <c r="M42" s="391" t="n"/>
      <c r="N42" s="393" t="n"/>
      <c r="O42" s="391" t="n"/>
      <c r="P42" s="391" t="n"/>
    </row>
    <row r="43" ht="13.5" customHeight="1">
      <c r="C43" s="432" t="n"/>
      <c r="D43" s="432" t="n"/>
      <c r="E43" s="432" t="n"/>
      <c r="F43" s="395" t="n"/>
      <c r="G43" s="432" t="n"/>
      <c r="H43" s="432" t="n"/>
      <c r="I43" s="395" t="n"/>
      <c r="J43" s="432" t="n"/>
      <c r="K43" s="432" t="n"/>
      <c r="L43" s="432" t="n"/>
      <c r="M43" s="395" t="n"/>
      <c r="N43" s="432" t="n"/>
      <c r="O43" s="432" t="n"/>
      <c r="P43" s="395" t="n"/>
    </row>
    <row r="44" ht="13.5" customHeight="1">
      <c r="C44" s="432" t="n"/>
      <c r="D44" s="432" t="n"/>
      <c r="E44" s="432" t="n"/>
      <c r="F44" s="395" t="n"/>
      <c r="G44" s="432" t="n"/>
      <c r="H44" s="432" t="n"/>
      <c r="I44" s="395" t="n"/>
      <c r="J44" s="432" t="n"/>
      <c r="K44" s="432" t="n"/>
      <c r="L44" s="432" t="n"/>
      <c r="M44" s="395" t="n"/>
      <c r="N44" s="432" t="n"/>
      <c r="O44" s="432" t="n"/>
      <c r="P44" s="395" t="n"/>
    </row>
    <row r="45" ht="13.5" customHeight="1">
      <c r="C45" s="432" t="n"/>
      <c r="D45" s="432" t="n"/>
      <c r="E45" s="432" t="n"/>
      <c r="F45" s="395" t="n"/>
      <c r="G45" s="432" t="n"/>
      <c r="H45" s="432" t="n"/>
      <c r="I45" s="395" t="n"/>
      <c r="J45" s="432" t="n"/>
      <c r="K45" s="432" t="n"/>
      <c r="L45" s="432" t="n"/>
      <c r="M45" s="395" t="n"/>
      <c r="N45" s="432" t="n"/>
      <c r="O45" s="432" t="n"/>
      <c r="P45" s="395" t="n"/>
    </row>
    <row r="46" ht="13.5" customHeight="1">
      <c r="C46" s="432" t="n"/>
      <c r="D46" s="432" t="n"/>
      <c r="E46" s="432" t="n"/>
      <c r="F46" s="395" t="n"/>
      <c r="G46" s="432" t="n"/>
      <c r="H46" s="432" t="n"/>
      <c r="I46" s="395" t="n"/>
      <c r="J46" s="432" t="n"/>
      <c r="K46" s="432" t="n"/>
      <c r="L46" s="432" t="n"/>
      <c r="M46" s="395" t="n"/>
      <c r="N46" s="432" t="n"/>
      <c r="O46" s="432" t="n"/>
      <c r="P46" s="395" t="n"/>
    </row>
    <row r="47" ht="13.5" customHeight="1">
      <c r="C47" s="432" t="n"/>
      <c r="D47" s="432" t="n"/>
      <c r="E47" s="432" t="n"/>
      <c r="F47" s="395" t="n"/>
      <c r="G47" s="432" t="n"/>
      <c r="H47" s="432" t="n"/>
      <c r="I47" s="395" t="n"/>
      <c r="J47" s="432" t="n"/>
      <c r="K47" s="432" t="n"/>
      <c r="L47" s="432" t="n"/>
      <c r="M47" s="395" t="n"/>
      <c r="N47" s="432" t="n"/>
      <c r="O47" s="432" t="n"/>
      <c r="P47" s="395" t="n"/>
    </row>
    <row r="48" ht="13.5" customHeight="1">
      <c r="C48" s="432" t="n"/>
      <c r="D48" s="432" t="n"/>
      <c r="E48" s="432" t="n"/>
      <c r="F48" s="395" t="n"/>
      <c r="G48" s="432" t="n"/>
      <c r="H48" s="432" t="n"/>
      <c r="I48" s="395" t="n"/>
      <c r="J48" s="432" t="n"/>
      <c r="K48" s="432" t="n"/>
      <c r="L48" s="432" t="n"/>
      <c r="M48" s="395" t="n"/>
      <c r="N48" s="432" t="n"/>
      <c r="O48" s="432" t="n"/>
      <c r="P48" s="395" t="n"/>
    </row>
    <row r="49" ht="13.5" customHeight="1"/>
    <row r="50" ht="13.5" customHeight="1">
      <c r="C50" s="391" t="n"/>
      <c r="D50" s="445" t="n"/>
      <c r="G50" s="445" t="n"/>
      <c r="J50" s="445" t="n"/>
      <c r="K50" s="445" t="n"/>
      <c r="N50" s="445" t="n"/>
      <c r="O50" s="445" t="n"/>
    </row>
    <row r="51" ht="14.15" customHeight="1">
      <c r="C51" s="393" t="n"/>
      <c r="D51" s="391" t="n"/>
      <c r="E51" s="391" t="n"/>
      <c r="F51" s="391" t="n"/>
      <c r="G51" s="391" t="n"/>
      <c r="H51" s="391" t="n"/>
      <c r="I51" s="391" t="n"/>
      <c r="J51" s="393" t="n"/>
      <c r="K51" s="391" t="n"/>
      <c r="L51" s="391" t="n"/>
      <c r="M51" s="391" t="n"/>
      <c r="N51" s="393" t="n"/>
      <c r="O51" s="391" t="n"/>
      <c r="P51" s="391" t="n"/>
    </row>
    <row r="52" ht="14.15" customHeight="1">
      <c r="C52" s="432" t="n"/>
      <c r="D52" s="432" t="n"/>
      <c r="E52" s="432" t="n"/>
      <c r="F52" s="395" t="n"/>
      <c r="G52" s="432" t="n"/>
      <c r="H52" s="432" t="n"/>
      <c r="I52" s="395" t="n"/>
      <c r="J52" s="432" t="n"/>
      <c r="K52" s="432" t="n"/>
      <c r="L52" s="432" t="n"/>
      <c r="M52" s="395" t="n"/>
      <c r="N52" s="432" t="n"/>
      <c r="O52" s="432" t="n"/>
      <c r="P52" s="395" t="n"/>
    </row>
    <row r="53" ht="14.15" customHeight="1">
      <c r="C53" s="432" t="n"/>
      <c r="D53" s="432" t="n"/>
      <c r="E53" s="432" t="n"/>
      <c r="F53" s="395" t="n"/>
      <c r="G53" s="432" t="n"/>
      <c r="H53" s="432" t="n"/>
      <c r="I53" s="395" t="n"/>
      <c r="J53" s="432" t="n"/>
      <c r="K53" s="432" t="n"/>
      <c r="L53" s="432" t="n"/>
      <c r="M53" s="395" t="n"/>
      <c r="N53" s="432" t="n"/>
      <c r="O53" s="432" t="n"/>
      <c r="P53" s="395" t="n"/>
    </row>
    <row r="54" ht="14.15" customHeight="1">
      <c r="C54" s="432" t="n"/>
      <c r="D54" s="432" t="n"/>
      <c r="E54" s="432" t="n"/>
      <c r="F54" s="395" t="n"/>
      <c r="G54" s="432" t="n"/>
      <c r="H54" s="432" t="n"/>
      <c r="I54" s="395" t="n"/>
      <c r="J54" s="432" t="n"/>
      <c r="K54" s="432" t="n"/>
      <c r="L54" s="432" t="n"/>
      <c r="M54" s="395" t="n"/>
      <c r="N54" s="432" t="n"/>
      <c r="O54" s="432" t="n"/>
      <c r="P54" s="395" t="n"/>
    </row>
    <row r="55" ht="14.15" customHeight="1">
      <c r="C55" s="432" t="n"/>
      <c r="D55" s="432" t="n"/>
      <c r="E55" s="432" t="n"/>
      <c r="F55" s="395" t="n"/>
      <c r="G55" s="432" t="n"/>
      <c r="H55" s="432" t="n"/>
      <c r="I55" s="395" t="n"/>
      <c r="J55" s="432" t="n"/>
      <c r="K55" s="432" t="n"/>
      <c r="L55" s="432" t="n"/>
      <c r="M55" s="395" t="n"/>
      <c r="N55" s="432" t="n"/>
      <c r="O55" s="432" t="n"/>
      <c r="P55" s="395" t="n"/>
    </row>
    <row r="56" ht="14.15" customHeight="1">
      <c r="C56" s="432" t="n"/>
      <c r="D56" s="432" t="n"/>
      <c r="E56" s="432" t="n"/>
      <c r="F56" s="395" t="n"/>
      <c r="G56" s="432" t="n"/>
      <c r="H56" s="432" t="n"/>
      <c r="I56" s="395" t="n"/>
      <c r="J56" s="432" t="n"/>
      <c r="K56" s="432" t="n"/>
      <c r="L56" s="432" t="n"/>
      <c r="M56" s="395" t="n"/>
      <c r="N56" s="432" t="n"/>
      <c r="O56" s="432" t="n"/>
      <c r="P56" s="395" t="n"/>
    </row>
    <row r="57" ht="14.15" customHeight="1">
      <c r="C57" s="432" t="n"/>
      <c r="D57" s="432" t="n"/>
      <c r="E57" s="432" t="n"/>
      <c r="F57" s="395" t="n"/>
      <c r="G57" s="432" t="n"/>
      <c r="H57" s="432" t="n"/>
      <c r="I57" s="395" t="n"/>
      <c r="J57" s="432" t="n"/>
      <c r="K57" s="432" t="n"/>
      <c r="L57" s="432" t="n"/>
      <c r="M57" s="395" t="n"/>
      <c r="N57" s="432" t="n"/>
      <c r="O57" s="432" t="n"/>
      <c r="P57" s="395" t="n"/>
    </row>
    <row r="58" ht="14.15" customHeight="1"/>
    <row r="61">
      <c r="D61" s="436" t="n"/>
    </row>
    <row r="62"/>
    <row r="63" ht="14.5" customHeight="1">
      <c r="C63" s="440" t="n"/>
      <c r="D63" s="376" t="n"/>
      <c r="E63" s="440" t="n"/>
      <c r="F63" s="440" t="n"/>
      <c r="G63" s="376" t="n"/>
      <c r="H63" s="440" t="n"/>
      <c r="I63" s="376" t="n"/>
      <c r="J63" s="376" t="n"/>
      <c r="K63" s="376" t="n"/>
      <c r="L63" s="376" t="n"/>
      <c r="M63" s="376" t="n"/>
    </row>
    <row r="64" ht="15" customHeight="1">
      <c r="C64" s="439" t="n"/>
      <c r="D64" s="443" t="inlineStr">
        <is>
          <t>Ciro</t>
        </is>
      </c>
      <c r="E64" s="441" t="n"/>
      <c r="F64" s="441" t="n"/>
      <c r="G64" s="443" t="inlineStr">
        <is>
          <t>EBITDA</t>
        </is>
      </c>
      <c r="H64" s="441" t="n"/>
      <c r="I64" s="441" t="n"/>
      <c r="J64" s="443" t="n"/>
      <c r="K64" s="443" t="inlineStr">
        <is>
          <t>Net Kar</t>
        </is>
      </c>
      <c r="L64" s="443" t="n"/>
      <c r="M64" s="443" t="n"/>
    </row>
    <row r="65" ht="16" customHeight="1">
      <c r="C65" s="387" t="n"/>
      <c r="D65" s="439" t="inlineStr">
        <is>
          <t>Gerçekleşme</t>
        </is>
      </c>
      <c r="E65" s="439" t="inlineStr">
        <is>
          <t>%</t>
        </is>
      </c>
      <c r="G65" s="439" t="inlineStr">
        <is>
          <t>Gerçekleşme</t>
        </is>
      </c>
      <c r="H65" s="439" t="n"/>
      <c r="I65" s="439" t="inlineStr">
        <is>
          <t>%</t>
        </is>
      </c>
      <c r="J65" s="387" t="n"/>
      <c r="K65" s="439" t="inlineStr">
        <is>
          <t>Gerçekleşme</t>
        </is>
      </c>
      <c r="L65" s="439" t="n"/>
      <c r="M65" s="439" t="inlineStr">
        <is>
          <t>%</t>
        </is>
      </c>
    </row>
    <row r="66" ht="16" customHeight="1">
      <c r="C66" s="432" t="inlineStr">
        <is>
          <t>Ciro</t>
        </is>
      </c>
      <c r="D66" s="432" t="n">
        <v>55</v>
      </c>
      <c r="E66" s="432" t="n"/>
      <c r="G66" s="432" t="n">
        <v>55</v>
      </c>
      <c r="H66" s="432" t="n"/>
      <c r="J66" s="393" t="n"/>
      <c r="K66" s="432" t="n">
        <v>55</v>
      </c>
      <c r="L66" s="391" t="n"/>
      <c r="M66" s="432" t="n"/>
    </row>
    <row r="67" ht="16" customHeight="1">
      <c r="C67" s="432" t="inlineStr">
        <is>
          <t>Adet</t>
        </is>
      </c>
      <c r="D67" s="432" t="n">
        <v>12</v>
      </c>
      <c r="E67" s="437">
        <f>D67/$D$66</f>
        <v/>
      </c>
      <c r="G67" s="432" t="n">
        <v>12</v>
      </c>
      <c r="H67" s="437">
        <f>G67/$D$66</f>
        <v/>
      </c>
      <c r="J67" s="432" t="n"/>
      <c r="K67" s="432" t="n">
        <v>12</v>
      </c>
      <c r="L67" s="432" t="n"/>
      <c r="M67" s="437">
        <f>K67/$K$66</f>
        <v/>
      </c>
    </row>
    <row r="68">
      <c r="C68" s="432" t="inlineStr">
        <is>
          <t xml:space="preserve">Fiyat </t>
        </is>
      </c>
      <c r="D68" s="432" t="n">
        <v>9</v>
      </c>
      <c r="E68" s="437">
        <f>D68/$D$66</f>
        <v/>
      </c>
      <c r="G68" s="432" t="n">
        <v>9</v>
      </c>
      <c r="H68" s="437">
        <f>G68/$D$66</f>
        <v/>
      </c>
      <c r="J68" s="432" t="n"/>
      <c r="K68" s="432" t="n">
        <v>9</v>
      </c>
      <c r="L68" s="432" t="n"/>
      <c r="M68" s="437">
        <f>K68/$K$66</f>
        <v/>
      </c>
    </row>
    <row r="69">
      <c r="C69" s="432" t="inlineStr">
        <is>
          <t>Miks</t>
        </is>
      </c>
      <c r="D69" s="432" t="n">
        <v>8</v>
      </c>
      <c r="E69" s="437">
        <f>D69/$D$66</f>
        <v/>
      </c>
      <c r="G69" s="432" t="n">
        <v>8</v>
      </c>
      <c r="H69" s="437">
        <f>G69/$D$66</f>
        <v/>
      </c>
      <c r="J69" s="432" t="n"/>
      <c r="K69" s="432" t="n">
        <v>8</v>
      </c>
      <c r="L69" s="432" t="n"/>
      <c r="M69" s="437">
        <f>K69/$K$66</f>
        <v/>
      </c>
    </row>
    <row r="70" ht="16" customHeight="1">
      <c r="C70" s="432" t="inlineStr">
        <is>
          <t>Ham Madde</t>
        </is>
      </c>
      <c r="D70" s="432" t="n">
        <v>5</v>
      </c>
      <c r="E70" s="437">
        <f>D70/$D$66</f>
        <v/>
      </c>
      <c r="G70" s="432" t="n">
        <v>5</v>
      </c>
      <c r="H70" s="437">
        <f>G70/$D$66</f>
        <v/>
      </c>
      <c r="J70" s="432" t="n"/>
      <c r="K70" s="432" t="n">
        <v>5</v>
      </c>
      <c r="L70" s="432" t="n"/>
      <c r="M70" s="437">
        <f>K70/$K$66</f>
        <v/>
      </c>
    </row>
    <row r="71" ht="16" customHeight="1">
      <c r="C71" s="432" t="inlineStr">
        <is>
          <t>Enerji</t>
        </is>
      </c>
      <c r="D71" s="432" t="n">
        <v>4</v>
      </c>
      <c r="E71" s="437">
        <f>D71/$D$66</f>
        <v/>
      </c>
      <c r="G71" s="432" t="n">
        <v>4</v>
      </c>
      <c r="H71" s="437">
        <f>G71/$D$66</f>
        <v/>
      </c>
      <c r="J71" s="432" t="n"/>
      <c r="K71" s="432" t="n">
        <v>4</v>
      </c>
      <c r="L71" s="432" t="n"/>
      <c r="M71" s="437">
        <f>K71/$K$66</f>
        <v/>
      </c>
    </row>
    <row r="72" ht="16" customHeight="1">
      <c r="C72" s="432" t="inlineStr">
        <is>
          <t>Döviz</t>
        </is>
      </c>
      <c r="D72" s="432" t="n">
        <v>3</v>
      </c>
      <c r="E72" s="437">
        <f>D72/$D$66</f>
        <v/>
      </c>
      <c r="G72" s="432" t="n">
        <v>3</v>
      </c>
      <c r="H72" s="437">
        <f>G72/$D$66</f>
        <v/>
      </c>
      <c r="J72" s="432" t="n"/>
      <c r="K72" s="432" t="n">
        <v>3</v>
      </c>
      <c r="L72" s="432" t="n"/>
      <c r="M72" s="437">
        <f>K72/$K$66</f>
        <v/>
      </c>
    </row>
    <row r="73">
      <c r="C73" s="432" t="inlineStr">
        <is>
          <t>Enflasyon</t>
        </is>
      </c>
      <c r="D73" s="433" t="n">
        <v>3</v>
      </c>
      <c r="E73" s="437">
        <f>D73/$D$66</f>
        <v/>
      </c>
      <c r="G73" s="433" t="n">
        <v>3</v>
      </c>
      <c r="H73" s="437">
        <f>G73/$D$66</f>
        <v/>
      </c>
      <c r="K73" s="433" t="n">
        <v>3</v>
      </c>
      <c r="M73" s="437">
        <f>K73/$K$66</f>
        <v/>
      </c>
    </row>
    <row r="74">
      <c r="C74" s="432" t="n"/>
    </row>
    <row r="75" ht="16" customHeight="1"/>
    <row r="76" ht="16" customHeight="1"/>
    <row r="93">
      <c r="O93" s="391" t="n"/>
    </row>
    <row r="94">
      <c r="O94" s="391" t="n"/>
    </row>
    <row r="95">
      <c r="O95" s="433" t="n"/>
    </row>
    <row r="103">
      <c r="I103" s="438" t="n"/>
    </row>
  </sheetData>
  <mergeCells count="40">
    <mergeCell ref="K41:M41"/>
    <mergeCell ref="H67:I67"/>
    <mergeCell ref="K50:M50"/>
    <mergeCell ref="D41:F41"/>
    <mergeCell ref="E68:F68"/>
    <mergeCell ref="E71:F71"/>
    <mergeCell ref="E67:F67"/>
    <mergeCell ref="D17:F17"/>
    <mergeCell ref="J4:L4"/>
    <mergeCell ref="E73:F73"/>
    <mergeCell ref="H68:I68"/>
    <mergeCell ref="J30:K30"/>
    <mergeCell ref="F30:G30"/>
    <mergeCell ref="H73:I73"/>
    <mergeCell ref="D4:F4"/>
    <mergeCell ref="M17:O17"/>
    <mergeCell ref="G4:I4"/>
    <mergeCell ref="E69:F69"/>
    <mergeCell ref="O41:P41"/>
    <mergeCell ref="H70:I70"/>
    <mergeCell ref="D61:F62"/>
    <mergeCell ref="E65:F65"/>
    <mergeCell ref="L30:M30"/>
    <mergeCell ref="H69:I69"/>
    <mergeCell ref="G50:I50"/>
    <mergeCell ref="G41:I41"/>
    <mergeCell ref="O50:P50"/>
    <mergeCell ref="M4:O4"/>
    <mergeCell ref="H72:I72"/>
    <mergeCell ref="D50:F50"/>
    <mergeCell ref="J17:L17"/>
    <mergeCell ref="H66:I66"/>
    <mergeCell ref="E70:F70"/>
    <mergeCell ref="N30:O30"/>
    <mergeCell ref="D30:E30"/>
    <mergeCell ref="E72:F72"/>
    <mergeCell ref="H71:I71"/>
    <mergeCell ref="G17:I17"/>
    <mergeCell ref="E66:F66"/>
    <mergeCell ref="H30:I30"/>
  </mergeCells>
  <conditionalFormatting sqref="E15 E32">
    <cfRule type="dataBar" priority="115">
      <dataBar>
        <cfvo type="min"/>
        <cfvo type="max"/>
        <color theme="9" tint="0.3999755851924192"/>
      </dataBar>
    </cfRule>
    <cfRule type="dataBar" priority="114">
      <dataBar>
        <cfvo type="min"/>
        <cfvo type="max"/>
        <color rgb="FF63C384"/>
      </dataBar>
    </cfRule>
  </conditionalFormatting>
  <conditionalFormatting sqref="E33">
    <cfRule type="dataBar" priority="2">
      <dataBar>
        <cfvo type="min"/>
        <cfvo type="max"/>
        <color theme="9" tint="0.5999938962981048"/>
      </dataBar>
    </cfRule>
  </conditionalFormatting>
  <conditionalFormatting sqref="E34">
    <cfRule type="dataBar" priority="40">
      <dataBar>
        <cfvo type="min"/>
        <cfvo type="max"/>
        <color rgb="FFFFB3B3"/>
      </dataBar>
    </cfRule>
  </conditionalFormatting>
  <conditionalFormatting sqref="E36:E37">
    <cfRule type="dataBar" priority="4">
      <dataBar>
        <cfvo type="min"/>
        <cfvo type="max"/>
        <color rgb="FFFFB3B3"/>
      </dataBar>
    </cfRule>
  </conditionalFormatting>
  <conditionalFormatting sqref="E35 E38:E40">
    <cfRule type="dataBar" priority="5">
      <dataBar>
        <cfvo type="min"/>
        <cfvo type="max"/>
        <color theme="9" tint="0.5999938962981048"/>
      </dataBar>
    </cfRule>
  </conditionalFormatting>
  <conditionalFormatting sqref="E43:E48">
    <cfRule type="dataBar" priority="217">
      <dataBar>
        <cfvo type="min"/>
        <cfvo type="max"/>
        <color theme="9" tint="0.3999755851924192"/>
      </dataBar>
    </cfRule>
    <cfRule type="dataBar" priority="216">
      <dataBar>
        <cfvo type="min"/>
        <cfvo type="max"/>
        <color rgb="FF63C384"/>
      </dataBar>
    </cfRule>
  </conditionalFormatting>
  <conditionalFormatting sqref="E52:E57">
    <cfRule type="dataBar" priority="205">
      <dataBar>
        <cfvo type="min"/>
        <cfvo type="max"/>
        <color rgb="FF63C384"/>
      </dataBar>
    </cfRule>
    <cfRule type="dataBar" priority="206">
      <dataBar>
        <cfvo type="min"/>
        <cfvo type="max"/>
        <color theme="9" tint="0.3999755851924192"/>
      </dataBar>
    </cfRule>
  </conditionalFormatting>
  <conditionalFormatting sqref="E66:E73">
    <cfRule type="dataBar" priority="162">
      <dataBar>
        <cfvo type="min"/>
        <cfvo type="max"/>
        <color rgb="FF63C384"/>
      </dataBar>
    </cfRule>
    <cfRule type="dataBar" priority="163">
      <dataBar>
        <cfvo type="min"/>
        <cfvo type="max"/>
        <color theme="9" tint="0.3999755851924192"/>
      </dataBar>
    </cfRule>
  </conditionalFormatting>
  <conditionalFormatting sqref="F6:F14">
    <cfRule type="dataBar" priority="55">
      <dataBar>
        <cfvo type="min"/>
        <cfvo type="max"/>
        <color theme="9" tint="0.5999938962981048"/>
      </dataBar>
    </cfRule>
  </conditionalFormatting>
  <conditionalFormatting sqref="F15">
    <cfRule type="dataBar" priority="1113">
      <dataBar>
        <cfvo type="min"/>
        <cfvo type="max"/>
        <color theme="9" tint="0.3999755851924192"/>
      </dataBar>
    </cfRule>
    <cfRule type="dataBar" priority="1112">
      <dataBar>
        <cfvo type="min"/>
        <cfvo type="max"/>
        <color rgb="FF63C384"/>
      </dataBar>
    </cfRule>
  </conditionalFormatting>
  <conditionalFormatting sqref="F19">
    <cfRule type="dataBar" priority="18">
      <dataBar>
        <cfvo type="min"/>
        <cfvo type="max"/>
        <color theme="9" tint="0.5999938962981048"/>
      </dataBar>
    </cfRule>
  </conditionalFormatting>
  <conditionalFormatting sqref="F20:F27">
    <cfRule type="dataBar" priority="11">
      <dataBar>
        <cfvo type="min"/>
        <cfvo type="max"/>
        <color theme="9" tint="0.5999938962981048"/>
      </dataBar>
    </cfRule>
  </conditionalFormatting>
  <conditionalFormatting sqref="F43:F48">
    <cfRule type="dataBar" priority="185">
      <dataBar>
        <cfvo type="min"/>
        <cfvo type="max"/>
        <color rgb="FF63C384"/>
      </dataBar>
    </cfRule>
    <cfRule type="dataBar" priority="186">
      <dataBar>
        <cfvo type="min"/>
        <cfvo type="max"/>
        <color theme="9" tint="0.3999755851924192"/>
      </dataBar>
    </cfRule>
  </conditionalFormatting>
  <conditionalFormatting sqref="F52:F57">
    <cfRule type="dataBar" priority="184">
      <dataBar>
        <cfvo type="min"/>
        <cfvo type="max"/>
        <color theme="9" tint="0.3999755851924192"/>
      </dataBar>
    </cfRule>
    <cfRule type="dataBar" priority="183">
      <dataBar>
        <cfvo type="min"/>
        <cfvo type="max"/>
        <color rgb="FF63C384"/>
      </dataBar>
    </cfRule>
  </conditionalFormatting>
  <conditionalFormatting sqref="G32">
    <cfRule type="dataBar" priority="33">
      <dataBar>
        <cfvo type="min"/>
        <cfvo type="max"/>
        <color rgb="FF63C384"/>
      </dataBar>
    </cfRule>
    <cfRule type="dataBar" priority="34">
      <dataBar>
        <cfvo type="min"/>
        <cfvo type="max"/>
        <color theme="9" tint="0.3999755851924192"/>
      </dataBar>
    </cfRule>
  </conditionalFormatting>
  <conditionalFormatting sqref="G33:G40">
    <cfRule type="dataBar" priority="32">
      <dataBar>
        <cfvo type="min"/>
        <cfvo type="max"/>
        <color theme="9" tint="0.5999938962981048"/>
      </dataBar>
    </cfRule>
  </conditionalFormatting>
  <conditionalFormatting sqref="H15">
    <cfRule type="dataBar" priority="118">
      <dataBar>
        <cfvo type="min"/>
        <cfvo type="max"/>
        <color rgb="FF63C384"/>
      </dataBar>
    </cfRule>
    <cfRule type="dataBar" priority="119">
      <dataBar>
        <cfvo type="min"/>
        <cfvo type="max"/>
        <color theme="9" tint="0.3999755851924192"/>
      </dataBar>
    </cfRule>
  </conditionalFormatting>
  <conditionalFormatting sqref="H43:H48">
    <cfRule type="dataBar" priority="214">
      <dataBar>
        <cfvo type="min"/>
        <cfvo type="max"/>
        <color rgb="FF63C384"/>
      </dataBar>
    </cfRule>
    <cfRule type="dataBar" priority="215">
      <dataBar>
        <cfvo type="min"/>
        <cfvo type="max"/>
        <color theme="9" tint="0.3999755851924192"/>
      </dataBar>
    </cfRule>
  </conditionalFormatting>
  <conditionalFormatting sqref="H52:H57">
    <cfRule type="dataBar" priority="204">
      <dataBar>
        <cfvo type="min"/>
        <cfvo type="max"/>
        <color theme="9" tint="0.3999755851924192"/>
      </dataBar>
    </cfRule>
    <cfRule type="dataBar" priority="203">
      <dataBar>
        <cfvo type="min"/>
        <cfvo type="max"/>
        <color rgb="FF63C384"/>
      </dataBar>
    </cfRule>
  </conditionalFormatting>
  <conditionalFormatting sqref="H66">
    <cfRule type="dataBar" priority="158">
      <dataBar>
        <cfvo type="min"/>
        <cfvo type="max"/>
        <color rgb="FF63C384"/>
      </dataBar>
    </cfRule>
    <cfRule type="dataBar" priority="159">
      <dataBar>
        <cfvo type="min"/>
        <cfvo type="max"/>
        <color theme="9" tint="0.3999755851924192"/>
      </dataBar>
    </cfRule>
  </conditionalFormatting>
  <conditionalFormatting sqref="H67:H73">
    <cfRule type="dataBar" priority="161">
      <dataBar>
        <cfvo type="min"/>
        <cfvo type="max"/>
        <color theme="9" tint="0.3999755851924192"/>
      </dataBar>
    </cfRule>
    <cfRule type="dataBar" priority="160">
      <dataBar>
        <cfvo type="min"/>
        <cfvo type="max"/>
        <color rgb="FF63C384"/>
      </dataBar>
    </cfRule>
  </conditionalFormatting>
  <conditionalFormatting sqref="I6:I14">
    <cfRule type="dataBar" priority="53">
      <dataBar>
        <cfvo type="min"/>
        <cfvo type="max"/>
        <color theme="9" tint="0.5999938962981048"/>
      </dataBar>
    </cfRule>
  </conditionalFormatting>
  <conditionalFormatting sqref="I15">
    <cfRule type="dataBar" priority="1118">
      <dataBar>
        <cfvo type="min"/>
        <cfvo type="max"/>
        <color rgb="FF63C384"/>
      </dataBar>
    </cfRule>
    <cfRule type="dataBar" priority="1119">
      <dataBar>
        <cfvo type="min"/>
        <cfvo type="max"/>
        <color theme="9" tint="0.3999755851924192"/>
      </dataBar>
    </cfRule>
  </conditionalFormatting>
  <conditionalFormatting sqref="I19:I27">
    <cfRule type="dataBar" priority="16">
      <dataBar>
        <cfvo type="min"/>
        <cfvo type="max"/>
        <color theme="9" tint="0.5999938962981048"/>
      </dataBar>
    </cfRule>
  </conditionalFormatting>
  <conditionalFormatting sqref="I32">
    <cfRule type="dataBar" priority="31">
      <dataBar>
        <cfvo type="min"/>
        <cfvo type="max"/>
        <color theme="9" tint="0.3999755851924192"/>
      </dataBar>
    </cfRule>
    <cfRule type="dataBar" priority="30">
      <dataBar>
        <cfvo type="min"/>
        <cfvo type="max"/>
        <color rgb="FF63C384"/>
      </dataBar>
    </cfRule>
  </conditionalFormatting>
  <conditionalFormatting sqref="I33:I40">
    <cfRule type="dataBar" priority="29">
      <dataBar>
        <cfvo type="min"/>
        <cfvo type="max"/>
        <color theme="9" tint="0.5999938962981048"/>
      </dataBar>
    </cfRule>
  </conditionalFormatting>
  <conditionalFormatting sqref="I43:I48">
    <cfRule type="dataBar" priority="188">
      <dataBar>
        <cfvo type="min"/>
        <cfvo type="max"/>
        <color theme="9" tint="0.3999755851924192"/>
      </dataBar>
    </cfRule>
    <cfRule type="dataBar" priority="187">
      <dataBar>
        <cfvo type="min"/>
        <cfvo type="max"/>
        <color rgb="FF63C384"/>
      </dataBar>
    </cfRule>
  </conditionalFormatting>
  <conditionalFormatting sqref="I52:I57">
    <cfRule type="dataBar" priority="182">
      <dataBar>
        <cfvo type="min"/>
        <cfvo type="max"/>
        <color theme="9" tint="0.3999755851924192"/>
      </dataBar>
    </cfRule>
    <cfRule type="dataBar" priority="181">
      <dataBar>
        <cfvo type="min"/>
        <cfvo type="max"/>
        <color rgb="FF63C384"/>
      </dataBar>
    </cfRule>
  </conditionalFormatting>
  <conditionalFormatting sqref="J28">
    <cfRule type="dataBar" priority="1142">
      <dataBar>
        <cfvo type="min"/>
        <cfvo type="max"/>
        <color rgb="FF63C384"/>
      </dataBar>
    </cfRule>
  </conditionalFormatting>
  <conditionalFormatting sqref="J43:J48">
    <cfRule type="dataBar" priority="1043">
      <dataBar>
        <cfvo type="min"/>
        <cfvo type="max"/>
        <color rgb="FF63C384"/>
      </dataBar>
    </cfRule>
  </conditionalFormatting>
  <conditionalFormatting sqref="J52:J57">
    <cfRule type="dataBar" priority="1044">
      <dataBar>
        <cfvo type="min"/>
        <cfvo type="max"/>
        <color rgb="FF63C384"/>
      </dataBar>
    </cfRule>
  </conditionalFormatting>
  <conditionalFormatting sqref="J67:J72">
    <cfRule type="dataBar" priority="1045">
      <dataBar>
        <cfvo type="min"/>
        <cfvo type="max"/>
        <color rgb="FF63C384"/>
      </dataBar>
    </cfRule>
  </conditionalFormatting>
  <conditionalFormatting sqref="K15">
    <cfRule type="dataBar" priority="123">
      <dataBar>
        <cfvo type="min"/>
        <cfvo type="max"/>
        <color theme="9" tint="0.3999755851924192"/>
      </dataBar>
    </cfRule>
    <cfRule type="dataBar" priority="122">
      <dataBar>
        <cfvo type="min"/>
        <cfvo type="max"/>
        <color rgb="FF63C384"/>
      </dataBar>
    </cfRule>
  </conditionalFormatting>
  <conditionalFormatting sqref="K32">
    <cfRule type="dataBar" priority="27">
      <dataBar>
        <cfvo type="min"/>
        <cfvo type="max"/>
        <color rgb="FF63C384"/>
      </dataBar>
    </cfRule>
    <cfRule type="dataBar" priority="28">
      <dataBar>
        <cfvo type="min"/>
        <cfvo type="max"/>
        <color theme="9" tint="0.3999755851924192"/>
      </dataBar>
    </cfRule>
  </conditionalFormatting>
  <conditionalFormatting sqref="K33:K40">
    <cfRule type="dataBar" priority="26">
      <dataBar>
        <cfvo type="min"/>
        <cfvo type="max"/>
        <color theme="9" tint="0.5999938962981048"/>
      </dataBar>
    </cfRule>
  </conditionalFormatting>
  <conditionalFormatting sqref="L6:L14">
    <cfRule type="dataBar" priority="51">
      <dataBar>
        <cfvo type="min"/>
        <cfvo type="max"/>
        <color theme="9" tint="0.5999938962981048"/>
      </dataBar>
    </cfRule>
  </conditionalFormatting>
  <conditionalFormatting sqref="L15">
    <cfRule type="dataBar" priority="1125">
      <dataBar>
        <cfvo type="min"/>
        <cfvo type="max"/>
        <color theme="9" tint="0.3999755851924192"/>
      </dataBar>
    </cfRule>
    <cfRule type="dataBar" priority="1124">
      <dataBar>
        <cfvo type="min"/>
        <cfvo type="max"/>
        <color rgb="FF63C384"/>
      </dataBar>
    </cfRule>
  </conditionalFormatting>
  <conditionalFormatting sqref="L19:L21 L24">
    <cfRule type="dataBar" priority="14">
      <dataBar>
        <cfvo type="min"/>
        <cfvo type="max"/>
        <color theme="9" tint="0.5999938962981048"/>
      </dataBar>
    </cfRule>
  </conditionalFormatting>
  <conditionalFormatting sqref="L22">
    <cfRule type="dataBar" priority="10">
      <dataBar>
        <cfvo type="min"/>
        <cfvo type="max"/>
        <color theme="9" tint="0.5999938962981048"/>
      </dataBar>
    </cfRule>
  </conditionalFormatting>
  <conditionalFormatting sqref="L23">
    <cfRule type="dataBar" priority="9">
      <dataBar>
        <cfvo type="min"/>
        <cfvo type="max"/>
        <color theme="9" tint="0.5999938962981048"/>
      </dataBar>
    </cfRule>
  </conditionalFormatting>
  <conditionalFormatting sqref="L25:L27">
    <cfRule type="dataBar" priority="8">
      <dataBar>
        <cfvo type="min"/>
        <cfvo type="max"/>
        <color theme="9" tint="0.5999938962981048"/>
      </dataBar>
    </cfRule>
  </conditionalFormatting>
  <conditionalFormatting sqref="L28">
    <cfRule type="dataBar" priority="104">
      <dataBar>
        <cfvo type="min"/>
        <cfvo type="max"/>
        <color theme="9" tint="0.3999755851924192"/>
      </dataBar>
    </cfRule>
    <cfRule type="dataBar" priority="103">
      <dataBar>
        <cfvo type="min"/>
        <cfvo type="max"/>
        <color rgb="FF63C384"/>
      </dataBar>
    </cfRule>
  </conditionalFormatting>
  <conditionalFormatting sqref="L43:L48">
    <cfRule type="dataBar" priority="213">
      <dataBar>
        <cfvo type="min"/>
        <cfvo type="max"/>
        <color theme="9" tint="0.3999755851924192"/>
      </dataBar>
    </cfRule>
    <cfRule type="dataBar" priority="212">
      <dataBar>
        <cfvo type="min"/>
        <cfvo type="max"/>
        <color rgb="FF63C384"/>
      </dataBar>
    </cfRule>
  </conditionalFormatting>
  <conditionalFormatting sqref="L52:L57">
    <cfRule type="dataBar" priority="202">
      <dataBar>
        <cfvo type="min"/>
        <cfvo type="max"/>
        <color theme="9" tint="0.3999755851924192"/>
      </dataBar>
    </cfRule>
    <cfRule type="dataBar" priority="201">
      <dataBar>
        <cfvo type="min"/>
        <cfvo type="max"/>
        <color rgb="FF63C384"/>
      </dataBar>
    </cfRule>
  </conditionalFormatting>
  <conditionalFormatting sqref="L67:L72">
    <cfRule type="dataBar" priority="164">
      <dataBar>
        <cfvo type="min"/>
        <cfvo type="max"/>
        <color rgb="FF63C384"/>
      </dataBar>
    </cfRule>
    <cfRule type="dataBar" priority="165">
      <dataBar>
        <cfvo type="min"/>
        <cfvo type="max"/>
        <color theme="9" tint="0.3999755851924192"/>
      </dataBar>
    </cfRule>
  </conditionalFormatting>
  <conditionalFormatting sqref="M28">
    <cfRule type="dataBar" priority="106">
      <dataBar>
        <cfvo type="min"/>
        <cfvo type="max"/>
        <color theme="9" tint="0.3999755851924192"/>
      </dataBar>
    </cfRule>
    <cfRule type="dataBar" priority="105">
      <dataBar>
        <cfvo type="min"/>
        <cfvo type="max"/>
        <color rgb="FF63C384"/>
      </dataBar>
    </cfRule>
  </conditionalFormatting>
  <conditionalFormatting sqref="M32">
    <cfRule type="dataBar" priority="24">
      <dataBar>
        <cfvo type="min"/>
        <cfvo type="max"/>
        <color rgb="FF63C384"/>
      </dataBar>
    </cfRule>
    <cfRule type="dataBar" priority="25">
      <dataBar>
        <cfvo type="min"/>
        <cfvo type="max"/>
        <color theme="9" tint="0.3999755851924192"/>
      </dataBar>
    </cfRule>
  </conditionalFormatting>
  <conditionalFormatting sqref="M33:M40">
    <cfRule type="dataBar" priority="23">
      <dataBar>
        <cfvo type="min"/>
        <cfvo type="max"/>
        <color theme="9" tint="0.5999938962981048"/>
      </dataBar>
    </cfRule>
  </conditionalFormatting>
  <conditionalFormatting sqref="M43:M48">
    <cfRule type="dataBar" priority="189">
      <dataBar>
        <cfvo type="min"/>
        <cfvo type="max"/>
        <color rgb="FF63C384"/>
      </dataBar>
    </cfRule>
    <cfRule type="dataBar" priority="190">
      <dataBar>
        <cfvo type="min"/>
        <cfvo type="max"/>
        <color theme="9" tint="0.3999755851924192"/>
      </dataBar>
    </cfRule>
  </conditionalFormatting>
  <conditionalFormatting sqref="M52:M57">
    <cfRule type="dataBar" priority="180">
      <dataBar>
        <cfvo type="min"/>
        <cfvo type="max"/>
        <color theme="9" tint="0.3999755851924192"/>
      </dataBar>
    </cfRule>
    <cfRule type="dataBar" priority="179">
      <dataBar>
        <cfvo type="min"/>
        <cfvo type="max"/>
        <color rgb="FF63C384"/>
      </dataBar>
    </cfRule>
  </conditionalFormatting>
  <conditionalFormatting sqref="M66">
    <cfRule type="dataBar" priority="156">
      <dataBar>
        <cfvo type="min"/>
        <cfvo type="max"/>
        <color rgb="FF63C384"/>
      </dataBar>
    </cfRule>
    <cfRule type="dataBar" priority="157">
      <dataBar>
        <cfvo type="min"/>
        <cfvo type="max"/>
        <color theme="9" tint="0.3999755851924192"/>
      </dataBar>
    </cfRule>
  </conditionalFormatting>
  <conditionalFormatting sqref="M67:M73">
    <cfRule type="dataBar" priority="154">
      <dataBar>
        <cfvo type="min"/>
        <cfvo type="max"/>
        <color rgb="FF63C384"/>
      </dataBar>
    </cfRule>
    <cfRule type="dataBar" priority="155">
      <dataBar>
        <cfvo type="min"/>
        <cfvo type="max"/>
        <color theme="9" tint="0.3999755851924192"/>
      </dataBar>
    </cfRule>
  </conditionalFormatting>
  <conditionalFormatting sqref="N15">
    <cfRule type="dataBar" priority="126">
      <dataBar>
        <cfvo type="min"/>
        <cfvo type="max"/>
        <color rgb="FF63C384"/>
      </dataBar>
    </cfRule>
    <cfRule type="dataBar" priority="127">
      <dataBar>
        <cfvo type="min"/>
        <cfvo type="max"/>
        <color theme="9" tint="0.3999755851924192"/>
      </dataBar>
    </cfRule>
  </conditionalFormatting>
  <conditionalFormatting sqref="N28">
    <cfRule type="dataBar" priority="1152">
      <dataBar>
        <cfvo type="min"/>
        <cfvo type="max"/>
        <color rgb="FF63C384"/>
      </dataBar>
    </cfRule>
  </conditionalFormatting>
  <conditionalFormatting sqref="N43:N48">
    <cfRule type="dataBar" priority="1050">
      <dataBar>
        <cfvo type="min"/>
        <cfvo type="max"/>
        <color rgb="FF63C384"/>
      </dataBar>
    </cfRule>
  </conditionalFormatting>
  <conditionalFormatting sqref="N52:N57">
    <cfRule type="dataBar" priority="1051">
      <dataBar>
        <cfvo type="min"/>
        <cfvo type="max"/>
        <color rgb="FF63C384"/>
      </dataBar>
    </cfRule>
  </conditionalFormatting>
  <conditionalFormatting sqref="O6:O14">
    <cfRule type="dataBar" priority="49">
      <dataBar>
        <cfvo type="min"/>
        <cfvo type="max"/>
        <color theme="9" tint="0.5999938962981048"/>
      </dataBar>
    </cfRule>
  </conditionalFormatting>
  <conditionalFormatting sqref="O19:O27">
    <cfRule type="dataBar" priority="12">
      <dataBar>
        <cfvo type="min"/>
        <cfvo type="max"/>
        <color theme="9" tint="0.5999938962981048"/>
      </dataBar>
    </cfRule>
  </conditionalFormatting>
  <conditionalFormatting sqref="O32">
    <cfRule type="dataBar" priority="22">
      <dataBar>
        <cfvo type="min"/>
        <cfvo type="max"/>
        <color theme="9" tint="0.3999755851924192"/>
      </dataBar>
    </cfRule>
    <cfRule type="dataBar" priority="21">
      <dataBar>
        <cfvo type="min"/>
        <cfvo type="max"/>
        <color rgb="FF63C384"/>
      </dataBar>
    </cfRule>
  </conditionalFormatting>
  <conditionalFormatting sqref="O33:O40">
    <cfRule type="dataBar" priority="1">
      <dataBar>
        <cfvo type="min"/>
        <cfvo type="max"/>
        <color theme="9" tint="0.5999938962981048"/>
      </dataBar>
    </cfRule>
  </conditionalFormatting>
  <conditionalFormatting sqref="P28">
    <cfRule type="dataBar" priority="109">
      <dataBar>
        <cfvo type="min"/>
        <cfvo type="max"/>
        <color rgb="FF63C384"/>
      </dataBar>
    </cfRule>
    <cfRule type="dataBar" priority="110">
      <dataBar>
        <cfvo type="min"/>
        <cfvo type="max"/>
        <color theme="9" tint="0.3999755851924192"/>
      </dataBar>
    </cfRule>
  </conditionalFormatting>
  <conditionalFormatting sqref="O15 P32:P40">
    <cfRule type="dataBar" priority="1182">
      <dataBar>
        <cfvo type="min"/>
        <cfvo type="max"/>
        <color rgb="FF63C384"/>
      </dataBar>
    </cfRule>
    <cfRule type="dataBar" priority="1183">
      <dataBar>
        <cfvo type="min"/>
        <cfvo type="max"/>
        <color theme="9" tint="0.3999755851924192"/>
      </dataBar>
    </cfRule>
  </conditionalFormatting>
  <conditionalFormatting sqref="P43:P48">
    <cfRule type="dataBar" priority="191">
      <dataBar>
        <cfvo type="min"/>
        <cfvo type="max"/>
        <color rgb="FF63C384"/>
      </dataBar>
    </cfRule>
    <cfRule type="dataBar" priority="192">
      <dataBar>
        <cfvo type="min"/>
        <cfvo type="max"/>
        <color theme="9" tint="0.3999755851924192"/>
      </dataBar>
    </cfRule>
  </conditionalFormatting>
  <conditionalFormatting sqref="P52:P57">
    <cfRule type="dataBar" priority="178">
      <dataBar>
        <cfvo type="min"/>
        <cfvo type="max"/>
        <color theme="9" tint="0.3999755851924192"/>
      </dataBar>
    </cfRule>
    <cfRule type="dataBar" priority="177">
      <dataBar>
        <cfvo type="min"/>
        <cfvo type="max"/>
        <color rgb="FF63C384"/>
      </dataBar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V103"/>
  <sheetViews>
    <sheetView zoomScale="60" zoomScaleNormal="60" workbookViewId="0">
      <selection activeCell="E14" sqref="E14"/>
    </sheetView>
  </sheetViews>
  <sheetFormatPr baseColWidth="8" defaultColWidth="8.7265625" defaultRowHeight="17"/>
  <cols>
    <col width="8.7265625" customWidth="1" style="373" min="1" max="1"/>
    <col width="3.81640625" customWidth="1" style="373" min="2" max="2"/>
    <col width="19.54296875" customWidth="1" style="433" min="3" max="3"/>
    <col width="18" bestFit="1" customWidth="1" style="373" min="4" max="4"/>
    <col width="20.81640625" bestFit="1" customWidth="1" style="433" min="5" max="5"/>
    <col width="17.54296875" customWidth="1" style="433" min="6" max="6"/>
    <col width="20.81640625" bestFit="1" customWidth="1" style="373" min="7" max="7"/>
    <col width="20.54296875" customWidth="1" style="433" min="8" max="8"/>
    <col width="20.81640625" bestFit="1" customWidth="1" style="373" min="9" max="9"/>
    <col width="17.54296875" bestFit="1" customWidth="1" style="373" min="10" max="10"/>
    <col width="20.81640625" bestFit="1" customWidth="1" style="373" min="11" max="11"/>
    <col width="11.7265625" customWidth="1" style="373" min="12" max="12"/>
    <col width="20.81640625" bestFit="1" customWidth="1" style="373" min="13" max="13"/>
    <col width="20" customWidth="1" style="373" min="14" max="14"/>
    <col width="20.81640625" bestFit="1" customWidth="1" style="373" min="15" max="15"/>
    <col width="3.81640625" customWidth="1" style="373" min="16" max="16"/>
    <col width="51.26953125" customWidth="1" style="373" min="17" max="17"/>
    <col width="34.1796875" customWidth="1" style="373" min="18" max="19"/>
    <col width="4.1796875" customWidth="1" style="373" min="20" max="20"/>
    <col width="13.1796875" bestFit="1" customWidth="1" style="373" min="21" max="21"/>
    <col width="34.54296875" bestFit="1" customWidth="1" style="373" min="22" max="22"/>
    <col width="35.1796875" bestFit="1" customWidth="1" style="373" min="23" max="23"/>
    <col width="27.453125" bestFit="1" customWidth="1" style="373" min="24" max="24"/>
    <col width="8.7265625" customWidth="1" style="373" min="25" max="16384"/>
  </cols>
  <sheetData>
    <row r="2" ht="16.5" customHeight="1"/>
    <row r="3">
      <c r="C3" s="439" t="inlineStr">
        <is>
          <t>KÜMÜLATİF</t>
        </is>
      </c>
      <c r="D3" s="375" t="n"/>
      <c r="E3" s="376" t="n"/>
      <c r="F3" s="377" t="n"/>
      <c r="G3" s="375" t="n"/>
      <c r="H3" s="376" t="n"/>
      <c r="I3" s="377" t="n"/>
      <c r="J3" s="375" t="n"/>
      <c r="K3" s="376" t="n"/>
      <c r="L3" s="377" t="n"/>
      <c r="M3" s="376" t="n"/>
      <c r="N3" s="376" t="n"/>
      <c r="O3" s="376" t="n"/>
      <c r="Q3" s="433" t="n"/>
      <c r="V3" s="433" t="n"/>
    </row>
    <row r="4">
      <c r="C4" s="403" t="inlineStr">
        <is>
          <t>bin Avro</t>
        </is>
      </c>
      <c r="D4" s="459" t="inlineStr">
        <is>
          <t>Ciro</t>
        </is>
      </c>
      <c r="F4" s="460" t="n"/>
      <c r="G4" s="459" t="inlineStr">
        <is>
          <t xml:space="preserve">Brüt Kar </t>
        </is>
      </c>
      <c r="I4" s="460" t="n"/>
      <c r="J4" s="459" t="inlineStr">
        <is>
          <t>EBITDA</t>
        </is>
      </c>
      <c r="L4" s="460" t="n"/>
      <c r="M4" s="443" t="inlineStr">
        <is>
          <t>Net Kar</t>
        </is>
      </c>
      <c r="T4" s="381" t="n"/>
    </row>
    <row r="5" ht="13" customFormat="1" customHeight="1" s="323">
      <c r="C5" s="370" t="n"/>
      <c r="D5" s="371" t="inlineStr">
        <is>
          <t>Gerçekleşme</t>
        </is>
      </c>
      <c r="E5" s="371" t="inlineStr">
        <is>
          <t>Bütçe - Gerçekleşme Fark</t>
        </is>
      </c>
      <c r="F5" s="371" t="inlineStr">
        <is>
          <t>% Değişim</t>
        </is>
      </c>
      <c r="G5" s="371" t="inlineStr">
        <is>
          <t>Gerçekleşme</t>
        </is>
      </c>
      <c r="H5" s="371" t="inlineStr">
        <is>
          <t>Bütçe - Gerçekleşme Fark</t>
        </is>
      </c>
      <c r="I5" s="371" t="inlineStr">
        <is>
          <t>% Değişim</t>
        </is>
      </c>
      <c r="J5" s="371" t="inlineStr">
        <is>
          <t>Gerçekleşme</t>
        </is>
      </c>
      <c r="K5" s="371" t="inlineStr">
        <is>
          <t>Bütçe - Gerçekleşme Fark</t>
        </is>
      </c>
      <c r="L5" s="371" t="inlineStr">
        <is>
          <t>% Değişim</t>
        </is>
      </c>
      <c r="M5" s="371" t="inlineStr">
        <is>
          <t>Gerçekleşme</t>
        </is>
      </c>
      <c r="N5" s="371" t="inlineStr">
        <is>
          <t>Bütçe - Gerçekleşme Fark</t>
        </is>
      </c>
      <c r="O5" s="371" t="inlineStr">
        <is>
          <t>% Değişim</t>
        </is>
      </c>
      <c r="U5" s="322" t="n"/>
    </row>
    <row r="6" ht="16" customHeight="1">
      <c r="C6" s="382" t="inlineStr">
        <is>
          <t>Toplam</t>
        </is>
      </c>
      <c r="D6" s="383">
        <f>SUM(D7:D14)</f>
        <v/>
      </c>
      <c r="E6" s="383">
        <f>SUM(E7:E14)</f>
        <v/>
      </c>
      <c r="F6" s="461">
        <f>(D6/(D6-E6))-1</f>
        <v/>
      </c>
      <c r="G6" s="383">
        <f>SUM(G7:G14)</f>
        <v/>
      </c>
      <c r="H6" s="383">
        <f>SUM(H7:H14)</f>
        <v/>
      </c>
      <c r="I6" s="461">
        <f>(G6/(G6-H6))-1</f>
        <v/>
      </c>
      <c r="J6" s="383">
        <f>SUM(J7:J14)</f>
        <v/>
      </c>
      <c r="K6" s="383">
        <f>SUM(K7:K14)</f>
        <v/>
      </c>
      <c r="L6" s="461">
        <f>(J6/(J6-K6))-1</f>
        <v/>
      </c>
      <c r="M6" s="383">
        <f>SUM(M7:M14)</f>
        <v/>
      </c>
      <c r="N6" s="383">
        <f>SUM(N7:N14)</f>
        <v/>
      </c>
      <c r="O6" s="461">
        <f>(M6/(M6-N6))-1</f>
        <v/>
      </c>
      <c r="T6" s="381" t="n"/>
    </row>
    <row r="7" ht="16" customHeight="1">
      <c r="C7" s="382" t="inlineStr">
        <is>
          <t xml:space="preserve">İnci Holding </t>
        </is>
      </c>
      <c r="D7" s="383">
        <f>'C-Döviz'!AJ9/1000</f>
        <v/>
      </c>
      <c r="E7" s="383">
        <f>('C-Döviz'!AJ9-'C-Döviz'!Z9)/1000</f>
        <v/>
      </c>
      <c r="F7" s="461">
        <f>(D7/(D7-E7))-1</f>
        <v/>
      </c>
      <c r="G7" s="383">
        <f>('C-Döviz'!AJ36)/1000</f>
        <v/>
      </c>
      <c r="H7" s="383">
        <f>('C-Döviz'!AJ36-'C-Döviz'!Z36)/1000</f>
        <v/>
      </c>
      <c r="I7" s="461">
        <f>(G7/(G7-H7))-1</f>
        <v/>
      </c>
      <c r="J7" s="383">
        <f>'C-Döviz'!AJ139/1000</f>
        <v/>
      </c>
      <c r="K7" s="383">
        <f>('C-Döviz'!AJ139-'C-Döviz'!Z139)/1000</f>
        <v/>
      </c>
      <c r="L7" s="461">
        <f>(J7/(J7-K7))-1</f>
        <v/>
      </c>
      <c r="M7" s="383">
        <f>'C-Döviz'!AJ215/1000</f>
        <v/>
      </c>
      <c r="N7" s="383">
        <f>('C-Döviz'!AJ215-'C-Döviz'!Z215)/1000</f>
        <v/>
      </c>
      <c r="O7" s="461">
        <f>(M7/(M7-N7))-1</f>
        <v/>
      </c>
      <c r="U7" s="433" t="n"/>
    </row>
    <row r="8" ht="16" customHeight="1">
      <c r="C8" s="382" t="inlineStr">
        <is>
          <t xml:space="preserve">ISM </t>
        </is>
      </c>
      <c r="D8" s="383">
        <f>'C-Döviz'!AJ10/1000</f>
        <v/>
      </c>
      <c r="E8" s="383">
        <f>('C-Döviz'!AJ10-'C-Döviz'!Z10)/1000</f>
        <v/>
      </c>
      <c r="F8" s="461">
        <f>(D8/(D8-E8))-1</f>
        <v/>
      </c>
      <c r="G8" s="383">
        <f>('C-Döviz'!AJ37)/1000</f>
        <v/>
      </c>
      <c r="H8" s="383">
        <f>('C-Döviz'!AJ37-'C-Döviz'!Z37)/1000</f>
        <v/>
      </c>
      <c r="I8" s="461">
        <f>(G8/(G8-H8))-1</f>
        <v/>
      </c>
      <c r="J8" s="383">
        <f>'C-Döviz'!AJ140/1000</f>
        <v/>
      </c>
      <c r="K8" s="383">
        <f>('C-Döviz'!AJ140-'C-Döviz'!Z140)/1000</f>
        <v/>
      </c>
      <c r="L8" s="461">
        <f>(J8/(J8-K8))-1</f>
        <v/>
      </c>
      <c r="M8" s="383">
        <f>'C-Döviz'!AJ216/1000</f>
        <v/>
      </c>
      <c r="N8" s="383">
        <f>('C-Döviz'!AJ216-'C-Döviz'!Z216)/1000</f>
        <v/>
      </c>
      <c r="O8" s="461">
        <f>(M8/(M8-N8))-1</f>
        <v/>
      </c>
      <c r="T8" s="381" t="n"/>
    </row>
    <row r="9" ht="16" customHeight="1">
      <c r="C9" s="382" t="inlineStr">
        <is>
          <t>İncitaş</t>
        </is>
      </c>
      <c r="D9" s="383">
        <f>'C-Döviz'!AJ11/1000</f>
        <v/>
      </c>
      <c r="E9" s="383">
        <f>('C-Döviz'!AJ11-'C-Döviz'!Z11)/1000</f>
        <v/>
      </c>
      <c r="F9" s="461">
        <f>(D9/(D9-E9))-1</f>
        <v/>
      </c>
      <c r="G9" s="383">
        <f>('C-Döviz'!AJ38)/1000</f>
        <v/>
      </c>
      <c r="H9" s="383">
        <f>('C-Döviz'!AJ38-'C-Döviz'!Z38)/1000</f>
        <v/>
      </c>
      <c r="I9" s="461">
        <f>(G9/(G9-H9))-1</f>
        <v/>
      </c>
      <c r="J9" s="383">
        <f>'C-Döviz'!AJ141/1000</f>
        <v/>
      </c>
      <c r="K9" s="383">
        <f>('C-Döviz'!AJ141-'C-Döviz'!Z141)/1000</f>
        <v/>
      </c>
      <c r="L9" s="461">
        <f>((J9/(J9-K9))-1)</f>
        <v/>
      </c>
      <c r="M9" s="383">
        <f>'C-Döviz'!AJ217/1000</f>
        <v/>
      </c>
      <c r="N9" s="383">
        <f>('C-Döviz'!AJ217-'C-Döviz'!Z217)/1000</f>
        <v/>
      </c>
      <c r="O9" s="461">
        <f>-((M9/(M9-N9))-1)</f>
        <v/>
      </c>
      <c r="U9" s="433" t="n"/>
      <c r="V9" s="433" t="n"/>
    </row>
    <row r="10" ht="16" customHeight="1">
      <c r="C10" s="382" t="inlineStr">
        <is>
          <t>İnci GS Yuasa</t>
        </is>
      </c>
      <c r="D10" s="383">
        <f>'C-Döviz'!AJ12/1000</f>
        <v/>
      </c>
      <c r="E10" s="383">
        <f>('C-Döviz'!AJ12-'C-Döviz'!Z12)/1000</f>
        <v/>
      </c>
      <c r="F10" s="461">
        <f>(D10/(D10-E10))-1</f>
        <v/>
      </c>
      <c r="G10" s="383">
        <f>('C-Döviz'!AJ39)/1000</f>
        <v/>
      </c>
      <c r="H10" s="383">
        <f>('C-Döviz'!AJ39-'C-Döviz'!Z39)/1000</f>
        <v/>
      </c>
      <c r="I10" s="461">
        <f>(G10/(G10-H10))-1</f>
        <v/>
      </c>
      <c r="J10" s="383">
        <f>'C-Döviz'!AJ142/1000</f>
        <v/>
      </c>
      <c r="K10" s="383">
        <f>('C-Döviz'!AJ142-'C-Döviz'!Z142)/1000</f>
        <v/>
      </c>
      <c r="L10" s="461">
        <f>(J10/(J10-K10))-1</f>
        <v/>
      </c>
      <c r="M10" s="383">
        <f>'C-Döviz'!AJ218/1000</f>
        <v/>
      </c>
      <c r="N10" s="383">
        <f>('C-Döviz'!AJ218-'C-Döviz'!Z218)/1000</f>
        <v/>
      </c>
      <c r="O10" s="461">
        <f>-((M10/(M10-N10))-1)</f>
        <v/>
      </c>
      <c r="U10" s="433" t="n"/>
      <c r="V10" s="433" t="n"/>
    </row>
    <row r="11" ht="16" customHeight="1">
      <c r="C11" s="382" t="inlineStr">
        <is>
          <t>Yusen İnci Loj.</t>
        </is>
      </c>
      <c r="D11" s="383">
        <f>'C-Döviz'!AJ13/1000</f>
        <v/>
      </c>
      <c r="E11" s="383">
        <f>('C-Döviz'!AJ13-'C-Döviz'!Z13)/1000</f>
        <v/>
      </c>
      <c r="F11" s="461">
        <f>(D11/(D11-E11))-1</f>
        <v/>
      </c>
      <c r="G11" s="383">
        <f>('C-Döviz'!AJ40)/1000</f>
        <v/>
      </c>
      <c r="H11" s="383">
        <f>('C-Döviz'!AJ40-'C-Döviz'!Z40)/1000</f>
        <v/>
      </c>
      <c r="I11" s="461">
        <f>(G11/(G11-H11))-1</f>
        <v/>
      </c>
      <c r="J11" s="383">
        <f>'C-Döviz'!AJ143/1000</f>
        <v/>
      </c>
      <c r="K11" s="383">
        <f>('C-Döviz'!AJ143-'C-Döviz'!Z143)/1000</f>
        <v/>
      </c>
      <c r="L11" s="461">
        <f>(J11/(J11-K11))-1</f>
        <v/>
      </c>
      <c r="M11" s="383">
        <f>'C-Döviz'!AJ219/1000</f>
        <v/>
      </c>
      <c r="N11" s="383">
        <f>('C-Döviz'!AJ219-'C-Döviz'!Z219)/1000</f>
        <v/>
      </c>
      <c r="O11" s="461">
        <f>(M11/(M11-N11))-1</f>
        <v/>
      </c>
      <c r="U11" s="433" t="n"/>
      <c r="V11" s="433" t="n"/>
    </row>
    <row r="12" ht="16" customHeight="1">
      <c r="C12" s="382" t="inlineStr">
        <is>
          <t>Jantaş</t>
        </is>
      </c>
      <c r="D12" s="383">
        <f>'C-Döviz'!AJ14/1000</f>
        <v/>
      </c>
      <c r="E12" s="383">
        <f>('C-Döviz'!AJ14-'C-Döviz'!Z14)/1000</f>
        <v/>
      </c>
      <c r="F12" s="461">
        <f>(D12/(D12-E12))-1</f>
        <v/>
      </c>
      <c r="G12" s="383">
        <f>('C-Döviz'!AJ41)/1000</f>
        <v/>
      </c>
      <c r="H12" s="383">
        <f>('C-Döviz'!AJ41-'C-Döviz'!Z41)/1000</f>
        <v/>
      </c>
      <c r="I12" s="461">
        <f>(G12/(G12-H12))-1</f>
        <v/>
      </c>
      <c r="J12" s="383">
        <f>'C-Döviz'!AJ144/1000</f>
        <v/>
      </c>
      <c r="K12" s="383">
        <f>('C-Döviz'!AJ144-'C-Döviz'!Z144)/1000</f>
        <v/>
      </c>
      <c r="L12" s="461">
        <f>(J12/(J12-K12))-1</f>
        <v/>
      </c>
      <c r="M12" s="383">
        <f>'C-Döviz'!AJ220/1000</f>
        <v/>
      </c>
      <c r="N12" s="383">
        <f>('C-Döviz'!AJ220-'C-Döviz'!Z220)/1000</f>
        <v/>
      </c>
      <c r="O12" s="461">
        <f>(M12/(M12-N12))-1</f>
        <v/>
      </c>
      <c r="U12" s="433" t="n"/>
      <c r="V12" s="433" t="n"/>
    </row>
    <row r="13" ht="16" customHeight="1">
      <c r="C13" s="382" t="inlineStr">
        <is>
          <t>Çelik</t>
        </is>
      </c>
      <c r="D13" s="383">
        <f>'C-Döviz'!AJ15/1000</f>
        <v/>
      </c>
      <c r="E13" s="383">
        <f>('C-Döviz'!AJ15-'C-Döviz'!Z15)/1000</f>
        <v/>
      </c>
      <c r="F13" s="461">
        <f>(D13/(D13-E13))-1</f>
        <v/>
      </c>
      <c r="G13" s="383">
        <f>('C-Döviz'!AJ42)/1000</f>
        <v/>
      </c>
      <c r="H13" s="383">
        <f>('C-Döviz'!AJ42-'C-Döviz'!Z42)/1000</f>
        <v/>
      </c>
      <c r="I13" s="461">
        <f>(G13/(G13-H13))-1</f>
        <v/>
      </c>
      <c r="J13" s="383">
        <f>'C-Döviz'!AJ145/1000</f>
        <v/>
      </c>
      <c r="K13" s="383">
        <f>('C-Döviz'!AJ145-'C-Döviz'!Z145)/1000</f>
        <v/>
      </c>
      <c r="L13" s="461">
        <f>(J13/(J13-K13))-1</f>
        <v/>
      </c>
      <c r="M13" s="383">
        <f>'C-Döviz'!AJ221/1000</f>
        <v/>
      </c>
      <c r="N13" s="383">
        <f>('C-Döviz'!AJ221-'C-Döviz'!Z221)/1000</f>
        <v/>
      </c>
      <c r="O13" s="461">
        <f>(M13/(M13-N13))-1</f>
        <v/>
      </c>
      <c r="U13" s="433" t="n"/>
      <c r="V13" s="433" t="n"/>
    </row>
    <row r="14" ht="16" customHeight="1">
      <c r="C14" s="382" t="inlineStr">
        <is>
          <t>Alüminyum</t>
        </is>
      </c>
      <c r="D14" s="383">
        <f>'C-Döviz'!AJ16/1000</f>
        <v/>
      </c>
      <c r="E14" s="383">
        <f>('C-Döviz'!AJ16-'C-Döviz'!Z16)/1000</f>
        <v/>
      </c>
      <c r="F14" s="461">
        <f>(D14/(D14-E14))-1</f>
        <v/>
      </c>
      <c r="G14" s="383">
        <f>('C-Döviz'!AJ43)/1000</f>
        <v/>
      </c>
      <c r="H14" s="383">
        <f>('C-Döviz'!AJ43-'C-Döviz'!Z43)/1000</f>
        <v/>
      </c>
      <c r="I14" s="461">
        <f>(G14/(G14-H14))-1</f>
        <v/>
      </c>
      <c r="J14" s="383">
        <f>'C-Döviz'!AJ146/1000</f>
        <v/>
      </c>
      <c r="K14" s="383">
        <f>('C-Döviz'!AJ146-'C-Döviz'!Z146)/1000</f>
        <v/>
      </c>
      <c r="L14" s="461">
        <f>(J14/(J14-K14))-1</f>
        <v/>
      </c>
      <c r="M14" s="383">
        <f>'C-Döviz'!AJ222/1000</f>
        <v/>
      </c>
      <c r="N14" s="383">
        <f>('C-Döviz'!AJ222-'C-Döviz'!Z222)/1000</f>
        <v/>
      </c>
      <c r="O14" s="461">
        <f>(M14/(M14-N14))-1</f>
        <v/>
      </c>
      <c r="U14" s="433" t="n"/>
      <c r="V14" s="433" t="n"/>
    </row>
    <row r="15" ht="16" customHeight="1">
      <c r="C15" s="382" t="n"/>
      <c r="D15" s="385" t="n"/>
      <c r="E15" s="385" t="n"/>
      <c r="F15" s="386" t="n"/>
      <c r="G15" s="385" t="n"/>
      <c r="H15" s="385" t="n"/>
      <c r="I15" s="386" t="n"/>
      <c r="J15" s="385" t="n"/>
      <c r="K15" s="385" t="n"/>
      <c r="L15" s="386" t="n"/>
      <c r="M15" s="385" t="n"/>
      <c r="N15" s="385" t="n"/>
      <c r="O15" s="386" t="n"/>
      <c r="U15" s="433" t="n"/>
      <c r="V15" s="433" t="n"/>
    </row>
    <row r="16" ht="16" customHeight="1">
      <c r="C16" s="439" t="n"/>
      <c r="D16" s="375" t="n"/>
      <c r="E16" s="376" t="n"/>
      <c r="F16" s="377" t="n"/>
      <c r="G16" s="375" t="n"/>
      <c r="H16" s="376" t="n"/>
      <c r="I16" s="377" t="n"/>
      <c r="J16" s="375" t="n"/>
      <c r="K16" s="376" t="n"/>
      <c r="L16" s="377" t="n"/>
      <c r="M16" s="376" t="n"/>
      <c r="N16" s="376" t="n"/>
      <c r="O16" s="376" t="n"/>
      <c r="U16" s="433" t="n"/>
      <c r="V16" s="433" t="n"/>
    </row>
    <row r="17" ht="16" customHeight="1">
      <c r="C17" s="403" t="inlineStr">
        <is>
          <t>bin Avro</t>
        </is>
      </c>
      <c r="D17" s="459" t="inlineStr">
        <is>
          <t>Vergi</t>
        </is>
      </c>
      <c r="F17" s="460" t="n"/>
      <c r="G17" s="459" t="inlineStr">
        <is>
          <t>Operasyonel Nakit</t>
        </is>
      </c>
      <c r="I17" s="460" t="n"/>
      <c r="J17" s="459" t="inlineStr">
        <is>
          <t>Serbest Nakit</t>
        </is>
      </c>
      <c r="L17" s="460" t="n"/>
      <c r="M17" s="443" t="inlineStr">
        <is>
          <t>Net Nakit</t>
        </is>
      </c>
      <c r="V17" s="388" t="n"/>
    </row>
    <row r="18" ht="13" customFormat="1" customHeight="1" s="323">
      <c r="C18" s="370" t="n"/>
      <c r="D18" s="371" t="inlineStr">
        <is>
          <t>Gerçekleşme</t>
        </is>
      </c>
      <c r="E18" s="371" t="inlineStr">
        <is>
          <t>Bütçe - Gerçekleşme Fark</t>
        </is>
      </c>
      <c r="F18" s="371" t="inlineStr">
        <is>
          <t>% Değişim</t>
        </is>
      </c>
      <c r="G18" s="371" t="inlineStr">
        <is>
          <t>Gerçekleşme</t>
        </is>
      </c>
      <c r="H18" s="371" t="inlineStr">
        <is>
          <t>Bütçe - Gerçekleşme Fark</t>
        </is>
      </c>
      <c r="I18" s="371" t="inlineStr">
        <is>
          <t>% Değişim</t>
        </is>
      </c>
      <c r="J18" s="371" t="inlineStr">
        <is>
          <t>Gerçekleşme</t>
        </is>
      </c>
      <c r="K18" s="371" t="inlineStr">
        <is>
          <t>Bütçe - Gerçekleşme Fark</t>
        </is>
      </c>
      <c r="L18" s="371" t="inlineStr">
        <is>
          <t>% Değişim</t>
        </is>
      </c>
      <c r="M18" s="371" t="inlineStr">
        <is>
          <t>Gerçekleşme</t>
        </is>
      </c>
      <c r="N18" s="371" t="inlineStr">
        <is>
          <t>Bütçe - Gerçekleşme Fark</t>
        </is>
      </c>
      <c r="O18" s="371" t="inlineStr">
        <is>
          <t>% Değişim</t>
        </is>
      </c>
      <c r="U18" s="322" t="n"/>
    </row>
    <row r="19" ht="16" customHeight="1">
      <c r="C19" s="382" t="inlineStr">
        <is>
          <t>Toplam</t>
        </is>
      </c>
      <c r="D19" s="383">
        <f>SUM(D20:D27)</f>
        <v/>
      </c>
      <c r="E19" s="383">
        <f>SUM(E20:E27)</f>
        <v/>
      </c>
      <c r="F19" s="461">
        <f>(D19/(D19-E19))-1</f>
        <v/>
      </c>
      <c r="G19" s="383">
        <f>SUM(G20:G27)</f>
        <v/>
      </c>
      <c r="H19" s="383">
        <f>SUM(H20:H27)</f>
        <v/>
      </c>
      <c r="I19" s="461">
        <f>((G19/(G19-H19))-1)</f>
        <v/>
      </c>
      <c r="J19" s="383">
        <f>SUM(J20:J27)</f>
        <v/>
      </c>
      <c r="K19" s="383">
        <f>SUM(K20:K27)</f>
        <v/>
      </c>
      <c r="L19" s="461">
        <f>((J19/(J19-K19))-1)</f>
        <v/>
      </c>
      <c r="M19" s="383">
        <f>SUM(M20:M27)</f>
        <v/>
      </c>
      <c r="N19" s="383">
        <f>SUM(N20:N27)</f>
        <v/>
      </c>
      <c r="O19" s="461">
        <f>(M19/(M19-N19))-1</f>
        <v/>
      </c>
      <c r="V19" s="388" t="n"/>
    </row>
    <row r="20" ht="16" customHeight="1">
      <c r="C20" s="382" t="inlineStr">
        <is>
          <t xml:space="preserve">İnci Holding </t>
        </is>
      </c>
      <c r="D20" s="383">
        <f>'C-Döviz'!AJ202/1000</f>
        <v/>
      </c>
      <c r="E20" s="383">
        <f>('C-Döviz'!AJ202-'C-Döviz'!Z202)/1000</f>
        <v/>
      </c>
      <c r="F20" s="461">
        <f>-((D20/(D20-E20))-1)</f>
        <v/>
      </c>
      <c r="G20" s="383">
        <f>'C-Döviz'!AJ291/1000</f>
        <v/>
      </c>
      <c r="H20" s="383">
        <f>('C-Döviz'!AA291-'C-Döviz'!Z291)/1000</f>
        <v/>
      </c>
      <c r="I20" s="461">
        <f>(G20/(G20-H20))-1</f>
        <v/>
      </c>
      <c r="J20" s="383">
        <f>'C-Döviz'!AJ304/1000</f>
        <v/>
      </c>
      <c r="K20" s="383">
        <f>('C-Döviz'!AA304-'C-Döviz'!Z304)/1000</f>
        <v/>
      </c>
      <c r="L20" s="461">
        <f>(J20/(J20-K20))-1</f>
        <v/>
      </c>
      <c r="M20" s="383">
        <f>'C-Döviz'!AA265/1000</f>
        <v/>
      </c>
      <c r="N20" s="383">
        <f>M20-'C-Döviz'!Z265/1000</f>
        <v/>
      </c>
      <c r="O20" s="461">
        <f>(M20/(M20-N20))-1</f>
        <v/>
      </c>
      <c r="V20" s="388" t="n"/>
    </row>
    <row r="21" ht="16" customHeight="1">
      <c r="C21" s="382" t="inlineStr">
        <is>
          <t xml:space="preserve">ISM </t>
        </is>
      </c>
      <c r="D21" s="383">
        <f>'C-Döviz'!AJ203/1000</f>
        <v/>
      </c>
      <c r="E21" s="383">
        <f>('C-Döviz'!AJ203-'C-Döviz'!Z203)/1000</f>
        <v/>
      </c>
      <c r="F21" s="461">
        <f>-((D21/(D21-E21))-1)</f>
        <v/>
      </c>
      <c r="G21" s="383">
        <f>'C-Döviz'!AJ292/1000</f>
        <v/>
      </c>
      <c r="H21" s="383">
        <f>('C-Döviz'!AA292-'C-Döviz'!Z292)/1000</f>
        <v/>
      </c>
      <c r="I21" s="461">
        <f>((G21/(G21-H21))-1)</f>
        <v/>
      </c>
      <c r="J21" s="383">
        <f>'C-Döviz'!AJ305/1000</f>
        <v/>
      </c>
      <c r="K21" s="383">
        <f>('C-Döviz'!AA305-'C-Döviz'!Z305)/1000</f>
        <v/>
      </c>
      <c r="L21" s="461">
        <f>((J21/(J21-K21))-1)</f>
        <v/>
      </c>
      <c r="M21" s="383">
        <f>'C-Döviz'!AA266/1000</f>
        <v/>
      </c>
      <c r="N21" s="383">
        <f>M21-'C-Döviz'!Z266/1000</f>
        <v/>
      </c>
      <c r="O21" s="461">
        <f>-((M21/(M21-N21))-1)</f>
        <v/>
      </c>
      <c r="V21" s="388" t="n"/>
    </row>
    <row r="22" ht="16" customHeight="1">
      <c r="C22" s="382" t="inlineStr">
        <is>
          <t>İncitaş</t>
        </is>
      </c>
      <c r="D22" s="383">
        <f>'C-Döviz'!AJ204/1000</f>
        <v/>
      </c>
      <c r="E22" s="383">
        <f>('C-Döviz'!AJ204-'C-Döviz'!Z204)/1000</f>
        <v/>
      </c>
      <c r="F22" s="461">
        <f>-((D22/(D22-E22))-1)</f>
        <v/>
      </c>
      <c r="G22" s="383">
        <f>'C-Döviz'!AJ293/1000</f>
        <v/>
      </c>
      <c r="H22" s="383">
        <f>('C-Döviz'!AA293-'C-Döviz'!Z293)/1000</f>
        <v/>
      </c>
      <c r="I22" s="461">
        <f>-((G22/(G22-H22))-1)</f>
        <v/>
      </c>
      <c r="J22" s="383">
        <f>'C-Döviz'!AJ306/1000</f>
        <v/>
      </c>
      <c r="K22" s="383">
        <f>('C-Döviz'!AA306-'C-Döviz'!Z306)/1000</f>
        <v/>
      </c>
      <c r="L22" s="461">
        <f>-((J22/(J22-K22))-1)</f>
        <v/>
      </c>
      <c r="M22" s="383">
        <f>'C-Döviz'!AA267/1000</f>
        <v/>
      </c>
      <c r="N22" s="383">
        <f>M22-'C-Döviz'!Z267/1000</f>
        <v/>
      </c>
      <c r="O22" s="461">
        <f>-((M22/(M22-N22))-1)</f>
        <v/>
      </c>
      <c r="V22" s="388" t="n"/>
    </row>
    <row r="23" ht="16" customHeight="1">
      <c r="C23" s="382" t="inlineStr">
        <is>
          <t>İnci GS Yuasa</t>
        </is>
      </c>
      <c r="D23" s="383">
        <f>'C-Döviz'!AJ205/1000</f>
        <v/>
      </c>
      <c r="E23" s="383">
        <f>('C-Döviz'!AJ205-'C-Döviz'!Z205)/1000</f>
        <v/>
      </c>
      <c r="F23" s="461" t="n">
        <v>0</v>
      </c>
      <c r="G23" s="383">
        <f>'C-Döviz'!AJ294/1000</f>
        <v/>
      </c>
      <c r="H23" s="383">
        <f>('C-Döviz'!AA294-'C-Döviz'!Z294)/1000</f>
        <v/>
      </c>
      <c r="I23" s="461">
        <f>((G23/(G23-H23))-1)</f>
        <v/>
      </c>
      <c r="J23" s="383">
        <f>'C-Döviz'!AJ307/1000</f>
        <v/>
      </c>
      <c r="K23" s="383">
        <f>('C-Döviz'!AA307-'C-Döviz'!Z307)/1000</f>
        <v/>
      </c>
      <c r="L23" s="461">
        <f>((J23/(J23-K23))-1)</f>
        <v/>
      </c>
      <c r="M23" s="383">
        <f>'C-Döviz'!AA268/1000</f>
        <v/>
      </c>
      <c r="N23" s="383">
        <f>M23-'C-Döviz'!Z268/1000</f>
        <v/>
      </c>
      <c r="O23" s="461">
        <f>-(M23/(M23-N23))-1</f>
        <v/>
      </c>
      <c r="V23" s="388" t="n"/>
    </row>
    <row r="24" ht="16" customHeight="1">
      <c r="C24" s="382" t="inlineStr">
        <is>
          <t>Yusen İnci Loj.</t>
        </is>
      </c>
      <c r="D24" s="383">
        <f>'C-Döviz'!AJ206/1000</f>
        <v/>
      </c>
      <c r="E24" s="383">
        <f>('C-Döviz'!AJ206-'C-Döviz'!Z206)/1000</f>
        <v/>
      </c>
      <c r="F24" s="461">
        <f>-((D24/(D24-E24))-1)</f>
        <v/>
      </c>
      <c r="G24" s="383">
        <f>'C-Döviz'!AJ295/1000</f>
        <v/>
      </c>
      <c r="H24" s="383">
        <f>('C-Döviz'!AA295-'C-Döviz'!Z295)/1000</f>
        <v/>
      </c>
      <c r="I24" s="461">
        <f>((G24/(G24-H24))-1)</f>
        <v/>
      </c>
      <c r="J24" s="383">
        <f>'C-Döviz'!AJ308/1000</f>
        <v/>
      </c>
      <c r="K24" s="383">
        <f>('C-Döviz'!AA308-'C-Döviz'!Z308)/1000</f>
        <v/>
      </c>
      <c r="L24" s="461">
        <f>(J24/(J24-K24))-1</f>
        <v/>
      </c>
      <c r="M24" s="383">
        <f>'C-Döviz'!AA269/1000</f>
        <v/>
      </c>
      <c r="N24" s="383">
        <f>M24-'C-Döviz'!Z269/1000</f>
        <v/>
      </c>
      <c r="O24" s="461">
        <f>(M24/(M24-N24))-1</f>
        <v/>
      </c>
      <c r="V24" s="388" t="n"/>
    </row>
    <row r="25" ht="16" customHeight="1">
      <c r="C25" s="382" t="inlineStr">
        <is>
          <t>Jantaş</t>
        </is>
      </c>
      <c r="D25" s="383">
        <f>'C-Döviz'!AJ207/1000</f>
        <v/>
      </c>
      <c r="E25" s="383">
        <f>('C-Döviz'!AJ207-'C-Döviz'!Z207)/1000</f>
        <v/>
      </c>
      <c r="F25" s="461">
        <f>-((D25/(D25-E25))-1)</f>
        <v/>
      </c>
      <c r="G25" s="383">
        <f>'C-Döviz'!AJ296/1000</f>
        <v/>
      </c>
      <c r="H25" s="383">
        <f>('C-Döviz'!AA296-'C-Döviz'!Z296)/1000</f>
        <v/>
      </c>
      <c r="I25" s="461">
        <f>((G25/(G25-H25))-1)</f>
        <v/>
      </c>
      <c r="J25" s="383">
        <f>'C-Döviz'!AJ309/1000</f>
        <v/>
      </c>
      <c r="K25" s="383">
        <f>('C-Döviz'!AA309-'C-Döviz'!Z309)/1000</f>
        <v/>
      </c>
      <c r="L25" s="461">
        <f>((J25/(J25-K25))-1)</f>
        <v/>
      </c>
      <c r="M25" s="383">
        <f>'C-Döviz'!AA270/1000</f>
        <v/>
      </c>
      <c r="N25" s="383">
        <f>M25-'C-Döviz'!Z270/1000</f>
        <v/>
      </c>
      <c r="O25" s="461">
        <f>(M25/(M25-N25))-1</f>
        <v/>
      </c>
      <c r="V25" s="388" t="n"/>
    </row>
    <row r="26" ht="16" customHeight="1">
      <c r="C26" s="382" t="inlineStr">
        <is>
          <t>Çelik</t>
        </is>
      </c>
      <c r="D26" s="383">
        <f>'C-Döviz'!AJ208/1000</f>
        <v/>
      </c>
      <c r="E26" s="383">
        <f>('C-Döviz'!AJ208-'C-Döviz'!Z208)/1000</f>
        <v/>
      </c>
      <c r="F26" s="461">
        <f>-((D26/(D26-E26))-1)</f>
        <v/>
      </c>
      <c r="G26" s="383">
        <f>'C-Döviz'!AJ297/1000</f>
        <v/>
      </c>
      <c r="H26" s="383">
        <f>('C-Döviz'!AA297-'C-Döviz'!Z297)/1000</f>
        <v/>
      </c>
      <c r="I26" s="461">
        <f>((G26/(G26-H26))-1)</f>
        <v/>
      </c>
      <c r="J26" s="383">
        <f>'C-Döviz'!AJ310/1000</f>
        <v/>
      </c>
      <c r="K26" s="383">
        <f>('C-Döviz'!AA310-'C-Döviz'!Z310)/1000</f>
        <v/>
      </c>
      <c r="L26" s="461">
        <f>(J26/(J26-K26))-1</f>
        <v/>
      </c>
      <c r="M26" s="383">
        <f>'C-Döviz'!AA271/1000</f>
        <v/>
      </c>
      <c r="N26" s="383">
        <f>M26-'C-Döviz'!Z271/1000</f>
        <v/>
      </c>
      <c r="O26" s="461">
        <f>(M26/(M26-N26))-1</f>
        <v/>
      </c>
      <c r="V26" s="388" t="n"/>
    </row>
    <row r="27" ht="16" customHeight="1">
      <c r="C27" s="382" t="inlineStr">
        <is>
          <t>Alüminyum</t>
        </is>
      </c>
      <c r="D27" s="383">
        <f>'C-Döviz'!AJ209/1000</f>
        <v/>
      </c>
      <c r="E27" s="383">
        <f>('C-Döviz'!AJ209-'C-Döviz'!Z209)/1000</f>
        <v/>
      </c>
      <c r="F27" s="461">
        <f>((D27/(D27-E27))-1)</f>
        <v/>
      </c>
      <c r="G27" s="383">
        <f>'C-Döviz'!AJ298/1000</f>
        <v/>
      </c>
      <c r="H27" s="383">
        <f>('C-Döviz'!AA298-'C-Döviz'!Z298)/1000</f>
        <v/>
      </c>
      <c r="I27" s="461">
        <f>((G27/(G27-H27))-1)</f>
        <v/>
      </c>
      <c r="J27" s="383">
        <f>'C-Döviz'!AJ311/1000</f>
        <v/>
      </c>
      <c r="K27" s="383">
        <f>('C-Döviz'!AA311-'C-Döviz'!Z311)/1000</f>
        <v/>
      </c>
      <c r="L27" s="461">
        <f>((J27/(J27-K27))-1)</f>
        <v/>
      </c>
      <c r="M27" s="383">
        <f>'C-Döviz'!AA272/1000</f>
        <v/>
      </c>
      <c r="N27" s="383">
        <f>M27-'C-Döviz'!Z272/1000</f>
        <v/>
      </c>
      <c r="O27" s="461">
        <f>(M27/(M27-N27))-1</f>
        <v/>
      </c>
    </row>
    <row r="28" ht="16" customHeight="1">
      <c r="C28" s="382" t="n"/>
      <c r="D28" s="382" t="n"/>
      <c r="E28" s="382" t="n"/>
      <c r="F28" s="382" t="n"/>
      <c r="G28" s="382" t="n"/>
      <c r="H28" s="382" t="n"/>
      <c r="I28" s="382" t="n"/>
      <c r="J28" s="385" t="n"/>
      <c r="K28" s="385" t="n"/>
      <c r="L28" s="385" t="n"/>
      <c r="M28" s="386" t="n"/>
      <c r="N28" s="385" t="n"/>
      <c r="O28" s="385" t="n"/>
      <c r="P28" s="386" t="n"/>
    </row>
    <row r="29" ht="16" customHeight="1">
      <c r="C29" s="439" t="n"/>
      <c r="D29" s="375" t="n"/>
      <c r="E29" s="389" t="n"/>
      <c r="F29" s="375" t="n"/>
      <c r="G29" s="389" t="n"/>
      <c r="H29" s="375" t="n"/>
      <c r="I29" s="389" t="n"/>
      <c r="J29" s="375" t="n"/>
      <c r="K29" s="389" t="n"/>
      <c r="L29" s="375" t="n"/>
      <c r="M29" s="389" t="n"/>
      <c r="N29" s="376" t="n"/>
      <c r="O29" s="376" t="n"/>
    </row>
    <row r="30" ht="16" customHeight="1">
      <c r="C30" s="387" t="n"/>
      <c r="D30" s="459" t="inlineStr">
        <is>
          <t>Faaliyet Giderleri Marjı</t>
        </is>
      </c>
      <c r="E30" s="460" t="n"/>
      <c r="F30" s="459" t="inlineStr">
        <is>
          <t>Brüt Kar Marjı</t>
        </is>
      </c>
      <c r="G30" s="460" t="n"/>
      <c r="H30" s="459" t="inlineStr">
        <is>
          <t>EBITDA Marjı</t>
        </is>
      </c>
      <c r="I30" s="460" t="n"/>
      <c r="J30" s="459" t="inlineStr">
        <is>
          <t>Net Kar Marjı</t>
        </is>
      </c>
      <c r="K30" s="460" t="n"/>
      <c r="L30" s="459" t="inlineStr">
        <is>
          <t>Operasyonel Nakit Marjı</t>
        </is>
      </c>
      <c r="M30" s="460" t="n"/>
      <c r="N30" s="443" t="inlineStr">
        <is>
          <t>Serbest Nakit Marjı</t>
        </is>
      </c>
      <c r="P30" s="446" t="n"/>
    </row>
    <row r="31" ht="13" customFormat="1" customHeight="1" s="323">
      <c r="C31" s="370" t="n"/>
      <c r="D31" s="371" t="inlineStr">
        <is>
          <t>Gerçekleşme</t>
        </is>
      </c>
      <c r="E31" s="371" t="inlineStr">
        <is>
          <t>Bütçe - Gerçekleşme Fark</t>
        </is>
      </c>
      <c r="F31" s="371" t="inlineStr">
        <is>
          <t>Gerçekleşme</t>
        </is>
      </c>
      <c r="G31" s="371" t="inlineStr">
        <is>
          <t>Bütçe - Gerçekleşme Fark</t>
        </is>
      </c>
      <c r="H31" s="371" t="inlineStr">
        <is>
          <t>Gerçekleşme</t>
        </is>
      </c>
      <c r="I31" s="371" t="inlineStr">
        <is>
          <t>Bütçe - Gerçekleşme Fark</t>
        </is>
      </c>
      <c r="J31" s="371" t="inlineStr">
        <is>
          <t>Gerçekleşme</t>
        </is>
      </c>
      <c r="K31" s="371" t="inlineStr">
        <is>
          <t>Bütçe - Gerçekleşme Fark</t>
        </is>
      </c>
      <c r="L31" s="371" t="inlineStr">
        <is>
          <t>Gerçekleşme</t>
        </is>
      </c>
      <c r="M31" s="371" t="inlineStr">
        <is>
          <t>Bütçe - Gerçekleşme Fark</t>
        </is>
      </c>
      <c r="N31" s="371" t="inlineStr">
        <is>
          <t>Gerçekleşme</t>
        </is>
      </c>
      <c r="O31" s="371" t="inlineStr">
        <is>
          <t>Bütçe - Gerçekleşme Fark</t>
        </is>
      </c>
      <c r="U31" s="322" t="n"/>
    </row>
    <row r="32" ht="16" customHeight="1">
      <c r="C32" s="382" t="n"/>
      <c r="D32" s="383" t="n"/>
      <c r="E32" s="461" t="n"/>
      <c r="F32" s="383" t="n"/>
      <c r="G32" s="383" t="n"/>
      <c r="H32" s="383" t="n"/>
      <c r="I32" s="383" t="n"/>
      <c r="J32" s="383" t="n"/>
      <c r="K32" s="383" t="n"/>
      <c r="L32" s="383" t="n"/>
      <c r="M32" s="383" t="n"/>
      <c r="N32" s="383" t="n"/>
      <c r="O32" s="383" t="n"/>
      <c r="P32" s="386" t="n"/>
    </row>
    <row r="33" ht="16" customHeight="1">
      <c r="C33" s="382" t="inlineStr">
        <is>
          <t xml:space="preserve">İnci Holding </t>
        </is>
      </c>
      <c r="D33" s="461">
        <f>'C-Döviz'!AJ102</f>
        <v/>
      </c>
      <c r="E33" s="461">
        <f>-('C-Döviz'!AA102-'C-Döviz'!Z102)</f>
        <v/>
      </c>
      <c r="F33" s="461">
        <f>'C-Döviz'!AJ79</f>
        <v/>
      </c>
      <c r="G33" s="461">
        <f>'C-Döviz'!AA79-'C-Döviz'!Z79</f>
        <v/>
      </c>
      <c r="H33" s="461">
        <f>'C-Döviz'!AJ150</f>
        <v/>
      </c>
      <c r="I33" s="461">
        <f>'C-Döviz'!AA150-'C-Döviz'!Z150</f>
        <v/>
      </c>
      <c r="J33" s="461">
        <f>'C-Döviz'!AJ226</f>
        <v/>
      </c>
      <c r="K33" s="461">
        <f>'C-Döviz'!AA226-'C-Döviz'!Z226</f>
        <v/>
      </c>
      <c r="L33" s="461">
        <f>'C-Döviz'!AJ291/'C-Döviz'!AJ9</f>
        <v/>
      </c>
      <c r="M33" s="461">
        <f>L33-('C-Döviz'!Z291/'C-Döviz'!Z9)</f>
        <v/>
      </c>
      <c r="N33" s="461">
        <f>'C-Döviz'!AJ304/'C-Döviz'!AJ9</f>
        <v/>
      </c>
      <c r="O33" s="461">
        <f>N33-('C-Döviz'!Z304/'C-Döviz'!Z9)</f>
        <v/>
      </c>
      <c r="P33" s="386" t="n"/>
    </row>
    <row r="34" ht="16" customHeight="1">
      <c r="C34" s="382" t="inlineStr">
        <is>
          <t xml:space="preserve">ISM </t>
        </is>
      </c>
      <c r="D34" s="461">
        <f>'C-Döviz'!AJ103</f>
        <v/>
      </c>
      <c r="E34" s="461">
        <f>-('C-Döviz'!AA103-'C-Döviz'!Z103)</f>
        <v/>
      </c>
      <c r="F34" s="461">
        <f>'C-Döviz'!AJ80</f>
        <v/>
      </c>
      <c r="G34" s="461">
        <f>'C-Döviz'!AA80-'C-Döviz'!Z80</f>
        <v/>
      </c>
      <c r="H34" s="461">
        <f>'C-Döviz'!AJ151</f>
        <v/>
      </c>
      <c r="I34" s="461">
        <f>'C-Döviz'!AA151-'C-Döviz'!Z151</f>
        <v/>
      </c>
      <c r="J34" s="461">
        <f>'C-Döviz'!AJ227</f>
        <v/>
      </c>
      <c r="K34" s="461">
        <f>'C-Döviz'!AA227-'C-Döviz'!Z227</f>
        <v/>
      </c>
      <c r="L34" s="461">
        <f>'C-Döviz'!AJ292/'C-Döviz'!AJ10</f>
        <v/>
      </c>
      <c r="M34" s="461">
        <f>L34-('C-Döviz'!Z292/'C-Döviz'!Z10)</f>
        <v/>
      </c>
      <c r="N34" s="461">
        <f>'C-Döviz'!AJ305/'C-Döviz'!AJ10</f>
        <v/>
      </c>
      <c r="O34" s="461">
        <f>N34-('C-Döviz'!Z305/'C-Döviz'!Z10)</f>
        <v/>
      </c>
      <c r="P34" s="386" t="n"/>
    </row>
    <row r="35" ht="16" customHeight="1">
      <c r="C35" s="382" t="inlineStr">
        <is>
          <t>İncitaş</t>
        </is>
      </c>
      <c r="D35" s="461">
        <f>'C-Döviz'!AJ104</f>
        <v/>
      </c>
      <c r="E35" s="461">
        <f>-('C-Döviz'!AA104-'C-Döviz'!Z104)</f>
        <v/>
      </c>
      <c r="F35" s="461">
        <f>'C-Döviz'!AJ81</f>
        <v/>
      </c>
      <c r="G35" s="461">
        <f>'C-Döviz'!AA81-'C-Döviz'!Z81</f>
        <v/>
      </c>
      <c r="H35" s="461">
        <f>'C-Döviz'!AJ152</f>
        <v/>
      </c>
      <c r="I35" s="461">
        <f>'C-Döviz'!AA152-'C-Döviz'!Z152</f>
        <v/>
      </c>
      <c r="J35" s="461">
        <f>'C-Döviz'!AJ228</f>
        <v/>
      </c>
      <c r="K35" s="461">
        <f>'C-Döviz'!AA228-'C-Döviz'!Z228</f>
        <v/>
      </c>
      <c r="L35" s="461">
        <f>'C-Döviz'!AJ293/'C-Döviz'!AJ11</f>
        <v/>
      </c>
      <c r="M35" s="461">
        <f>L35-('C-Döviz'!Z293/'C-Döviz'!Z11)</f>
        <v/>
      </c>
      <c r="N35" s="461">
        <f>'C-Döviz'!AJ306/'C-Döviz'!AJ11</f>
        <v/>
      </c>
      <c r="O35" s="461">
        <f>N35-('C-Döviz'!Z306/'C-Döviz'!Z11)</f>
        <v/>
      </c>
      <c r="P35" s="386" t="n"/>
    </row>
    <row r="36" ht="16" customHeight="1">
      <c r="C36" s="382" t="inlineStr">
        <is>
          <t>İnci GS Yuasa</t>
        </is>
      </c>
      <c r="D36" s="461">
        <f>'C-Döviz'!AJ105</f>
        <v/>
      </c>
      <c r="E36" s="461">
        <f>-('C-Döviz'!AA105-'C-Döviz'!Z105)</f>
        <v/>
      </c>
      <c r="F36" s="461">
        <f>'C-Döviz'!AJ82</f>
        <v/>
      </c>
      <c r="G36" s="461">
        <f>'C-Döviz'!AA82-'C-Döviz'!Z82</f>
        <v/>
      </c>
      <c r="H36" s="461">
        <f>'C-Döviz'!AJ153</f>
        <v/>
      </c>
      <c r="I36" s="461">
        <f>'C-Döviz'!AA153-'C-Döviz'!Z153</f>
        <v/>
      </c>
      <c r="J36" s="461">
        <f>'C-Döviz'!AJ229</f>
        <v/>
      </c>
      <c r="K36" s="461">
        <f>'C-Döviz'!AA229-'C-Döviz'!Z229</f>
        <v/>
      </c>
      <c r="L36" s="461">
        <f>'C-Döviz'!AJ294/'C-Döviz'!AJ12</f>
        <v/>
      </c>
      <c r="M36" s="461">
        <f>L36-('C-Döviz'!Z294/'C-Döviz'!Z12)</f>
        <v/>
      </c>
      <c r="N36" s="461">
        <f>'C-Döviz'!AJ307/'C-Döviz'!AJ12</f>
        <v/>
      </c>
      <c r="O36" s="461">
        <f>N36-('C-Döviz'!Z307/'C-Döviz'!Z12)</f>
        <v/>
      </c>
      <c r="P36" s="386" t="n"/>
    </row>
    <row r="37" ht="16" customHeight="1">
      <c r="C37" s="382" t="inlineStr">
        <is>
          <t>Yusen İnci Loj.</t>
        </is>
      </c>
      <c r="D37" s="461">
        <f>'C-Döviz'!AJ106</f>
        <v/>
      </c>
      <c r="E37" s="461">
        <f>-('C-Döviz'!AA106-'C-Döviz'!Z106)</f>
        <v/>
      </c>
      <c r="F37" s="461">
        <f>'C-Döviz'!AJ83</f>
        <v/>
      </c>
      <c r="G37" s="461">
        <f>'C-Döviz'!AA83-'C-Döviz'!Z83</f>
        <v/>
      </c>
      <c r="H37" s="461">
        <f>'C-Döviz'!AJ154</f>
        <v/>
      </c>
      <c r="I37" s="461">
        <f>'C-Döviz'!AA154-'C-Döviz'!Z154</f>
        <v/>
      </c>
      <c r="J37" s="461">
        <f>'C-Döviz'!AJ230</f>
        <v/>
      </c>
      <c r="K37" s="461">
        <f>'C-Döviz'!AA230-'C-Döviz'!Z230</f>
        <v/>
      </c>
      <c r="L37" s="461">
        <f>'C-Döviz'!AJ295/'C-Döviz'!AJ13</f>
        <v/>
      </c>
      <c r="M37" s="461">
        <f>L37-('C-Döviz'!Z295/'C-Döviz'!Z13)</f>
        <v/>
      </c>
      <c r="N37" s="461">
        <f>'C-Döviz'!AJ308/'C-Döviz'!AJ13</f>
        <v/>
      </c>
      <c r="O37" s="461">
        <f>N37-('C-Döviz'!Z308/'C-Döviz'!Z13)</f>
        <v/>
      </c>
      <c r="P37" s="386" t="n"/>
    </row>
    <row r="38" ht="16" customHeight="1">
      <c r="C38" s="382" t="inlineStr">
        <is>
          <t>Jantaş</t>
        </is>
      </c>
      <c r="D38" s="461">
        <f>'C-Döviz'!AJ107</f>
        <v/>
      </c>
      <c r="E38" s="461">
        <f>-('C-Döviz'!AA107-'C-Döviz'!Z107)</f>
        <v/>
      </c>
      <c r="F38" s="461">
        <f>'C-Döviz'!AJ84</f>
        <v/>
      </c>
      <c r="G38" s="461">
        <f>'C-Döviz'!AA84-'C-Döviz'!Z84</f>
        <v/>
      </c>
      <c r="H38" s="461">
        <f>'C-Döviz'!AJ155</f>
        <v/>
      </c>
      <c r="I38" s="461">
        <f>'C-Döviz'!AA155-'C-Döviz'!Z155</f>
        <v/>
      </c>
      <c r="J38" s="461">
        <f>'C-Döviz'!AJ231</f>
        <v/>
      </c>
      <c r="K38" s="461">
        <f>'C-Döviz'!AA231-'C-Döviz'!Z231</f>
        <v/>
      </c>
      <c r="L38" s="461">
        <f>'C-Döviz'!AJ296/'C-Döviz'!AJ14</f>
        <v/>
      </c>
      <c r="M38" s="461">
        <f>L38-('C-Döviz'!Z296/'C-Döviz'!Z14)</f>
        <v/>
      </c>
      <c r="N38" s="461">
        <f>'C-Döviz'!AJ309/'C-Döviz'!AJ14</f>
        <v/>
      </c>
      <c r="O38" s="461">
        <f>N38-('C-Döviz'!Z309/'C-Döviz'!Z14)</f>
        <v/>
      </c>
      <c r="P38" s="386" t="n"/>
    </row>
    <row r="39" ht="16" customHeight="1">
      <c r="C39" s="382" t="inlineStr">
        <is>
          <t>Çelik</t>
        </is>
      </c>
      <c r="D39" s="461">
        <f>'C-Döviz'!AJ108</f>
        <v/>
      </c>
      <c r="E39" s="461">
        <f>-('C-Döviz'!AA108-'C-Döviz'!Z108)</f>
        <v/>
      </c>
      <c r="F39" s="461">
        <f>'C-Döviz'!AJ85</f>
        <v/>
      </c>
      <c r="G39" s="461">
        <f>'C-Döviz'!AA85-'C-Döviz'!Z85</f>
        <v/>
      </c>
      <c r="H39" s="461">
        <f>'C-Döviz'!AJ156</f>
        <v/>
      </c>
      <c r="I39" s="461">
        <f>'C-Döviz'!AA156-'C-Döviz'!Z156</f>
        <v/>
      </c>
      <c r="J39" s="461">
        <f>'C-Döviz'!AJ232</f>
        <v/>
      </c>
      <c r="K39" s="461">
        <f>'C-Döviz'!AA232-'C-Döviz'!Z232</f>
        <v/>
      </c>
      <c r="L39" s="461">
        <f>'C-Döviz'!AJ297/'C-Döviz'!AJ15</f>
        <v/>
      </c>
      <c r="M39" s="461">
        <f>L39-('C-Döviz'!Z297/'C-Döviz'!Z15)</f>
        <v/>
      </c>
      <c r="N39" s="461">
        <f>'C-Döviz'!AJ310/'C-Döviz'!AJ15</f>
        <v/>
      </c>
      <c r="O39" s="461">
        <f>N39-('C-Döviz'!Z310/'C-Döviz'!Z15)</f>
        <v/>
      </c>
      <c r="P39" s="386" t="n"/>
    </row>
    <row r="40" ht="16" customHeight="1">
      <c r="C40" s="382" t="inlineStr">
        <is>
          <t>Alüminyum</t>
        </is>
      </c>
      <c r="D40" s="461">
        <f>'C-Döviz'!AJ109</f>
        <v/>
      </c>
      <c r="E40" s="461">
        <f>-('C-Döviz'!AA109-'C-Döviz'!Z109)</f>
        <v/>
      </c>
      <c r="F40" s="461">
        <f>'C-Döviz'!AJ86</f>
        <v/>
      </c>
      <c r="G40" s="461">
        <f>'C-Döviz'!AA86-'C-Döviz'!Z86</f>
        <v/>
      </c>
      <c r="H40" s="461">
        <f>'C-Döviz'!AJ157</f>
        <v/>
      </c>
      <c r="I40" s="461">
        <f>'C-Döviz'!AA157-'C-Döviz'!Z157</f>
        <v/>
      </c>
      <c r="J40" s="461">
        <f>'C-Döviz'!AJ233</f>
        <v/>
      </c>
      <c r="K40" s="461">
        <f>'C-Döviz'!AA233-'C-Döviz'!Z233</f>
        <v/>
      </c>
      <c r="L40" s="461">
        <f>'C-Döviz'!AJ298/'C-Döviz'!AJ16</f>
        <v/>
      </c>
      <c r="M40" s="461">
        <f>L40-('C-Döviz'!Z298/'C-Döviz'!Z16)</f>
        <v/>
      </c>
      <c r="N40" s="461">
        <f>'C-Döviz'!AJ311/'C-Döviz'!AJ16</f>
        <v/>
      </c>
      <c r="O40" s="461">
        <f>N40-('C-Döviz'!Z311/'C-Döviz'!Z16)</f>
        <v/>
      </c>
      <c r="P40" s="386" t="n"/>
    </row>
    <row r="41" ht="36" customHeight="1">
      <c r="C41" s="391" t="n"/>
      <c r="D41" s="445" t="n"/>
      <c r="G41" s="445" t="n"/>
      <c r="J41" s="445" t="n"/>
      <c r="K41" s="445" t="n"/>
      <c r="N41" s="445" t="n"/>
      <c r="O41" s="445" t="n"/>
    </row>
    <row r="42" ht="13.5" customHeight="1">
      <c r="C42" s="393" t="n"/>
      <c r="D42" s="391" t="n"/>
      <c r="E42" s="391" t="n"/>
      <c r="F42" s="391" t="n"/>
      <c r="G42" s="391" t="n"/>
      <c r="H42" s="391" t="n"/>
      <c r="I42" s="391" t="n"/>
      <c r="J42" s="393" t="n"/>
      <c r="K42" s="391" t="n"/>
      <c r="L42" s="391" t="n"/>
      <c r="M42" s="391" t="n"/>
      <c r="N42" s="393" t="n"/>
      <c r="O42" s="391" t="n"/>
      <c r="P42" s="391" t="n"/>
    </row>
    <row r="43" ht="13.5" customHeight="1">
      <c r="C43" s="432" t="n"/>
      <c r="D43" s="432" t="n"/>
      <c r="E43" s="432" t="n"/>
      <c r="F43" s="395" t="n"/>
      <c r="G43" s="432" t="n"/>
      <c r="H43" s="432" t="n"/>
      <c r="I43" s="395" t="n"/>
      <c r="J43" s="432" t="n"/>
      <c r="K43" s="432" t="n"/>
      <c r="L43" s="432" t="n"/>
      <c r="M43" s="395" t="n"/>
      <c r="N43" s="432" t="n"/>
      <c r="O43" s="432" t="n"/>
      <c r="P43" s="395" t="n"/>
    </row>
    <row r="44" ht="13.5" customHeight="1">
      <c r="C44" s="432" t="n"/>
      <c r="D44" s="432" t="n"/>
      <c r="E44" s="432" t="n"/>
      <c r="F44" s="395" t="n"/>
      <c r="G44" s="432" t="n"/>
      <c r="H44" s="432" t="n"/>
      <c r="I44" s="395" t="n"/>
      <c r="J44" s="432" t="n"/>
      <c r="K44" s="432" t="n"/>
      <c r="L44" s="432" t="n"/>
      <c r="M44" s="395" t="n"/>
      <c r="N44" s="432" t="n"/>
      <c r="O44" s="432" t="n"/>
      <c r="P44" s="395" t="n"/>
    </row>
    <row r="45" ht="13.5" customHeight="1">
      <c r="C45" s="432" t="n"/>
      <c r="D45" s="432" t="n"/>
      <c r="E45" s="432" t="n"/>
      <c r="F45" s="395" t="n"/>
      <c r="G45" s="432" t="n"/>
      <c r="H45" s="432" t="n"/>
      <c r="I45" s="395" t="n"/>
      <c r="J45" s="432" t="n"/>
      <c r="K45" s="432" t="n"/>
      <c r="L45" s="432" t="n"/>
      <c r="M45" s="395" t="n"/>
      <c r="N45" s="432" t="n"/>
      <c r="O45" s="432" t="n"/>
      <c r="P45" s="395" t="n"/>
    </row>
    <row r="46" ht="13.5" customHeight="1">
      <c r="C46" s="432" t="n"/>
      <c r="D46" s="432" t="n"/>
      <c r="E46" s="432" t="n"/>
      <c r="F46" s="395" t="n"/>
      <c r="G46" s="432" t="n"/>
      <c r="H46" s="432" t="n"/>
      <c r="I46" s="395" t="n"/>
      <c r="J46" s="432" t="n"/>
      <c r="K46" s="432" t="n"/>
      <c r="L46" s="432" t="n"/>
      <c r="M46" s="395" t="n"/>
      <c r="N46" s="432" t="n"/>
      <c r="O46" s="432" t="n"/>
      <c r="P46" s="395" t="n"/>
    </row>
    <row r="47" ht="13.5" customHeight="1">
      <c r="C47" s="432" t="n"/>
      <c r="D47" s="432" t="n"/>
      <c r="E47" s="432" t="n"/>
      <c r="F47" s="395" t="n"/>
      <c r="G47" s="432" t="n"/>
      <c r="H47" s="432" t="n"/>
      <c r="I47" s="395" t="n"/>
      <c r="J47" s="432" t="n"/>
      <c r="K47" s="432" t="n"/>
      <c r="L47" s="432" t="n"/>
      <c r="M47" s="395" t="n"/>
      <c r="N47" s="432" t="n"/>
      <c r="O47" s="432" t="n"/>
      <c r="P47" s="395" t="n"/>
    </row>
    <row r="48" ht="13.5" customHeight="1">
      <c r="C48" s="432" t="n"/>
      <c r="D48" s="432" t="n"/>
      <c r="E48" s="432" t="n"/>
      <c r="F48" s="395" t="n"/>
      <c r="G48" s="432" t="n"/>
      <c r="H48" s="432" t="n"/>
      <c r="I48" s="395" t="n"/>
      <c r="J48" s="432" t="n"/>
      <c r="K48" s="432" t="n"/>
      <c r="L48" s="432" t="n"/>
      <c r="M48" s="395" t="n"/>
      <c r="N48" s="432" t="n"/>
      <c r="O48" s="432" t="n"/>
      <c r="P48" s="395" t="n"/>
    </row>
    <row r="49" ht="13.5" customHeight="1"/>
    <row r="50" ht="13.5" customHeight="1">
      <c r="C50" s="391" t="n"/>
      <c r="D50" s="445" t="n"/>
      <c r="G50" s="445" t="n"/>
      <c r="J50" s="445" t="n"/>
      <c r="K50" s="445" t="n"/>
      <c r="N50" s="445" t="n"/>
      <c r="O50" s="445" t="n"/>
    </row>
    <row r="51" ht="14.15" customHeight="1">
      <c r="C51" s="393" t="n"/>
      <c r="D51" s="391" t="n"/>
      <c r="E51" s="391" t="n"/>
      <c r="F51" s="391" t="n"/>
      <c r="G51" s="391" t="n"/>
      <c r="H51" s="391" t="n"/>
      <c r="I51" s="391" t="n"/>
      <c r="J51" s="393" t="n"/>
      <c r="K51" s="391" t="n"/>
      <c r="L51" s="391" t="n"/>
      <c r="M51" s="391" t="n"/>
      <c r="N51" s="393" t="n"/>
      <c r="O51" s="391" t="n"/>
      <c r="P51" s="391" t="n"/>
    </row>
    <row r="52" ht="14.15" customHeight="1">
      <c r="C52" s="432" t="n"/>
      <c r="D52" s="432" t="n"/>
      <c r="E52" s="432" t="n"/>
      <c r="F52" s="395" t="n"/>
      <c r="G52" s="432" t="n"/>
      <c r="H52" s="432" t="n"/>
      <c r="I52" s="395" t="n"/>
      <c r="J52" s="432" t="n"/>
      <c r="K52" s="432" t="n"/>
      <c r="L52" s="432" t="n"/>
      <c r="M52" s="395" t="n"/>
      <c r="N52" s="432" t="n"/>
      <c r="O52" s="432" t="n"/>
      <c r="P52" s="395" t="n"/>
    </row>
    <row r="53" ht="14.15" customHeight="1">
      <c r="C53" s="432" t="n"/>
      <c r="D53" s="432" t="n"/>
      <c r="E53" s="432" t="n"/>
      <c r="F53" s="395" t="n"/>
      <c r="G53" s="432" t="n"/>
      <c r="H53" s="432" t="n"/>
      <c r="I53" s="395" t="n"/>
      <c r="J53" s="432" t="n"/>
      <c r="K53" s="432" t="n"/>
      <c r="L53" s="432" t="n"/>
      <c r="M53" s="395" t="n"/>
      <c r="N53" s="432" t="n"/>
      <c r="O53" s="432" t="n"/>
      <c r="P53" s="395" t="n"/>
    </row>
    <row r="54" ht="14.15" customHeight="1">
      <c r="C54" s="432" t="n"/>
      <c r="D54" s="432" t="n"/>
      <c r="E54" s="432" t="n"/>
      <c r="F54" s="395" t="n"/>
      <c r="G54" s="432" t="n"/>
      <c r="H54" s="432" t="n"/>
      <c r="I54" s="395" t="n"/>
      <c r="J54" s="432" t="n"/>
      <c r="K54" s="432" t="n"/>
      <c r="L54" s="432" t="n"/>
      <c r="M54" s="395" t="n"/>
      <c r="N54" s="432" t="n"/>
      <c r="O54" s="432" t="n"/>
      <c r="P54" s="395" t="n"/>
    </row>
    <row r="55" ht="14.15" customHeight="1">
      <c r="C55" s="432" t="n"/>
      <c r="D55" s="432" t="n"/>
      <c r="E55" s="432" t="n"/>
      <c r="F55" s="395" t="n"/>
      <c r="G55" s="432" t="n"/>
      <c r="H55" s="432" t="n"/>
      <c r="I55" s="395" t="n"/>
      <c r="J55" s="432" t="n"/>
      <c r="K55" s="432" t="n"/>
      <c r="L55" s="432" t="n"/>
      <c r="M55" s="395" t="n"/>
      <c r="N55" s="432" t="n"/>
      <c r="O55" s="432" t="n"/>
      <c r="P55" s="395" t="n"/>
    </row>
    <row r="56" ht="14.15" customHeight="1">
      <c r="C56" s="432" t="n"/>
      <c r="D56" s="432" t="n"/>
      <c r="E56" s="432" t="n"/>
      <c r="F56" s="395" t="n"/>
      <c r="G56" s="432" t="n"/>
      <c r="H56" s="432" t="n"/>
      <c r="I56" s="395" t="n"/>
      <c r="J56" s="432" t="n"/>
      <c r="K56" s="432" t="n"/>
      <c r="L56" s="432" t="n"/>
      <c r="M56" s="395" t="n"/>
      <c r="N56" s="432" t="n"/>
      <c r="O56" s="432" t="n"/>
      <c r="P56" s="395" t="n"/>
    </row>
    <row r="57" ht="14.15" customHeight="1">
      <c r="C57" s="432" t="n"/>
      <c r="D57" s="432" t="n"/>
      <c r="E57" s="432" t="n"/>
      <c r="F57" s="395" t="n"/>
      <c r="G57" s="432" t="n"/>
      <c r="H57" s="432" t="n"/>
      <c r="I57" s="395" t="n"/>
      <c r="J57" s="432" t="n"/>
      <c r="K57" s="432" t="n"/>
      <c r="L57" s="432" t="n"/>
      <c r="M57" s="395" t="n"/>
      <c r="N57" s="432" t="n"/>
      <c r="O57" s="432" t="n"/>
      <c r="P57" s="395" t="n"/>
    </row>
    <row r="58" ht="14.15" customHeight="1"/>
    <row r="61">
      <c r="D61" s="436" t="n"/>
    </row>
    <row r="62"/>
    <row r="63" ht="14.5" customHeight="1">
      <c r="C63" s="440" t="n"/>
      <c r="D63" s="376" t="n"/>
      <c r="E63" s="440" t="n"/>
      <c r="F63" s="440" t="n"/>
      <c r="G63" s="376" t="n"/>
      <c r="H63" s="440" t="n"/>
      <c r="I63" s="376" t="n"/>
      <c r="J63" s="376" t="n"/>
      <c r="K63" s="376" t="n"/>
      <c r="L63" s="376" t="n"/>
      <c r="M63" s="376" t="n"/>
    </row>
    <row r="64" ht="15" customHeight="1">
      <c r="C64" s="439" t="n"/>
      <c r="D64" s="443" t="inlineStr">
        <is>
          <t>Ciro</t>
        </is>
      </c>
      <c r="E64" s="441" t="n"/>
      <c r="F64" s="441" t="n"/>
      <c r="G64" s="443" t="inlineStr">
        <is>
          <t>EBITDA</t>
        </is>
      </c>
      <c r="H64" s="441" t="n"/>
      <c r="I64" s="441" t="n"/>
      <c r="J64" s="443" t="n"/>
      <c r="K64" s="443" t="inlineStr">
        <is>
          <t>Net Kar</t>
        </is>
      </c>
      <c r="L64" s="443" t="n"/>
      <c r="M64" s="443" t="n"/>
    </row>
    <row r="65" ht="16" customHeight="1">
      <c r="C65" s="387" t="n"/>
      <c r="D65" s="439" t="inlineStr">
        <is>
          <t>Gerçekleşme</t>
        </is>
      </c>
      <c r="E65" s="439" t="inlineStr">
        <is>
          <t>%</t>
        </is>
      </c>
      <c r="G65" s="439" t="inlineStr">
        <is>
          <t>Gerçekleşme</t>
        </is>
      </c>
      <c r="H65" s="439" t="n"/>
      <c r="I65" s="439" t="inlineStr">
        <is>
          <t>%</t>
        </is>
      </c>
      <c r="J65" s="387" t="n"/>
      <c r="K65" s="439" t="inlineStr">
        <is>
          <t>Gerçekleşme</t>
        </is>
      </c>
      <c r="L65" s="439" t="n"/>
      <c r="M65" s="439" t="inlineStr">
        <is>
          <t>%</t>
        </is>
      </c>
    </row>
    <row r="66" ht="16" customHeight="1">
      <c r="C66" s="432" t="inlineStr">
        <is>
          <t>Ciro</t>
        </is>
      </c>
      <c r="D66" s="432" t="n">
        <v>55</v>
      </c>
      <c r="E66" s="432" t="n"/>
      <c r="G66" s="432" t="n">
        <v>55</v>
      </c>
      <c r="H66" s="432" t="n"/>
      <c r="J66" s="393" t="n"/>
      <c r="K66" s="432" t="n">
        <v>55</v>
      </c>
      <c r="L66" s="391" t="n"/>
      <c r="M66" s="432" t="n"/>
    </row>
    <row r="67" ht="16" customHeight="1">
      <c r="C67" s="432" t="inlineStr">
        <is>
          <t>Adet</t>
        </is>
      </c>
      <c r="D67" s="432" t="n">
        <v>12</v>
      </c>
      <c r="E67" s="437">
        <f>D67/$D$66</f>
        <v/>
      </c>
      <c r="G67" s="432" t="n">
        <v>12</v>
      </c>
      <c r="H67" s="437">
        <f>G67/$D$66</f>
        <v/>
      </c>
      <c r="J67" s="432" t="n"/>
      <c r="K67" s="432" t="n">
        <v>12</v>
      </c>
      <c r="L67" s="432" t="n"/>
      <c r="M67" s="437">
        <f>K67/$K$66</f>
        <v/>
      </c>
    </row>
    <row r="68">
      <c r="C68" s="432" t="inlineStr">
        <is>
          <t xml:space="preserve">Fiyat </t>
        </is>
      </c>
      <c r="D68" s="432" t="n">
        <v>9</v>
      </c>
      <c r="E68" s="437">
        <f>D68/$D$66</f>
        <v/>
      </c>
      <c r="G68" s="432" t="n">
        <v>9</v>
      </c>
      <c r="H68" s="437">
        <f>G68/$D$66</f>
        <v/>
      </c>
      <c r="J68" s="432" t="n"/>
      <c r="K68" s="432" t="n">
        <v>9</v>
      </c>
      <c r="L68" s="432" t="n"/>
      <c r="M68" s="437">
        <f>K68/$K$66</f>
        <v/>
      </c>
    </row>
    <row r="69">
      <c r="C69" s="432" t="inlineStr">
        <is>
          <t>Miks</t>
        </is>
      </c>
      <c r="D69" s="432" t="n">
        <v>8</v>
      </c>
      <c r="E69" s="437">
        <f>D69/$D$66</f>
        <v/>
      </c>
      <c r="G69" s="432" t="n">
        <v>8</v>
      </c>
      <c r="H69" s="437">
        <f>G69/$D$66</f>
        <v/>
      </c>
      <c r="J69" s="432" t="n"/>
      <c r="K69" s="432" t="n">
        <v>8</v>
      </c>
      <c r="L69" s="432" t="n"/>
      <c r="M69" s="437">
        <f>K69/$K$66</f>
        <v/>
      </c>
    </row>
    <row r="70" ht="16" customHeight="1">
      <c r="C70" s="432" t="inlineStr">
        <is>
          <t>Ham Madde</t>
        </is>
      </c>
      <c r="D70" s="432" t="n">
        <v>5</v>
      </c>
      <c r="E70" s="437">
        <f>D70/$D$66</f>
        <v/>
      </c>
      <c r="G70" s="432" t="n">
        <v>5</v>
      </c>
      <c r="H70" s="437">
        <f>G70/$D$66</f>
        <v/>
      </c>
      <c r="J70" s="432" t="n"/>
      <c r="K70" s="432" t="n">
        <v>5</v>
      </c>
      <c r="L70" s="432" t="n"/>
      <c r="M70" s="437">
        <f>K70/$K$66</f>
        <v/>
      </c>
    </row>
    <row r="71" ht="16" customHeight="1">
      <c r="C71" s="432" t="inlineStr">
        <is>
          <t>Enerji</t>
        </is>
      </c>
      <c r="D71" s="432" t="n">
        <v>4</v>
      </c>
      <c r="E71" s="437">
        <f>D71/$D$66</f>
        <v/>
      </c>
      <c r="G71" s="432" t="n">
        <v>4</v>
      </c>
      <c r="H71" s="437">
        <f>G71/$D$66</f>
        <v/>
      </c>
      <c r="J71" s="432" t="n"/>
      <c r="K71" s="432" t="n">
        <v>4</v>
      </c>
      <c r="L71" s="432" t="n"/>
      <c r="M71" s="437">
        <f>K71/$K$66</f>
        <v/>
      </c>
    </row>
    <row r="72" ht="16" customHeight="1">
      <c r="C72" s="432" t="inlineStr">
        <is>
          <t>Döviz</t>
        </is>
      </c>
      <c r="D72" s="432" t="n">
        <v>3</v>
      </c>
      <c r="E72" s="437">
        <f>D72/$D$66</f>
        <v/>
      </c>
      <c r="G72" s="432" t="n">
        <v>3</v>
      </c>
      <c r="H72" s="437">
        <f>G72/$D$66</f>
        <v/>
      </c>
      <c r="J72" s="432" t="n"/>
      <c r="K72" s="432" t="n">
        <v>3</v>
      </c>
      <c r="L72" s="432" t="n"/>
      <c r="M72" s="437">
        <f>K72/$K$66</f>
        <v/>
      </c>
    </row>
    <row r="73">
      <c r="C73" s="432" t="inlineStr">
        <is>
          <t>Enflasyon</t>
        </is>
      </c>
      <c r="D73" s="433" t="n">
        <v>3</v>
      </c>
      <c r="E73" s="437">
        <f>D73/$D$66</f>
        <v/>
      </c>
      <c r="G73" s="433" t="n">
        <v>3</v>
      </c>
      <c r="H73" s="437">
        <f>G73/$D$66</f>
        <v/>
      </c>
      <c r="K73" s="433" t="n">
        <v>3</v>
      </c>
      <c r="M73" s="437">
        <f>K73/$K$66</f>
        <v/>
      </c>
    </row>
    <row r="74">
      <c r="C74" s="432" t="n"/>
    </row>
    <row r="75" ht="16" customHeight="1"/>
    <row r="76" ht="16" customHeight="1"/>
    <row r="93">
      <c r="O93" s="391" t="n"/>
    </row>
    <row r="94">
      <c r="O94" s="391" t="n"/>
    </row>
    <row r="95">
      <c r="O95" s="433" t="n"/>
    </row>
    <row r="103">
      <c r="I103" s="438" t="n"/>
    </row>
  </sheetData>
  <mergeCells count="40">
    <mergeCell ref="K41:M41"/>
    <mergeCell ref="H67:I67"/>
    <mergeCell ref="K50:M50"/>
    <mergeCell ref="D41:F41"/>
    <mergeCell ref="E68:F68"/>
    <mergeCell ref="E71:F71"/>
    <mergeCell ref="E67:F67"/>
    <mergeCell ref="D17:F17"/>
    <mergeCell ref="J4:L4"/>
    <mergeCell ref="H68:I68"/>
    <mergeCell ref="E73:F73"/>
    <mergeCell ref="J30:K30"/>
    <mergeCell ref="F30:G30"/>
    <mergeCell ref="H73:I73"/>
    <mergeCell ref="D4:F4"/>
    <mergeCell ref="M17:O17"/>
    <mergeCell ref="G4:I4"/>
    <mergeCell ref="E69:F69"/>
    <mergeCell ref="O41:P41"/>
    <mergeCell ref="H70:I70"/>
    <mergeCell ref="D61:F62"/>
    <mergeCell ref="E65:F65"/>
    <mergeCell ref="L30:M30"/>
    <mergeCell ref="H69:I69"/>
    <mergeCell ref="G50:I50"/>
    <mergeCell ref="G41:I41"/>
    <mergeCell ref="O50:P50"/>
    <mergeCell ref="M4:O4"/>
    <mergeCell ref="H72:I72"/>
    <mergeCell ref="D50:F50"/>
    <mergeCell ref="J17:L17"/>
    <mergeCell ref="H66:I66"/>
    <mergeCell ref="E70:F70"/>
    <mergeCell ref="N30:O30"/>
    <mergeCell ref="D30:E30"/>
    <mergeCell ref="E72:F72"/>
    <mergeCell ref="H71:I71"/>
    <mergeCell ref="G17:I17"/>
    <mergeCell ref="E66:F66"/>
    <mergeCell ref="H30:I30"/>
  </mergeCells>
  <conditionalFormatting sqref="E15 E32">
    <cfRule type="dataBar" priority="32">
      <dataBar>
        <cfvo type="min"/>
        <cfvo type="max"/>
        <color rgb="FF63C384"/>
      </dataBar>
    </cfRule>
    <cfRule type="dataBar" priority="33">
      <dataBar>
        <cfvo type="min"/>
        <cfvo type="max"/>
        <color theme="9" tint="0.3999755851924192"/>
      </dataBar>
    </cfRule>
  </conditionalFormatting>
  <conditionalFormatting sqref="E32:E40">
    <cfRule type="dataBar" priority="1">
      <dataBar>
        <cfvo type="min"/>
        <cfvo type="max"/>
        <color theme="9" tint="0.5999938962981048"/>
      </dataBar>
    </cfRule>
  </conditionalFormatting>
  <conditionalFormatting sqref="E43:E48">
    <cfRule type="dataBar" priority="79">
      <dataBar>
        <cfvo type="min"/>
        <cfvo type="max"/>
        <color theme="9" tint="0.3999755851924192"/>
      </dataBar>
    </cfRule>
    <cfRule type="dataBar" priority="78">
      <dataBar>
        <cfvo type="min"/>
        <cfvo type="max"/>
        <color rgb="FF63C384"/>
      </dataBar>
    </cfRule>
  </conditionalFormatting>
  <conditionalFormatting sqref="E52:E57">
    <cfRule type="dataBar" priority="73">
      <dataBar>
        <cfvo type="min"/>
        <cfvo type="max"/>
        <color theme="9" tint="0.3999755851924192"/>
      </dataBar>
    </cfRule>
    <cfRule type="dataBar" priority="72">
      <dataBar>
        <cfvo type="min"/>
        <cfvo type="max"/>
        <color rgb="FF63C384"/>
      </dataBar>
    </cfRule>
  </conditionalFormatting>
  <conditionalFormatting sqref="E66:E73">
    <cfRule type="dataBar" priority="49">
      <dataBar>
        <cfvo type="min"/>
        <cfvo type="max"/>
        <color theme="9" tint="0.3999755851924192"/>
      </dataBar>
    </cfRule>
    <cfRule type="dataBar" priority="48">
      <dataBar>
        <cfvo type="min"/>
        <cfvo type="max"/>
        <color rgb="FF63C384"/>
      </dataBar>
    </cfRule>
  </conditionalFormatting>
  <conditionalFormatting sqref="F6:F14">
    <cfRule type="dataBar" priority="25">
      <dataBar>
        <cfvo type="min"/>
        <cfvo type="max"/>
        <color theme="9" tint="0.5999938962981048"/>
      </dataBar>
    </cfRule>
  </conditionalFormatting>
  <conditionalFormatting sqref="F15">
    <cfRule type="dataBar" priority="87">
      <dataBar>
        <cfvo type="min"/>
        <cfvo type="max"/>
        <color theme="9" tint="0.3999755851924192"/>
      </dataBar>
    </cfRule>
    <cfRule type="dataBar" priority="86">
      <dataBar>
        <cfvo type="min"/>
        <cfvo type="max"/>
        <color rgb="FF63C384"/>
      </dataBar>
    </cfRule>
  </conditionalFormatting>
  <conditionalFormatting sqref="F19:F27">
    <cfRule type="dataBar" priority="5">
      <dataBar>
        <cfvo type="min"/>
        <cfvo type="max"/>
        <color theme="9" tint="0.5999938962981048"/>
      </dataBar>
    </cfRule>
  </conditionalFormatting>
  <conditionalFormatting sqref="F43:F48">
    <cfRule type="dataBar" priority="60">
      <dataBar>
        <cfvo type="min"/>
        <cfvo type="max"/>
        <color rgb="FF63C384"/>
      </dataBar>
    </cfRule>
    <cfRule type="dataBar" priority="61">
      <dataBar>
        <cfvo type="min"/>
        <cfvo type="max"/>
        <color theme="9" tint="0.3999755851924192"/>
      </dataBar>
    </cfRule>
  </conditionalFormatting>
  <conditionalFormatting sqref="F52:F57">
    <cfRule type="dataBar" priority="59">
      <dataBar>
        <cfvo type="min"/>
        <cfvo type="max"/>
        <color theme="9" tint="0.3999755851924192"/>
      </dataBar>
    </cfRule>
    <cfRule type="dataBar" priority="58">
      <dataBar>
        <cfvo type="min"/>
        <cfvo type="max"/>
        <color rgb="FF63C384"/>
      </dataBar>
    </cfRule>
  </conditionalFormatting>
  <conditionalFormatting sqref="G32">
    <cfRule type="dataBar" priority="19">
      <dataBar>
        <cfvo type="min"/>
        <cfvo type="max"/>
        <color rgb="FF63C384"/>
      </dataBar>
    </cfRule>
    <cfRule type="dataBar" priority="20">
      <dataBar>
        <cfvo type="min"/>
        <cfvo type="max"/>
        <color theme="9" tint="0.3999755851924192"/>
      </dataBar>
    </cfRule>
  </conditionalFormatting>
  <conditionalFormatting sqref="G33:G40">
    <cfRule type="dataBar" priority="18">
      <dataBar>
        <cfvo type="min"/>
        <cfvo type="max"/>
        <color theme="9" tint="0.5999938962981048"/>
      </dataBar>
    </cfRule>
  </conditionalFormatting>
  <conditionalFormatting sqref="H15">
    <cfRule type="dataBar" priority="34">
      <dataBar>
        <cfvo type="min"/>
        <cfvo type="max"/>
        <color rgb="FF63C384"/>
      </dataBar>
    </cfRule>
    <cfRule type="dataBar" priority="35">
      <dataBar>
        <cfvo type="min"/>
        <cfvo type="max"/>
        <color theme="9" tint="0.3999755851924192"/>
      </dataBar>
    </cfRule>
  </conditionalFormatting>
  <conditionalFormatting sqref="H43:H48">
    <cfRule type="dataBar" priority="77">
      <dataBar>
        <cfvo type="min"/>
        <cfvo type="max"/>
        <color theme="9" tint="0.3999755851924192"/>
      </dataBar>
    </cfRule>
    <cfRule type="dataBar" priority="76">
      <dataBar>
        <cfvo type="min"/>
        <cfvo type="max"/>
        <color rgb="FF63C384"/>
      </dataBar>
    </cfRule>
  </conditionalFormatting>
  <conditionalFormatting sqref="H52:H57">
    <cfRule type="dataBar" priority="71">
      <dataBar>
        <cfvo type="min"/>
        <cfvo type="max"/>
        <color theme="9" tint="0.3999755851924192"/>
      </dataBar>
    </cfRule>
    <cfRule type="dataBar" priority="70">
      <dataBar>
        <cfvo type="min"/>
        <cfvo type="max"/>
        <color rgb="FF63C384"/>
      </dataBar>
    </cfRule>
  </conditionalFormatting>
  <conditionalFormatting sqref="H66">
    <cfRule type="dataBar" priority="44">
      <dataBar>
        <cfvo type="min"/>
        <cfvo type="max"/>
        <color rgb="FF63C384"/>
      </dataBar>
    </cfRule>
    <cfRule type="dataBar" priority="45">
      <dataBar>
        <cfvo type="min"/>
        <cfvo type="max"/>
        <color theme="9" tint="0.3999755851924192"/>
      </dataBar>
    </cfRule>
  </conditionalFormatting>
  <conditionalFormatting sqref="H67:H73">
    <cfRule type="dataBar" priority="46">
      <dataBar>
        <cfvo type="min"/>
        <cfvo type="max"/>
        <color rgb="FF63C384"/>
      </dataBar>
    </cfRule>
    <cfRule type="dataBar" priority="47">
      <dataBar>
        <cfvo type="min"/>
        <cfvo type="max"/>
        <color theme="9" tint="0.3999755851924192"/>
      </dataBar>
    </cfRule>
  </conditionalFormatting>
  <conditionalFormatting sqref="I6:I14">
    <cfRule type="dataBar" priority="24">
      <dataBar>
        <cfvo type="min"/>
        <cfvo type="max"/>
        <color theme="9" tint="0.5999938962981048"/>
      </dataBar>
    </cfRule>
  </conditionalFormatting>
  <conditionalFormatting sqref="I15">
    <cfRule type="dataBar" priority="88">
      <dataBar>
        <cfvo type="min"/>
        <cfvo type="max"/>
        <color rgb="FF63C384"/>
      </dataBar>
    </cfRule>
    <cfRule type="dataBar" priority="89">
      <dataBar>
        <cfvo type="min"/>
        <cfvo type="max"/>
        <color theme="9" tint="0.3999755851924192"/>
      </dataBar>
    </cfRule>
  </conditionalFormatting>
  <conditionalFormatting sqref="I19:I27">
    <cfRule type="dataBar" priority="4">
      <dataBar>
        <cfvo type="min"/>
        <cfvo type="max"/>
        <color theme="9" tint="0.5999938962981048"/>
      </dataBar>
    </cfRule>
  </conditionalFormatting>
  <conditionalFormatting sqref="I32">
    <cfRule type="dataBar" priority="16">
      <dataBar>
        <cfvo type="min"/>
        <cfvo type="max"/>
        <color rgb="FF63C384"/>
      </dataBar>
    </cfRule>
    <cfRule type="dataBar" priority="17">
      <dataBar>
        <cfvo type="min"/>
        <cfvo type="max"/>
        <color theme="9" tint="0.3999755851924192"/>
      </dataBar>
    </cfRule>
  </conditionalFormatting>
  <conditionalFormatting sqref="I33:I40">
    <cfRule type="dataBar" priority="15">
      <dataBar>
        <cfvo type="min"/>
        <cfvo type="max"/>
        <color theme="9" tint="0.5999938962981048"/>
      </dataBar>
    </cfRule>
  </conditionalFormatting>
  <conditionalFormatting sqref="I43:I48">
    <cfRule type="dataBar" priority="62">
      <dataBar>
        <cfvo type="min"/>
        <cfvo type="max"/>
        <color rgb="FF63C384"/>
      </dataBar>
    </cfRule>
    <cfRule type="dataBar" priority="63">
      <dataBar>
        <cfvo type="min"/>
        <cfvo type="max"/>
        <color theme="9" tint="0.3999755851924192"/>
      </dataBar>
    </cfRule>
  </conditionalFormatting>
  <conditionalFormatting sqref="I52:I57">
    <cfRule type="dataBar" priority="56">
      <dataBar>
        <cfvo type="min"/>
        <cfvo type="max"/>
        <color rgb="FF63C384"/>
      </dataBar>
    </cfRule>
    <cfRule type="dataBar" priority="57">
      <dataBar>
        <cfvo type="min"/>
        <cfvo type="max"/>
        <color theme="9" tint="0.3999755851924192"/>
      </dataBar>
    </cfRule>
  </conditionalFormatting>
  <conditionalFormatting sqref="J28">
    <cfRule type="dataBar" priority="92">
      <dataBar>
        <cfvo type="min"/>
        <cfvo type="max"/>
        <color rgb="FF63C384"/>
      </dataBar>
    </cfRule>
  </conditionalFormatting>
  <conditionalFormatting sqref="J43:J48">
    <cfRule type="dataBar" priority="81">
      <dataBar>
        <cfvo type="min"/>
        <cfvo type="max"/>
        <color rgb="FF63C384"/>
      </dataBar>
    </cfRule>
  </conditionalFormatting>
  <conditionalFormatting sqref="J52:J57">
    <cfRule type="dataBar" priority="82">
      <dataBar>
        <cfvo type="min"/>
        <cfvo type="max"/>
        <color rgb="FF63C384"/>
      </dataBar>
    </cfRule>
  </conditionalFormatting>
  <conditionalFormatting sqref="J67:J72">
    <cfRule type="dataBar" priority="83">
      <dataBar>
        <cfvo type="min"/>
        <cfvo type="max"/>
        <color rgb="FF63C384"/>
      </dataBar>
    </cfRule>
  </conditionalFormatting>
  <conditionalFormatting sqref="K15">
    <cfRule type="dataBar" priority="36">
      <dataBar>
        <cfvo type="min"/>
        <cfvo type="max"/>
        <color rgb="FF63C384"/>
      </dataBar>
    </cfRule>
    <cfRule type="dataBar" priority="37">
      <dataBar>
        <cfvo type="min"/>
        <cfvo type="max"/>
        <color theme="9" tint="0.3999755851924192"/>
      </dataBar>
    </cfRule>
  </conditionalFormatting>
  <conditionalFormatting sqref="K32">
    <cfRule type="dataBar" priority="13">
      <dataBar>
        <cfvo type="min"/>
        <cfvo type="max"/>
        <color rgb="FF63C384"/>
      </dataBar>
    </cfRule>
    <cfRule type="dataBar" priority="14">
      <dataBar>
        <cfvo type="min"/>
        <cfvo type="max"/>
        <color theme="9" tint="0.3999755851924192"/>
      </dataBar>
    </cfRule>
  </conditionalFormatting>
  <conditionalFormatting sqref="K33:K40">
    <cfRule type="dataBar" priority="12">
      <dataBar>
        <cfvo type="min"/>
        <cfvo type="max"/>
        <color theme="9" tint="0.5999938962981048"/>
      </dataBar>
    </cfRule>
  </conditionalFormatting>
  <conditionalFormatting sqref="L6:L14">
    <cfRule type="dataBar" priority="23">
      <dataBar>
        <cfvo type="min"/>
        <cfvo type="max"/>
        <color theme="9" tint="0.5999938962981048"/>
      </dataBar>
    </cfRule>
  </conditionalFormatting>
  <conditionalFormatting sqref="L15">
    <cfRule type="dataBar" priority="90">
      <dataBar>
        <cfvo type="min"/>
        <cfvo type="max"/>
        <color rgb="FF63C384"/>
      </dataBar>
    </cfRule>
    <cfRule type="dataBar" priority="91">
      <dataBar>
        <cfvo type="min"/>
        <cfvo type="max"/>
        <color theme="9" tint="0.3999755851924192"/>
      </dataBar>
    </cfRule>
  </conditionalFormatting>
  <conditionalFormatting sqref="L19:L27">
    <cfRule type="dataBar" priority="3">
      <dataBar>
        <cfvo type="min"/>
        <cfvo type="max"/>
        <color theme="9" tint="0.5999938962981048"/>
      </dataBar>
    </cfRule>
  </conditionalFormatting>
  <conditionalFormatting sqref="L28">
    <cfRule type="dataBar" priority="27">
      <dataBar>
        <cfvo type="min"/>
        <cfvo type="max"/>
        <color theme="9" tint="0.3999755851924192"/>
      </dataBar>
    </cfRule>
    <cfRule type="dataBar" priority="26">
      <dataBar>
        <cfvo type="min"/>
        <cfvo type="max"/>
        <color rgb="FF63C384"/>
      </dataBar>
    </cfRule>
  </conditionalFormatting>
  <conditionalFormatting sqref="L43:L48">
    <cfRule type="dataBar" priority="74">
      <dataBar>
        <cfvo type="min"/>
        <cfvo type="max"/>
        <color rgb="FF63C384"/>
      </dataBar>
    </cfRule>
    <cfRule type="dataBar" priority="75">
      <dataBar>
        <cfvo type="min"/>
        <cfvo type="max"/>
        <color theme="9" tint="0.3999755851924192"/>
      </dataBar>
    </cfRule>
  </conditionalFormatting>
  <conditionalFormatting sqref="L52:L57">
    <cfRule type="dataBar" priority="69">
      <dataBar>
        <cfvo type="min"/>
        <cfvo type="max"/>
        <color theme="9" tint="0.3999755851924192"/>
      </dataBar>
    </cfRule>
    <cfRule type="dataBar" priority="68">
      <dataBar>
        <cfvo type="min"/>
        <cfvo type="max"/>
        <color rgb="FF63C384"/>
      </dataBar>
    </cfRule>
  </conditionalFormatting>
  <conditionalFormatting sqref="L67:L72">
    <cfRule type="dataBar" priority="51">
      <dataBar>
        <cfvo type="min"/>
        <cfvo type="max"/>
        <color theme="9" tint="0.3999755851924192"/>
      </dataBar>
    </cfRule>
    <cfRule type="dataBar" priority="50">
      <dataBar>
        <cfvo type="min"/>
        <cfvo type="max"/>
        <color rgb="FF63C384"/>
      </dataBar>
    </cfRule>
  </conditionalFormatting>
  <conditionalFormatting sqref="M28">
    <cfRule type="dataBar" priority="29">
      <dataBar>
        <cfvo type="min"/>
        <cfvo type="max"/>
        <color theme="9" tint="0.3999755851924192"/>
      </dataBar>
    </cfRule>
    <cfRule type="dataBar" priority="28">
      <dataBar>
        <cfvo type="min"/>
        <cfvo type="max"/>
        <color rgb="FF63C384"/>
      </dataBar>
    </cfRule>
  </conditionalFormatting>
  <conditionalFormatting sqref="M32">
    <cfRule type="dataBar" priority="11">
      <dataBar>
        <cfvo type="min"/>
        <cfvo type="max"/>
        <color theme="9" tint="0.3999755851924192"/>
      </dataBar>
    </cfRule>
    <cfRule type="dataBar" priority="10">
      <dataBar>
        <cfvo type="min"/>
        <cfvo type="max"/>
        <color rgb="FF63C384"/>
      </dataBar>
    </cfRule>
  </conditionalFormatting>
  <conditionalFormatting sqref="M33:M40">
    <cfRule type="dataBar" priority="9">
      <dataBar>
        <cfvo type="min"/>
        <cfvo type="max"/>
        <color theme="9" tint="0.5999938962981048"/>
      </dataBar>
    </cfRule>
  </conditionalFormatting>
  <conditionalFormatting sqref="M43:M48">
    <cfRule type="dataBar" priority="64">
      <dataBar>
        <cfvo type="min"/>
        <cfvo type="max"/>
        <color rgb="FF63C384"/>
      </dataBar>
    </cfRule>
    <cfRule type="dataBar" priority="65">
      <dataBar>
        <cfvo type="min"/>
        <cfvo type="max"/>
        <color theme="9" tint="0.3999755851924192"/>
      </dataBar>
    </cfRule>
  </conditionalFormatting>
  <conditionalFormatting sqref="M52:M57">
    <cfRule type="dataBar" priority="55">
      <dataBar>
        <cfvo type="min"/>
        <cfvo type="max"/>
        <color theme="9" tint="0.3999755851924192"/>
      </dataBar>
    </cfRule>
    <cfRule type="dataBar" priority="54">
      <dataBar>
        <cfvo type="min"/>
        <cfvo type="max"/>
        <color rgb="FF63C384"/>
      </dataBar>
    </cfRule>
  </conditionalFormatting>
  <conditionalFormatting sqref="M66">
    <cfRule type="dataBar" priority="42">
      <dataBar>
        <cfvo type="min"/>
        <cfvo type="max"/>
        <color rgb="FF63C384"/>
      </dataBar>
    </cfRule>
    <cfRule type="dataBar" priority="43">
      <dataBar>
        <cfvo type="min"/>
        <cfvo type="max"/>
        <color theme="9" tint="0.3999755851924192"/>
      </dataBar>
    </cfRule>
  </conditionalFormatting>
  <conditionalFormatting sqref="M67:M73">
    <cfRule type="dataBar" priority="41">
      <dataBar>
        <cfvo type="min"/>
        <cfvo type="max"/>
        <color theme="9" tint="0.3999755851924192"/>
      </dataBar>
    </cfRule>
    <cfRule type="dataBar" priority="40">
      <dataBar>
        <cfvo type="min"/>
        <cfvo type="max"/>
        <color rgb="FF63C384"/>
      </dataBar>
    </cfRule>
  </conditionalFormatting>
  <conditionalFormatting sqref="N15">
    <cfRule type="dataBar" priority="38">
      <dataBar>
        <cfvo type="min"/>
        <cfvo type="max"/>
        <color rgb="FF63C384"/>
      </dataBar>
    </cfRule>
    <cfRule type="dataBar" priority="39">
      <dataBar>
        <cfvo type="min"/>
        <cfvo type="max"/>
        <color theme="9" tint="0.3999755851924192"/>
      </dataBar>
    </cfRule>
  </conditionalFormatting>
  <conditionalFormatting sqref="N28">
    <cfRule type="dataBar" priority="93">
      <dataBar>
        <cfvo type="min"/>
        <cfvo type="max"/>
        <color rgb="FF63C384"/>
      </dataBar>
    </cfRule>
  </conditionalFormatting>
  <conditionalFormatting sqref="N43:N48">
    <cfRule type="dataBar" priority="84">
      <dataBar>
        <cfvo type="min"/>
        <cfvo type="max"/>
        <color rgb="FF63C384"/>
      </dataBar>
    </cfRule>
  </conditionalFormatting>
  <conditionalFormatting sqref="N52:N57">
    <cfRule type="dataBar" priority="85">
      <dataBar>
        <cfvo type="min"/>
        <cfvo type="max"/>
        <color rgb="FF63C384"/>
      </dataBar>
    </cfRule>
  </conditionalFormatting>
  <conditionalFormatting sqref="O6:O14">
    <cfRule type="dataBar" priority="22">
      <dataBar>
        <cfvo type="min"/>
        <cfvo type="max"/>
        <color theme="9" tint="0.5999938962981048"/>
      </dataBar>
    </cfRule>
  </conditionalFormatting>
  <conditionalFormatting sqref="O19:O27">
    <cfRule type="dataBar" priority="2">
      <dataBar>
        <cfvo type="min"/>
        <cfvo type="max"/>
        <color theme="9" tint="0.5999938962981048"/>
      </dataBar>
    </cfRule>
  </conditionalFormatting>
  <conditionalFormatting sqref="O32">
    <cfRule type="dataBar" priority="8">
      <dataBar>
        <cfvo type="min"/>
        <cfvo type="max"/>
        <color theme="9" tint="0.3999755851924192"/>
      </dataBar>
    </cfRule>
    <cfRule type="dataBar" priority="7">
      <dataBar>
        <cfvo type="min"/>
        <cfvo type="max"/>
        <color rgb="FF63C384"/>
      </dataBar>
    </cfRule>
  </conditionalFormatting>
  <conditionalFormatting sqref="O33:O40">
    <cfRule type="dataBar" priority="6">
      <dataBar>
        <cfvo type="min"/>
        <cfvo type="max"/>
        <color theme="9" tint="0.5999938962981048"/>
      </dataBar>
    </cfRule>
  </conditionalFormatting>
  <conditionalFormatting sqref="P28">
    <cfRule type="dataBar" priority="31">
      <dataBar>
        <cfvo type="min"/>
        <cfvo type="max"/>
        <color theme="9" tint="0.3999755851924192"/>
      </dataBar>
    </cfRule>
    <cfRule type="dataBar" priority="30">
      <dataBar>
        <cfvo type="min"/>
        <cfvo type="max"/>
        <color rgb="FF63C384"/>
      </dataBar>
    </cfRule>
  </conditionalFormatting>
  <conditionalFormatting sqref="O15 P32:P40">
    <cfRule type="dataBar" priority="94">
      <dataBar>
        <cfvo type="min"/>
        <cfvo type="max"/>
        <color rgb="FF63C384"/>
      </dataBar>
    </cfRule>
    <cfRule type="dataBar" priority="95">
      <dataBar>
        <cfvo type="min"/>
        <cfvo type="max"/>
        <color theme="9" tint="0.3999755851924192"/>
      </dataBar>
    </cfRule>
  </conditionalFormatting>
  <conditionalFormatting sqref="P43:P48">
    <cfRule type="dataBar" priority="66">
      <dataBar>
        <cfvo type="min"/>
        <cfvo type="max"/>
        <color rgb="FF63C384"/>
      </dataBar>
    </cfRule>
    <cfRule type="dataBar" priority="67">
      <dataBar>
        <cfvo type="min"/>
        <cfvo type="max"/>
        <color theme="9" tint="0.3999755851924192"/>
      </dataBar>
    </cfRule>
  </conditionalFormatting>
  <conditionalFormatting sqref="P52:P57">
    <cfRule type="dataBar" priority="53">
      <dataBar>
        <cfvo type="min"/>
        <cfvo type="max"/>
        <color theme="9" tint="0.3999755851924192"/>
      </dataBar>
    </cfRule>
    <cfRule type="dataBar" priority="52">
      <dataBar>
        <cfvo type="min"/>
        <cfvo type="max"/>
        <color rgb="FF63C384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Z104"/>
  <sheetViews>
    <sheetView zoomScale="50" zoomScaleNormal="50" workbookViewId="0">
      <selection activeCell="D7" sqref="D7"/>
    </sheetView>
  </sheetViews>
  <sheetFormatPr baseColWidth="8" defaultColWidth="8.7265625" defaultRowHeight="17"/>
  <cols>
    <col width="8.7265625" customWidth="1" style="373" min="1" max="1"/>
    <col width="3.81640625" customWidth="1" style="373" min="2" max="2"/>
    <col width="19.54296875" customWidth="1" style="433" min="3" max="3"/>
    <col width="14.453125" bestFit="1" customWidth="1" style="373" min="4" max="4"/>
    <col width="13.453125" bestFit="1" customWidth="1" style="433" min="5" max="5"/>
    <col width="14" bestFit="1" customWidth="1" style="433" min="6" max="6"/>
    <col width="16.453125" bestFit="1" customWidth="1" style="433" min="7" max="7"/>
    <col width="14.453125" bestFit="1" customWidth="1" style="373" min="8" max="8"/>
    <col width="13.453125" bestFit="1" customWidth="1" style="433" min="9" max="9"/>
    <col width="14" bestFit="1" customWidth="1" style="373" min="10" max="10"/>
    <col width="16.453125" bestFit="1" customWidth="1" style="373" min="11" max="11"/>
    <col width="17.54296875" bestFit="1" customWidth="1" style="373" min="12" max="12"/>
    <col width="14.453125" bestFit="1" customWidth="1" style="373" min="13" max="13"/>
    <col width="14" bestFit="1" customWidth="1" style="373" min="14" max="14"/>
    <col width="16.453125" bestFit="1" customWidth="1" style="373" min="15" max="15"/>
    <col width="14" bestFit="1" customWidth="1" style="373" min="16" max="16"/>
    <col width="16.453125" bestFit="1" customWidth="1" style="373" min="17" max="17"/>
    <col width="9.1796875" bestFit="1" customWidth="1" style="373" min="18" max="18"/>
    <col width="11.81640625" bestFit="1" customWidth="1" style="373" min="19" max="20"/>
    <col width="11.81640625" customWidth="1" style="373" min="21" max="21"/>
    <col width="16.453125" bestFit="1" customWidth="1" style="373" min="22" max="22"/>
    <col width="11.7265625" bestFit="1" customWidth="1" style="373" min="23" max="23"/>
    <col width="11.81640625" bestFit="1" customWidth="1" style="373" min="24" max="24"/>
    <col width="16.81640625" bestFit="1" customWidth="1" style="373" min="25" max="25"/>
    <col width="34.54296875" bestFit="1" customWidth="1" style="373" min="26" max="26"/>
    <col width="35.1796875" bestFit="1" customWidth="1" style="373" min="27" max="27"/>
    <col width="27.453125" bestFit="1" customWidth="1" style="373" min="28" max="28"/>
    <col width="8.7265625" customWidth="1" style="373" min="29" max="16384"/>
  </cols>
  <sheetData>
    <row r="2" ht="16.5" customHeight="1"/>
    <row r="3">
      <c r="C3" s="439" t="inlineStr">
        <is>
          <t>KÜMÜLATİF</t>
        </is>
      </c>
      <c r="D3" s="459" t="inlineStr">
        <is>
          <t>Ciro</t>
        </is>
      </c>
      <c r="H3" s="460" t="n"/>
      <c r="I3" s="459" t="inlineStr">
        <is>
          <t xml:space="preserve">Brüt Kar </t>
        </is>
      </c>
      <c r="M3" s="460" t="n"/>
      <c r="N3" s="459" t="inlineStr">
        <is>
          <t>EBITDA</t>
        </is>
      </c>
      <c r="R3" s="460" t="n"/>
      <c r="S3" s="434" t="inlineStr">
        <is>
          <t>Net Kar</t>
        </is>
      </c>
      <c r="Z3" s="433" t="n"/>
    </row>
    <row r="4">
      <c r="C4" s="403" t="inlineStr">
        <is>
          <t>bin Avro</t>
        </is>
      </c>
      <c r="D4" s="462" t="n"/>
      <c r="H4" s="460" t="n"/>
      <c r="I4" s="462" t="n"/>
      <c r="M4" s="460" t="n"/>
      <c r="N4" s="462" t="n"/>
      <c r="R4" s="460" t="n"/>
      <c r="S4" s="462" t="n"/>
      <c r="X4" s="381" t="n"/>
    </row>
    <row r="5" ht="13" customFormat="1" customHeight="1" s="323">
      <c r="C5" s="370" t="n"/>
      <c r="D5" s="371" t="inlineStr">
        <is>
          <t>Temmuz Tahmin</t>
        </is>
      </c>
      <c r="E5" s="371" t="inlineStr">
        <is>
          <t>Ağustos Tahmin</t>
        </is>
      </c>
      <c r="F5" s="371" t="inlineStr">
        <is>
          <t>Eylül Tahmin</t>
        </is>
      </c>
      <c r="G5" s="371" t="inlineStr">
        <is>
          <t>Bütçe - Tahmin Fark</t>
        </is>
      </c>
      <c r="H5" s="371" t="inlineStr">
        <is>
          <t>% Değişim</t>
        </is>
      </c>
      <c r="I5" s="371" t="inlineStr">
        <is>
          <t>Temmuz Tahmin</t>
        </is>
      </c>
      <c r="J5" s="371" t="inlineStr">
        <is>
          <t>Ağustos Tahmin</t>
        </is>
      </c>
      <c r="K5" s="371" t="inlineStr">
        <is>
          <t>Eylül Tahmin</t>
        </is>
      </c>
      <c r="L5" s="371" t="inlineStr">
        <is>
          <t>Bütçe - Tahmin Fark</t>
        </is>
      </c>
      <c r="M5" s="371" t="inlineStr">
        <is>
          <t>% Değişim</t>
        </is>
      </c>
      <c r="N5" s="371" t="inlineStr">
        <is>
          <t>Temmuz Tahmin</t>
        </is>
      </c>
      <c r="O5" s="371" t="inlineStr">
        <is>
          <t>Ağustos Tahmin</t>
        </is>
      </c>
      <c r="P5" s="371" t="inlineStr">
        <is>
          <t>Eylül Tahmin</t>
        </is>
      </c>
      <c r="Q5" s="371" t="inlineStr">
        <is>
          <t>Bütçe - Tahmin Fark</t>
        </is>
      </c>
      <c r="R5" s="371" t="inlineStr">
        <is>
          <t>% Değişim</t>
        </is>
      </c>
      <c r="S5" s="371" t="inlineStr">
        <is>
          <t>Temmuz Tahmin</t>
        </is>
      </c>
      <c r="T5" s="371" t="inlineStr">
        <is>
          <t>Ağustos Tahmin</t>
        </is>
      </c>
      <c r="U5" s="371" t="inlineStr">
        <is>
          <t>Eylül Tahmin</t>
        </is>
      </c>
      <c r="V5" s="371" t="inlineStr">
        <is>
          <t>Bütçe - Tahmin Fark</t>
        </is>
      </c>
      <c r="W5" s="371" t="inlineStr">
        <is>
          <t>% Değişim</t>
        </is>
      </c>
      <c r="Y5" s="322" t="n"/>
    </row>
    <row r="6" ht="16" customHeight="1">
      <c r="C6" s="382" t="inlineStr">
        <is>
          <t>Toplam</t>
        </is>
      </c>
      <c r="D6" s="383">
        <f>SUM(D7:D14)</f>
        <v/>
      </c>
      <c r="E6" s="383">
        <f>SUM(E7:E14)</f>
        <v/>
      </c>
      <c r="F6" s="383">
        <f>SUM(F7:F14)</f>
        <v/>
      </c>
      <c r="G6" s="383">
        <f>SUM(G7:G14)</f>
        <v/>
      </c>
      <c r="H6" s="461">
        <f>(F6/(F6-G6))-1</f>
        <v/>
      </c>
      <c r="I6" s="383">
        <f>SUM(I7:I14)</f>
        <v/>
      </c>
      <c r="J6" s="383">
        <f>SUM(J7:J14)</f>
        <v/>
      </c>
      <c r="K6" s="383">
        <f>SUM(K7:K14)</f>
        <v/>
      </c>
      <c r="L6" s="383">
        <f>SUM(L7:L14)</f>
        <v/>
      </c>
      <c r="M6" s="461">
        <f>(K6/(K6-L6))-1</f>
        <v/>
      </c>
      <c r="N6" s="383">
        <f>SUM(N7:N14)</f>
        <v/>
      </c>
      <c r="O6" s="383">
        <f>SUM(O7:O14)</f>
        <v/>
      </c>
      <c r="P6" s="383">
        <f>SUM(P7:P14)</f>
        <v/>
      </c>
      <c r="Q6" s="383">
        <f>SUM(Q7:Q14)</f>
        <v/>
      </c>
      <c r="R6" s="461">
        <f>(P6/(P6-Q6))-1</f>
        <v/>
      </c>
      <c r="S6" s="383">
        <f>SUM(S7:S14)</f>
        <v/>
      </c>
      <c r="T6" s="383">
        <f>SUM(T7:T14)</f>
        <v/>
      </c>
      <c r="U6" s="383">
        <f>SUM(U7:U14)</f>
        <v/>
      </c>
      <c r="V6" s="383">
        <f>SUM(V7:V14)</f>
        <v/>
      </c>
      <c r="W6" s="461">
        <f>(U6/(U6-V6))-1</f>
        <v/>
      </c>
      <c r="X6" s="381" t="n"/>
    </row>
    <row r="7" ht="16" customHeight="1">
      <c r="C7" s="382" t="inlineStr">
        <is>
          <t xml:space="preserve">İnci Holding </t>
        </is>
      </c>
      <c r="D7" s="383">
        <f>'Tahmin Data'!O4/1000</f>
        <v/>
      </c>
      <c r="E7" s="383">
        <f>'Tahmin Data'!Q4/1000</f>
        <v/>
      </c>
      <c r="F7" s="383">
        <f>'Tahmin Data'!S4/1000</f>
        <v/>
      </c>
      <c r="G7" s="383">
        <f>F7-'C-Döviz'!AI9/1000</f>
        <v/>
      </c>
      <c r="H7" s="461">
        <f>(F7/(F7-G7))-1</f>
        <v/>
      </c>
      <c r="I7" s="383">
        <f>'Tahmin Data'!O20/1000</f>
        <v/>
      </c>
      <c r="J7" s="383">
        <f>'Tahmin Data'!Q20/1000</f>
        <v/>
      </c>
      <c r="K7" s="383">
        <f>'Tahmin Data'!S20/1000</f>
        <v/>
      </c>
      <c r="L7" s="383">
        <f>K7-'C-Döviz'!AI36/1000</f>
        <v/>
      </c>
      <c r="M7" s="461">
        <f>(K7/(K7-L7))-1</f>
        <v/>
      </c>
      <c r="N7" s="383">
        <f>'Tahmin Data'!M60/1000</f>
        <v/>
      </c>
      <c r="O7" s="383">
        <f>'Tahmin Data'!Q60/1000</f>
        <v/>
      </c>
      <c r="P7" s="383">
        <f>'Tahmin Data'!S60/1000</f>
        <v/>
      </c>
      <c r="Q7" s="383">
        <f>P7-'C-Döviz'!AI139/1000</f>
        <v/>
      </c>
      <c r="R7" s="461">
        <f>(P7/(P7-Q7))-1</f>
        <v/>
      </c>
      <c r="S7" s="383">
        <f>'Tahmin Data'!O100/1000</f>
        <v/>
      </c>
      <c r="T7" s="383">
        <f>'Tahmin Data'!Q100/1000</f>
        <v/>
      </c>
      <c r="U7" s="383">
        <f>'Tahmin Data'!S100/1000</f>
        <v/>
      </c>
      <c r="V7" s="383">
        <f>U7-'C-Döviz'!AI215/1000</f>
        <v/>
      </c>
      <c r="W7" s="461">
        <f>(U7/(U7-V7))-1</f>
        <v/>
      </c>
      <c r="Y7" s="433" t="n"/>
    </row>
    <row r="8" ht="16" customHeight="1">
      <c r="C8" s="382" t="inlineStr">
        <is>
          <t xml:space="preserve">ISM </t>
        </is>
      </c>
      <c r="D8" s="383">
        <f>'Tahmin Data'!O6/1000</f>
        <v/>
      </c>
      <c r="E8" s="383">
        <f>'Tahmin Data'!Q6/1000</f>
        <v/>
      </c>
      <c r="F8" s="383">
        <f>'Tahmin Data'!S6/1000</f>
        <v/>
      </c>
      <c r="G8" s="383">
        <f>F8-'C-Döviz'!AI10/1000</f>
        <v/>
      </c>
      <c r="H8" s="461">
        <f>(F8/(F8-G8))-1</f>
        <v/>
      </c>
      <c r="I8" s="383">
        <f>'Tahmin Data'!O22/1000</f>
        <v/>
      </c>
      <c r="J8" s="383">
        <f>'Tahmin Data'!Q22/1000</f>
        <v/>
      </c>
      <c r="K8" s="383">
        <f>'Tahmin Data'!S22/1000</f>
        <v/>
      </c>
      <c r="L8" s="383">
        <f>K8-'C-Döviz'!AI37/1000</f>
        <v/>
      </c>
      <c r="M8" s="461">
        <f>(K8/(K8-L8))-1</f>
        <v/>
      </c>
      <c r="N8" s="383">
        <f>'Tahmin Data'!O62/1000</f>
        <v/>
      </c>
      <c r="O8" s="383">
        <f>'Tahmin Data'!Q62/1000</f>
        <v/>
      </c>
      <c r="P8" s="383">
        <f>'Tahmin Data'!S62/1000</f>
        <v/>
      </c>
      <c r="Q8" s="383">
        <f>P8-'C-Döviz'!AI140/1000</f>
        <v/>
      </c>
      <c r="R8" s="461">
        <f>(P8/(P8-Q8))-1</f>
        <v/>
      </c>
      <c r="S8" s="383">
        <f>'Tahmin Data'!O102/1000</f>
        <v/>
      </c>
      <c r="T8" s="383">
        <f>'Tahmin Data'!Q102/1000</f>
        <v/>
      </c>
      <c r="U8" s="383">
        <f>'Tahmin Data'!S102/1000</f>
        <v/>
      </c>
      <c r="V8" s="383">
        <f>U8-'C-Döviz'!AI216/1000</f>
        <v/>
      </c>
      <c r="W8" s="461">
        <f>(U8/(U8-V8))-1</f>
        <v/>
      </c>
      <c r="X8" s="381" t="n"/>
    </row>
    <row r="9" ht="16" customHeight="1">
      <c r="C9" s="382" t="inlineStr">
        <is>
          <t>İncitaş</t>
        </is>
      </c>
      <c r="D9" s="383">
        <f>'Tahmin Data'!O5/1000</f>
        <v/>
      </c>
      <c r="E9" s="383">
        <f>'Tahmin Data'!Q5/1000</f>
        <v/>
      </c>
      <c r="F9" s="383">
        <f>'Tahmin Data'!S5/1000</f>
        <v/>
      </c>
      <c r="G9" s="383">
        <f>F9-'C-Döviz'!AI11/1000</f>
        <v/>
      </c>
      <c r="H9" s="461">
        <f>(F9/(F9-G9))-1</f>
        <v/>
      </c>
      <c r="I9" s="383">
        <f>'Tahmin Data'!O21/1000</f>
        <v/>
      </c>
      <c r="J9" s="383">
        <f>'Tahmin Data'!Q21/1000</f>
        <v/>
      </c>
      <c r="K9" s="383">
        <f>'Tahmin Data'!S21/1000</f>
        <v/>
      </c>
      <c r="L9" s="383">
        <f>K9-'C-Döviz'!AI38/1000</f>
        <v/>
      </c>
      <c r="M9" s="461">
        <f>(K9/(K9-L9))-1</f>
        <v/>
      </c>
      <c r="N9" s="383">
        <f>'Tahmin Data'!O61/1000</f>
        <v/>
      </c>
      <c r="O9" s="383">
        <f>'Tahmin Data'!Q61/1000</f>
        <v/>
      </c>
      <c r="P9" s="383">
        <f>'Tahmin Data'!S61/1000</f>
        <v/>
      </c>
      <c r="Q9" s="383">
        <f>P9-'C-Döviz'!AI141/1000</f>
        <v/>
      </c>
      <c r="R9" s="461">
        <f>(P9/(P9-Q9))-1</f>
        <v/>
      </c>
      <c r="S9" s="383">
        <f>'Tahmin Data'!O101/1000</f>
        <v/>
      </c>
      <c r="T9" s="383">
        <f>'Tahmin Data'!Q101/1000</f>
        <v/>
      </c>
      <c r="U9" s="383">
        <f>'Tahmin Data'!S101/1000</f>
        <v/>
      </c>
      <c r="V9" s="383">
        <f>U9-'C-Döviz'!AI217/1000</f>
        <v/>
      </c>
      <c r="W9" s="461">
        <f>(U9/(U9-V9))-1</f>
        <v/>
      </c>
      <c r="Y9" s="433" t="n"/>
      <c r="Z9" s="433" t="n"/>
    </row>
    <row r="10" ht="16" customHeight="1">
      <c r="C10" s="382" t="inlineStr">
        <is>
          <t>İnci GS Yuasa</t>
        </is>
      </c>
      <c r="D10" s="383">
        <f>'Tahmin Data'!O3/1000</f>
        <v/>
      </c>
      <c r="E10" s="383">
        <f>'Tahmin Data'!Q3/1000</f>
        <v/>
      </c>
      <c r="F10" s="383">
        <f>'Tahmin Data'!S3/1000</f>
        <v/>
      </c>
      <c r="G10" s="383">
        <f>F10-'C-Döviz'!AI12/1000</f>
        <v/>
      </c>
      <c r="H10" s="461">
        <f>(F10/(F10-G10))-1</f>
        <v/>
      </c>
      <c r="I10" s="383">
        <f>'Tahmin Data'!O19/1000</f>
        <v/>
      </c>
      <c r="J10" s="383">
        <f>'Tahmin Data'!Q19/1000</f>
        <v/>
      </c>
      <c r="K10" s="383">
        <f>'Tahmin Data'!S19/1000</f>
        <v/>
      </c>
      <c r="L10" s="383">
        <f>K10-'C-Döviz'!AI39/1000</f>
        <v/>
      </c>
      <c r="M10" s="461">
        <f>(K10/(K10-L10))-1</f>
        <v/>
      </c>
      <c r="N10" s="383">
        <f>'Tahmin Data'!O59/1000</f>
        <v/>
      </c>
      <c r="O10" s="383">
        <f>'Tahmin Data'!Q59/1000</f>
        <v/>
      </c>
      <c r="P10" s="383">
        <f>'Tahmin Data'!S59/1000</f>
        <v/>
      </c>
      <c r="Q10" s="383">
        <f>P10-'C-Döviz'!AI142/1000</f>
        <v/>
      </c>
      <c r="R10" s="461">
        <f>(P10/(P10-Q10))-1</f>
        <v/>
      </c>
      <c r="S10" s="383">
        <f>'Tahmin Data'!O99/1000</f>
        <v/>
      </c>
      <c r="T10" s="383">
        <f>'Tahmin Data'!Q99/1000</f>
        <v/>
      </c>
      <c r="U10" s="383">
        <f>'Tahmin Data'!S99/1000</f>
        <v/>
      </c>
      <c r="V10" s="383">
        <f>U10-'C-Döviz'!AI218/1000</f>
        <v/>
      </c>
      <c r="W10" s="461">
        <f>(U10/(U10-V10))-1</f>
        <v/>
      </c>
      <c r="Y10" s="433" t="n"/>
      <c r="Z10" s="433" t="n"/>
    </row>
    <row r="11" ht="16" customHeight="1">
      <c r="C11" s="382" t="inlineStr">
        <is>
          <t>Yusen İnci Loj.</t>
        </is>
      </c>
      <c r="D11" s="383">
        <f>'Tahmin Data'!O10/1000</f>
        <v/>
      </c>
      <c r="E11" s="383">
        <f>'Tahmin Data'!Q10/1000</f>
        <v/>
      </c>
      <c r="F11" s="383">
        <f>'Tahmin Data'!S10/1000</f>
        <v/>
      </c>
      <c r="G11" s="383">
        <f>F11-'C-Döviz'!AI13/1000</f>
        <v/>
      </c>
      <c r="H11" s="461">
        <f>(F11/(F11-G11))-1</f>
        <v/>
      </c>
      <c r="I11" s="383">
        <f>'Tahmin Data'!O26/1000</f>
        <v/>
      </c>
      <c r="J11" s="383">
        <f>'Tahmin Data'!Q26/1000</f>
        <v/>
      </c>
      <c r="K11" s="383">
        <f>'Tahmin Data'!S26/1000</f>
        <v/>
      </c>
      <c r="L11" s="383">
        <f>K11-'C-Döviz'!AI40/1000</f>
        <v/>
      </c>
      <c r="M11" s="461">
        <f>(K11/(K11-L11))-1</f>
        <v/>
      </c>
      <c r="N11" s="383">
        <f>'Tahmin Data'!O66/1000</f>
        <v/>
      </c>
      <c r="O11" s="383">
        <f>'Tahmin Data'!Q66/1000</f>
        <v/>
      </c>
      <c r="P11" s="383">
        <f>'Tahmin Data'!S66/1000</f>
        <v/>
      </c>
      <c r="Q11" s="383">
        <f>P11-'C-Döviz'!AI143/1000</f>
        <v/>
      </c>
      <c r="R11" s="461">
        <f>(P11/(P11-Q11))-1</f>
        <v/>
      </c>
      <c r="S11" s="383">
        <f>'Tahmin Data'!O106/1000</f>
        <v/>
      </c>
      <c r="T11" s="383">
        <f>'Tahmin Data'!Q106/1000</f>
        <v/>
      </c>
      <c r="U11" s="383">
        <f>'Tahmin Data'!S106/1000</f>
        <v/>
      </c>
      <c r="V11" s="383">
        <f>U11-'C-Döviz'!AI219/1000</f>
        <v/>
      </c>
      <c r="W11" s="461">
        <f>(U11/(U11-V11))-1</f>
        <v/>
      </c>
      <c r="Y11" s="433" t="n"/>
      <c r="Z11" s="433" t="n"/>
    </row>
    <row r="12" ht="16" customHeight="1">
      <c r="C12" s="382" t="inlineStr">
        <is>
          <t>Jantaş</t>
        </is>
      </c>
      <c r="D12" s="383">
        <f>'Tahmin Data'!O9/1000</f>
        <v/>
      </c>
      <c r="E12" s="383">
        <f>'Tahmin Data'!Q9/1000</f>
        <v/>
      </c>
      <c r="F12" s="383">
        <f>'Tahmin Data'!S9/1000</f>
        <v/>
      </c>
      <c r="G12" s="383">
        <f>F12-'C-Döviz'!AI14/1000</f>
        <v/>
      </c>
      <c r="H12" s="461">
        <f>(F12/(F12-G12))-1</f>
        <v/>
      </c>
      <c r="I12" s="383">
        <f>'Tahmin Data'!O25/1000</f>
        <v/>
      </c>
      <c r="J12" s="383">
        <f>'Tahmin Data'!Q25/1000</f>
        <v/>
      </c>
      <c r="K12" s="383">
        <f>'Tahmin Data'!S25/1000</f>
        <v/>
      </c>
      <c r="L12" s="383">
        <f>K12-'C-Döviz'!AI41/1000</f>
        <v/>
      </c>
      <c r="M12" s="461">
        <f>(K12/(K12-L12))-1</f>
        <v/>
      </c>
      <c r="N12" s="383">
        <f>'Tahmin Data'!O65/1000</f>
        <v/>
      </c>
      <c r="O12" s="383">
        <f>'Tahmin Data'!Q65/1000</f>
        <v/>
      </c>
      <c r="P12" s="383">
        <f>'Tahmin Data'!S65/1000</f>
        <v/>
      </c>
      <c r="Q12" s="383">
        <f>P12-'C-Döviz'!AI144/1000</f>
        <v/>
      </c>
      <c r="R12" s="461">
        <f>(P12/(P12-Q12))-1</f>
        <v/>
      </c>
      <c r="S12" s="383">
        <f>'Tahmin Data'!O105/1000</f>
        <v/>
      </c>
      <c r="T12" s="383">
        <f>'Tahmin Data'!Q105/1000</f>
        <v/>
      </c>
      <c r="U12" s="383">
        <f>'Tahmin Data'!S105/1000</f>
        <v/>
      </c>
      <c r="V12" s="383">
        <f>U12-'C-Döviz'!AI220/1000</f>
        <v/>
      </c>
      <c r="W12" s="461">
        <f>(U12/(U12-V12))-1</f>
        <v/>
      </c>
      <c r="Y12" s="433" t="n"/>
      <c r="Z12" s="433" t="n"/>
    </row>
    <row r="13" ht="16" customHeight="1">
      <c r="C13" s="382" t="inlineStr">
        <is>
          <t>Çelik</t>
        </is>
      </c>
      <c r="D13" s="383">
        <f>'Tahmin Data'!O8/1000</f>
        <v/>
      </c>
      <c r="E13" s="383">
        <f>'Tahmin Data'!Q8/1000</f>
        <v/>
      </c>
      <c r="F13" s="383">
        <f>'Tahmin Data'!S8/1000</f>
        <v/>
      </c>
      <c r="G13" s="383">
        <f>F13-'C-Döviz'!AI15/1000</f>
        <v/>
      </c>
      <c r="H13" s="461">
        <f>(F13/(F13-G13))-1</f>
        <v/>
      </c>
      <c r="I13" s="383">
        <f>'Tahmin Data'!O24/1000</f>
        <v/>
      </c>
      <c r="J13" s="383">
        <f>'Tahmin Data'!Q24/1000</f>
        <v/>
      </c>
      <c r="K13" s="383">
        <f>'Tahmin Data'!S24/1000</f>
        <v/>
      </c>
      <c r="L13" s="383">
        <f>K13-'C-Döviz'!AI42/1000</f>
        <v/>
      </c>
      <c r="M13" s="461">
        <f>(K13/(K13-L13))-1</f>
        <v/>
      </c>
      <c r="N13" s="383">
        <f>'Tahmin Data'!O64/1000</f>
        <v/>
      </c>
      <c r="O13" s="383">
        <f>'Tahmin Data'!Q64/1000</f>
        <v/>
      </c>
      <c r="P13" s="383">
        <f>'Tahmin Data'!S64/1000</f>
        <v/>
      </c>
      <c r="Q13" s="383">
        <f>P13-'C-Döviz'!AI145/1000</f>
        <v/>
      </c>
      <c r="R13" s="461">
        <f>(P13/(P13-Q13))-1</f>
        <v/>
      </c>
      <c r="S13" s="383">
        <f>'Tahmin Data'!O104/1000</f>
        <v/>
      </c>
      <c r="T13" s="383">
        <f>'Tahmin Data'!Q104/1000</f>
        <v/>
      </c>
      <c r="U13" s="383">
        <f>'Tahmin Data'!S104/1000</f>
        <v/>
      </c>
      <c r="V13" s="383">
        <f>U13-'C-Döviz'!AI221/1000</f>
        <v/>
      </c>
      <c r="W13" s="461">
        <f>(U13/(U13-V13))-1</f>
        <v/>
      </c>
      <c r="Y13" s="433" t="n"/>
      <c r="Z13" s="433" t="n"/>
    </row>
    <row r="14" ht="16" customHeight="1">
      <c r="C14" s="382" t="inlineStr">
        <is>
          <t>Alüminyum</t>
        </is>
      </c>
      <c r="D14" s="383">
        <f>'Tahmin Data'!O7/1000</f>
        <v/>
      </c>
      <c r="E14" s="383">
        <f>'Tahmin Data'!Q7/1000</f>
        <v/>
      </c>
      <c r="F14" s="383">
        <f>'Tahmin Data'!S7/1000</f>
        <v/>
      </c>
      <c r="G14" s="383">
        <f>F14-'C-Döviz'!AI16/1000</f>
        <v/>
      </c>
      <c r="H14" s="461">
        <f>(F14/(F14-G14))-1</f>
        <v/>
      </c>
      <c r="I14" s="383">
        <f>'Tahmin Data'!O23/1000</f>
        <v/>
      </c>
      <c r="J14" s="383">
        <f>'Tahmin Data'!Q23/1000</f>
        <v/>
      </c>
      <c r="K14" s="383">
        <f>'Tahmin Data'!S23/1000</f>
        <v/>
      </c>
      <c r="L14" s="383">
        <f>K14-'C-Döviz'!AI43/1000</f>
        <v/>
      </c>
      <c r="M14" s="461">
        <f>(K14/(K14-L14))-1</f>
        <v/>
      </c>
      <c r="N14" s="383">
        <f>'Tahmin Data'!O63/1000</f>
        <v/>
      </c>
      <c r="O14" s="383">
        <f>'Tahmin Data'!Q63/1000</f>
        <v/>
      </c>
      <c r="P14" s="383">
        <f>'Tahmin Data'!S63/1000</f>
        <v/>
      </c>
      <c r="Q14" s="383">
        <f>P14-'C-Döviz'!AI146/1000</f>
        <v/>
      </c>
      <c r="R14" s="461">
        <f>(P14/(P14-Q14))-1</f>
        <v/>
      </c>
      <c r="S14" s="383">
        <f>'Tahmin Data'!O103/1000</f>
        <v/>
      </c>
      <c r="T14" s="383">
        <f>'Tahmin Data'!Q103/1000</f>
        <v/>
      </c>
      <c r="U14" s="383">
        <f>'Tahmin Data'!S103/1000</f>
        <v/>
      </c>
      <c r="V14" s="383">
        <f>U14-'C-Döviz'!AI222/1000</f>
        <v/>
      </c>
      <c r="W14" s="461">
        <f>(U14/(U14-V14))-1</f>
        <v/>
      </c>
      <c r="Y14" s="433" t="n"/>
      <c r="Z14" s="433" t="n"/>
    </row>
    <row r="15" ht="16" customHeight="1">
      <c r="C15" s="382" t="n"/>
      <c r="D15" s="385" t="n"/>
      <c r="E15" s="385" t="n"/>
      <c r="F15" s="385" t="n"/>
      <c r="G15" s="386" t="n"/>
      <c r="H15" s="385" t="n"/>
      <c r="I15" s="385" t="n"/>
      <c r="J15" s="386" t="n"/>
      <c r="K15" s="386" t="n"/>
      <c r="L15" s="385" t="n"/>
      <c r="M15" s="385" t="n"/>
      <c r="N15" s="386" t="n"/>
      <c r="O15" s="385" t="n"/>
      <c r="P15" s="385" t="n"/>
      <c r="Q15" s="385" t="n"/>
      <c r="R15" s="386" t="n"/>
      <c r="Y15" s="433" t="n"/>
      <c r="Z15" s="433" t="n"/>
    </row>
    <row r="16" ht="16" customHeight="1">
      <c r="C16" s="439" t="n"/>
      <c r="D16" s="459" t="inlineStr">
        <is>
          <t>Vergi</t>
        </is>
      </c>
      <c r="H16" s="460" t="n"/>
      <c r="I16" s="459" t="inlineStr">
        <is>
          <t>Operasyonel Nakit</t>
        </is>
      </c>
      <c r="M16" s="460" t="n"/>
      <c r="N16" s="459" t="inlineStr">
        <is>
          <t>Serbest Nakit</t>
        </is>
      </c>
      <c r="R16" s="460" t="n"/>
      <c r="Y16" s="433" t="n"/>
      <c r="Z16" s="433" t="n"/>
    </row>
    <row r="17" ht="16" customHeight="1">
      <c r="C17" s="403" t="inlineStr">
        <is>
          <t>bin Avro</t>
        </is>
      </c>
      <c r="D17" s="462" t="n"/>
      <c r="H17" s="460" t="n"/>
      <c r="I17" s="462" t="n"/>
      <c r="M17" s="460" t="n"/>
      <c r="N17" s="462" t="n"/>
      <c r="R17" s="460" t="n"/>
      <c r="Z17" s="388" t="n"/>
    </row>
    <row r="18" ht="13" customFormat="1" customHeight="1" s="323">
      <c r="C18" s="370" t="n"/>
      <c r="D18" s="371" t="inlineStr">
        <is>
          <t>Temmuz Tahmin</t>
        </is>
      </c>
      <c r="E18" s="371" t="inlineStr">
        <is>
          <t>Ağustos Tahmin</t>
        </is>
      </c>
      <c r="F18" s="371" t="inlineStr">
        <is>
          <t>Eylül Tahmin</t>
        </is>
      </c>
      <c r="G18" s="371" t="inlineStr">
        <is>
          <t>Bütçe - Tahmin Fark</t>
        </is>
      </c>
      <c r="H18" s="371" t="inlineStr">
        <is>
          <t>% Değişim</t>
        </is>
      </c>
      <c r="I18" s="371" t="inlineStr">
        <is>
          <t>Temmuz Tahmin</t>
        </is>
      </c>
      <c r="J18" s="371" t="inlineStr">
        <is>
          <t>Ağustos Tahmin</t>
        </is>
      </c>
      <c r="K18" s="371" t="inlineStr">
        <is>
          <t>Eylül Tahmin</t>
        </is>
      </c>
      <c r="L18" s="371" t="inlineStr">
        <is>
          <t>Bütçe - Tahmin Fark</t>
        </is>
      </c>
      <c r="M18" s="371" t="inlineStr">
        <is>
          <t>% Değişim</t>
        </is>
      </c>
      <c r="N18" s="371" t="inlineStr">
        <is>
          <t>Temmuz Tahmin</t>
        </is>
      </c>
      <c r="O18" s="371" t="inlineStr">
        <is>
          <t>Ağustos Tahmin</t>
        </is>
      </c>
      <c r="P18" s="371" t="inlineStr">
        <is>
          <t>Eylül Tahmin</t>
        </is>
      </c>
      <c r="Q18" s="371" t="inlineStr">
        <is>
          <t>Bütçe - Tahmin Fark</t>
        </is>
      </c>
      <c r="R18" s="371" t="inlineStr">
        <is>
          <t>% Değişim</t>
        </is>
      </c>
      <c r="Y18" s="322" t="n"/>
    </row>
    <row r="19" ht="16" customHeight="1">
      <c r="C19" s="382" t="inlineStr">
        <is>
          <t>Toplam</t>
        </is>
      </c>
      <c r="D19" s="383">
        <f>SUM(D20:D27)</f>
        <v/>
      </c>
      <c r="E19" s="383">
        <f>SUM(E20:E27)</f>
        <v/>
      </c>
      <c r="F19" s="383">
        <f>SUM(F20:F27)</f>
        <v/>
      </c>
      <c r="G19" s="383">
        <f>SUM(G20:G27)</f>
        <v/>
      </c>
      <c r="H19" s="461">
        <f>(F19/(F19-G19))-1</f>
        <v/>
      </c>
      <c r="I19" s="383">
        <f>SUM(I20:I27)</f>
        <v/>
      </c>
      <c r="J19" s="383">
        <f>SUM(J20:J27)</f>
        <v/>
      </c>
      <c r="K19" s="383">
        <f>SUM(K20:K27)</f>
        <v/>
      </c>
      <c r="L19" s="383">
        <f>SUM(L20:L27)</f>
        <v/>
      </c>
      <c r="M19" s="461">
        <f>(K19/(K19-L19))-1</f>
        <v/>
      </c>
      <c r="N19" s="383">
        <f>SUM(N20:N27)</f>
        <v/>
      </c>
      <c r="O19" s="383">
        <f>SUM(O20:O27)</f>
        <v/>
      </c>
      <c r="P19" s="383">
        <f>SUM(P20:P27)</f>
        <v/>
      </c>
      <c r="Q19" s="383">
        <f>SUM(Q20:Q27)</f>
        <v/>
      </c>
      <c r="R19" s="461">
        <f>(P19/(P19-Q19))-1</f>
        <v/>
      </c>
      <c r="Z19" s="388" t="n"/>
    </row>
    <row r="20" ht="16" customHeight="1">
      <c r="C20" s="382" t="inlineStr">
        <is>
          <t xml:space="preserve">İnci Holding </t>
        </is>
      </c>
      <c r="D20" s="383">
        <f>'Tahmin Data'!O92/1000</f>
        <v/>
      </c>
      <c r="E20" s="383">
        <f>'Tahmin Data'!Q92/1000</f>
        <v/>
      </c>
      <c r="F20" s="383">
        <f>'Tahmin Data'!S92/1000</f>
        <v/>
      </c>
      <c r="G20" s="383">
        <f>F20-('C-Döviz'!AI202/-1000)</f>
        <v/>
      </c>
      <c r="H20" s="461">
        <f>(F20/(F20-G20))-1</f>
        <v/>
      </c>
      <c r="I20" s="383">
        <f>'Tahmin Data'!O140/1000</f>
        <v/>
      </c>
      <c r="J20" s="383">
        <f>'Tahmin Data'!Q140/1000</f>
        <v/>
      </c>
      <c r="K20" s="383">
        <f>'Tahmin Data'!S140/1000</f>
        <v/>
      </c>
      <c r="L20" s="383">
        <f>K20-('C-Döviz'!AI291/1000)</f>
        <v/>
      </c>
      <c r="M20" s="461">
        <f>(K20/(K20-L20))-1</f>
        <v/>
      </c>
      <c r="N20" s="383">
        <f>'Tahmin Data'!O148/1000</f>
        <v/>
      </c>
      <c r="O20" s="383">
        <f>'Tahmin Data'!Q148/1000</f>
        <v/>
      </c>
      <c r="P20" s="383">
        <f>'Tahmin Data'!S148/1000</f>
        <v/>
      </c>
      <c r="Q20" s="383">
        <f>P20-('C-Döviz'!AI304/1000)</f>
        <v/>
      </c>
      <c r="R20" s="461">
        <f>(P20/(P20-Q20))-1</f>
        <v/>
      </c>
      <c r="Z20" s="388" t="n"/>
    </row>
    <row r="21" ht="16" customHeight="1">
      <c r="C21" s="382" t="inlineStr">
        <is>
          <t xml:space="preserve">ISM </t>
        </is>
      </c>
      <c r="D21" s="383">
        <f>'Tahmin Data'!O94/1000</f>
        <v/>
      </c>
      <c r="E21" s="383">
        <f>'Tahmin Data'!Q94/1000</f>
        <v/>
      </c>
      <c r="F21" s="383">
        <f>'Tahmin Data'!S94/1000</f>
        <v/>
      </c>
      <c r="G21" s="383">
        <f>F21-('C-Döviz'!AI203/-1000)</f>
        <v/>
      </c>
      <c r="H21" s="461">
        <f>(F21/(F21-G21))-1</f>
        <v/>
      </c>
      <c r="I21" s="383">
        <f>'Tahmin Data'!O142/1000</f>
        <v/>
      </c>
      <c r="J21" s="383">
        <f>'Tahmin Data'!Q142/1000</f>
        <v/>
      </c>
      <c r="K21" s="383">
        <f>'Tahmin Data'!S142/1000</f>
        <v/>
      </c>
      <c r="L21" s="383">
        <f>K21-('C-Döviz'!AI292/1000)</f>
        <v/>
      </c>
      <c r="M21" s="461">
        <f>(K21/(K21-L21))-1</f>
        <v/>
      </c>
      <c r="N21" s="383">
        <f>'Tahmin Data'!O150/1000</f>
        <v/>
      </c>
      <c r="O21" s="383">
        <f>'Tahmin Data'!Q150/1000</f>
        <v/>
      </c>
      <c r="P21" s="383">
        <f>'Tahmin Data'!S150/1000</f>
        <v/>
      </c>
      <c r="Q21" s="383">
        <f>P21-('C-Döviz'!AI305/1000)</f>
        <v/>
      </c>
      <c r="R21" s="461">
        <f>(P21/(P21-Q21))-1</f>
        <v/>
      </c>
      <c r="Z21" s="388" t="n"/>
    </row>
    <row r="22" ht="16" customHeight="1">
      <c r="C22" s="382" t="inlineStr">
        <is>
          <t>İncitaş</t>
        </is>
      </c>
      <c r="D22" s="383">
        <f>'Tahmin Data'!O93/1000</f>
        <v/>
      </c>
      <c r="E22" s="383">
        <f>'Tahmin Data'!Q93/1000</f>
        <v/>
      </c>
      <c r="F22" s="383">
        <f>'Tahmin Data'!S93/1000</f>
        <v/>
      </c>
      <c r="G22" s="383">
        <f>F22-('C-Döviz'!AI204/-1000)</f>
        <v/>
      </c>
      <c r="H22" s="461">
        <f>(F22/(F22-G22))-1</f>
        <v/>
      </c>
      <c r="I22" s="383">
        <f>'Tahmin Data'!O141/1000</f>
        <v/>
      </c>
      <c r="J22" s="383">
        <f>'Tahmin Data'!Q141/1000</f>
        <v/>
      </c>
      <c r="K22" s="383">
        <f>'Tahmin Data'!S141/1000</f>
        <v/>
      </c>
      <c r="L22" s="383">
        <f>K22-('C-Döviz'!AI293/1000)</f>
        <v/>
      </c>
      <c r="M22" s="461">
        <f>-(K22/(K22-L22))</f>
        <v/>
      </c>
      <c r="N22" s="383">
        <f>'Tahmin Data'!O149/1000</f>
        <v/>
      </c>
      <c r="O22" s="383">
        <f>'Tahmin Data'!Q149/1000</f>
        <v/>
      </c>
      <c r="P22" s="383">
        <f>'Tahmin Data'!S149/1000</f>
        <v/>
      </c>
      <c r="Q22" s="383">
        <f>P22-('C-Döviz'!AI306/1000)</f>
        <v/>
      </c>
      <c r="R22" s="461">
        <f>-(P22/(P22-Q22))</f>
        <v/>
      </c>
      <c r="Z22" s="388" t="n"/>
    </row>
    <row r="23" ht="16" customHeight="1">
      <c r="C23" s="382" t="inlineStr">
        <is>
          <t>İnci GS Yuasa</t>
        </is>
      </c>
      <c r="D23" s="383">
        <f>'Tahmin Data'!O91/1000</f>
        <v/>
      </c>
      <c r="E23" s="383">
        <f>'Tahmin Data'!Q91/1000</f>
        <v/>
      </c>
      <c r="F23" s="383">
        <f>'Tahmin Data'!S91/1000</f>
        <v/>
      </c>
      <c r="G23" s="383">
        <f>F23-('C-Döviz'!AI205/-1000)</f>
        <v/>
      </c>
      <c r="H23" s="461" t="n">
        <v>0</v>
      </c>
      <c r="I23" s="383">
        <f>'Tahmin Data'!O139/1000</f>
        <v/>
      </c>
      <c r="J23" s="383">
        <f>'Tahmin Data'!Q139/1000</f>
        <v/>
      </c>
      <c r="K23" s="383">
        <f>'Tahmin Data'!S139/1000</f>
        <v/>
      </c>
      <c r="L23" s="383">
        <f>K23-('C-Döviz'!AI294/1000)</f>
        <v/>
      </c>
      <c r="M23" s="461">
        <f>(K23/(K23-L23))-1</f>
        <v/>
      </c>
      <c r="N23" s="383">
        <f>'Tahmin Data'!O147/1000</f>
        <v/>
      </c>
      <c r="O23" s="383">
        <f>'Tahmin Data'!Q147/1000</f>
        <v/>
      </c>
      <c r="P23" s="383">
        <f>'Tahmin Data'!S147/1000</f>
        <v/>
      </c>
      <c r="Q23" s="383">
        <f>P23-('C-Döviz'!AI307/1000)</f>
        <v/>
      </c>
      <c r="R23" s="461">
        <f>-(P23/(P23-Q23))</f>
        <v/>
      </c>
      <c r="Z23" s="388" t="n"/>
    </row>
    <row r="24" ht="16" customHeight="1">
      <c r="C24" s="382" t="inlineStr">
        <is>
          <t>Yusen İnci Loj.</t>
        </is>
      </c>
      <c r="D24" s="383">
        <f>'Tahmin Data'!O98/1000</f>
        <v/>
      </c>
      <c r="E24" s="383">
        <f>'Tahmin Data'!Q98/1000</f>
        <v/>
      </c>
      <c r="F24" s="383">
        <f>'Tahmin Data'!S98/1000</f>
        <v/>
      </c>
      <c r="G24" s="383">
        <f>F24-('C-Döviz'!AI206/-1000)</f>
        <v/>
      </c>
      <c r="H24" s="461">
        <f>(F24/(F24-G24))-1</f>
        <v/>
      </c>
      <c r="I24" s="383">
        <f>'Tahmin Data'!O146/1000</f>
        <v/>
      </c>
      <c r="J24" s="383">
        <f>'Tahmin Data'!Q146/1000</f>
        <v/>
      </c>
      <c r="K24" s="383">
        <f>'Tahmin Data'!S146/1000</f>
        <v/>
      </c>
      <c r="L24" s="383">
        <f>K24-('C-Döviz'!AI295/1000)</f>
        <v/>
      </c>
      <c r="M24" s="461">
        <f>(K24/(K24-L24))-1</f>
        <v/>
      </c>
      <c r="N24" s="383">
        <f>'Tahmin Data'!O154/1000</f>
        <v/>
      </c>
      <c r="O24" s="383">
        <f>'Tahmin Data'!Q154/1000</f>
        <v/>
      </c>
      <c r="P24" s="383">
        <f>'Tahmin Data'!S154/1000</f>
        <v/>
      </c>
      <c r="Q24" s="383">
        <f>P24-('C-Döviz'!AI308/1000)</f>
        <v/>
      </c>
      <c r="R24" s="461">
        <f>(P24/(P24-Q24))-1</f>
        <v/>
      </c>
      <c r="Z24" s="388" t="n"/>
    </row>
    <row r="25" ht="16" customHeight="1">
      <c r="C25" s="382" t="inlineStr">
        <is>
          <t>Jantaş</t>
        </is>
      </c>
      <c r="D25" s="383">
        <f>'Tahmin Data'!O97/1000</f>
        <v/>
      </c>
      <c r="E25" s="383">
        <f>'Tahmin Data'!Q97/1000</f>
        <v/>
      </c>
      <c r="F25" s="383">
        <f>'Tahmin Data'!S97/1000</f>
        <v/>
      </c>
      <c r="G25" s="383">
        <f>F25-('C-Döviz'!AI207/-1000)</f>
        <v/>
      </c>
      <c r="H25" s="461">
        <f>(F25/(F25-G25))-1</f>
        <v/>
      </c>
      <c r="I25" s="383">
        <f>'Tahmin Data'!O145/1000</f>
        <v/>
      </c>
      <c r="J25" s="383">
        <f>'Tahmin Data'!Q145/1000</f>
        <v/>
      </c>
      <c r="K25" s="383">
        <f>'Tahmin Data'!S145/1000</f>
        <v/>
      </c>
      <c r="L25" s="383">
        <f>K25-('C-Döviz'!AI296/1000)</f>
        <v/>
      </c>
      <c r="M25" s="461">
        <f>(K25/(K25-L25))-1</f>
        <v/>
      </c>
      <c r="N25" s="383">
        <f>'Tahmin Data'!O153/1000</f>
        <v/>
      </c>
      <c r="O25" s="383">
        <f>'Tahmin Data'!Q153/1000</f>
        <v/>
      </c>
      <c r="P25" s="383">
        <f>'Tahmin Data'!S153/1000</f>
        <v/>
      </c>
      <c r="Q25" s="383">
        <f>P25-('C-Döviz'!AI309/1000)</f>
        <v/>
      </c>
      <c r="R25" s="461">
        <f>(P25/(P25-Q25))-1</f>
        <v/>
      </c>
      <c r="Z25" s="388" t="n"/>
    </row>
    <row r="26" ht="16" customHeight="1">
      <c r="C26" s="382" t="inlineStr">
        <is>
          <t>Çelik</t>
        </is>
      </c>
      <c r="D26" s="383">
        <f>'Tahmin Data'!O96/1000</f>
        <v/>
      </c>
      <c r="E26" s="383">
        <f>'Tahmin Data'!Q96/1000</f>
        <v/>
      </c>
      <c r="F26" s="383">
        <f>'Tahmin Data'!S96/1000</f>
        <v/>
      </c>
      <c r="G26" s="383">
        <f>F26-('C-Döviz'!AI208/-1000)</f>
        <v/>
      </c>
      <c r="H26" s="461">
        <f>(F26/(F26-G26))-1</f>
        <v/>
      </c>
      <c r="I26" s="383">
        <f>'Tahmin Data'!O144/1000</f>
        <v/>
      </c>
      <c r="J26" s="383">
        <f>'Tahmin Data'!Q144/1000</f>
        <v/>
      </c>
      <c r="K26" s="383">
        <f>'Tahmin Data'!S144/1000</f>
        <v/>
      </c>
      <c r="L26" s="383">
        <f>K26-('C-Döviz'!AI297/1000)</f>
        <v/>
      </c>
      <c r="M26" s="461">
        <f>(K26/(K26-L26))-1</f>
        <v/>
      </c>
      <c r="N26" s="383">
        <f>'Tahmin Data'!O152/1000</f>
        <v/>
      </c>
      <c r="O26" s="383">
        <f>'Tahmin Data'!Q152/1000</f>
        <v/>
      </c>
      <c r="P26" s="383">
        <f>'Tahmin Data'!S152/1000</f>
        <v/>
      </c>
      <c r="Q26" s="383">
        <f>P26-('C-Döviz'!AI310/1000)</f>
        <v/>
      </c>
      <c r="R26" s="461">
        <f>(P26/(P26-Q26))-1</f>
        <v/>
      </c>
      <c r="Z26" s="388" t="n"/>
    </row>
    <row r="27" ht="16" customHeight="1">
      <c r="C27" s="382" t="inlineStr">
        <is>
          <t>Alüminyum</t>
        </is>
      </c>
      <c r="D27" s="383">
        <f>'Tahmin Data'!O95/1000</f>
        <v/>
      </c>
      <c r="E27" s="383">
        <f>'Tahmin Data'!Q95/1000</f>
        <v/>
      </c>
      <c r="F27" s="383">
        <f>'Tahmin Data'!S95/1000</f>
        <v/>
      </c>
      <c r="G27" s="383">
        <f>F27-('C-Döviz'!AI209/-1000)</f>
        <v/>
      </c>
      <c r="H27" s="461">
        <f>(F27/(F27-G27))-1</f>
        <v/>
      </c>
      <c r="I27" s="383">
        <f>'Tahmin Data'!O143/1000</f>
        <v/>
      </c>
      <c r="J27" s="383">
        <f>'Tahmin Data'!Q143/1000</f>
        <v/>
      </c>
      <c r="K27" s="383">
        <f>'Tahmin Data'!S143/1000</f>
        <v/>
      </c>
      <c r="L27" s="383">
        <f>K27-('C-Döviz'!AI298/1000)</f>
        <v/>
      </c>
      <c r="M27" s="461">
        <f>(K27/(K27-L27))-1</f>
        <v/>
      </c>
      <c r="N27" s="383">
        <f>'Tahmin Data'!O151/1000</f>
        <v/>
      </c>
      <c r="O27" s="383">
        <f>'Tahmin Data'!Q151/1000</f>
        <v/>
      </c>
      <c r="P27" s="383">
        <f>'Tahmin Data'!S151/1000</f>
        <v/>
      </c>
      <c r="Q27" s="383">
        <f>P27-('C-Döviz'!AI311/1000)</f>
        <v/>
      </c>
      <c r="R27" s="461">
        <f>(P27/(P27-Q27))-1</f>
        <v/>
      </c>
    </row>
    <row r="28" ht="16" customHeight="1">
      <c r="C28" s="382" t="n"/>
      <c r="D28" s="382" t="n"/>
      <c r="E28" s="382" t="n"/>
      <c r="F28" s="382" t="n"/>
      <c r="G28" s="382" t="n"/>
      <c r="H28" s="382" t="n"/>
      <c r="I28" s="382" t="n"/>
      <c r="J28" s="382" t="n"/>
      <c r="K28" s="382" t="n"/>
      <c r="L28" s="385" t="n"/>
      <c r="M28" s="385" t="n"/>
      <c r="N28" s="385" t="n"/>
      <c r="R28" s="461" t="n"/>
      <c r="S28" s="386" t="n"/>
    </row>
    <row r="29" ht="16" customHeight="1">
      <c r="C29" s="382" t="n"/>
      <c r="D29" s="382" t="n"/>
      <c r="E29" s="382" t="n"/>
      <c r="F29" s="382" t="n"/>
      <c r="G29" s="382" t="n"/>
      <c r="H29" s="382" t="n"/>
      <c r="I29" s="382" t="n"/>
      <c r="J29" s="382" t="n"/>
      <c r="K29" s="382" t="n"/>
      <c r="L29" s="385" t="n"/>
      <c r="M29" s="385" t="n"/>
      <c r="N29" s="385" t="n"/>
      <c r="S29" s="386" t="n"/>
    </row>
    <row r="30" ht="16" customHeight="1">
      <c r="C30" s="439" t="n"/>
      <c r="D30" s="459" t="inlineStr">
        <is>
          <t>Faaliyet Giderleri Marjı</t>
        </is>
      </c>
      <c r="G30" s="460" t="n"/>
      <c r="H30" s="459" t="inlineStr">
        <is>
          <t>Brüt Kar Marjı</t>
        </is>
      </c>
      <c r="K30" s="460" t="n"/>
      <c r="L30" s="459" t="inlineStr">
        <is>
          <t>EBITDA Marjı</t>
        </is>
      </c>
      <c r="O30" s="460" t="n"/>
    </row>
    <row r="31" ht="16" customHeight="1">
      <c r="C31" s="403" t="inlineStr">
        <is>
          <t>bin Avro</t>
        </is>
      </c>
      <c r="D31" s="462" t="n"/>
      <c r="G31" s="460" t="n"/>
      <c r="H31" s="462" t="n"/>
      <c r="K31" s="460" t="n"/>
      <c r="L31" s="462" t="n"/>
      <c r="O31" s="460" t="n"/>
    </row>
    <row r="32" ht="13" customFormat="1" customHeight="1" s="323">
      <c r="C32" s="370" t="n"/>
      <c r="D32" s="371" t="inlineStr">
        <is>
          <t>Temmuz Tahmin</t>
        </is>
      </c>
      <c r="E32" s="371" t="inlineStr">
        <is>
          <t>Ağustos Tahmin</t>
        </is>
      </c>
      <c r="F32" s="371" t="inlineStr">
        <is>
          <t>Eylül Tahmin</t>
        </is>
      </c>
      <c r="G32" s="371" t="inlineStr">
        <is>
          <t>Bütçe - Tahmin Fark</t>
        </is>
      </c>
      <c r="H32" s="371" t="inlineStr">
        <is>
          <t>Temmuz Tahmin</t>
        </is>
      </c>
      <c r="I32" s="371" t="inlineStr">
        <is>
          <t>Ağustos Tahmin</t>
        </is>
      </c>
      <c r="J32" s="371" t="inlineStr">
        <is>
          <t>Eylül Tahmin</t>
        </is>
      </c>
      <c r="K32" s="371" t="inlineStr">
        <is>
          <t>Bütçe - Tahmin Fark</t>
        </is>
      </c>
      <c r="L32" s="371" t="inlineStr">
        <is>
          <t>Temmuz Tahmin</t>
        </is>
      </c>
      <c r="M32" s="371" t="inlineStr">
        <is>
          <t>Ağustos Tahmin</t>
        </is>
      </c>
      <c r="N32" s="371" t="inlineStr">
        <is>
          <t>Eylül Tahmin</t>
        </is>
      </c>
      <c r="O32" s="371" t="inlineStr">
        <is>
          <t>Bütçe - Tahmin Fark</t>
        </is>
      </c>
    </row>
    <row r="33" ht="16" customHeight="1">
      <c r="C33" s="382" t="n"/>
      <c r="E33" s="373" t="n"/>
      <c r="G33" s="383" t="n"/>
      <c r="I33" s="373" t="n"/>
      <c r="K33" s="383" t="n"/>
      <c r="O33" s="383" t="n"/>
    </row>
    <row r="34" ht="16" customHeight="1">
      <c r="C34" s="382" t="inlineStr">
        <is>
          <t xml:space="preserve">İnci Holding </t>
        </is>
      </c>
      <c r="D34" s="461">
        <f>'Tahmin Data'!O28/1000/D7*-1</f>
        <v/>
      </c>
      <c r="E34" s="461">
        <f>'Tahmin Data'!Q28/1000/E7*-1</f>
        <v/>
      </c>
      <c r="F34" s="461">
        <f>'Tahmin Data'!S28/1000/F7*-1</f>
        <v/>
      </c>
      <c r="G34" s="461">
        <f>-(F34-'C-Döviz'!AI102)</f>
        <v/>
      </c>
      <c r="H34" s="461">
        <f>I7/D7</f>
        <v/>
      </c>
      <c r="I34" s="461">
        <f>J7/E7</f>
        <v/>
      </c>
      <c r="J34" s="461">
        <f>K7/F7</f>
        <v/>
      </c>
      <c r="K34" s="461">
        <f>J34-'C-Döviz'!AI79</f>
        <v/>
      </c>
      <c r="L34" s="461">
        <f>N7/D7</f>
        <v/>
      </c>
      <c r="M34" s="461">
        <f>O7/E7</f>
        <v/>
      </c>
      <c r="N34" s="461">
        <f>P7/F7</f>
        <v/>
      </c>
      <c r="O34" s="461">
        <f>N34-'C-Döviz'!AI150</f>
        <v/>
      </c>
    </row>
    <row r="35" ht="16" customHeight="1">
      <c r="C35" s="382" t="inlineStr">
        <is>
          <t xml:space="preserve">ISM </t>
        </is>
      </c>
      <c r="D35" s="461">
        <f>'Tahmin Data'!O30/1000/D8*-1</f>
        <v/>
      </c>
      <c r="E35" s="461">
        <f>'Tahmin Data'!Q30/1000/E8*-1</f>
        <v/>
      </c>
      <c r="F35" s="461">
        <f>'Tahmin Data'!S30/1000/F8*-1</f>
        <v/>
      </c>
      <c r="G35" s="461">
        <f>-(F35-'C-Döviz'!AI103)</f>
        <v/>
      </c>
      <c r="H35" s="461">
        <f>I8/D8</f>
        <v/>
      </c>
      <c r="I35" s="461">
        <f>J8/E8</f>
        <v/>
      </c>
      <c r="J35" s="461">
        <f>K8/F8</f>
        <v/>
      </c>
      <c r="K35" s="461">
        <f>J35-'C-Döviz'!AI80</f>
        <v/>
      </c>
      <c r="L35" s="461">
        <f>N8/D8</f>
        <v/>
      </c>
      <c r="M35" s="461">
        <f>O8/E8</f>
        <v/>
      </c>
      <c r="N35" s="461">
        <f>P8/F8</f>
        <v/>
      </c>
      <c r="O35" s="461">
        <f>N35-'C-Döviz'!AI151</f>
        <v/>
      </c>
    </row>
    <row r="36" ht="16" customHeight="1">
      <c r="C36" s="382" t="inlineStr">
        <is>
          <t>İncitaş</t>
        </is>
      </c>
      <c r="D36" s="461">
        <f>'Tahmin Data'!O29/1000/D9*-1</f>
        <v/>
      </c>
      <c r="E36" s="461">
        <f>'Tahmin Data'!Q29/1000/E9*-1</f>
        <v/>
      </c>
      <c r="F36" s="461">
        <f>'Tahmin Data'!S29/1000/F9*-1</f>
        <v/>
      </c>
      <c r="G36" s="461">
        <f>-(F36-'C-Döviz'!AI104)</f>
        <v/>
      </c>
      <c r="H36" s="461">
        <f>I9/D9</f>
        <v/>
      </c>
      <c r="I36" s="461">
        <f>J9/E9</f>
        <v/>
      </c>
      <c r="J36" s="461">
        <f>K9/F9</f>
        <v/>
      </c>
      <c r="K36" s="461">
        <f>J36-'C-Döviz'!AI81</f>
        <v/>
      </c>
      <c r="L36" s="461">
        <f>N9/D9</f>
        <v/>
      </c>
      <c r="M36" s="461">
        <f>O9/E9</f>
        <v/>
      </c>
      <c r="N36" s="461">
        <f>P9/F9</f>
        <v/>
      </c>
      <c r="O36" s="461">
        <f>N36-'C-Döviz'!AI152</f>
        <v/>
      </c>
      <c r="Q36" s="408" t="n"/>
    </row>
    <row r="37" ht="16" customHeight="1">
      <c r="C37" s="382" t="inlineStr">
        <is>
          <t>İnci GS Yuasa</t>
        </is>
      </c>
      <c r="D37" s="461">
        <f>'Tahmin Data'!O27/1000/D10*-1</f>
        <v/>
      </c>
      <c r="E37" s="461">
        <f>'Tahmin Data'!Q27/1000/E10*-1</f>
        <v/>
      </c>
      <c r="F37" s="461">
        <f>'Tahmin Data'!S27/1000/F10*-1</f>
        <v/>
      </c>
      <c r="G37" s="461">
        <f>-(F37-'C-Döviz'!AI105)</f>
        <v/>
      </c>
      <c r="H37" s="461">
        <f>I10/D10</f>
        <v/>
      </c>
      <c r="I37" s="461">
        <f>J10/E10</f>
        <v/>
      </c>
      <c r="J37" s="461">
        <f>K10/F10</f>
        <v/>
      </c>
      <c r="K37" s="461">
        <f>J37-'C-Döviz'!AI82</f>
        <v/>
      </c>
      <c r="L37" s="461">
        <f>N10/D10</f>
        <v/>
      </c>
      <c r="M37" s="461">
        <f>O10/E10</f>
        <v/>
      </c>
      <c r="N37" s="461">
        <f>P10/F10</f>
        <v/>
      </c>
      <c r="O37" s="461">
        <f>N37-'C-Döviz'!AI153</f>
        <v/>
      </c>
    </row>
    <row r="38" ht="16" customHeight="1">
      <c r="C38" s="382" t="inlineStr">
        <is>
          <t>Yusen İnci Loj.</t>
        </is>
      </c>
      <c r="D38" s="461">
        <f>'Tahmin Data'!O34/1000/D11*-1</f>
        <v/>
      </c>
      <c r="E38" s="461">
        <f>'Tahmin Data'!Q34/1000/E11*-1</f>
        <v/>
      </c>
      <c r="F38" s="461">
        <f>'Tahmin Data'!S34/1000/F11*-1</f>
        <v/>
      </c>
      <c r="G38" s="461">
        <f>-(F38-'C-Döviz'!AI106)</f>
        <v/>
      </c>
      <c r="H38" s="461">
        <f>I11/D11</f>
        <v/>
      </c>
      <c r="I38" s="461">
        <f>J11/E11</f>
        <v/>
      </c>
      <c r="J38" s="461">
        <f>K11/F11</f>
        <v/>
      </c>
      <c r="K38" s="461">
        <f>J38-'C-Döviz'!AI83</f>
        <v/>
      </c>
      <c r="L38" s="461">
        <f>N11/D11</f>
        <v/>
      </c>
      <c r="M38" s="461">
        <f>O11/E11</f>
        <v/>
      </c>
      <c r="N38" s="461">
        <f>P11/F11</f>
        <v/>
      </c>
      <c r="O38" s="461">
        <f>N38-'C-Döviz'!AI154</f>
        <v/>
      </c>
    </row>
    <row r="39" ht="16" customHeight="1">
      <c r="C39" s="382" t="inlineStr">
        <is>
          <t>Jantaş</t>
        </is>
      </c>
      <c r="D39" s="461">
        <f>'Tahmin Data'!O33/1000/D12*-1</f>
        <v/>
      </c>
      <c r="E39" s="461">
        <f>'Tahmin Data'!Q33/1000/E12*-1</f>
        <v/>
      </c>
      <c r="F39" s="461">
        <f>'Tahmin Data'!S33/1000/F12*-1</f>
        <v/>
      </c>
      <c r="G39" s="461">
        <f>-(F39-'C-Döviz'!AI107)</f>
        <v/>
      </c>
      <c r="H39" s="461">
        <f>I12/D12</f>
        <v/>
      </c>
      <c r="I39" s="461">
        <f>J12/E12</f>
        <v/>
      </c>
      <c r="J39" s="461">
        <f>K12/F12</f>
        <v/>
      </c>
      <c r="K39" s="461">
        <f>J39-'C-Döviz'!AI84</f>
        <v/>
      </c>
      <c r="L39" s="461">
        <f>N12/D12</f>
        <v/>
      </c>
      <c r="M39" s="461">
        <f>O12/E12</f>
        <v/>
      </c>
      <c r="N39" s="461">
        <f>P12/F12</f>
        <v/>
      </c>
      <c r="O39" s="461">
        <f>N39-'C-Döviz'!AI155</f>
        <v/>
      </c>
    </row>
    <row r="40" ht="16" customHeight="1">
      <c r="C40" s="382" t="inlineStr">
        <is>
          <t>Çelik</t>
        </is>
      </c>
      <c r="D40" s="461">
        <f>'Tahmin Data'!O32/1000/D13*-1</f>
        <v/>
      </c>
      <c r="E40" s="461">
        <f>'Tahmin Data'!Q32/1000/E13*-1</f>
        <v/>
      </c>
      <c r="F40" s="461">
        <f>'Tahmin Data'!S32/1000/F13*-1</f>
        <v/>
      </c>
      <c r="G40" s="461">
        <f>-(F40-'C-Döviz'!AI108)</f>
        <v/>
      </c>
      <c r="H40" s="461">
        <f>I13/D13</f>
        <v/>
      </c>
      <c r="I40" s="461">
        <f>J13/E13</f>
        <v/>
      </c>
      <c r="J40" s="461">
        <f>K13/F13</f>
        <v/>
      </c>
      <c r="K40" s="461">
        <f>J40-'C-Döviz'!AI85</f>
        <v/>
      </c>
      <c r="L40" s="461">
        <f>N13/D13</f>
        <v/>
      </c>
      <c r="M40" s="461">
        <f>O13/E13</f>
        <v/>
      </c>
      <c r="N40" s="461">
        <f>P13/F13</f>
        <v/>
      </c>
      <c r="O40" s="461">
        <f>N40-'C-Döviz'!AI156</f>
        <v/>
      </c>
    </row>
    <row r="41" ht="16" customHeight="1">
      <c r="C41" s="382" t="inlineStr">
        <is>
          <t>Alüminyum</t>
        </is>
      </c>
      <c r="D41" s="461">
        <f>'Tahmin Data'!O31/1000/D14*-1</f>
        <v/>
      </c>
      <c r="E41" s="461">
        <f>'Tahmin Data'!Q31/1000/E14*-1</f>
        <v/>
      </c>
      <c r="F41" s="461">
        <f>'Tahmin Data'!S31/1000/F14*-1</f>
        <v/>
      </c>
      <c r="G41" s="461">
        <f>-(F41-'C-Döviz'!AI109)</f>
        <v/>
      </c>
      <c r="H41" s="461">
        <f>I14/D14</f>
        <v/>
      </c>
      <c r="I41" s="461">
        <f>J14/E14</f>
        <v/>
      </c>
      <c r="J41" s="461">
        <f>K14/F14</f>
        <v/>
      </c>
      <c r="K41" s="461">
        <f>J41-'C-Döviz'!AI86</f>
        <v/>
      </c>
      <c r="L41" s="461">
        <f>N14/D14</f>
        <v/>
      </c>
      <c r="M41" s="461">
        <f>O14/E14</f>
        <v/>
      </c>
      <c r="N41" s="461">
        <f>P14/F14</f>
        <v/>
      </c>
      <c r="O41" s="461">
        <f>N41-'C-Döviz'!AI157</f>
        <v/>
      </c>
    </row>
    <row r="42" ht="36" customHeight="1">
      <c r="C42" s="391" t="n"/>
      <c r="D42" s="445" t="n"/>
      <c r="H42" s="445" t="n"/>
      <c r="K42" s="446" t="n"/>
      <c r="L42" s="445" t="n"/>
      <c r="M42" s="445" t="n"/>
      <c r="P42" s="446" t="n"/>
      <c r="Q42" s="445" t="n"/>
      <c r="R42" s="445" t="n"/>
    </row>
    <row r="43" ht="13.5" customHeight="1">
      <c r="C43" s="439" t="n"/>
      <c r="D43" s="459" t="inlineStr">
        <is>
          <t>Net Kar Marjı</t>
        </is>
      </c>
      <c r="G43" s="460" t="n"/>
      <c r="H43" s="459" t="inlineStr">
        <is>
          <t>Operasyonel Nakit Marjı</t>
        </is>
      </c>
      <c r="K43" s="460" t="n"/>
      <c r="L43" s="434" t="inlineStr">
        <is>
          <t>Serbest Nakit Marjı</t>
        </is>
      </c>
      <c r="P43" s="391" t="n"/>
      <c r="Q43" s="393" t="n"/>
      <c r="R43" s="391" t="n"/>
      <c r="S43" s="391" t="n"/>
    </row>
    <row r="44" ht="13.5" customHeight="1">
      <c r="C44" s="403" t="inlineStr">
        <is>
          <t>bin Avro</t>
        </is>
      </c>
      <c r="D44" s="462" t="n"/>
      <c r="G44" s="460" t="n"/>
      <c r="H44" s="462" t="n"/>
      <c r="K44" s="460" t="n"/>
      <c r="L44" s="462" t="n"/>
      <c r="P44" s="395" t="n"/>
      <c r="Q44" s="432" t="n"/>
      <c r="R44" s="432" t="n"/>
      <c r="S44" s="395" t="n"/>
    </row>
    <row r="45" ht="13.5" customHeight="1">
      <c r="C45" s="370" t="n"/>
      <c r="D45" s="371" t="inlineStr">
        <is>
          <t>Temmuz Tahmin</t>
        </is>
      </c>
      <c r="E45" s="371" t="inlineStr">
        <is>
          <t>Ağustos Tahmin</t>
        </is>
      </c>
      <c r="F45" s="371" t="inlineStr">
        <is>
          <t>Eylül Tahmin</t>
        </is>
      </c>
      <c r="G45" s="371" t="inlineStr">
        <is>
          <t>Bütçe - Tahmin Fark</t>
        </is>
      </c>
      <c r="H45" s="371" t="inlineStr">
        <is>
          <t>Temmuz Tahmin</t>
        </is>
      </c>
      <c r="I45" s="371" t="inlineStr">
        <is>
          <t>Ağustos Tahmin</t>
        </is>
      </c>
      <c r="J45" s="371" t="inlineStr">
        <is>
          <t>Eylül Tahmin</t>
        </is>
      </c>
      <c r="K45" s="371" t="inlineStr">
        <is>
          <t>Bütçe - Tahmin Fark</t>
        </is>
      </c>
      <c r="L45" s="371" t="inlineStr">
        <is>
          <t>Temmuz Tahmin</t>
        </is>
      </c>
      <c r="M45" s="371" t="inlineStr">
        <is>
          <t>Ağustos Tahmin</t>
        </is>
      </c>
      <c r="N45" s="371" t="inlineStr">
        <is>
          <t>Eylül Tahmin</t>
        </is>
      </c>
      <c r="O45" s="371" t="inlineStr">
        <is>
          <t>Bütçe - Tahmin Fark</t>
        </is>
      </c>
      <c r="P45" s="395" t="n"/>
      <c r="Q45" s="432" t="n"/>
      <c r="R45" s="432" t="n"/>
      <c r="S45" s="395" t="n"/>
    </row>
    <row r="46" ht="13.5" customHeight="1">
      <c r="C46" s="382" t="n"/>
      <c r="E46" s="373" t="n"/>
      <c r="G46" s="383" t="n"/>
      <c r="I46" s="373" t="n"/>
      <c r="K46" s="383" t="n"/>
      <c r="O46" s="383" t="n"/>
      <c r="P46" s="395" t="n"/>
      <c r="Q46" s="432" t="n"/>
      <c r="R46" s="432" t="n"/>
      <c r="S46" s="395" t="n"/>
    </row>
    <row r="47" ht="15.5" customHeight="1">
      <c r="C47" s="382" t="inlineStr">
        <is>
          <t xml:space="preserve">İnci Holding </t>
        </is>
      </c>
      <c r="D47" s="461">
        <f>S7/D7</f>
        <v/>
      </c>
      <c r="E47" s="461">
        <f>T7/E7</f>
        <v/>
      </c>
      <c r="F47" s="461">
        <f>U7/F7</f>
        <v/>
      </c>
      <c r="G47" s="461">
        <f>F47-'C-Döviz'!AI226</f>
        <v/>
      </c>
      <c r="H47" s="461">
        <f>I20/D7</f>
        <v/>
      </c>
      <c r="I47" s="461">
        <f>J20/E7</f>
        <v/>
      </c>
      <c r="J47" s="461">
        <f>K20/F7</f>
        <v/>
      </c>
      <c r="K47" s="461">
        <f>J47-('C-Döviz'!AI291/'C-Döviz'!AI9)</f>
        <v/>
      </c>
      <c r="L47" s="461">
        <f>N20/D7</f>
        <v/>
      </c>
      <c r="M47" s="461">
        <f>O20/E7</f>
        <v/>
      </c>
      <c r="N47" s="461">
        <f>P20/F7</f>
        <v/>
      </c>
      <c r="O47" s="461">
        <f>N47-'C-Döviz'!AI304/'C-Döviz'!AI9</f>
        <v/>
      </c>
      <c r="P47" s="395" t="n"/>
      <c r="Q47" s="432" t="n"/>
      <c r="R47" s="432" t="n"/>
      <c r="S47" s="395" t="n"/>
    </row>
    <row r="48" ht="15.5" customHeight="1">
      <c r="C48" s="382" t="inlineStr">
        <is>
          <t xml:space="preserve">ISM </t>
        </is>
      </c>
      <c r="D48" s="461">
        <f>S8/D8</f>
        <v/>
      </c>
      <c r="E48" s="461">
        <f>T8/E8</f>
        <v/>
      </c>
      <c r="F48" s="461">
        <f>U8/F8</f>
        <v/>
      </c>
      <c r="G48" s="461">
        <f>F48-'C-Döviz'!AI227</f>
        <v/>
      </c>
      <c r="H48" s="461">
        <f>I21/D8</f>
        <v/>
      </c>
      <c r="I48" s="461">
        <f>J21/E8</f>
        <v/>
      </c>
      <c r="J48" s="461">
        <f>K21/F8</f>
        <v/>
      </c>
      <c r="K48" s="461">
        <f>J48-('C-Döviz'!AI292/'C-Döviz'!AI10)</f>
        <v/>
      </c>
      <c r="L48" s="461">
        <f>N21/D8</f>
        <v/>
      </c>
      <c r="M48" s="461">
        <f>O21/E8</f>
        <v/>
      </c>
      <c r="N48" s="461">
        <f>P21/F8</f>
        <v/>
      </c>
      <c r="O48" s="461">
        <f>N48-'C-Döviz'!AI305/'C-Döviz'!AI10</f>
        <v/>
      </c>
      <c r="P48" s="395" t="n"/>
      <c r="Q48" s="432" t="n"/>
      <c r="R48" s="432" t="n"/>
      <c r="S48" s="395" t="n"/>
    </row>
    <row r="49" ht="15.5" customHeight="1">
      <c r="C49" s="382" t="inlineStr">
        <is>
          <t>İncitaş</t>
        </is>
      </c>
      <c r="D49" s="461">
        <f>S9/D9</f>
        <v/>
      </c>
      <c r="E49" s="461">
        <f>T9/E9</f>
        <v/>
      </c>
      <c r="F49" s="461">
        <f>U9/F9</f>
        <v/>
      </c>
      <c r="G49" s="461">
        <f>F49-'C-Döviz'!AI228</f>
        <v/>
      </c>
      <c r="H49" s="461">
        <f>I22/D9</f>
        <v/>
      </c>
      <c r="I49" s="461">
        <f>J22/E9</f>
        <v/>
      </c>
      <c r="J49" s="461">
        <f>K22/F9</f>
        <v/>
      </c>
      <c r="K49" s="461">
        <f>J49-('C-Döviz'!AI293/'C-Döviz'!AI11)</f>
        <v/>
      </c>
      <c r="L49" s="461">
        <f>N22/D9</f>
        <v/>
      </c>
      <c r="M49" s="461">
        <f>O22/E9</f>
        <v/>
      </c>
      <c r="N49" s="461">
        <f>P22/F9</f>
        <v/>
      </c>
      <c r="O49" s="461">
        <f>N49-'C-Döviz'!AI306/'C-Döviz'!AI11</f>
        <v/>
      </c>
      <c r="P49" s="395" t="n"/>
      <c r="Q49" s="432" t="n"/>
      <c r="R49" s="432" t="n"/>
      <c r="S49" s="395" t="n"/>
    </row>
    <row r="50" ht="15.5" customHeight="1">
      <c r="C50" s="382" t="inlineStr">
        <is>
          <t>İnci GS Yuasa</t>
        </is>
      </c>
      <c r="D50" s="461">
        <f>S10/D10</f>
        <v/>
      </c>
      <c r="E50" s="461">
        <f>T10/E10</f>
        <v/>
      </c>
      <c r="F50" s="461">
        <f>U10/F10</f>
        <v/>
      </c>
      <c r="G50" s="461">
        <f>F50-'C-Döviz'!AI229</f>
        <v/>
      </c>
      <c r="H50" s="461">
        <f>I23/D10</f>
        <v/>
      </c>
      <c r="I50" s="461">
        <f>J23/E10</f>
        <v/>
      </c>
      <c r="J50" s="461">
        <f>K23/F10</f>
        <v/>
      </c>
      <c r="K50" s="461">
        <f>J50-('C-Döviz'!AI294/'C-Döviz'!AI12)</f>
        <v/>
      </c>
      <c r="L50" s="461">
        <f>N23/D10</f>
        <v/>
      </c>
      <c r="M50" s="461">
        <f>O23/E10</f>
        <v/>
      </c>
      <c r="N50" s="461">
        <f>P23/F10</f>
        <v/>
      </c>
      <c r="O50" s="461">
        <f>N50-'C-Döviz'!AI307/'C-Döviz'!AI12</f>
        <v/>
      </c>
    </row>
    <row r="51" ht="15.5" customHeight="1">
      <c r="C51" s="382" t="inlineStr">
        <is>
          <t>Yusen İnci Loj.</t>
        </is>
      </c>
      <c r="D51" s="461">
        <f>S11/D11</f>
        <v/>
      </c>
      <c r="E51" s="461">
        <f>T11/E11</f>
        <v/>
      </c>
      <c r="F51" s="461">
        <f>U11/F11</f>
        <v/>
      </c>
      <c r="G51" s="461">
        <f>F51-'C-Döviz'!AI230</f>
        <v/>
      </c>
      <c r="H51" s="461">
        <f>I24/D11</f>
        <v/>
      </c>
      <c r="I51" s="461">
        <f>J24/E11</f>
        <v/>
      </c>
      <c r="J51" s="461">
        <f>K24/F11</f>
        <v/>
      </c>
      <c r="K51" s="461">
        <f>J51-('C-Döviz'!AI295/'C-Döviz'!AI13)</f>
        <v/>
      </c>
      <c r="L51" s="461">
        <f>N24/D11</f>
        <v/>
      </c>
      <c r="M51" s="461">
        <f>O24/E11</f>
        <v/>
      </c>
      <c r="N51" s="461">
        <f>P24/F11</f>
        <v/>
      </c>
      <c r="O51" s="461">
        <f>N51-'C-Döviz'!AI308/'C-Döviz'!AI13</f>
        <v/>
      </c>
      <c r="P51" s="446" t="n"/>
      <c r="Q51" s="445" t="n"/>
      <c r="R51" s="445" t="n"/>
    </row>
    <row r="52" ht="15.5" customHeight="1">
      <c r="C52" s="382" t="inlineStr">
        <is>
          <t>Jantaş</t>
        </is>
      </c>
      <c r="D52" s="461">
        <f>S12/D12</f>
        <v/>
      </c>
      <c r="E52" s="461">
        <f>T12/E12</f>
        <v/>
      </c>
      <c r="F52" s="461">
        <f>U12/F12</f>
        <v/>
      </c>
      <c r="G52" s="461">
        <f>F52-'C-Döviz'!AI231</f>
        <v/>
      </c>
      <c r="H52" s="461">
        <f>I25/D12</f>
        <v/>
      </c>
      <c r="I52" s="461">
        <f>J25/E12</f>
        <v/>
      </c>
      <c r="J52" s="461">
        <f>K25/F12</f>
        <v/>
      </c>
      <c r="K52" s="461">
        <f>J52-('C-Döviz'!AI296/'C-Döviz'!AI14)</f>
        <v/>
      </c>
      <c r="L52" s="461">
        <f>N25/D12</f>
        <v/>
      </c>
      <c r="M52" s="461">
        <f>O25/E12</f>
        <v/>
      </c>
      <c r="N52" s="461">
        <f>P25/F12</f>
        <v/>
      </c>
      <c r="O52" s="461">
        <f>N52-'C-Döviz'!AI309/'C-Döviz'!AI14</f>
        <v/>
      </c>
      <c r="P52" s="391" t="n"/>
      <c r="Q52" s="393" t="n"/>
      <c r="R52" s="391" t="n"/>
      <c r="S52" s="391" t="n"/>
    </row>
    <row r="53" ht="15.5" customHeight="1">
      <c r="C53" s="382" t="inlineStr">
        <is>
          <t>Çelik</t>
        </is>
      </c>
      <c r="D53" s="461">
        <f>S13/D13</f>
        <v/>
      </c>
      <c r="E53" s="461">
        <f>T13/E13</f>
        <v/>
      </c>
      <c r="F53" s="461">
        <f>U13/F13</f>
        <v/>
      </c>
      <c r="G53" s="461">
        <f>F53-'C-Döviz'!AI232</f>
        <v/>
      </c>
      <c r="H53" s="461">
        <f>I26/D13</f>
        <v/>
      </c>
      <c r="I53" s="461">
        <f>J26/E13</f>
        <v/>
      </c>
      <c r="J53" s="461">
        <f>K26/F13</f>
        <v/>
      </c>
      <c r="K53" s="461">
        <f>J53-('C-Döviz'!AI297/'C-Döviz'!AI15)</f>
        <v/>
      </c>
      <c r="L53" s="461">
        <f>N26/D13</f>
        <v/>
      </c>
      <c r="M53" s="461">
        <f>O26/E13</f>
        <v/>
      </c>
      <c r="N53" s="461">
        <f>P26/F13</f>
        <v/>
      </c>
      <c r="O53" s="461">
        <f>N53-'C-Döviz'!AI310/'C-Döviz'!AI15</f>
        <v/>
      </c>
      <c r="P53" s="395" t="n"/>
      <c r="Q53" s="432" t="n"/>
      <c r="R53" s="432" t="n"/>
      <c r="S53" s="395" t="n"/>
    </row>
    <row r="54" ht="15.5" customHeight="1">
      <c r="C54" s="382" t="inlineStr">
        <is>
          <t>Alüminyum</t>
        </is>
      </c>
      <c r="D54" s="461">
        <f>S14/D14</f>
        <v/>
      </c>
      <c r="E54" s="461">
        <f>T14/E14</f>
        <v/>
      </c>
      <c r="F54" s="461">
        <f>U14/F14</f>
        <v/>
      </c>
      <c r="G54" s="461">
        <f>F54-'C-Döviz'!AI233</f>
        <v/>
      </c>
      <c r="H54" s="461">
        <f>I27/D14</f>
        <v/>
      </c>
      <c r="I54" s="461">
        <f>J27/E14</f>
        <v/>
      </c>
      <c r="J54" s="461">
        <f>K27/F14</f>
        <v/>
      </c>
      <c r="K54" s="461">
        <f>J54-('C-Döviz'!AI298/'C-Döviz'!AI16)</f>
        <v/>
      </c>
      <c r="L54" s="461">
        <f>N27/D14</f>
        <v/>
      </c>
      <c r="M54" s="461">
        <f>O27/E14</f>
        <v/>
      </c>
      <c r="N54" s="461">
        <f>P27/F14</f>
        <v/>
      </c>
      <c r="O54" s="461">
        <f>N54-'C-Döviz'!AI311/'C-Döviz'!AI16</f>
        <v/>
      </c>
      <c r="P54" s="395" t="n"/>
      <c r="Q54" s="432" t="n"/>
      <c r="R54" s="432" t="n"/>
      <c r="S54" s="395" t="n"/>
    </row>
    <row r="55" ht="14.15" customHeight="1">
      <c r="C55" s="432" t="n"/>
      <c r="D55" s="432" t="n"/>
      <c r="E55" s="432" t="n"/>
      <c r="F55" s="432" t="n"/>
      <c r="G55" s="395" t="n"/>
      <c r="H55" s="432" t="n"/>
      <c r="I55" s="432" t="n"/>
      <c r="J55" s="395" t="n"/>
      <c r="K55" s="395" t="n"/>
      <c r="L55" s="432" t="n"/>
      <c r="M55" s="432" t="n"/>
      <c r="N55" s="432" t="n"/>
      <c r="O55" s="395" t="n"/>
      <c r="P55" s="395" t="n"/>
      <c r="Q55" s="432" t="n"/>
      <c r="R55" s="432" t="n"/>
      <c r="S55" s="395" t="n"/>
    </row>
    <row r="56" ht="14.15" customHeight="1">
      <c r="C56" s="432" t="n"/>
      <c r="D56" s="432" t="n"/>
      <c r="E56" s="432" t="n"/>
      <c r="F56" s="432" t="n"/>
      <c r="G56" s="395" t="n"/>
      <c r="H56" s="432" t="n"/>
      <c r="I56" s="432" t="n"/>
      <c r="J56" s="395" t="n"/>
      <c r="K56" s="395" t="n"/>
      <c r="L56" s="432" t="n"/>
      <c r="M56" s="432" t="n"/>
      <c r="N56" s="432" t="n"/>
      <c r="O56" s="395" t="n"/>
      <c r="P56" s="395" t="n"/>
      <c r="Q56" s="432" t="n"/>
      <c r="R56" s="432" t="n"/>
      <c r="S56" s="395" t="n"/>
    </row>
    <row r="57" ht="14.15" customHeight="1">
      <c r="C57" s="432" t="n"/>
      <c r="D57" s="432" t="n"/>
      <c r="E57" s="432" t="n"/>
      <c r="F57" s="432" t="n"/>
      <c r="G57" s="395" t="n"/>
      <c r="H57" s="432" t="n"/>
      <c r="I57" s="432" t="n"/>
      <c r="J57" s="395" t="n"/>
      <c r="K57" s="395" t="n"/>
      <c r="L57" s="432" t="n"/>
      <c r="M57" s="432" t="n"/>
      <c r="N57" s="432" t="n"/>
      <c r="O57" s="395" t="n"/>
      <c r="P57" s="395" t="n"/>
      <c r="Q57" s="432" t="n"/>
      <c r="R57" s="432" t="n"/>
      <c r="S57" s="395" t="n"/>
    </row>
    <row r="58" ht="14.15" customHeight="1">
      <c r="C58" s="432" t="n"/>
      <c r="D58" s="432" t="n"/>
      <c r="E58" s="432" t="n"/>
      <c r="F58" s="432" t="n"/>
      <c r="G58" s="395" t="n"/>
      <c r="H58" s="432" t="n"/>
      <c r="I58" s="432" t="n"/>
      <c r="J58" s="395" t="n"/>
      <c r="K58" s="395" t="n"/>
      <c r="L58" s="432" t="n"/>
      <c r="M58" s="432" t="n"/>
      <c r="N58" s="432" t="n"/>
      <c r="O58" s="395" t="n"/>
      <c r="P58" s="395" t="n"/>
      <c r="Q58" s="432" t="n"/>
      <c r="R58" s="432" t="n"/>
      <c r="S58" s="395" t="n"/>
    </row>
    <row r="59" ht="14.15" customHeight="1"/>
    <row r="62">
      <c r="D62" s="436" t="n"/>
    </row>
    <row r="63"/>
    <row r="64" ht="14.5" customHeight="1">
      <c r="C64" s="440" t="n"/>
      <c r="D64" s="376" t="n"/>
      <c r="E64" s="440" t="n"/>
      <c r="F64" s="440" t="n"/>
      <c r="G64" s="440" t="n"/>
      <c r="H64" s="376" t="n"/>
      <c r="I64" s="440" t="n"/>
      <c r="J64" s="376" t="n"/>
      <c r="K64" s="376" t="n"/>
      <c r="L64" s="376" t="n"/>
      <c r="M64" s="376" t="n"/>
      <c r="N64" s="376" t="n"/>
      <c r="O64" s="376" t="n"/>
      <c r="P64" s="376" t="n"/>
    </row>
    <row r="65" ht="15" customHeight="1">
      <c r="C65" s="439" t="n"/>
      <c r="D65" s="443" t="inlineStr">
        <is>
          <t>Ciro</t>
        </is>
      </c>
      <c r="E65" s="441" t="n"/>
      <c r="F65" s="441" t="n"/>
      <c r="G65" s="441" t="n"/>
      <c r="H65" s="443" t="inlineStr">
        <is>
          <t>EBITDA</t>
        </is>
      </c>
      <c r="I65" s="441" t="n"/>
      <c r="J65" s="441" t="n"/>
      <c r="K65" s="441" t="n"/>
      <c r="L65" s="443" t="n"/>
      <c r="M65" s="443" t="inlineStr">
        <is>
          <t>Net Kar</t>
        </is>
      </c>
      <c r="N65" s="443" t="n"/>
      <c r="O65" s="443" t="n"/>
      <c r="P65" s="443" t="n"/>
    </row>
    <row r="66" ht="16" customHeight="1">
      <c r="C66" s="387" t="n"/>
      <c r="D66" s="439" t="inlineStr">
        <is>
          <t>Gerçekleşme</t>
        </is>
      </c>
      <c r="E66" s="439" t="inlineStr">
        <is>
          <t>%</t>
        </is>
      </c>
      <c r="H66" s="439" t="inlineStr">
        <is>
          <t>Gerçekleşme</t>
        </is>
      </c>
      <c r="I66" s="439" t="n"/>
      <c r="J66" s="439" t="inlineStr">
        <is>
          <t>%</t>
        </is>
      </c>
      <c r="K66" s="439" t="n"/>
      <c r="L66" s="387" t="n"/>
      <c r="M66" s="439" t="inlineStr">
        <is>
          <t>Gerçekleşme</t>
        </is>
      </c>
      <c r="N66" s="439" t="n"/>
      <c r="O66" s="439" t="inlineStr">
        <is>
          <t>%</t>
        </is>
      </c>
      <c r="P66" s="439" t="n"/>
    </row>
    <row r="67" ht="16" customHeight="1">
      <c r="C67" s="432" t="inlineStr">
        <is>
          <t>Ciro</t>
        </is>
      </c>
      <c r="D67" s="432" t="n">
        <v>55</v>
      </c>
      <c r="E67" s="432" t="n"/>
      <c r="H67" s="432" t="n">
        <v>55</v>
      </c>
      <c r="I67" s="432" t="n"/>
      <c r="K67" s="433" t="n"/>
      <c r="L67" s="393" t="n"/>
      <c r="M67" s="432" t="n">
        <v>55</v>
      </c>
      <c r="N67" s="391" t="n"/>
      <c r="O67" s="432" t="n"/>
      <c r="P67" s="432" t="n"/>
    </row>
    <row r="68" ht="16" customHeight="1">
      <c r="C68" s="432" t="inlineStr">
        <is>
          <t>Adet</t>
        </is>
      </c>
      <c r="D68" s="432" t="n">
        <v>12</v>
      </c>
      <c r="E68" s="437">
        <f>D68/$D$67</f>
        <v/>
      </c>
      <c r="H68" s="432" t="n">
        <v>12</v>
      </c>
      <c r="I68" s="437">
        <f>H68/$D$67</f>
        <v/>
      </c>
      <c r="K68" s="438" t="n"/>
      <c r="L68" s="432" t="n"/>
      <c r="M68" s="432" t="n">
        <v>12</v>
      </c>
      <c r="N68" s="432" t="n"/>
      <c r="O68" s="437">
        <f>M68/$M$67</f>
        <v/>
      </c>
      <c r="P68" s="437" t="n"/>
    </row>
    <row r="69">
      <c r="C69" s="432" t="inlineStr">
        <is>
          <t xml:space="preserve">Fiyat </t>
        </is>
      </c>
      <c r="D69" s="432" t="n">
        <v>9</v>
      </c>
      <c r="E69" s="437">
        <f>D69/$D$67</f>
        <v/>
      </c>
      <c r="H69" s="432" t="n">
        <v>9</v>
      </c>
      <c r="I69" s="437">
        <f>H69/$D$67</f>
        <v/>
      </c>
      <c r="K69" s="438" t="n"/>
      <c r="L69" s="432" t="n"/>
      <c r="M69" s="432" t="n">
        <v>9</v>
      </c>
      <c r="N69" s="432" t="n"/>
      <c r="O69" s="437">
        <f>M69/$M$67</f>
        <v/>
      </c>
      <c r="P69" s="437" t="n"/>
    </row>
    <row r="70">
      <c r="C70" s="432" t="inlineStr">
        <is>
          <t>Miks</t>
        </is>
      </c>
      <c r="D70" s="432" t="n">
        <v>8</v>
      </c>
      <c r="E70" s="437">
        <f>D70/$D$67</f>
        <v/>
      </c>
      <c r="H70" s="432" t="n">
        <v>8</v>
      </c>
      <c r="I70" s="437">
        <f>H70/$D$67</f>
        <v/>
      </c>
      <c r="K70" s="438" t="n"/>
      <c r="L70" s="432" t="n"/>
      <c r="M70" s="432" t="n">
        <v>8</v>
      </c>
      <c r="N70" s="432" t="n"/>
      <c r="O70" s="437">
        <f>M70/$M$67</f>
        <v/>
      </c>
      <c r="P70" s="437" t="n"/>
    </row>
    <row r="71" ht="16" customHeight="1">
      <c r="C71" s="432" t="inlineStr">
        <is>
          <t>Ham Madde</t>
        </is>
      </c>
      <c r="D71" s="432" t="n">
        <v>5</v>
      </c>
      <c r="E71" s="437">
        <f>D71/$D$67</f>
        <v/>
      </c>
      <c r="H71" s="432" t="n">
        <v>5</v>
      </c>
      <c r="I71" s="437">
        <f>H71/$D$67</f>
        <v/>
      </c>
      <c r="K71" s="438" t="n"/>
      <c r="L71" s="432" t="n"/>
      <c r="M71" s="432" t="n">
        <v>5</v>
      </c>
      <c r="N71" s="432" t="n"/>
      <c r="O71" s="437">
        <f>M71/$M$67</f>
        <v/>
      </c>
      <c r="P71" s="437" t="n"/>
    </row>
    <row r="72" ht="16" customHeight="1">
      <c r="C72" s="432" t="inlineStr">
        <is>
          <t>Enerji</t>
        </is>
      </c>
      <c r="D72" s="432" t="n">
        <v>4</v>
      </c>
      <c r="E72" s="437">
        <f>D72/$D$67</f>
        <v/>
      </c>
      <c r="H72" s="432" t="n">
        <v>4</v>
      </c>
      <c r="I72" s="437">
        <f>H72/$D$67</f>
        <v/>
      </c>
      <c r="K72" s="438" t="n"/>
      <c r="L72" s="432" t="n"/>
      <c r="M72" s="432" t="n">
        <v>4</v>
      </c>
      <c r="N72" s="432" t="n"/>
      <c r="O72" s="437">
        <f>M72/$M$67</f>
        <v/>
      </c>
      <c r="P72" s="437" t="n"/>
    </row>
    <row r="73" ht="16" customHeight="1">
      <c r="C73" s="432" t="inlineStr">
        <is>
          <t>Döviz</t>
        </is>
      </c>
      <c r="D73" s="432" t="n">
        <v>3</v>
      </c>
      <c r="E73" s="437">
        <f>D73/$D$67</f>
        <v/>
      </c>
      <c r="H73" s="432" t="n">
        <v>3</v>
      </c>
      <c r="I73" s="437">
        <f>H73/$D$67</f>
        <v/>
      </c>
      <c r="K73" s="438" t="n"/>
      <c r="L73" s="432" t="n"/>
      <c r="M73" s="432" t="n">
        <v>3</v>
      </c>
      <c r="N73" s="432" t="n"/>
      <c r="O73" s="437">
        <f>M73/$M$67</f>
        <v/>
      </c>
      <c r="P73" s="437" t="n"/>
    </row>
    <row r="74">
      <c r="C74" s="432" t="inlineStr">
        <is>
          <t>Enflasyon</t>
        </is>
      </c>
      <c r="D74" s="433" t="n">
        <v>3</v>
      </c>
      <c r="E74" s="437">
        <f>D74/$D$67</f>
        <v/>
      </c>
      <c r="H74" s="433" t="n">
        <v>3</v>
      </c>
      <c r="I74" s="437">
        <f>H74/$D$67</f>
        <v/>
      </c>
      <c r="K74" s="438" t="n"/>
      <c r="M74" s="433" t="n">
        <v>3</v>
      </c>
      <c r="O74" s="437">
        <f>M74/$M$67</f>
        <v/>
      </c>
      <c r="P74" s="437" t="n"/>
    </row>
    <row r="75">
      <c r="C75" s="432" t="n"/>
    </row>
    <row r="76" ht="16" customHeight="1"/>
    <row r="77" ht="16" customHeight="1"/>
    <row r="94">
      <c r="R94" s="391" t="n"/>
    </row>
    <row r="95">
      <c r="R95" s="391" t="n"/>
    </row>
    <row r="96">
      <c r="R96" s="433" t="n"/>
    </row>
    <row r="104">
      <c r="J104" s="438" t="n"/>
      <c r="K104" s="438" t="n"/>
    </row>
  </sheetData>
  <mergeCells count="36">
    <mergeCell ref="I3:M4"/>
    <mergeCell ref="D16:H17"/>
    <mergeCell ref="H43:K44"/>
    <mergeCell ref="E69:G69"/>
    <mergeCell ref="D3:H4"/>
    <mergeCell ref="E74:G74"/>
    <mergeCell ref="D42:G42"/>
    <mergeCell ref="I70:J70"/>
    <mergeCell ref="L43:O44"/>
    <mergeCell ref="M42:O42"/>
    <mergeCell ref="I72:J72"/>
    <mergeCell ref="L30:O31"/>
    <mergeCell ref="E70:G70"/>
    <mergeCell ref="I71:J71"/>
    <mergeCell ref="D62:G63"/>
    <mergeCell ref="E72:G72"/>
    <mergeCell ref="I68:J68"/>
    <mergeCell ref="H42:J42"/>
    <mergeCell ref="E66:G66"/>
    <mergeCell ref="R51:S51"/>
    <mergeCell ref="R42:S42"/>
    <mergeCell ref="D43:G44"/>
    <mergeCell ref="S3:W4"/>
    <mergeCell ref="I67:J67"/>
    <mergeCell ref="N16:R17"/>
    <mergeCell ref="E68:G68"/>
    <mergeCell ref="E71:G71"/>
    <mergeCell ref="I73:J73"/>
    <mergeCell ref="D30:G31"/>
    <mergeCell ref="E67:G67"/>
    <mergeCell ref="H30:K31"/>
    <mergeCell ref="N3:R4"/>
    <mergeCell ref="I16:M17"/>
    <mergeCell ref="E73:G73"/>
    <mergeCell ref="I69:J69"/>
    <mergeCell ref="I74:J74"/>
  </mergeCells>
  <conditionalFormatting sqref="E15:F15 G33">
    <cfRule type="dataBar" priority="61">
      <dataBar>
        <cfvo type="min"/>
        <cfvo type="max"/>
        <color rgb="FF63C384"/>
      </dataBar>
    </cfRule>
    <cfRule type="dataBar" priority="62">
      <dataBar>
        <cfvo type="min"/>
        <cfvo type="max"/>
        <color theme="9" tint="0.3999755851924192"/>
      </dataBar>
    </cfRule>
  </conditionalFormatting>
  <conditionalFormatting sqref="E55:F58">
    <cfRule type="dataBar" priority="1218">
      <dataBar>
        <cfvo type="min"/>
        <cfvo type="max"/>
        <color theme="9" tint="0.3999755851924192"/>
      </dataBar>
    </cfRule>
    <cfRule type="dataBar" priority="1217">
      <dataBar>
        <cfvo type="min"/>
        <cfvo type="max"/>
        <color rgb="FF63C384"/>
      </dataBar>
    </cfRule>
  </conditionalFormatting>
  <conditionalFormatting sqref="E67:F74">
    <cfRule type="dataBar" priority="78">
      <dataBar>
        <cfvo type="min"/>
        <cfvo type="max"/>
        <color theme="9" tint="0.3999755851924192"/>
      </dataBar>
    </cfRule>
    <cfRule type="dataBar" priority="77">
      <dataBar>
        <cfvo type="min"/>
        <cfvo type="max"/>
        <color rgb="FF63C384"/>
      </dataBar>
    </cfRule>
  </conditionalFormatting>
  <conditionalFormatting sqref="G15">
    <cfRule type="dataBar" priority="116">
      <dataBar>
        <cfvo type="min"/>
        <cfvo type="max"/>
        <color theme="9" tint="0.3999755851924192"/>
      </dataBar>
    </cfRule>
    <cfRule type="dataBar" priority="115">
      <dataBar>
        <cfvo type="min"/>
        <cfvo type="max"/>
        <color rgb="FF63C384"/>
      </dataBar>
    </cfRule>
  </conditionalFormatting>
  <conditionalFormatting sqref="G34:G41">
    <cfRule type="dataBar" priority="12">
      <dataBar>
        <cfvo type="min"/>
        <cfvo type="max"/>
        <color theme="9" tint="0.5999938962981048"/>
      </dataBar>
    </cfRule>
  </conditionalFormatting>
  <conditionalFormatting sqref="G46">
    <cfRule type="dataBar" priority="42">
      <dataBar>
        <cfvo type="min"/>
        <cfvo type="max"/>
        <color rgb="FF63C384"/>
      </dataBar>
    </cfRule>
    <cfRule type="dataBar" priority="43">
      <dataBar>
        <cfvo type="min"/>
        <cfvo type="max"/>
        <color theme="9" tint="0.3999755851924192"/>
      </dataBar>
    </cfRule>
  </conditionalFormatting>
  <conditionalFormatting sqref="G47:G54">
    <cfRule type="dataBar" priority="9">
      <dataBar>
        <cfvo type="min"/>
        <cfvo type="max"/>
        <color theme="9" tint="0.5999938962981048"/>
      </dataBar>
    </cfRule>
  </conditionalFormatting>
  <conditionalFormatting sqref="G55:G58">
    <cfRule type="dataBar" priority="1220">
      <dataBar>
        <cfvo type="min"/>
        <cfvo type="max"/>
        <color theme="9" tint="0.3999755851924192"/>
      </dataBar>
    </cfRule>
    <cfRule type="dataBar" priority="1219">
      <dataBar>
        <cfvo type="min"/>
        <cfvo type="max"/>
        <color rgb="FF63C384"/>
      </dataBar>
    </cfRule>
  </conditionalFormatting>
  <conditionalFormatting sqref="H6:H14">
    <cfRule type="dataBar" priority="54">
      <dataBar>
        <cfvo type="min"/>
        <cfvo type="max"/>
        <color theme="9" tint="0.5999938962981048"/>
      </dataBar>
    </cfRule>
  </conditionalFormatting>
  <conditionalFormatting sqref="H19:H27">
    <cfRule type="dataBar" priority="13">
      <dataBar>
        <cfvo type="min"/>
        <cfvo type="max"/>
        <color theme="9" tint="0.5999938962981048"/>
      </dataBar>
    </cfRule>
  </conditionalFormatting>
  <conditionalFormatting sqref="I15">
    <cfRule type="dataBar" priority="63">
      <dataBar>
        <cfvo type="min"/>
        <cfvo type="max"/>
        <color rgb="FF63C384"/>
      </dataBar>
    </cfRule>
    <cfRule type="dataBar" priority="64">
      <dataBar>
        <cfvo type="min"/>
        <cfvo type="max"/>
        <color theme="9" tint="0.3999755851924192"/>
      </dataBar>
    </cfRule>
  </conditionalFormatting>
  <conditionalFormatting sqref="I55:I58">
    <cfRule type="dataBar" priority="1222">
      <dataBar>
        <cfvo type="min"/>
        <cfvo type="max"/>
        <color theme="9" tint="0.3999755851924192"/>
      </dataBar>
    </cfRule>
    <cfRule type="dataBar" priority="1221">
      <dataBar>
        <cfvo type="min"/>
        <cfvo type="max"/>
        <color rgb="FF63C384"/>
      </dataBar>
    </cfRule>
  </conditionalFormatting>
  <conditionalFormatting sqref="I67">
    <cfRule type="dataBar" priority="73">
      <dataBar>
        <cfvo type="min"/>
        <cfvo type="max"/>
        <color rgb="FF63C384"/>
      </dataBar>
    </cfRule>
    <cfRule type="dataBar" priority="74">
      <dataBar>
        <cfvo type="min"/>
        <cfvo type="max"/>
        <color theme="9" tint="0.3999755851924192"/>
      </dataBar>
    </cfRule>
  </conditionalFormatting>
  <conditionalFormatting sqref="I68:I74">
    <cfRule type="dataBar" priority="76">
      <dataBar>
        <cfvo type="min"/>
        <cfvo type="max"/>
        <color theme="9" tint="0.3999755851924192"/>
      </dataBar>
    </cfRule>
    <cfRule type="dataBar" priority="75">
      <dataBar>
        <cfvo type="min"/>
        <cfvo type="max"/>
        <color rgb="FF63C384"/>
      </dataBar>
    </cfRule>
  </conditionalFormatting>
  <conditionalFormatting sqref="J15:K15">
    <cfRule type="dataBar" priority="117">
      <dataBar>
        <cfvo type="min"/>
        <cfvo type="max"/>
        <color rgb="FF63C384"/>
      </dataBar>
    </cfRule>
    <cfRule type="dataBar" priority="118">
      <dataBar>
        <cfvo type="min"/>
        <cfvo type="max"/>
        <color theme="9" tint="0.3999755851924192"/>
      </dataBar>
    </cfRule>
  </conditionalFormatting>
  <conditionalFormatting sqref="J55:K58">
    <cfRule type="dataBar" priority="1224">
      <dataBar>
        <cfvo type="min"/>
        <cfvo type="max"/>
        <color theme="9" tint="0.3999755851924192"/>
      </dataBar>
    </cfRule>
    <cfRule type="dataBar" priority="1223">
      <dataBar>
        <cfvo type="min"/>
        <cfvo type="max"/>
        <color rgb="FF63C384"/>
      </dataBar>
    </cfRule>
  </conditionalFormatting>
  <conditionalFormatting sqref="K33">
    <cfRule type="dataBar" priority="1215">
      <dataBar>
        <cfvo type="min"/>
        <cfvo type="max"/>
        <color theme="9" tint="0.3999755851924192"/>
      </dataBar>
    </cfRule>
    <cfRule type="dataBar" priority="1214">
      <dataBar>
        <cfvo type="min"/>
        <cfvo type="max"/>
        <color rgb="FF63C384"/>
      </dataBar>
    </cfRule>
  </conditionalFormatting>
  <conditionalFormatting sqref="K34:K41">
    <cfRule type="dataBar" priority="1216">
      <dataBar>
        <cfvo type="min"/>
        <cfvo type="max"/>
        <color theme="9" tint="0.5999938962981048"/>
      </dataBar>
    </cfRule>
  </conditionalFormatting>
  <conditionalFormatting sqref="K46">
    <cfRule type="dataBar" priority="39">
      <dataBar>
        <cfvo type="min"/>
        <cfvo type="max"/>
        <color rgb="FF63C384"/>
      </dataBar>
    </cfRule>
    <cfRule type="dataBar" priority="40">
      <dataBar>
        <cfvo type="min"/>
        <cfvo type="max"/>
        <color theme="9" tint="0.3999755851924192"/>
      </dataBar>
    </cfRule>
  </conditionalFormatting>
  <conditionalFormatting sqref="K47:K54">
    <cfRule type="dataBar" priority="8">
      <dataBar>
        <cfvo type="min"/>
        <cfvo type="max"/>
        <color theme="9" tint="0.5999938962981048"/>
      </dataBar>
    </cfRule>
  </conditionalFormatting>
  <conditionalFormatting sqref="L28:L29">
    <cfRule type="dataBar" priority="121">
      <dataBar>
        <cfvo type="min"/>
        <cfvo type="max"/>
        <color rgb="FF63C384"/>
      </dataBar>
    </cfRule>
  </conditionalFormatting>
  <conditionalFormatting sqref="L55:L58">
    <cfRule type="dataBar" priority="1227">
      <dataBar>
        <cfvo type="min"/>
        <cfvo type="max"/>
        <color rgb="FF63C384"/>
      </dataBar>
    </cfRule>
  </conditionalFormatting>
  <conditionalFormatting sqref="L68:L73">
    <cfRule type="dataBar" priority="112">
      <dataBar>
        <cfvo type="min"/>
        <cfvo type="max"/>
        <color rgb="FF63C384"/>
      </dataBar>
    </cfRule>
  </conditionalFormatting>
  <conditionalFormatting sqref="M6:M14">
    <cfRule type="dataBar" priority="6">
      <dataBar>
        <cfvo type="min"/>
        <cfvo type="max"/>
        <color theme="9" tint="0.5999938962981048"/>
      </dataBar>
    </cfRule>
  </conditionalFormatting>
  <conditionalFormatting sqref="M15">
    <cfRule type="dataBar" priority="65">
      <dataBar>
        <cfvo type="min"/>
        <cfvo type="max"/>
        <color rgb="FF63C384"/>
      </dataBar>
    </cfRule>
    <cfRule type="dataBar" priority="66">
      <dataBar>
        <cfvo type="min"/>
        <cfvo type="max"/>
        <color theme="9" tint="0.3999755851924192"/>
      </dataBar>
    </cfRule>
  </conditionalFormatting>
  <conditionalFormatting sqref="M19:M27">
    <cfRule type="dataBar" priority="2">
      <dataBar>
        <cfvo type="min"/>
        <cfvo type="max"/>
        <color theme="9" tint="0.5999938962981048"/>
      </dataBar>
    </cfRule>
  </conditionalFormatting>
  <conditionalFormatting sqref="N15">
    <cfRule type="dataBar" priority="120">
      <dataBar>
        <cfvo type="min"/>
        <cfvo type="max"/>
        <color theme="9" tint="0.3999755851924192"/>
      </dataBar>
    </cfRule>
    <cfRule type="dataBar" priority="119">
      <dataBar>
        <cfvo type="min"/>
        <cfvo type="max"/>
        <color rgb="FF63C384"/>
      </dataBar>
    </cfRule>
  </conditionalFormatting>
  <conditionalFormatting sqref="N28:N29">
    <cfRule type="dataBar" priority="56">
      <dataBar>
        <cfvo type="min"/>
        <cfvo type="max"/>
        <color theme="9" tint="0.3999755851924192"/>
      </dataBar>
    </cfRule>
    <cfRule type="dataBar" priority="55">
      <dataBar>
        <cfvo type="min"/>
        <cfvo type="max"/>
        <color rgb="FF63C384"/>
      </dataBar>
    </cfRule>
  </conditionalFormatting>
  <conditionalFormatting sqref="N55:N58">
    <cfRule type="dataBar" priority="1226">
      <dataBar>
        <cfvo type="min"/>
        <cfvo type="max"/>
        <color theme="9" tint="0.3999755851924192"/>
      </dataBar>
    </cfRule>
    <cfRule type="dataBar" priority="1225">
      <dataBar>
        <cfvo type="min"/>
        <cfvo type="max"/>
        <color rgb="FF63C384"/>
      </dataBar>
    </cfRule>
  </conditionalFormatting>
  <conditionalFormatting sqref="N68:N73">
    <cfRule type="dataBar" priority="79">
      <dataBar>
        <cfvo type="min"/>
        <cfvo type="max"/>
        <color rgb="FF63C384"/>
      </dataBar>
    </cfRule>
    <cfRule type="dataBar" priority="80">
      <dataBar>
        <cfvo type="min"/>
        <cfvo type="max"/>
        <color theme="9" tint="0.3999755851924192"/>
      </dataBar>
    </cfRule>
  </conditionalFormatting>
  <conditionalFormatting sqref="O33">
    <cfRule type="dataBar" priority="46">
      <dataBar>
        <cfvo type="min"/>
        <cfvo type="max"/>
        <color theme="9" tint="0.3999755851924192"/>
      </dataBar>
    </cfRule>
    <cfRule type="dataBar" priority="45">
      <dataBar>
        <cfvo type="min"/>
        <cfvo type="max"/>
        <color rgb="FF63C384"/>
      </dataBar>
    </cfRule>
  </conditionalFormatting>
  <conditionalFormatting sqref="O34:O41">
    <cfRule type="dataBar" priority="10">
      <dataBar>
        <cfvo type="min"/>
        <cfvo type="max"/>
        <color theme="9" tint="0.5999938962981048"/>
      </dataBar>
    </cfRule>
  </conditionalFormatting>
  <conditionalFormatting sqref="O46">
    <cfRule type="dataBar" priority="37">
      <dataBar>
        <cfvo type="min"/>
        <cfvo type="max"/>
        <color theme="9" tint="0.3999755851924192"/>
      </dataBar>
    </cfRule>
    <cfRule type="dataBar" priority="36">
      <dataBar>
        <cfvo type="min"/>
        <cfvo type="max"/>
        <color rgb="FF63C384"/>
      </dataBar>
    </cfRule>
  </conditionalFormatting>
  <conditionalFormatting sqref="O47:O54">
    <cfRule type="dataBar" priority="7">
      <dataBar>
        <cfvo type="min"/>
        <cfvo type="max"/>
        <color theme="9" tint="0.5999938962981048"/>
      </dataBar>
    </cfRule>
  </conditionalFormatting>
  <conditionalFormatting sqref="O55:P58 P53:P54">
    <cfRule type="dataBar" priority="84">
      <dataBar>
        <cfvo type="min"/>
        <cfvo type="max"/>
        <color theme="9" tint="0.3999755851924192"/>
      </dataBar>
    </cfRule>
    <cfRule type="dataBar" priority="83">
      <dataBar>
        <cfvo type="min"/>
        <cfvo type="max"/>
        <color rgb="FF63C384"/>
      </dataBar>
    </cfRule>
  </conditionalFormatting>
  <conditionalFormatting sqref="O67:P67">
    <cfRule type="dataBar" priority="72">
      <dataBar>
        <cfvo type="min"/>
        <cfvo type="max"/>
        <color theme="9" tint="0.3999755851924192"/>
      </dataBar>
    </cfRule>
    <cfRule type="dataBar" priority="71">
      <dataBar>
        <cfvo type="min"/>
        <cfvo type="max"/>
        <color rgb="FF63C384"/>
      </dataBar>
    </cfRule>
  </conditionalFormatting>
  <conditionalFormatting sqref="O68:P74">
    <cfRule type="dataBar" priority="70">
      <dataBar>
        <cfvo type="min"/>
        <cfvo type="max"/>
        <color theme="9" tint="0.3999755851924192"/>
      </dataBar>
    </cfRule>
    <cfRule type="dataBar" priority="69">
      <dataBar>
        <cfvo type="min"/>
        <cfvo type="max"/>
        <color rgb="FF63C384"/>
      </dataBar>
    </cfRule>
  </conditionalFormatting>
  <conditionalFormatting sqref="P44:P49">
    <cfRule type="dataBar" priority="94">
      <dataBar>
        <cfvo type="min"/>
        <cfvo type="max"/>
        <color theme="9" tint="0.3999755851924192"/>
      </dataBar>
    </cfRule>
    <cfRule type="dataBar" priority="93">
      <dataBar>
        <cfvo type="min"/>
        <cfvo type="max"/>
        <color rgb="FF63C384"/>
      </dataBar>
    </cfRule>
  </conditionalFormatting>
  <conditionalFormatting sqref="Q15">
    <cfRule type="dataBar" priority="68">
      <dataBar>
        <cfvo type="min"/>
        <cfvo type="max"/>
        <color theme="9" tint="0.3999755851924192"/>
      </dataBar>
    </cfRule>
    <cfRule type="dataBar" priority="67">
      <dataBar>
        <cfvo type="min"/>
        <cfvo type="max"/>
        <color rgb="FF63C384"/>
      </dataBar>
    </cfRule>
  </conditionalFormatting>
  <conditionalFormatting sqref="Q44:Q49">
    <cfRule type="dataBar" priority="113">
      <dataBar>
        <cfvo type="min"/>
        <cfvo type="max"/>
        <color rgb="FF63C384"/>
      </dataBar>
    </cfRule>
  </conditionalFormatting>
  <conditionalFormatting sqref="Q53:Q58">
    <cfRule type="dataBar" priority="114">
      <dataBar>
        <cfvo type="min"/>
        <cfvo type="max"/>
        <color rgb="FF63C384"/>
      </dataBar>
    </cfRule>
  </conditionalFormatting>
  <conditionalFormatting sqref="R6:R14">
    <cfRule type="dataBar" priority="4">
      <dataBar>
        <cfvo type="min"/>
        <cfvo type="max"/>
        <color theme="9" tint="0.5999938962981048"/>
      </dataBar>
    </cfRule>
  </conditionalFormatting>
  <conditionalFormatting sqref="R15">
    <cfRule type="dataBar" priority="1212">
      <dataBar>
        <cfvo type="min"/>
        <cfvo type="max"/>
        <color rgb="FF63C384"/>
      </dataBar>
    </cfRule>
    <cfRule type="dataBar" priority="1213">
      <dataBar>
        <cfvo type="min"/>
        <cfvo type="max"/>
        <color theme="9" tint="0.3999755851924192"/>
      </dataBar>
    </cfRule>
  </conditionalFormatting>
  <conditionalFormatting sqref="R19:R27">
    <cfRule type="dataBar" priority="1">
      <dataBar>
        <cfvo type="min"/>
        <cfvo type="max"/>
        <color theme="9" tint="0.5999938962981048"/>
      </dataBar>
    </cfRule>
  </conditionalFormatting>
  <conditionalFormatting sqref="R28">
    <cfRule type="dataBar" priority="29">
      <dataBar>
        <cfvo type="min"/>
        <cfvo type="max"/>
        <color theme="9" tint="0.5999938962981048"/>
      </dataBar>
    </cfRule>
  </conditionalFormatting>
  <conditionalFormatting sqref="S28:S29">
    <cfRule type="dataBar" priority="60">
      <dataBar>
        <cfvo type="min"/>
        <cfvo type="max"/>
        <color theme="9" tint="0.3999755851924192"/>
      </dataBar>
    </cfRule>
    <cfRule type="dataBar" priority="59">
      <dataBar>
        <cfvo type="min"/>
        <cfvo type="max"/>
        <color rgb="FF63C384"/>
      </dataBar>
    </cfRule>
  </conditionalFormatting>
  <conditionalFormatting sqref="S44:S49">
    <cfRule type="dataBar" priority="96">
      <dataBar>
        <cfvo type="min"/>
        <cfvo type="max"/>
        <color theme="9" tint="0.3999755851924192"/>
      </dataBar>
    </cfRule>
    <cfRule type="dataBar" priority="95">
      <dataBar>
        <cfvo type="min"/>
        <cfvo type="max"/>
        <color rgb="FF63C384"/>
      </dataBar>
    </cfRule>
  </conditionalFormatting>
  <conditionalFormatting sqref="S53:S58">
    <cfRule type="dataBar" priority="82">
      <dataBar>
        <cfvo type="min"/>
        <cfvo type="max"/>
        <color theme="9" tint="0.3999755851924192"/>
      </dataBar>
    </cfRule>
    <cfRule type="dataBar" priority="81">
      <dataBar>
        <cfvo type="min"/>
        <cfvo type="max"/>
        <color rgb="FF63C384"/>
      </dataBar>
    </cfRule>
  </conditionalFormatting>
  <conditionalFormatting sqref="W6:W14">
    <cfRule type="dataBar" priority="3">
      <dataBar>
        <cfvo type="min"/>
        <cfvo type="max"/>
        <color theme="9" tint="0.5999938962981048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63"/>
  <sheetViews>
    <sheetView showGridLines="0" zoomScale="55" zoomScaleNormal="55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AD12" sqref="AD12"/>
    </sheetView>
  </sheetViews>
  <sheetFormatPr baseColWidth="8" defaultColWidth="9.1796875" defaultRowHeight="14.5"/>
  <cols>
    <col width="51.54296875" bestFit="1" customWidth="1" style="4" min="1" max="1"/>
    <col width="15.1796875" bestFit="1" customWidth="1" style="9" min="2" max="2"/>
    <col width="20.54296875" bestFit="1" customWidth="1" style="9" min="3" max="3"/>
    <col width="2.81640625" customWidth="1" style="9" min="4" max="4"/>
    <col width="14.453125" customWidth="1" style="9" min="5" max="6"/>
    <col width="5.54296875" customWidth="1" style="9" min="7" max="7"/>
    <col width="14.453125" customWidth="1" style="9" min="8" max="9"/>
    <col width="2.81640625" customWidth="1" style="9" min="10" max="10"/>
    <col width="14.453125" customWidth="1" style="9" min="11" max="12"/>
    <col width="2.81640625" customWidth="1" style="9" min="13" max="13"/>
    <col width="14.453125" customWidth="1" style="9" min="14" max="15"/>
    <col width="6.1796875" customWidth="1" style="9" min="16" max="16"/>
    <col width="14.453125" customWidth="1" style="9" min="17" max="18"/>
    <col width="4.54296875" customWidth="1" style="9" min="19" max="19"/>
    <col width="14.453125" customWidth="1" style="9" min="20" max="21"/>
    <col width="2.81640625" customWidth="1" style="9" min="22" max="22"/>
    <col width="14.453125" customWidth="1" style="9" min="23" max="24"/>
    <col width="2.81640625" customWidth="1" style="9" min="25" max="25"/>
    <col width="14.453125" customWidth="1" style="9" min="26" max="27"/>
    <col width="2.81640625" customWidth="1" style="9" min="28" max="28"/>
    <col width="14.453125" customWidth="1" style="9" min="29" max="30"/>
    <col width="2.81640625" customWidth="1" style="9" min="31" max="31"/>
    <col width="14.453125" customWidth="1" style="9" min="32" max="33"/>
    <col width="2.81640625" customWidth="1" style="9" min="34" max="34"/>
    <col width="14.453125" customWidth="1" style="9" min="35" max="36"/>
    <col width="12.453125" customWidth="1" style="9" min="37" max="37"/>
    <col width="14.453125" bestFit="1" customWidth="1" style="9" min="38" max="38"/>
    <col width="10.453125" customWidth="1" style="6" min="39" max="39"/>
    <col width="12.1796875" bestFit="1" customWidth="1" min="40" max="40"/>
    <col hidden="1" width="9.1796875" customWidth="1" min="41" max="42"/>
    <col width="10.54296875" bestFit="1" customWidth="1" min="43" max="43"/>
    <col width="13.1796875" bestFit="1" customWidth="1" min="44" max="44"/>
    <col width="10" bestFit="1" customWidth="1" min="45" max="45"/>
  </cols>
  <sheetData>
    <row r="1" customFormat="1" s="42">
      <c r="A1" s="59">
        <f>'A-TRY'!A1</f>
        <v/>
      </c>
      <c r="B1" s="463" t="inlineStr">
        <is>
          <t>OCAK</t>
        </is>
      </c>
      <c r="C1" s="464" t="n"/>
      <c r="D1" s="39" t="n"/>
      <c r="E1" s="463" t="inlineStr">
        <is>
          <t>ŞUBAT</t>
        </is>
      </c>
      <c r="F1" s="464" t="n"/>
      <c r="G1" s="39" t="n"/>
      <c r="H1" s="463" t="inlineStr">
        <is>
          <t>MART</t>
        </is>
      </c>
      <c r="I1" s="464" t="n"/>
      <c r="J1" s="39" t="n"/>
      <c r="K1" s="463" t="inlineStr">
        <is>
          <t>NİSAN</t>
        </is>
      </c>
      <c r="L1" s="464" t="n"/>
      <c r="M1" s="39" t="n"/>
      <c r="N1" s="463" t="inlineStr">
        <is>
          <t>MAYIS</t>
        </is>
      </c>
      <c r="O1" s="464" t="n"/>
      <c r="P1" s="39" t="n"/>
      <c r="Q1" s="463" t="inlineStr">
        <is>
          <t>HAZİRAN</t>
        </is>
      </c>
      <c r="R1" s="464" t="n"/>
      <c r="S1" s="39" t="n"/>
      <c r="T1" s="463" t="inlineStr">
        <is>
          <t>TEMMUZ</t>
        </is>
      </c>
      <c r="U1" s="464" t="n"/>
      <c r="V1" s="39" t="n"/>
      <c r="W1" s="463" t="inlineStr">
        <is>
          <t>AĞUSTOS</t>
        </is>
      </c>
      <c r="X1" s="464" t="n"/>
      <c r="Y1" s="39" t="n"/>
      <c r="Z1" s="463" t="inlineStr">
        <is>
          <t>EYLÜL</t>
        </is>
      </c>
      <c r="AA1" s="464" t="n"/>
      <c r="AB1" s="39" t="n"/>
      <c r="AC1" s="463" t="inlineStr">
        <is>
          <t>EKİM</t>
        </is>
      </c>
      <c r="AD1" s="464" t="n"/>
      <c r="AE1" s="39" t="n"/>
      <c r="AF1" s="463" t="inlineStr">
        <is>
          <t>KASIM</t>
        </is>
      </c>
      <c r="AG1" s="464" t="n"/>
      <c r="AH1" s="39" t="n"/>
      <c r="AI1" s="463" t="inlineStr">
        <is>
          <t>ARALIK</t>
        </is>
      </c>
      <c r="AJ1" s="464" t="n"/>
      <c r="AK1" s="39" t="n"/>
      <c r="AL1" s="448" t="n"/>
      <c r="AM1" s="464" t="n"/>
    </row>
    <row r="2" customFormat="1" s="1">
      <c r="A2" s="3" t="n"/>
      <c r="B2" s="11" t="inlineStr">
        <is>
          <t>Budget</t>
        </is>
      </c>
      <c r="C2" s="11" t="inlineStr">
        <is>
          <t>Actual</t>
        </is>
      </c>
      <c r="D2" s="8" t="n"/>
      <c r="E2" s="11" t="inlineStr">
        <is>
          <t>Budget</t>
        </is>
      </c>
      <c r="F2" s="11" t="inlineStr">
        <is>
          <t>Actual</t>
        </is>
      </c>
      <c r="G2" s="8" t="n"/>
      <c r="H2" s="11" t="inlineStr">
        <is>
          <t>Budget</t>
        </is>
      </c>
      <c r="I2" s="11" t="inlineStr">
        <is>
          <t>Actual</t>
        </is>
      </c>
      <c r="J2" s="8" t="n"/>
      <c r="K2" s="11" t="inlineStr">
        <is>
          <t>Budget</t>
        </is>
      </c>
      <c r="L2" s="11" t="inlineStr">
        <is>
          <t>Actual</t>
        </is>
      </c>
      <c r="M2" s="8" t="n"/>
      <c r="N2" s="11" t="inlineStr">
        <is>
          <t>Budget</t>
        </is>
      </c>
      <c r="O2" s="11" t="inlineStr">
        <is>
          <t>Actual</t>
        </is>
      </c>
      <c r="P2" s="8" t="n"/>
      <c r="Q2" s="11" t="inlineStr">
        <is>
          <t>Budget</t>
        </is>
      </c>
      <c r="R2" s="11" t="inlineStr">
        <is>
          <t>Actual</t>
        </is>
      </c>
      <c r="S2" s="8" t="n"/>
      <c r="T2" s="11" t="inlineStr">
        <is>
          <t>Budget</t>
        </is>
      </c>
      <c r="U2" s="11" t="inlineStr">
        <is>
          <t>Actual</t>
        </is>
      </c>
      <c r="V2" s="8" t="n"/>
      <c r="W2" s="11" t="inlineStr">
        <is>
          <t>Budget</t>
        </is>
      </c>
      <c r="X2" s="11" t="inlineStr">
        <is>
          <t>Actual</t>
        </is>
      </c>
      <c r="Y2" s="8" t="n"/>
      <c r="Z2" s="11" t="inlineStr">
        <is>
          <t>Budget</t>
        </is>
      </c>
      <c r="AA2" s="11" t="inlineStr">
        <is>
          <t>Actual</t>
        </is>
      </c>
      <c r="AB2" s="8" t="n"/>
      <c r="AC2" s="11" t="inlineStr">
        <is>
          <t>Budget</t>
        </is>
      </c>
      <c r="AD2" s="11" t="inlineStr">
        <is>
          <t>Actual</t>
        </is>
      </c>
      <c r="AE2" s="8" t="n"/>
      <c r="AF2" s="11" t="inlineStr">
        <is>
          <t>Budget</t>
        </is>
      </c>
      <c r="AG2" s="11" t="inlineStr">
        <is>
          <t>Actual</t>
        </is>
      </c>
      <c r="AH2" s="8" t="n"/>
      <c r="AI2" s="11" t="inlineStr">
        <is>
          <t>Budget</t>
        </is>
      </c>
      <c r="AJ2" s="11" t="inlineStr">
        <is>
          <t>Actual</t>
        </is>
      </c>
      <c r="AK2" s="8" t="n"/>
      <c r="AL2" s="11" t="inlineStr">
        <is>
          <t>Difference</t>
        </is>
      </c>
      <c r="AM2" s="11" t="inlineStr">
        <is>
          <t>Variance %</t>
        </is>
      </c>
      <c r="AO2" s="43" t="inlineStr">
        <is>
          <t>Budget</t>
        </is>
      </c>
      <c r="AP2" s="43" t="inlineStr">
        <is>
          <t>Actual</t>
        </is>
      </c>
    </row>
    <row r="3" ht="15.5" customHeight="1">
      <c r="A3" s="2" t="inlineStr">
        <is>
          <t>Eur Kapanış</t>
        </is>
      </c>
      <c r="B3" s="465">
        <f>'Bütçe aylık-TL'!$B$2</f>
        <v/>
      </c>
      <c r="C3" s="465">
        <f>'gerç aylık-tl'!$B$2</f>
        <v/>
      </c>
      <c r="D3" s="465" t="n"/>
      <c r="E3" s="465">
        <f>'Bütçe aylık-TL'!$C$2</f>
        <v/>
      </c>
      <c r="F3" s="465">
        <f>'gerç aylık-tl'!$C$2</f>
        <v/>
      </c>
      <c r="G3" s="465" t="n"/>
      <c r="H3" s="465">
        <f>'Bütçe aylık-TL'!$D$2</f>
        <v/>
      </c>
      <c r="I3" s="465">
        <f>'gerç aylık-tl'!$D$2</f>
        <v/>
      </c>
      <c r="J3" s="465" t="n"/>
      <c r="K3" s="465">
        <f>'Bütçe aylık-TL'!$E$2</f>
        <v/>
      </c>
      <c r="L3" s="465">
        <f>'gerç aylık-tl'!$E$2</f>
        <v/>
      </c>
      <c r="M3" s="465" t="n"/>
      <c r="N3" s="465">
        <f>'Bütçe aylık-TL'!$F$2</f>
        <v/>
      </c>
      <c r="O3" s="465">
        <f>'gerç aylık-tl'!$F$2</f>
        <v/>
      </c>
      <c r="P3" s="465" t="n"/>
      <c r="Q3" s="465">
        <f>'Bütçe aylık-TL'!$G$2</f>
        <v/>
      </c>
      <c r="R3" s="465">
        <f>'gerç aylık-tl'!$G$2</f>
        <v/>
      </c>
      <c r="S3" s="465" t="n"/>
      <c r="T3" s="465">
        <f>'Bütçe aylık-TL'!$H$2</f>
        <v/>
      </c>
      <c r="U3" s="465">
        <f>'gerç aylık-tl'!$H$2</f>
        <v/>
      </c>
      <c r="V3" s="465" t="n"/>
      <c r="W3" s="465">
        <f>'Bütçe aylık-TL'!$I$2</f>
        <v/>
      </c>
      <c r="X3" s="465">
        <f>'gerç aylık-tl'!$I$2</f>
        <v/>
      </c>
      <c r="Y3" s="465" t="n"/>
      <c r="Z3" s="465">
        <f>'Bütçe aylık-TL'!$J$2</f>
        <v/>
      </c>
      <c r="AA3" s="465">
        <f>'gerç aylık-tl'!$J$2</f>
        <v/>
      </c>
      <c r="AB3" s="465" t="n"/>
      <c r="AC3" s="465">
        <f>'Bütçe aylık-TL'!$K$2</f>
        <v/>
      </c>
      <c r="AD3" s="465">
        <f>'gerç aylık-tl'!$K$2</f>
        <v/>
      </c>
      <c r="AE3" s="465" t="n"/>
      <c r="AF3" s="465">
        <f>'Bütçe aylık-TL'!$L$2</f>
        <v/>
      </c>
      <c r="AG3" s="465">
        <f>'gerç aylık-tl'!$L$2</f>
        <v/>
      </c>
      <c r="AH3" s="465" t="n"/>
      <c r="AI3" s="465">
        <f>'Bütçe aylık-TL'!$M$2</f>
        <v/>
      </c>
      <c r="AJ3" s="465">
        <f>'gerç aylık-tl'!$M$2</f>
        <v/>
      </c>
      <c r="AK3" s="465" t="n"/>
      <c r="AL3" s="25">
        <f>AP3-AO3</f>
        <v/>
      </c>
      <c r="AM3" s="22">
        <f>AP3/AO3-1</f>
        <v/>
      </c>
      <c r="AO3" s="44">
        <f>IF($A$1=$B$1,B3,IF($A$1=$E$1,E3,IF($A$1=$H$1,H3,IF($A$1=$K$1,K3,IF($A$1=$N$1,N3,IF($A$1=$Q$1,Q3,IF($A$1=$T$1,T3,IF($A$1=$W$1,W3,IF($A$1=$Z$1,Z3,IF($A$1=$AC$1,AC3,IF($A$1=$AF$1,AF3,IF($A$1=$AI$1,AI3))))))))))))</f>
        <v/>
      </c>
      <c r="AP3" s="44">
        <f>IF($A$1=$B$1,C3,IF($A$1=$E$1,F3,IF($A$1=$H$1,I3,IF($A$1=$K$1,L3,IF($A$1=$N$1,O3,IF($A$1=$Q$1,R3,IF($A$1=$T$1,U3,IF($A$1=$W$1,X3,IF($A$1=$Z$1,AA3,IF($A$1=$AC$1,AD3,IF($A$1=$AF$1,AG3,IF($A$1=$AI$1,AJ3))))))))))))</f>
        <v/>
      </c>
      <c r="AR3" s="94">
        <f>250000000/L3</f>
        <v/>
      </c>
    </row>
    <row r="4" ht="15.5" customHeight="1">
      <c r="A4" s="2" t="inlineStr">
        <is>
          <t>Eur Ortalama</t>
        </is>
      </c>
      <c r="B4" s="465">
        <f>'Bütçe aylık-TL'!$B$3</f>
        <v/>
      </c>
      <c r="C4" s="465">
        <f>'gerç aylık-tl'!$B$3</f>
        <v/>
      </c>
      <c r="D4" s="465" t="n"/>
      <c r="E4" s="465">
        <f>'Bütçe aylık-TL'!$C$3</f>
        <v/>
      </c>
      <c r="F4" s="465">
        <f>'gerç aylık-tl'!$C$3</f>
        <v/>
      </c>
      <c r="G4" s="465" t="n"/>
      <c r="H4" s="465">
        <f>'Bütçe aylık-TL'!$D$3</f>
        <v/>
      </c>
      <c r="I4" s="465">
        <f>'gerç aylık-tl'!$D$3</f>
        <v/>
      </c>
      <c r="J4" s="465" t="n"/>
      <c r="K4" s="465">
        <f>'Bütçe aylık-TL'!$E$3</f>
        <v/>
      </c>
      <c r="L4" s="465">
        <f>'gerç aylık-tl'!$E$3</f>
        <v/>
      </c>
      <c r="M4" s="465" t="n"/>
      <c r="N4" s="465">
        <f>'Bütçe aylık-TL'!$F$3</f>
        <v/>
      </c>
      <c r="O4" s="465">
        <f>'gerç aylık-tl'!$F$3</f>
        <v/>
      </c>
      <c r="P4" s="465" t="n"/>
      <c r="Q4" s="465">
        <f>'Bütçe aylık-TL'!$G$3</f>
        <v/>
      </c>
      <c r="R4" s="465">
        <f>'gerç aylık-tl'!$G$3</f>
        <v/>
      </c>
      <c r="S4" s="465" t="n"/>
      <c r="T4" s="465">
        <f>'Bütçe aylık-TL'!$H$3</f>
        <v/>
      </c>
      <c r="U4" s="465">
        <f>'gerç aylık-tl'!$H$3</f>
        <v/>
      </c>
      <c r="V4" s="465" t="n"/>
      <c r="W4" s="465">
        <f>'Bütçe aylık-TL'!$I$3</f>
        <v/>
      </c>
      <c r="X4" s="465">
        <f>'gerç aylık-tl'!$I$3</f>
        <v/>
      </c>
      <c r="Y4" s="465" t="n"/>
      <c r="Z4" s="465">
        <f>'Bütçe aylık-TL'!$J$3</f>
        <v/>
      </c>
      <c r="AA4" s="465">
        <f>'gerç aylık-tl'!$J$3</f>
        <v/>
      </c>
      <c r="AB4" s="465" t="n"/>
      <c r="AC4" s="465">
        <f>'Bütçe aylık-TL'!$K$3</f>
        <v/>
      </c>
      <c r="AD4" s="465">
        <f>'gerç aylık-tl'!$K$3</f>
        <v/>
      </c>
      <c r="AE4" s="465" t="n"/>
      <c r="AF4" s="465">
        <f>'Bütçe aylık-TL'!$L$3</f>
        <v/>
      </c>
      <c r="AG4" s="465">
        <f>'gerç aylık-tl'!$L$3</f>
        <v/>
      </c>
      <c r="AH4" s="465" t="n"/>
      <c r="AI4" s="465">
        <f>'Bütçe aylık-TL'!$M$3</f>
        <v/>
      </c>
      <c r="AJ4" s="465">
        <f>'gerç aylık-tl'!$M$3</f>
        <v/>
      </c>
      <c r="AK4" s="465" t="n"/>
      <c r="AL4" s="25">
        <f>AP4-AO4</f>
        <v/>
      </c>
      <c r="AM4" s="22">
        <f>AP4/AO4-1</f>
        <v/>
      </c>
      <c r="AO4" s="44">
        <f>IF($A$1=$B$1,B4,IF($A$1=$E$1,E4,IF($A$1=$H$1,H4,IF($A$1=$K$1,K4,IF($A$1=$N$1,N4,IF($A$1=$Q$1,Q4,IF($A$1=$T$1,T4,IF($A$1=$W$1,W4,IF($A$1=$Z$1,Z4,IF($A$1=$AC$1,AC4,IF($A$1=$AF$1,AF4,IF($A$1=$AI$1,AI4))))))))))))</f>
        <v/>
      </c>
      <c r="AP4" s="44">
        <f>IF($A$1=$B$1,C4,IF($A$1=$E$1,F4,IF($A$1=$H$1,I4,IF($A$1=$K$1,L4,IF($A$1=$N$1,O4,IF($A$1=$Q$1,R4,IF($A$1=$T$1,U4,IF($A$1=$W$1,X4,IF($A$1=$Z$1,AA4,IF($A$1=$AC$1,AD4,IF($A$1=$AF$1,AG4,IF($A$1=$AI$1,AJ4))))))))))))</f>
        <v/>
      </c>
    </row>
    <row r="5" ht="15.5" customHeight="1">
      <c r="A5" s="2" t="n"/>
      <c r="B5" s="465" t="n"/>
      <c r="C5" s="465" t="n"/>
      <c r="D5" s="465" t="n"/>
      <c r="E5" s="465" t="n"/>
      <c r="F5" s="465" t="n"/>
      <c r="G5" s="465" t="n"/>
      <c r="H5" s="465" t="n"/>
      <c r="I5" s="465" t="n"/>
      <c r="J5" s="465" t="n"/>
      <c r="K5" s="465" t="n"/>
      <c r="L5" s="465" t="n"/>
      <c r="M5" s="465" t="n"/>
      <c r="N5" s="465" t="n"/>
      <c r="O5" s="465" t="n"/>
      <c r="P5" s="465" t="n"/>
      <c r="Q5" s="465" t="n"/>
      <c r="R5" s="465" t="n"/>
      <c r="S5" s="465" t="n"/>
      <c r="T5" s="465" t="n"/>
      <c r="U5" s="465" t="n"/>
      <c r="V5" s="465" t="n"/>
      <c r="W5" s="465" t="n"/>
      <c r="X5" s="465" t="n"/>
      <c r="Y5" s="465" t="n"/>
      <c r="Z5" s="465" t="n"/>
      <c r="AA5" s="465" t="n"/>
      <c r="AB5" s="465" t="n"/>
      <c r="AC5" s="465" t="n"/>
      <c r="AD5" s="465" t="n"/>
      <c r="AE5" s="465" t="n"/>
      <c r="AF5" s="465" t="n"/>
      <c r="AG5" s="465" t="n"/>
      <c r="AH5" s="465" t="n"/>
      <c r="AI5" s="465" t="n"/>
      <c r="AJ5" s="465" t="n"/>
      <c r="AK5" s="5" t="n"/>
      <c r="AL5" s="25" t="n"/>
      <c r="AM5" s="22" t="n"/>
      <c r="AO5" s="44" t="n"/>
      <c r="AP5" s="44" t="n"/>
    </row>
    <row r="6" ht="15.5" customFormat="1" customHeight="1" s="44">
      <c r="A6" s="31" t="inlineStr">
        <is>
          <t>Net Sales</t>
        </is>
      </c>
      <c r="B6" s="32">
        <f>'Bütçe aylık-Eur'!$B$4</f>
        <v/>
      </c>
      <c r="C6" s="32">
        <f>'gerç aylık-eur'!$B$4</f>
        <v/>
      </c>
      <c r="D6" s="18" t="n"/>
      <c r="E6" s="32">
        <f>'Bütçe aylık-Eur'!$C$4</f>
        <v/>
      </c>
      <c r="F6" s="32">
        <f>'gerç aylık-eur'!$C$4</f>
        <v/>
      </c>
      <c r="G6" s="18" t="n"/>
      <c r="H6" s="32">
        <f>'Bütçe aylık-Eur'!$D$4</f>
        <v/>
      </c>
      <c r="I6" s="32">
        <f>'gerç aylık-eur'!$D$4</f>
        <v/>
      </c>
      <c r="J6" s="18" t="n"/>
      <c r="K6" s="32">
        <f>'Bütçe aylık-Eur'!$E$4</f>
        <v/>
      </c>
      <c r="L6" s="32">
        <f>'gerç aylık-eur'!$E$4</f>
        <v/>
      </c>
      <c r="M6" s="18" t="n"/>
      <c r="N6" s="32">
        <f>'Bütçe aylık-Eur'!$F$4</f>
        <v/>
      </c>
      <c r="O6" s="32">
        <f>'gerç aylık-eur'!$F$4</f>
        <v/>
      </c>
      <c r="P6" s="18" t="n"/>
      <c r="Q6" s="32">
        <f>'Bütçe aylık-Eur'!$G$4</f>
        <v/>
      </c>
      <c r="R6" s="32">
        <f>'gerç aylık-eur'!$G$4</f>
        <v/>
      </c>
      <c r="S6" s="18" t="n"/>
      <c r="T6" s="32">
        <f>'Bütçe aylık-Eur'!$H$4</f>
        <v/>
      </c>
      <c r="U6" s="32">
        <f>'gerç aylık-eur'!$H$4</f>
        <v/>
      </c>
      <c r="V6" s="18" t="n"/>
      <c r="W6" s="32">
        <f>'Bütçe aylık-Eur'!$I$4</f>
        <v/>
      </c>
      <c r="X6" s="32">
        <f>'gerç aylık-eur'!$I$4</f>
        <v/>
      </c>
      <c r="Y6" s="18" t="n"/>
      <c r="Z6" s="32">
        <f>'Bütçe aylık-Eur'!$J$4</f>
        <v/>
      </c>
      <c r="AA6" s="32">
        <f>'gerç aylık-eur'!$J$4</f>
        <v/>
      </c>
      <c r="AB6" s="18" t="n"/>
      <c r="AC6" s="32">
        <f>'Bütçe aylık-Eur'!$K$4</f>
        <v/>
      </c>
      <c r="AD6" s="32">
        <f>'gerç aylık-eur'!$K$4</f>
        <v/>
      </c>
      <c r="AE6" s="18" t="n"/>
      <c r="AF6" s="32">
        <f>'Bütçe aylık-Eur'!$L$4</f>
        <v/>
      </c>
      <c r="AG6" s="32">
        <f>'gerç aylık-eur'!$L$4</f>
        <v/>
      </c>
      <c r="AH6" s="18" t="n"/>
      <c r="AI6" s="32">
        <f>'Bütçe aylık-Eur'!$M$4</f>
        <v/>
      </c>
      <c r="AJ6" s="32">
        <f>'gerç aylık-eur'!$M$4</f>
        <v/>
      </c>
      <c r="AK6" s="18" t="n"/>
      <c r="AL6" s="33">
        <f>AP6-AO6</f>
        <v/>
      </c>
      <c r="AM6" s="466">
        <f>AP6/AO6-1</f>
        <v/>
      </c>
      <c r="AO6" s="44">
        <f>IF($A$1=$B$1,B6,IF($A$1=$E$1,E6,IF($A$1=$H$1,H6,IF($A$1=$K$1,K6,IF($A$1=$N$1,N6,IF($A$1=$Q$1,Q6,IF($A$1=$T$1,T6,IF($A$1=$W$1,W6,IF($A$1=$Z$1,Z6,IF($A$1=$AC$1,AC6,IF($A$1=$AF$1,AF6,IF($A$1=$AI$1,AI6))))))))))))</f>
        <v/>
      </c>
      <c r="AP6" s="44">
        <f>IF($A$1=$B$1,C6,IF($A$1=$E$1,F6,IF($A$1=$H$1,I6,IF($A$1=$K$1,L6,IF($A$1=$N$1,O6,IF($A$1=$Q$1,R6,IF($A$1=$T$1,U6,IF($A$1=$W$1,X6,IF($A$1=$Z$1,AA6,IF($A$1=$AC$1,AD6,IF($A$1=$AF$1,AG6,IF($A$1=$AI$1,AJ6))))))))))))</f>
        <v/>
      </c>
    </row>
    <row r="7" ht="15.5" customFormat="1" customHeight="1" s="46">
      <c r="A7" s="17" t="n"/>
      <c r="B7" s="28" t="n"/>
      <c r="C7" s="291">
        <f>B6-C6</f>
        <v/>
      </c>
      <c r="D7" s="40" t="n"/>
      <c r="E7" s="28" t="n"/>
      <c r="F7" s="291">
        <f>E6-F6</f>
        <v/>
      </c>
      <c r="G7" s="40" t="n"/>
      <c r="H7" s="28" t="n"/>
      <c r="I7" s="291">
        <f>H6-I6</f>
        <v/>
      </c>
      <c r="J7" s="40" t="n"/>
      <c r="K7" s="28" t="n"/>
      <c r="L7" s="291">
        <f>K6-L6</f>
        <v/>
      </c>
      <c r="M7" s="40" t="n"/>
      <c r="N7" s="28" t="n"/>
      <c r="O7" s="291">
        <f>N6-O6</f>
        <v/>
      </c>
      <c r="P7" s="40" t="n"/>
      <c r="Q7" s="28" t="n"/>
      <c r="R7" s="28" t="n"/>
      <c r="S7" s="40" t="n"/>
      <c r="T7" s="28" t="n"/>
      <c r="U7" s="28" t="n"/>
      <c r="V7" s="40" t="n"/>
      <c r="W7" s="28" t="n"/>
      <c r="X7" s="28" t="n"/>
      <c r="Y7" s="40" t="n"/>
      <c r="Z7" s="28" t="n"/>
      <c r="AA7" s="28" t="n"/>
      <c r="AB7" s="40" t="n"/>
      <c r="AC7" s="28" t="n"/>
      <c r="AD7" s="28" t="n"/>
      <c r="AE7" s="40" t="n"/>
      <c r="AF7" s="28" t="n"/>
      <c r="AG7" s="28" t="n"/>
      <c r="AH7" s="40" t="n"/>
      <c r="AI7" s="28" t="n"/>
      <c r="AJ7" s="28" t="n"/>
      <c r="AK7" s="40" t="n"/>
      <c r="AL7" s="21" t="n"/>
      <c r="AM7" s="22" t="n"/>
      <c r="AO7" s="44" t="n"/>
      <c r="AP7" s="44" t="n"/>
    </row>
    <row r="8" ht="17" customFormat="1" customHeight="1" s="51">
      <c r="A8" s="47" t="inlineStr">
        <is>
          <t>SALES BY CHANNELS(100% Satışlar)</t>
        </is>
      </c>
      <c r="B8" s="411" t="n"/>
      <c r="C8" s="412" t="n"/>
      <c r="D8" s="411" t="n"/>
      <c r="E8" s="411" t="n"/>
      <c r="F8" s="412" t="n"/>
      <c r="G8" s="411" t="n"/>
      <c r="H8" s="411" t="n"/>
      <c r="I8" s="412" t="n"/>
      <c r="J8" s="411" t="n"/>
      <c r="K8" s="411" t="n"/>
      <c r="L8" s="412" t="n"/>
      <c r="M8" s="411" t="n"/>
      <c r="N8" s="411" t="n"/>
      <c r="O8" s="412" t="n"/>
      <c r="P8" s="411" t="n"/>
      <c r="Q8" s="411" t="n"/>
      <c r="R8" s="412" t="n"/>
      <c r="S8" s="411" t="n"/>
      <c r="T8" s="411" t="n"/>
      <c r="U8" s="412" t="n"/>
      <c r="V8" s="411" t="n"/>
      <c r="W8" s="411" t="n"/>
      <c r="X8" s="412" t="n"/>
      <c r="Y8" s="411" t="n"/>
      <c r="Z8" s="411" t="n"/>
      <c r="AA8" s="412" t="n"/>
      <c r="AB8" s="411" t="n"/>
      <c r="AC8" s="411" t="n"/>
      <c r="AD8" s="412" t="n"/>
      <c r="AE8" s="411" t="n"/>
      <c r="AF8" s="411" t="n"/>
      <c r="AG8" s="412" t="n"/>
      <c r="AH8" s="411" t="n"/>
      <c r="AI8" s="411" t="n"/>
      <c r="AJ8" s="412" t="n"/>
      <c r="AK8" s="411" t="n"/>
      <c r="AL8" s="411" t="n"/>
      <c r="AM8" s="50" t="n"/>
    </row>
    <row r="9" ht="15.5" customHeight="1">
      <c r="A9" s="26" t="inlineStr">
        <is>
          <t xml:space="preserve">İnci Holding </t>
        </is>
      </c>
      <c r="B9" s="14">
        <f>'Bütçe aylık-Eur'!$B$5</f>
        <v/>
      </c>
      <c r="C9" s="14">
        <f>'gerç aylık-eur'!$B$5</f>
        <v/>
      </c>
      <c r="D9" s="14" t="n"/>
      <c r="E9" s="14">
        <f>'Bütçe aylık-Eur'!$C$5</f>
        <v/>
      </c>
      <c r="F9" s="14">
        <f>'gerç aylık-eur'!$C$5</f>
        <v/>
      </c>
      <c r="G9" s="14" t="n"/>
      <c r="H9" s="14">
        <f>'Bütçe aylık-Eur'!$D$5</f>
        <v/>
      </c>
      <c r="I9" s="14">
        <f>'gerç aylık-eur'!$D$5</f>
        <v/>
      </c>
      <c r="J9" s="14" t="n"/>
      <c r="K9" s="14">
        <f>'Bütçe aylık-Eur'!$E$5</f>
        <v/>
      </c>
      <c r="L9" s="14">
        <f>'gerç aylık-eur'!$E$5</f>
        <v/>
      </c>
      <c r="M9" s="14" t="n"/>
      <c r="N9" s="14">
        <f>'Bütçe aylık-Eur'!$F$5</f>
        <v/>
      </c>
      <c r="O9" s="14">
        <f>'gerç aylık-eur'!$F$5</f>
        <v/>
      </c>
      <c r="P9" s="56">
        <f>O9/N9</f>
        <v/>
      </c>
      <c r="Q9" s="14">
        <f>'Bütçe aylık-Eur'!$G$5</f>
        <v/>
      </c>
      <c r="R9" s="14">
        <f>'gerç aylık-eur'!$G$5</f>
        <v/>
      </c>
      <c r="S9" s="56" t="n"/>
      <c r="T9" s="14">
        <f>'Bütçe aylık-Eur'!$H$5</f>
        <v/>
      </c>
      <c r="U9" s="14">
        <f>'gerç aylık-eur'!$H$5</f>
        <v/>
      </c>
      <c r="V9" s="14" t="n"/>
      <c r="W9" s="14">
        <f>'Bütçe aylık-Eur'!$I$5</f>
        <v/>
      </c>
      <c r="X9" s="14">
        <f>'gerç aylık-eur'!$I$5</f>
        <v/>
      </c>
      <c r="Y9" s="14" t="n"/>
      <c r="Z9" s="14">
        <f>'Bütçe aylık-Eur'!$J$5</f>
        <v/>
      </c>
      <c r="AA9" s="14">
        <f>'gerç aylık-eur'!$J$5</f>
        <v/>
      </c>
      <c r="AB9" s="14" t="n"/>
      <c r="AC9" s="14">
        <f>'Bütçe aylık-Eur'!$K$5</f>
        <v/>
      </c>
      <c r="AD9" s="14">
        <f>'gerç aylık-eur'!$K$5</f>
        <v/>
      </c>
      <c r="AE9" s="14" t="n"/>
      <c r="AF9" s="14">
        <f>'Bütçe aylık-Eur'!$L$5</f>
        <v/>
      </c>
      <c r="AG9" s="14">
        <f>'gerç aylık-eur'!$L$5</f>
        <v/>
      </c>
      <c r="AH9" s="14" t="n"/>
      <c r="AI9" s="14">
        <f>'Bütçe aylık-Eur'!$M$5</f>
        <v/>
      </c>
      <c r="AJ9" s="14">
        <f>'gerç aylık-eur'!$M$5</f>
        <v/>
      </c>
      <c r="AK9" s="14" t="n"/>
      <c r="AL9" s="21">
        <f>AP9-AO9</f>
        <v/>
      </c>
      <c r="AM9" s="467">
        <f>AP9/AO9-1</f>
        <v/>
      </c>
      <c r="AO9" s="44">
        <f>IF($A$1=$B$1,B9,IF($A$1=$E$1,E9,IF($A$1=$H$1,H9,IF($A$1=$K$1,K9,IF($A$1=$N$1,N9,IF($A$1=$Q$1,Q9,IF($A$1=$T$1,T9,IF($A$1=$W$1,W9,IF($A$1=$Z$1,Z9,IF($A$1=$AC$1,AC9,IF($A$1=$AF$1,AF9,IF($A$1=$AI$1,AI9))))))))))))</f>
        <v/>
      </c>
      <c r="AP9" s="44">
        <f>IF($A$1=$B$1,C9,IF($A$1=$E$1,F9,IF($A$1=$H$1,I9,IF($A$1=$K$1,L9,IF($A$1=$N$1,O9,IF($A$1=$Q$1,R9,IF($A$1=$T$1,U9,IF($A$1=$W$1,X9,IF($A$1=$Z$1,AA9,IF($A$1=$AC$1,AD9,IF($A$1=$AF$1,AG9,IF($A$1=$AI$1,AJ9))))))))))))</f>
        <v/>
      </c>
    </row>
    <row r="10" ht="15.5" customHeight="1">
      <c r="A10" s="26" t="inlineStr">
        <is>
          <t xml:space="preserve">ISM </t>
        </is>
      </c>
      <c r="B10" s="7">
        <f>'Bütçe aylık-Eur'!$B$6</f>
        <v/>
      </c>
      <c r="C10" s="14">
        <f>'gerç aylık-eur'!$B$6</f>
        <v/>
      </c>
      <c r="D10" s="7" t="n"/>
      <c r="E10" s="7">
        <f>'Bütçe aylık-Eur'!$C$6</f>
        <v/>
      </c>
      <c r="F10" s="14">
        <f>'gerç aylık-eur'!$C$6</f>
        <v/>
      </c>
      <c r="G10" s="7" t="n"/>
      <c r="H10" s="7">
        <f>'Bütçe aylık-Eur'!$D$6</f>
        <v/>
      </c>
      <c r="I10" s="14">
        <f>'gerç aylık-eur'!$D$6</f>
        <v/>
      </c>
      <c r="J10" s="7" t="n"/>
      <c r="K10" s="7">
        <f>'Bütçe aylık-Eur'!$E$6</f>
        <v/>
      </c>
      <c r="L10" s="14">
        <f>'gerç aylık-eur'!$E$6</f>
        <v/>
      </c>
      <c r="M10" s="7" t="n"/>
      <c r="N10" s="7">
        <f>'Bütçe aylık-Eur'!$F$6</f>
        <v/>
      </c>
      <c r="O10" s="14">
        <f>'gerç aylık-eur'!$F$6</f>
        <v/>
      </c>
      <c r="P10" s="56">
        <f>O10/N10</f>
        <v/>
      </c>
      <c r="Q10" s="7">
        <f>'Bütçe aylık-Eur'!$G$6</f>
        <v/>
      </c>
      <c r="R10" s="14">
        <f>'gerç aylık-eur'!$G$6</f>
        <v/>
      </c>
      <c r="S10" s="56" t="n"/>
      <c r="T10" s="7">
        <f>'Bütçe aylık-Eur'!$H$6</f>
        <v/>
      </c>
      <c r="U10" s="14">
        <f>'gerç aylık-eur'!$H$6</f>
        <v/>
      </c>
      <c r="V10" s="7" t="n"/>
      <c r="W10" s="7">
        <f>'Bütçe aylık-Eur'!$I$6</f>
        <v/>
      </c>
      <c r="X10" s="14">
        <f>'gerç aylık-eur'!$I$6</f>
        <v/>
      </c>
      <c r="Y10" s="7" t="n"/>
      <c r="Z10" s="7">
        <f>'Bütçe aylık-Eur'!$J$6</f>
        <v/>
      </c>
      <c r="AA10" s="14">
        <f>'gerç aylık-eur'!$J$6</f>
        <v/>
      </c>
      <c r="AB10" s="7" t="n"/>
      <c r="AC10" s="7">
        <f>'Bütçe aylık-Eur'!$K$6</f>
        <v/>
      </c>
      <c r="AD10" s="14">
        <f>'gerç aylık-eur'!$K$6</f>
        <v/>
      </c>
      <c r="AE10" s="7" t="n"/>
      <c r="AF10" s="7">
        <f>'Bütçe aylık-Eur'!$L$6</f>
        <v/>
      </c>
      <c r="AG10" s="14">
        <f>'gerç aylık-eur'!$L$6</f>
        <v/>
      </c>
      <c r="AH10" s="7" t="n"/>
      <c r="AI10" s="7">
        <f>'Bütçe aylık-Eur'!$M$6</f>
        <v/>
      </c>
      <c r="AJ10" s="14">
        <f>'gerç aylık-eur'!$M$6</f>
        <v/>
      </c>
      <c r="AK10" s="7" t="n"/>
      <c r="AL10" s="21">
        <f>AP10-AO10</f>
        <v/>
      </c>
      <c r="AM10" s="467">
        <f>AP10/AO10-1</f>
        <v/>
      </c>
      <c r="AO10" s="44">
        <f>IF($A$1=$B$1,B10,IF($A$1=$E$1,E10,IF($A$1=$H$1,H10,IF($A$1=$K$1,K10,IF($A$1=$N$1,N10,IF($A$1=$Q$1,Q10,IF($A$1=$T$1,T10,IF($A$1=$W$1,W10,IF($A$1=$Z$1,Z10,IF($A$1=$AC$1,AC10,IF($A$1=$AF$1,AF10,IF($A$1=$AI$1,AI10))))))))))))</f>
        <v/>
      </c>
      <c r="AP10" s="44">
        <f>IF($A$1=$B$1,C10,IF($A$1=$E$1,F10,IF($A$1=$H$1,I10,IF($A$1=$K$1,L10,IF($A$1=$N$1,O10,IF($A$1=$Q$1,R10,IF($A$1=$T$1,U10,IF($A$1=$W$1,X10,IF($A$1=$Z$1,AA10,IF($A$1=$AC$1,AD10,IF($A$1=$AF$1,AG10,IF($A$1=$AI$1,AJ10))))))))))))</f>
        <v/>
      </c>
    </row>
    <row r="11" ht="15.5" customHeight="1">
      <c r="A11" s="26" t="inlineStr">
        <is>
          <t>İncitaş</t>
        </is>
      </c>
      <c r="B11" s="7">
        <f>'Bütçe aylık-Eur'!$B$7</f>
        <v/>
      </c>
      <c r="C11" s="14">
        <f>'gerç aylık-eur'!$B$7</f>
        <v/>
      </c>
      <c r="D11" s="7" t="n"/>
      <c r="E11" s="7">
        <f>'Bütçe aylık-Eur'!$C$7</f>
        <v/>
      </c>
      <c r="F11" s="14">
        <f>'gerç aylık-eur'!$C$7</f>
        <v/>
      </c>
      <c r="G11" s="7" t="n"/>
      <c r="H11" s="7">
        <f>'Bütçe aylık-Eur'!$D$7</f>
        <v/>
      </c>
      <c r="I11" s="14">
        <f>'gerç aylık-eur'!$D$7</f>
        <v/>
      </c>
      <c r="J11" s="7" t="n"/>
      <c r="K11" s="7">
        <f>'Bütçe aylık-Eur'!$E$7</f>
        <v/>
      </c>
      <c r="L11" s="14">
        <f>'gerç aylık-eur'!$E$7</f>
        <v/>
      </c>
      <c r="M11" s="7" t="n"/>
      <c r="N11" s="7">
        <f>'Bütçe aylık-Eur'!$F$7</f>
        <v/>
      </c>
      <c r="O11" s="14">
        <f>'gerç aylık-eur'!$F$7</f>
        <v/>
      </c>
      <c r="P11" s="56">
        <f>O11/N11</f>
        <v/>
      </c>
      <c r="Q11" s="7">
        <f>'Bütçe aylık-Eur'!$G$7</f>
        <v/>
      </c>
      <c r="R11" s="14">
        <f>'gerç aylık-eur'!$G$7</f>
        <v/>
      </c>
      <c r="S11" s="56" t="n"/>
      <c r="T11" s="7">
        <f>'Bütçe aylık-Eur'!$H$7</f>
        <v/>
      </c>
      <c r="U11" s="14">
        <f>'gerç aylık-eur'!$H$7</f>
        <v/>
      </c>
      <c r="V11" s="7" t="n"/>
      <c r="W11" s="7">
        <f>'Bütçe aylık-Eur'!$I$7</f>
        <v/>
      </c>
      <c r="X11" s="14">
        <f>'gerç aylık-eur'!$I$7</f>
        <v/>
      </c>
      <c r="Y11" s="7" t="n"/>
      <c r="Z11" s="7">
        <f>'Bütçe aylık-Eur'!$J$7</f>
        <v/>
      </c>
      <c r="AA11" s="14">
        <f>'gerç aylık-eur'!$J$7</f>
        <v/>
      </c>
      <c r="AB11" s="7" t="n"/>
      <c r="AC11" s="7">
        <f>'Bütçe aylık-Eur'!$K$7</f>
        <v/>
      </c>
      <c r="AD11" s="14">
        <f>'gerç aylık-eur'!$K$7</f>
        <v/>
      </c>
      <c r="AE11" s="7" t="n"/>
      <c r="AF11" s="7">
        <f>'Bütçe aylık-Eur'!$L$7</f>
        <v/>
      </c>
      <c r="AG11" s="14">
        <f>'gerç aylık-eur'!$L$7</f>
        <v/>
      </c>
      <c r="AH11" s="7" t="n"/>
      <c r="AI11" s="7">
        <f>'Bütçe aylık-Eur'!$M$7</f>
        <v/>
      </c>
      <c r="AJ11" s="14">
        <f>'gerç aylık-eur'!$M$7</f>
        <v/>
      </c>
      <c r="AK11" s="7" t="n"/>
      <c r="AL11" s="21">
        <f>AP11-AO11</f>
        <v/>
      </c>
      <c r="AM11" s="467">
        <f>AP11/AO11-1</f>
        <v/>
      </c>
      <c r="AO11" s="44">
        <f>IF($A$1=$B$1,B11,IF($A$1=$E$1,E11,IF($A$1=$H$1,H11,IF($A$1=$K$1,K11,IF($A$1=$N$1,N11,IF($A$1=$Q$1,Q11,IF($A$1=$T$1,T11,IF($A$1=$W$1,W11,IF($A$1=$Z$1,Z11,IF($A$1=$AC$1,AC11,IF($A$1=$AF$1,AF11,IF($A$1=$AI$1,AI11))))))))))))</f>
        <v/>
      </c>
      <c r="AP11" s="44">
        <f>IF($A$1=$B$1,C11,IF($A$1=$E$1,F11,IF($A$1=$H$1,I11,IF($A$1=$K$1,L11,IF($A$1=$N$1,O11,IF($A$1=$Q$1,R11,IF($A$1=$T$1,U11,IF($A$1=$W$1,X11,IF($A$1=$Z$1,AA11,IF($A$1=$AC$1,AD11,IF($A$1=$AF$1,AG11,IF($A$1=$AI$1,AJ11))))))))))))</f>
        <v/>
      </c>
    </row>
    <row r="12" ht="15.5" customHeight="1">
      <c r="A12" s="26" t="inlineStr">
        <is>
          <t>İnci GS Yuasa</t>
        </is>
      </c>
      <c r="B12" s="7">
        <f>'Bütçe aylık-Eur'!$B$8</f>
        <v/>
      </c>
      <c r="C12" s="14">
        <f>'gerç aylık-eur'!$B$8</f>
        <v/>
      </c>
      <c r="D12" s="7" t="n"/>
      <c r="E12" s="7">
        <f>'Bütçe aylık-Eur'!$C$8</f>
        <v/>
      </c>
      <c r="F12" s="14">
        <f>'gerç aylık-eur'!$C$8</f>
        <v/>
      </c>
      <c r="G12" s="7" t="n"/>
      <c r="H12" s="7">
        <f>'Bütçe aylık-Eur'!$D$8</f>
        <v/>
      </c>
      <c r="I12" s="14">
        <f>'gerç aylık-eur'!$D$8</f>
        <v/>
      </c>
      <c r="J12" s="7" t="n"/>
      <c r="K12" s="7">
        <f>'Bütçe aylık-Eur'!$E$8</f>
        <v/>
      </c>
      <c r="L12" s="14">
        <f>'gerç aylık-eur'!$E$8</f>
        <v/>
      </c>
      <c r="M12" s="7" t="n"/>
      <c r="N12" s="7">
        <f>'Bütçe aylık-Eur'!$F$8</f>
        <v/>
      </c>
      <c r="O12" s="14">
        <f>'gerç aylık-eur'!$F$8</f>
        <v/>
      </c>
      <c r="P12" s="56">
        <f>O12/N12</f>
        <v/>
      </c>
      <c r="Q12" s="7">
        <f>'Bütçe aylık-Eur'!$G$8</f>
        <v/>
      </c>
      <c r="R12" s="14">
        <f>'gerç aylık-eur'!$G$8</f>
        <v/>
      </c>
      <c r="S12" s="56" t="n"/>
      <c r="T12" s="7">
        <f>'Bütçe aylık-Eur'!$H$8</f>
        <v/>
      </c>
      <c r="U12" s="14">
        <f>'gerç aylık-eur'!$H$8</f>
        <v/>
      </c>
      <c r="V12" s="7" t="n"/>
      <c r="W12" s="7">
        <f>'Bütçe aylık-Eur'!$I$8</f>
        <v/>
      </c>
      <c r="X12" s="14">
        <f>'gerç aylık-eur'!$I$8</f>
        <v/>
      </c>
      <c r="Y12" s="7" t="n"/>
      <c r="Z12" s="7">
        <f>'Bütçe aylık-Eur'!$J$8</f>
        <v/>
      </c>
      <c r="AA12" s="14">
        <f>'gerç aylık-eur'!$J$8</f>
        <v/>
      </c>
      <c r="AB12" s="7" t="n"/>
      <c r="AC12" s="7">
        <f>'Bütçe aylık-Eur'!$K$8</f>
        <v/>
      </c>
      <c r="AD12" s="14">
        <f>'gerç aylık-eur'!$K$8</f>
        <v/>
      </c>
      <c r="AE12" s="7" t="n"/>
      <c r="AF12" s="7">
        <f>'Bütçe aylık-Eur'!$L$8</f>
        <v/>
      </c>
      <c r="AG12" s="14">
        <f>'gerç aylık-eur'!$L$8</f>
        <v/>
      </c>
      <c r="AH12" s="7" t="n"/>
      <c r="AI12" s="7">
        <f>'Bütçe aylık-Eur'!$M$8</f>
        <v/>
      </c>
      <c r="AJ12" s="14">
        <f>'gerç aylık-eur'!$M$8</f>
        <v/>
      </c>
      <c r="AK12" s="7" t="n"/>
      <c r="AL12" s="21">
        <f>AP12-AO12</f>
        <v/>
      </c>
      <c r="AM12" s="467">
        <f>AP12/AO12-1</f>
        <v/>
      </c>
      <c r="AN12" s="94">
        <f>AL12*0.4</f>
        <v/>
      </c>
      <c r="AO12" s="44">
        <f>IF($A$1=$B$1,B12,IF($A$1=$E$1,E12,IF($A$1=$H$1,H12,IF($A$1=$K$1,K12,IF($A$1=$N$1,N12,IF($A$1=$Q$1,Q12,IF($A$1=$T$1,T12,IF($A$1=$W$1,W12,IF($A$1=$Z$1,Z12,IF($A$1=$AC$1,AC12,IF($A$1=$AF$1,AF12,IF($A$1=$AI$1,AI12))))))))))))</f>
        <v/>
      </c>
      <c r="AP12" s="44">
        <f>IF($A$1=$B$1,C12,IF($A$1=$E$1,F12,IF($A$1=$H$1,I12,IF($A$1=$K$1,L12,IF($A$1=$N$1,O12,IF($A$1=$Q$1,R12,IF($A$1=$T$1,U12,IF($A$1=$W$1,X12,IF($A$1=$Z$1,AA12,IF($A$1=$AC$1,AD12,IF($A$1=$AF$1,AG12,IF($A$1=$AI$1,AJ12))))))))))))</f>
        <v/>
      </c>
    </row>
    <row r="13" ht="15.5" customFormat="1" customHeight="1" s="1">
      <c r="A13" s="26" t="inlineStr">
        <is>
          <t>Yusen İnci Loj.</t>
        </is>
      </c>
      <c r="B13" s="7">
        <f>'Bütçe aylık-Eur'!$B$9</f>
        <v/>
      </c>
      <c r="C13" s="14">
        <f>'gerç aylık-eur'!$B$9</f>
        <v/>
      </c>
      <c r="D13" s="8" t="n"/>
      <c r="E13" s="7">
        <f>'Bütçe aylık-Eur'!$C$9</f>
        <v/>
      </c>
      <c r="F13" s="14">
        <f>'gerç aylık-eur'!$C$9</f>
        <v/>
      </c>
      <c r="G13" s="8" t="n"/>
      <c r="H13" s="7">
        <f>'Bütçe aylık-Eur'!$D$9</f>
        <v/>
      </c>
      <c r="I13" s="14">
        <f>'gerç aylık-eur'!$D$9</f>
        <v/>
      </c>
      <c r="J13" s="8" t="n"/>
      <c r="K13" s="7">
        <f>'Bütçe aylık-Eur'!$E$9</f>
        <v/>
      </c>
      <c r="L13" s="14">
        <f>'gerç aylık-eur'!$E$9</f>
        <v/>
      </c>
      <c r="M13" s="8" t="n"/>
      <c r="N13" s="7">
        <f>'Bütçe aylık-Eur'!$F$9</f>
        <v/>
      </c>
      <c r="O13" s="14">
        <f>'gerç aylık-eur'!$F$9</f>
        <v/>
      </c>
      <c r="P13" s="56">
        <f>O13/N13</f>
        <v/>
      </c>
      <c r="Q13" s="7">
        <f>'Bütçe aylık-Eur'!$G$9</f>
        <v/>
      </c>
      <c r="R13" s="14">
        <f>'gerç aylık-eur'!$G$9</f>
        <v/>
      </c>
      <c r="S13" s="56" t="n"/>
      <c r="T13" s="7">
        <f>'Bütçe aylık-Eur'!$H$9</f>
        <v/>
      </c>
      <c r="U13" s="14">
        <f>'gerç aylık-eur'!$H$9</f>
        <v/>
      </c>
      <c r="V13" s="8" t="n"/>
      <c r="W13" s="7">
        <f>'Bütçe aylık-Eur'!$I$9</f>
        <v/>
      </c>
      <c r="X13" s="14">
        <f>'gerç aylık-eur'!$I$9</f>
        <v/>
      </c>
      <c r="Y13" s="8" t="n"/>
      <c r="Z13" s="7">
        <f>'Bütçe aylık-Eur'!$J$9</f>
        <v/>
      </c>
      <c r="AA13" s="14">
        <f>'gerç aylık-eur'!$J$9</f>
        <v/>
      </c>
      <c r="AB13" s="8" t="n"/>
      <c r="AC13" s="7">
        <f>'Bütçe aylık-Eur'!$K$9</f>
        <v/>
      </c>
      <c r="AD13" s="14">
        <f>'gerç aylık-eur'!$K$9</f>
        <v/>
      </c>
      <c r="AE13" s="8" t="n"/>
      <c r="AF13" s="7">
        <f>'Bütçe aylık-Eur'!$L$9</f>
        <v/>
      </c>
      <c r="AG13" s="14">
        <f>'gerç aylık-eur'!$L$9</f>
        <v/>
      </c>
      <c r="AH13" s="8" t="n"/>
      <c r="AI13" s="7">
        <f>'Bütçe aylık-Eur'!$M$9</f>
        <v/>
      </c>
      <c r="AJ13" s="14">
        <f>'gerç aylık-eur'!$M$9</f>
        <v/>
      </c>
      <c r="AK13" s="8" t="n"/>
      <c r="AL13" s="21">
        <f>AP13-AO13</f>
        <v/>
      </c>
      <c r="AM13" s="467">
        <f>AP13/AO13-1</f>
        <v/>
      </c>
      <c r="AN13" s="94">
        <f>AL13*0.4</f>
        <v/>
      </c>
      <c r="AO13" s="44">
        <f>IF($A$1=$B$1,B13,IF($A$1=$E$1,E13,IF($A$1=$H$1,H13,IF($A$1=$K$1,K13,IF($A$1=$N$1,N13,IF($A$1=$Q$1,Q13,IF($A$1=$T$1,T13,IF($A$1=$W$1,W13,IF($A$1=$Z$1,Z13,IF($A$1=$AC$1,AC13,IF($A$1=$AF$1,AF13,IF($A$1=$AI$1,AI13))))))))))))</f>
        <v/>
      </c>
      <c r="AP13" s="44">
        <f>IF($A$1=$B$1,C13,IF($A$1=$E$1,F13,IF($A$1=$H$1,I13,IF($A$1=$K$1,L13,IF($A$1=$N$1,O13,IF($A$1=$Q$1,R13,IF($A$1=$T$1,U13,IF($A$1=$W$1,X13,IF($A$1=$Z$1,AA13,IF($A$1=$AC$1,AD13,IF($A$1=$AF$1,AG13,IF($A$1=$AI$1,AJ13))))))))))))</f>
        <v/>
      </c>
      <c r="AR13" s="1" t="n">
        <v>43.12</v>
      </c>
      <c r="AS13" s="129">
        <f>B13/AR13</f>
        <v/>
      </c>
    </row>
    <row r="14" ht="15.5" customHeight="1">
      <c r="A14" s="26" t="inlineStr">
        <is>
          <t>Jantaş</t>
        </is>
      </c>
      <c r="B14" s="7">
        <f>'Bütçe aylık-Eur'!$B$10</f>
        <v/>
      </c>
      <c r="C14" s="14">
        <f>'gerç aylık-eur'!$B$10</f>
        <v/>
      </c>
      <c r="D14" s="7" t="n"/>
      <c r="E14" s="7">
        <f>'Bütçe aylık-Eur'!$C$10</f>
        <v/>
      </c>
      <c r="F14" s="14">
        <f>'gerç aylık-eur'!$C$10</f>
        <v/>
      </c>
      <c r="G14" s="7" t="n"/>
      <c r="H14" s="7">
        <f>'Bütçe aylık-Eur'!$D$10</f>
        <v/>
      </c>
      <c r="I14" s="14">
        <f>'gerç aylık-eur'!$D$10</f>
        <v/>
      </c>
      <c r="J14" s="7" t="n"/>
      <c r="K14" s="7">
        <f>'Bütçe aylık-Eur'!$E$10</f>
        <v/>
      </c>
      <c r="L14" s="14">
        <f>'gerç aylık-eur'!$E$10</f>
        <v/>
      </c>
      <c r="M14" s="7" t="n"/>
      <c r="N14" s="7">
        <f>'Bütçe aylık-Eur'!$F$10</f>
        <v/>
      </c>
      <c r="O14" s="14">
        <f>'gerç aylık-eur'!$F$10</f>
        <v/>
      </c>
      <c r="P14" s="56">
        <f>O14/N14</f>
        <v/>
      </c>
      <c r="Q14" s="7">
        <f>'Bütçe aylık-Eur'!$G$10</f>
        <v/>
      </c>
      <c r="R14" s="14">
        <f>'gerç aylık-eur'!$G$10</f>
        <v/>
      </c>
      <c r="S14" s="56" t="n"/>
      <c r="T14" s="7">
        <f>'Bütçe aylık-Eur'!$H$10</f>
        <v/>
      </c>
      <c r="U14" s="14">
        <f>'gerç aylık-eur'!$H$10</f>
        <v/>
      </c>
      <c r="V14" s="7" t="n"/>
      <c r="W14" s="7">
        <f>'Bütçe aylık-Eur'!$I$10</f>
        <v/>
      </c>
      <c r="X14" s="14">
        <f>'gerç aylık-eur'!$I$10</f>
        <v/>
      </c>
      <c r="Y14" s="7" t="n"/>
      <c r="Z14" s="7">
        <f>'Bütçe aylık-Eur'!$J$10</f>
        <v/>
      </c>
      <c r="AA14" s="14">
        <f>'gerç aylık-eur'!$J$10</f>
        <v/>
      </c>
      <c r="AB14" s="7" t="n"/>
      <c r="AC14" s="7">
        <f>'Bütçe aylık-Eur'!$K$10</f>
        <v/>
      </c>
      <c r="AD14" s="14">
        <f>'gerç aylık-eur'!$K$10</f>
        <v/>
      </c>
      <c r="AE14" s="7" t="n"/>
      <c r="AF14" s="7">
        <f>'Bütçe aylık-Eur'!$L$10</f>
        <v/>
      </c>
      <c r="AG14" s="14">
        <f>'gerç aylık-eur'!$L$10</f>
        <v/>
      </c>
      <c r="AH14" s="7" t="n"/>
      <c r="AI14" s="7">
        <f>'Bütçe aylık-Eur'!$M$10</f>
        <v/>
      </c>
      <c r="AJ14" s="14">
        <f>'gerç aylık-eur'!$M$10</f>
        <v/>
      </c>
      <c r="AK14" s="7" t="n"/>
      <c r="AL14" s="21">
        <f>AP14-AO14</f>
        <v/>
      </c>
      <c r="AM14" s="467">
        <f>AP14/AO14-1</f>
        <v/>
      </c>
      <c r="AN14" s="94">
        <f>AL14*0.4</f>
        <v/>
      </c>
      <c r="AO14" s="44">
        <f>IF($A$1=$B$1,B14,IF($A$1=$E$1,E14,IF($A$1=$H$1,H14,IF($A$1=$K$1,K14,IF($A$1=$N$1,N14,IF($A$1=$Q$1,Q14,IF($A$1=$T$1,T14,IF($A$1=$W$1,W14,IF($A$1=$Z$1,Z14,IF($A$1=$AC$1,AC14,IF($A$1=$AF$1,AF14,IF($A$1=$AI$1,AI14))))))))))))</f>
        <v/>
      </c>
      <c r="AP14" s="44">
        <f>IF($A$1=$B$1,C14,IF($A$1=$E$1,F14,IF($A$1=$H$1,I14,IF($A$1=$K$1,L14,IF($A$1=$N$1,O14,IF($A$1=$Q$1,R14,IF($A$1=$T$1,U14,IF($A$1=$W$1,X14,IF($A$1=$Z$1,AA14,IF($A$1=$AC$1,AD14,IF($A$1=$AF$1,AG14,IF($A$1=$AI$1,AJ14))))))))))))</f>
        <v/>
      </c>
    </row>
    <row r="15" ht="15.5" customHeight="1">
      <c r="A15" s="26" t="inlineStr">
        <is>
          <t>Çelik</t>
        </is>
      </c>
      <c r="B15" s="7">
        <f>'Bütçe aylık-Eur'!$B$11</f>
        <v/>
      </c>
      <c r="C15" s="14">
        <f>'gerç aylık-eur'!$B$11</f>
        <v/>
      </c>
      <c r="D15" s="7" t="n"/>
      <c r="E15" s="7">
        <f>'Bütçe aylık-Eur'!$C$11</f>
        <v/>
      </c>
      <c r="F15" s="14">
        <f>'gerç aylık-eur'!$C$11</f>
        <v/>
      </c>
      <c r="G15" s="7" t="n"/>
      <c r="H15" s="7">
        <f>'Bütçe aylık-Eur'!$D$11</f>
        <v/>
      </c>
      <c r="I15" s="14">
        <f>'gerç aylık-eur'!$D$11</f>
        <v/>
      </c>
      <c r="J15" s="7" t="n"/>
      <c r="K15" s="7">
        <f>'Bütçe aylık-Eur'!$E$11</f>
        <v/>
      </c>
      <c r="L15" s="14">
        <f>'gerç aylık-eur'!$E$11</f>
        <v/>
      </c>
      <c r="M15" s="7" t="n"/>
      <c r="N15" s="7">
        <f>'Bütçe aylık-Eur'!$F$11</f>
        <v/>
      </c>
      <c r="O15" s="14">
        <f>'gerç aylık-eur'!$F$11</f>
        <v/>
      </c>
      <c r="P15" s="56">
        <f>O15/N15</f>
        <v/>
      </c>
      <c r="Q15" s="7">
        <f>'Bütçe aylık-Eur'!$G$11</f>
        <v/>
      </c>
      <c r="R15" s="14">
        <f>'gerç aylık-eur'!$G$11</f>
        <v/>
      </c>
      <c r="S15" s="56" t="n"/>
      <c r="T15" s="7">
        <f>'Bütçe aylık-Eur'!$H$11</f>
        <v/>
      </c>
      <c r="U15" s="14">
        <f>'gerç aylık-eur'!$H$11</f>
        <v/>
      </c>
      <c r="V15" s="7" t="n"/>
      <c r="W15" s="7">
        <f>'Bütçe aylık-Eur'!$I$11</f>
        <v/>
      </c>
      <c r="X15" s="14">
        <f>'gerç aylık-eur'!$I$11</f>
        <v/>
      </c>
      <c r="Y15" s="7" t="n"/>
      <c r="Z15" s="7">
        <f>'Bütçe aylık-Eur'!$J$11</f>
        <v/>
      </c>
      <c r="AA15" s="14">
        <f>'gerç aylık-eur'!$J$11</f>
        <v/>
      </c>
      <c r="AB15" s="7" t="n"/>
      <c r="AC15" s="7">
        <f>'Bütçe aylık-Eur'!$K$11</f>
        <v/>
      </c>
      <c r="AD15" s="14">
        <f>'gerç aylık-eur'!$K$11</f>
        <v/>
      </c>
      <c r="AE15" s="7" t="n"/>
      <c r="AF15" s="7">
        <f>'Bütçe aylık-Eur'!$L$11</f>
        <v/>
      </c>
      <c r="AG15" s="14">
        <f>'gerç aylık-eur'!$L$11</f>
        <v/>
      </c>
      <c r="AH15" s="7" t="n"/>
      <c r="AI15" s="7">
        <f>'Bütçe aylık-Eur'!$M$11</f>
        <v/>
      </c>
      <c r="AJ15" s="14">
        <f>'gerç aylık-eur'!$M$11</f>
        <v/>
      </c>
      <c r="AK15" s="7" t="n"/>
      <c r="AL15" s="21">
        <f>AP15-AO15</f>
        <v/>
      </c>
      <c r="AM15" s="467">
        <f>AP15/AO15-1</f>
        <v/>
      </c>
      <c r="AN15" s="94">
        <f>AL15*0.4</f>
        <v/>
      </c>
      <c r="AO15" s="44">
        <f>IF($A$1=$B$1,B15,IF($A$1=$E$1,E15,IF($A$1=$H$1,H15,IF($A$1=$K$1,K15,IF($A$1=$N$1,N15,IF($A$1=$Q$1,Q15,IF($A$1=$T$1,T15,IF($A$1=$W$1,W15,IF($A$1=$Z$1,Z15,IF($A$1=$AC$1,AC15,IF($A$1=$AF$1,AF15,IF($A$1=$AI$1,AI15))))))))))))</f>
        <v/>
      </c>
      <c r="AP15" s="44">
        <f>IF($A$1=$B$1,C15,IF($A$1=$E$1,F15,IF($A$1=$H$1,I15,IF($A$1=$K$1,L15,IF($A$1=$N$1,O15,IF($A$1=$Q$1,R15,IF($A$1=$T$1,U15,IF($A$1=$W$1,X15,IF($A$1=$Z$1,AA15,IF($A$1=$AC$1,AD15,IF($A$1=$AF$1,AG15,IF($A$1=$AI$1,AJ15))))))))))))</f>
        <v/>
      </c>
    </row>
    <row r="16" ht="15.5" customHeight="1">
      <c r="A16" s="26" t="inlineStr">
        <is>
          <t>Alüminyum</t>
        </is>
      </c>
      <c r="B16" s="7">
        <f>'Bütçe aylık-Eur'!$B$12</f>
        <v/>
      </c>
      <c r="C16" s="14">
        <f>'gerç aylık-eur'!$B$12</f>
        <v/>
      </c>
      <c r="D16" s="7" t="n"/>
      <c r="E16" s="7">
        <f>'Bütçe aylık-Eur'!$C$12</f>
        <v/>
      </c>
      <c r="F16" s="14">
        <f>'gerç aylık-eur'!$C$12</f>
        <v/>
      </c>
      <c r="G16" s="7" t="n"/>
      <c r="H16" s="7">
        <f>'Bütçe aylık-Eur'!$D$12</f>
        <v/>
      </c>
      <c r="I16" s="14">
        <f>'gerç aylık-eur'!$D$12</f>
        <v/>
      </c>
      <c r="J16" s="7" t="n"/>
      <c r="K16" s="7">
        <f>'Bütçe aylık-Eur'!$E$12</f>
        <v/>
      </c>
      <c r="L16" s="14">
        <f>'gerç aylık-eur'!$E$12</f>
        <v/>
      </c>
      <c r="M16" s="7" t="n"/>
      <c r="N16" s="7">
        <f>'Bütçe aylık-Eur'!$F$12</f>
        <v/>
      </c>
      <c r="O16" s="14">
        <f>'gerç aylık-eur'!$F$12</f>
        <v/>
      </c>
      <c r="P16" s="56">
        <f>O16/N16</f>
        <v/>
      </c>
      <c r="Q16" s="7">
        <f>'Bütçe aylık-Eur'!$G$12</f>
        <v/>
      </c>
      <c r="R16" s="14">
        <f>'gerç aylık-eur'!$G$12</f>
        <v/>
      </c>
      <c r="S16" s="56" t="n"/>
      <c r="T16" s="7">
        <f>'Bütçe aylık-Eur'!$H$12</f>
        <v/>
      </c>
      <c r="U16" s="14">
        <f>'gerç aylık-eur'!$H$12</f>
        <v/>
      </c>
      <c r="V16" s="7" t="n"/>
      <c r="W16" s="7">
        <f>'Bütçe aylık-Eur'!$I$12</f>
        <v/>
      </c>
      <c r="X16" s="14">
        <f>'gerç aylık-eur'!$I$12</f>
        <v/>
      </c>
      <c r="Y16" s="7" t="n"/>
      <c r="Z16" s="7">
        <f>'Bütçe aylık-Eur'!$J$12</f>
        <v/>
      </c>
      <c r="AA16" s="14">
        <f>'gerç aylık-eur'!$J$12</f>
        <v/>
      </c>
      <c r="AB16" s="7" t="n"/>
      <c r="AC16" s="7">
        <f>'Bütçe aylık-Eur'!$K$12</f>
        <v/>
      </c>
      <c r="AD16" s="14">
        <f>'gerç aylık-eur'!$K$12</f>
        <v/>
      </c>
      <c r="AE16" s="7" t="n"/>
      <c r="AF16" s="7">
        <f>'Bütçe aylık-Eur'!$L$12</f>
        <v/>
      </c>
      <c r="AG16" s="14">
        <f>'gerç aylık-eur'!$L$12</f>
        <v/>
      </c>
      <c r="AH16" s="7" t="n"/>
      <c r="AI16" s="7">
        <f>'Bütçe aylık-Eur'!$M$12</f>
        <v/>
      </c>
      <c r="AJ16" s="14">
        <f>'gerç aylık-eur'!$M$12</f>
        <v/>
      </c>
      <c r="AK16" s="7" t="n"/>
      <c r="AL16" s="21">
        <f>AP16-AO16</f>
        <v/>
      </c>
      <c r="AM16" s="467">
        <f>AP16/AO16-1</f>
        <v/>
      </c>
      <c r="AN16" s="94">
        <f>AL16*0.4</f>
        <v/>
      </c>
      <c r="AO16" s="44">
        <f>IF($A$1=$B$1,B16,IF($A$1=$E$1,E16,IF($A$1=$H$1,H16,IF($A$1=$K$1,K16,IF($A$1=$N$1,N16,IF($A$1=$Q$1,Q16,IF($A$1=$T$1,T16,IF($A$1=$W$1,W16,IF($A$1=$Z$1,Z16,IF($A$1=$AC$1,AC16,IF($A$1=$AF$1,AF16,IF($A$1=$AI$1,AI16))))))))))))</f>
        <v/>
      </c>
      <c r="AP16" s="44">
        <f>IF($A$1=$B$1,C16,IF($A$1=$E$1,F16,IF($A$1=$H$1,I16,IF($A$1=$K$1,L16,IF($A$1=$N$1,O16,IF($A$1=$Q$1,R16,IF($A$1=$T$1,U16,IF($A$1=$W$1,X16,IF($A$1=$Z$1,AA16,IF($A$1=$AC$1,AD16,IF($A$1=$AF$1,AG16,IF($A$1=$AI$1,AJ16))))))))))))</f>
        <v/>
      </c>
    </row>
    <row r="17" ht="15.5" customHeight="1">
      <c r="A17" s="2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21" t="n"/>
      <c r="AM17" s="22" t="n"/>
      <c r="AO17" s="44">
        <f>IF($A$1=$B$1,B17,IF($A$1=$E$1,E17,IF($A$1=$H$1,H17,IF($A$1=$K$1,K17,IF($A$1=$N$1,N17,IF($A$1=$Q$1,Q17,IF($A$1=$T$1,T17,IF($A$1=$W$1,W17,IF($A$1=$Z$1,Z17,IF($A$1=$AC$1,AC17,IF($A$1=$AF$1,AF17,IF($A$1=$AI$1,AI17))))))))))))</f>
        <v/>
      </c>
      <c r="AP17" s="44">
        <f>IF($A$1=$B$1,C17,IF($A$1=$E$1,F17,IF($A$1=$H$1,I17,IF($A$1=$K$1,L17,IF($A$1=$N$1,O17,IF($A$1=$Q$1,R17,IF($A$1=$T$1,U17,IF($A$1=$W$1,X17,IF($A$1=$Z$1,AA17,IF($A$1=$AC$1,AD17,IF($A$1=$AF$1,AG17,IF($A$1=$AI$1,AJ17))))))))))))</f>
        <v/>
      </c>
    </row>
    <row r="18" ht="15.5" customHeight="1">
      <c r="A18" s="2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21" t="n"/>
      <c r="AM18" s="22" t="n"/>
      <c r="AO18" s="44">
        <f>IF($A$1=$B$1,B18,IF($A$1=$E$1,E18,IF($A$1=$H$1,H18,IF($A$1=$K$1,K18,IF($A$1=$N$1,N18,IF($A$1=$Q$1,Q18,IF($A$1=$T$1,T18,IF($A$1=$W$1,W18,IF($A$1=$Z$1,Z18,IF($A$1=$AC$1,AC18,IF($A$1=$AF$1,AF18,IF($A$1=$AI$1,AI18))))))))))))</f>
        <v/>
      </c>
      <c r="AP18" s="44">
        <f>IF($A$1=$B$1,C18,IF($A$1=$E$1,F18,IF($A$1=$H$1,I18,IF($A$1=$K$1,L18,IF($A$1=$N$1,O18,IF($A$1=$Q$1,R18,IF($A$1=$T$1,U18,IF($A$1=$W$1,X18,IF($A$1=$Z$1,AA18,IF($A$1=$AC$1,AD18,IF($A$1=$AF$1,AG18,IF($A$1=$AI$1,AJ18))))))))))))</f>
        <v/>
      </c>
    </row>
    <row r="19" ht="17" customFormat="1" customHeight="1" s="51">
      <c r="A19" s="47" t="inlineStr">
        <is>
          <t>SHARE OF SALES (%)</t>
        </is>
      </c>
      <c r="B19" s="411" t="n"/>
      <c r="C19" s="412" t="n"/>
      <c r="D19" s="411" t="n"/>
      <c r="E19" s="411" t="n"/>
      <c r="F19" s="412" t="n"/>
      <c r="G19" s="411" t="n"/>
      <c r="H19" s="411" t="n"/>
      <c r="I19" s="412" t="n"/>
      <c r="J19" s="411" t="n"/>
      <c r="K19" s="411" t="n"/>
      <c r="L19" s="412" t="n"/>
      <c r="M19" s="411" t="n"/>
      <c r="N19" s="411" t="n"/>
      <c r="O19" s="412" t="n"/>
      <c r="P19" s="411" t="n"/>
      <c r="Q19" s="411" t="n"/>
      <c r="R19" s="412" t="n"/>
      <c r="S19" s="411" t="n"/>
      <c r="T19" s="411" t="n"/>
      <c r="U19" s="412" t="n"/>
      <c r="V19" s="411" t="n"/>
      <c r="W19" s="411" t="n"/>
      <c r="X19" s="412" t="n"/>
      <c r="Y19" s="411" t="n"/>
      <c r="Z19" s="411" t="n"/>
      <c r="AA19" s="412" t="n"/>
      <c r="AB19" s="411" t="n"/>
      <c r="AC19" s="411" t="n"/>
      <c r="AD19" s="412" t="n"/>
      <c r="AE19" s="411" t="n"/>
      <c r="AF19" s="411" t="n"/>
      <c r="AG19" s="412" t="n"/>
      <c r="AH19" s="411" t="n"/>
      <c r="AI19" s="411" t="n"/>
      <c r="AJ19" s="412" t="n"/>
      <c r="AK19" s="411" t="n"/>
      <c r="AL19" s="411" t="n"/>
      <c r="AM19" s="50" t="n"/>
    </row>
    <row r="20" ht="15.5" customHeight="1">
      <c r="A20" s="26" t="inlineStr">
        <is>
          <t xml:space="preserve">İnci Holding </t>
        </is>
      </c>
      <c r="B20" s="56">
        <f>B9/B6</f>
        <v/>
      </c>
      <c r="C20" s="56">
        <f>C9/C6</f>
        <v/>
      </c>
      <c r="D20" s="14" t="n"/>
      <c r="E20" s="56">
        <f>E9/E6</f>
        <v/>
      </c>
      <c r="F20" s="56">
        <f>F9/F6</f>
        <v/>
      </c>
      <c r="G20" s="56" t="n"/>
      <c r="H20" s="56">
        <f>H9/H6</f>
        <v/>
      </c>
      <c r="I20" s="56">
        <f>I9/I6</f>
        <v/>
      </c>
      <c r="J20" s="56" t="n"/>
      <c r="K20" s="56">
        <f>K9/K6</f>
        <v/>
      </c>
      <c r="L20" s="56">
        <f>L9/L6</f>
        <v/>
      </c>
      <c r="M20" s="56" t="n"/>
      <c r="N20" s="56">
        <f>N9/N6</f>
        <v/>
      </c>
      <c r="O20" s="56">
        <f>O9/O6</f>
        <v/>
      </c>
      <c r="P20" s="56" t="n"/>
      <c r="Q20" s="56">
        <f>Q9/Q6</f>
        <v/>
      </c>
      <c r="R20" s="56">
        <f>R9/R6</f>
        <v/>
      </c>
      <c r="S20" s="56" t="n"/>
      <c r="T20" s="56">
        <f>T9/T6</f>
        <v/>
      </c>
      <c r="U20" s="56">
        <f>U9/U6</f>
        <v/>
      </c>
      <c r="V20" s="56" t="n"/>
      <c r="W20" s="56">
        <f>W9/W6</f>
        <v/>
      </c>
      <c r="X20" s="56">
        <f>X9/X6</f>
        <v/>
      </c>
      <c r="Y20" s="56" t="n"/>
      <c r="Z20" s="56">
        <f>Z9/Z6</f>
        <v/>
      </c>
      <c r="AA20" s="56">
        <f>AA9/AA6</f>
        <v/>
      </c>
      <c r="AB20" s="56" t="n"/>
      <c r="AC20" s="56">
        <f>AC9/AC6</f>
        <v/>
      </c>
      <c r="AD20" s="56">
        <f>AD9/AD6</f>
        <v/>
      </c>
      <c r="AE20" s="56" t="n"/>
      <c r="AF20" s="56">
        <f>AF9/AF6</f>
        <v/>
      </c>
      <c r="AG20" s="56">
        <f>AG9/AG6</f>
        <v/>
      </c>
      <c r="AH20" s="56" t="n"/>
      <c r="AI20" s="56">
        <f>AI9/AI6</f>
        <v/>
      </c>
      <c r="AJ20" s="56">
        <f>AJ9/AJ6</f>
        <v/>
      </c>
      <c r="AK20" s="56" t="n"/>
      <c r="AL20" s="56">
        <f>AP20-AO20</f>
        <v/>
      </c>
      <c r="AM20" s="56" t="n"/>
      <c r="AO20" s="44">
        <f>IF($A$1=$B$1,B20,IF($A$1=$E$1,E20,IF($A$1=$H$1,H20,IF($A$1=$K$1,K20,IF($A$1=$N$1,N20,IF($A$1=$Q$1,Q20,IF($A$1=$T$1,T20,IF($A$1=$W$1,W20,IF($A$1=$Z$1,Z20,IF($A$1=$AC$1,AC20,IF($A$1=$AF$1,AF20,IF($A$1=$AI$1,AI20))))))))))))</f>
        <v/>
      </c>
      <c r="AP20" s="44">
        <f>IF($A$1=$B$1,C20,IF($A$1=$E$1,F20,IF($A$1=$H$1,I20,IF($A$1=$K$1,L20,IF($A$1=$N$1,O20,IF($A$1=$Q$1,R20,IF($A$1=$T$1,U20,IF($A$1=$W$1,X20,IF($A$1=$Z$1,AA20,IF($A$1=$AC$1,AD20,IF($A$1=$AF$1,AG20,IF($A$1=$AI$1,AJ20))))))))))))</f>
        <v/>
      </c>
    </row>
    <row r="21" ht="15.5" customHeight="1">
      <c r="A21" s="26" t="inlineStr">
        <is>
          <t xml:space="preserve">ISM </t>
        </is>
      </c>
      <c r="B21" s="56">
        <f>B10/B6</f>
        <v/>
      </c>
      <c r="C21" s="56">
        <f>C10/C6</f>
        <v/>
      </c>
      <c r="D21" s="7" t="n"/>
      <c r="E21" s="56">
        <f>E10/E6</f>
        <v/>
      </c>
      <c r="F21" s="56">
        <f>F10/F6</f>
        <v/>
      </c>
      <c r="G21" s="56" t="n"/>
      <c r="H21" s="56">
        <f>H10/H6</f>
        <v/>
      </c>
      <c r="I21" s="56">
        <f>I10/I6</f>
        <v/>
      </c>
      <c r="J21" s="56" t="n"/>
      <c r="K21" s="56">
        <f>K10/K6</f>
        <v/>
      </c>
      <c r="L21" s="56">
        <f>L10/L6</f>
        <v/>
      </c>
      <c r="M21" s="56" t="n"/>
      <c r="N21" s="56">
        <f>N10/N6</f>
        <v/>
      </c>
      <c r="O21" s="56">
        <f>O10/O6</f>
        <v/>
      </c>
      <c r="P21" s="56" t="n"/>
      <c r="Q21" s="56">
        <f>Q10/Q6</f>
        <v/>
      </c>
      <c r="R21" s="56">
        <f>R10/R6</f>
        <v/>
      </c>
      <c r="S21" s="56" t="n"/>
      <c r="T21" s="56">
        <f>T10/T6</f>
        <v/>
      </c>
      <c r="U21" s="56">
        <f>U10/U6</f>
        <v/>
      </c>
      <c r="V21" s="56" t="n"/>
      <c r="W21" s="56">
        <f>W10/W6</f>
        <v/>
      </c>
      <c r="X21" s="56">
        <f>X10/X6</f>
        <v/>
      </c>
      <c r="Y21" s="56" t="n"/>
      <c r="Z21" s="56">
        <f>Z10/Z6</f>
        <v/>
      </c>
      <c r="AA21" s="56">
        <f>AA10/AA6</f>
        <v/>
      </c>
      <c r="AB21" s="56" t="n"/>
      <c r="AC21" s="56">
        <f>AC10/AC6</f>
        <v/>
      </c>
      <c r="AD21" s="56">
        <f>AD10/AD6</f>
        <v/>
      </c>
      <c r="AE21" s="56" t="n"/>
      <c r="AF21" s="56">
        <f>AF10/AF6</f>
        <v/>
      </c>
      <c r="AG21" s="56">
        <f>AG10/AG6</f>
        <v/>
      </c>
      <c r="AH21" s="56" t="n"/>
      <c r="AI21" s="56">
        <f>AI10/AI6</f>
        <v/>
      </c>
      <c r="AJ21" s="56">
        <f>AJ10/AJ6</f>
        <v/>
      </c>
      <c r="AK21" s="56" t="n"/>
      <c r="AL21" s="56">
        <f>AP21-AO21</f>
        <v/>
      </c>
      <c r="AM21" s="56" t="n"/>
      <c r="AO21" s="44">
        <f>IF($A$1=$B$1,B21,IF($A$1=$E$1,E21,IF($A$1=$H$1,H21,IF($A$1=$K$1,K21,IF($A$1=$N$1,N21,IF($A$1=$Q$1,Q21,IF($A$1=$T$1,T21,IF($A$1=$W$1,W21,IF($A$1=$Z$1,Z21,IF($A$1=$AC$1,AC21,IF($A$1=$AF$1,AF21,IF($A$1=$AI$1,AI21))))))))))))</f>
        <v/>
      </c>
      <c r="AP21" s="44">
        <f>IF($A$1=$B$1,C21,IF($A$1=$E$1,F21,IF($A$1=$H$1,I21,IF($A$1=$K$1,L21,IF($A$1=$N$1,O21,IF($A$1=$Q$1,R21,IF($A$1=$T$1,U21,IF($A$1=$W$1,X21,IF($A$1=$Z$1,AA21,IF($A$1=$AC$1,AD21,IF($A$1=$AF$1,AG21,IF($A$1=$AI$1,AJ21))))))))))))</f>
        <v/>
      </c>
    </row>
    <row r="22" ht="15.5" customHeight="1">
      <c r="A22" s="26" t="inlineStr">
        <is>
          <t>İncitaş</t>
        </is>
      </c>
      <c r="B22" s="56">
        <f>B11/B6</f>
        <v/>
      </c>
      <c r="C22" s="56">
        <f>C11/C6</f>
        <v/>
      </c>
      <c r="D22" s="7" t="n"/>
      <c r="E22" s="56">
        <f>E11/E6</f>
        <v/>
      </c>
      <c r="F22" s="56">
        <f>F11/F6</f>
        <v/>
      </c>
      <c r="G22" s="56" t="n"/>
      <c r="H22" s="56">
        <f>H11/H6</f>
        <v/>
      </c>
      <c r="I22" s="56">
        <f>I11/I6</f>
        <v/>
      </c>
      <c r="J22" s="56" t="n"/>
      <c r="K22" s="56">
        <f>K11/K6</f>
        <v/>
      </c>
      <c r="L22" s="56">
        <f>L11/L6</f>
        <v/>
      </c>
      <c r="M22" s="56" t="n"/>
      <c r="N22" s="56">
        <f>N11/N6</f>
        <v/>
      </c>
      <c r="O22" s="56">
        <f>O11/O6</f>
        <v/>
      </c>
      <c r="P22" s="56" t="n"/>
      <c r="Q22" s="56">
        <f>Q11/Q6</f>
        <v/>
      </c>
      <c r="R22" s="56">
        <f>R11/R6</f>
        <v/>
      </c>
      <c r="S22" s="56" t="n"/>
      <c r="T22" s="56">
        <f>T11/T6</f>
        <v/>
      </c>
      <c r="U22" s="56">
        <f>U11/U6</f>
        <v/>
      </c>
      <c r="V22" s="56" t="n"/>
      <c r="W22" s="56">
        <f>W11/W6</f>
        <v/>
      </c>
      <c r="X22" s="56">
        <f>X11/X6</f>
        <v/>
      </c>
      <c r="Y22" s="56" t="n"/>
      <c r="Z22" s="56">
        <f>Z11/Z6</f>
        <v/>
      </c>
      <c r="AA22" s="56">
        <f>AA11/AA6</f>
        <v/>
      </c>
      <c r="AB22" s="56" t="n"/>
      <c r="AC22" s="56">
        <f>AC11/AC6</f>
        <v/>
      </c>
      <c r="AD22" s="56">
        <f>AD11/AD6</f>
        <v/>
      </c>
      <c r="AE22" s="56" t="n"/>
      <c r="AF22" s="56">
        <f>AF11/AF6</f>
        <v/>
      </c>
      <c r="AG22" s="56">
        <f>AG11/AG6</f>
        <v/>
      </c>
      <c r="AH22" s="56" t="n"/>
      <c r="AI22" s="56">
        <f>AI11/AI6</f>
        <v/>
      </c>
      <c r="AJ22" s="56">
        <f>AJ11/AJ6</f>
        <v/>
      </c>
      <c r="AK22" s="56" t="n"/>
      <c r="AL22" s="56">
        <f>AP22-AO22</f>
        <v/>
      </c>
      <c r="AM22" s="56" t="n"/>
      <c r="AO22" s="44">
        <f>IF($A$1=$B$1,B22,IF($A$1=$E$1,E22,IF($A$1=$H$1,H22,IF($A$1=$K$1,K22,IF($A$1=$N$1,N22,IF($A$1=$Q$1,Q22,IF($A$1=$T$1,T22,IF($A$1=$W$1,W22,IF($A$1=$Z$1,Z22,IF($A$1=$AC$1,AC22,IF($A$1=$AF$1,AF22,IF($A$1=$AI$1,AI22))))))))))))</f>
        <v/>
      </c>
      <c r="AP22" s="44">
        <f>IF($A$1=$B$1,C22,IF($A$1=$E$1,F22,IF($A$1=$H$1,I22,IF($A$1=$K$1,L22,IF($A$1=$N$1,O22,IF($A$1=$Q$1,R22,IF($A$1=$T$1,U22,IF($A$1=$W$1,X22,IF($A$1=$Z$1,AA22,IF($A$1=$AC$1,AD22,IF($A$1=$AF$1,AG22,IF($A$1=$AI$1,AJ22))))))))))))</f>
        <v/>
      </c>
    </row>
    <row r="23" ht="15.5" customHeight="1">
      <c r="A23" s="26" t="inlineStr">
        <is>
          <t>İnci GS Yuasa</t>
        </is>
      </c>
      <c r="B23" s="56">
        <f>B12*0.5/B6</f>
        <v/>
      </c>
      <c r="C23" s="56">
        <f>C12*0.5/C6</f>
        <v/>
      </c>
      <c r="D23" s="7" t="n"/>
      <c r="E23" s="56">
        <f>E12*0.5/E6</f>
        <v/>
      </c>
      <c r="F23" s="56">
        <f>F12*0.5/F6</f>
        <v/>
      </c>
      <c r="G23" s="56" t="n"/>
      <c r="H23" s="56">
        <f>H12*0.5/H6</f>
        <v/>
      </c>
      <c r="I23" s="56">
        <f>I12*0.5/I6</f>
        <v/>
      </c>
      <c r="J23" s="56" t="n"/>
      <c r="K23" s="56">
        <f>K12*0.5/K6</f>
        <v/>
      </c>
      <c r="L23" s="56">
        <f>L12*0.5/L6</f>
        <v/>
      </c>
      <c r="M23" s="56" t="n"/>
      <c r="N23" s="56">
        <f>N12*0.5/N6</f>
        <v/>
      </c>
      <c r="O23" s="56">
        <f>O12*0.5/O6</f>
        <v/>
      </c>
      <c r="P23" s="56" t="n"/>
      <c r="Q23" s="56">
        <f>Q12*0.5/Q6</f>
        <v/>
      </c>
      <c r="R23" s="56">
        <f>R12*0.5/R6</f>
        <v/>
      </c>
      <c r="S23" s="56" t="n"/>
      <c r="T23" s="56">
        <f>T12*0.5/T6</f>
        <v/>
      </c>
      <c r="U23" s="56">
        <f>U12*0.5/U6</f>
        <v/>
      </c>
      <c r="V23" s="56" t="n"/>
      <c r="W23" s="56">
        <f>W12*0.5/W6</f>
        <v/>
      </c>
      <c r="X23" s="56">
        <f>X12*0.5/X6</f>
        <v/>
      </c>
      <c r="Y23" s="56" t="n"/>
      <c r="Z23" s="56">
        <f>Z12*0.5/Z6</f>
        <v/>
      </c>
      <c r="AA23" s="56">
        <f>AA12*0.5/AA6</f>
        <v/>
      </c>
      <c r="AB23" s="56" t="n"/>
      <c r="AC23" s="56">
        <f>AC12*0.5/AC6</f>
        <v/>
      </c>
      <c r="AD23" s="56">
        <f>AD12*0.5/AD6</f>
        <v/>
      </c>
      <c r="AE23" s="56" t="n"/>
      <c r="AF23" s="56">
        <f>AF12*0.5/AF6</f>
        <v/>
      </c>
      <c r="AG23" s="56">
        <f>AG12*0.5/AG6</f>
        <v/>
      </c>
      <c r="AH23" s="56" t="n"/>
      <c r="AI23" s="56">
        <f>AI12*0.5/AI6</f>
        <v/>
      </c>
      <c r="AJ23" s="56">
        <f>AJ12*0.5/AJ6</f>
        <v/>
      </c>
      <c r="AK23" s="56" t="n"/>
      <c r="AL23" s="56">
        <f>AP23-AO23</f>
        <v/>
      </c>
      <c r="AM23" s="56" t="n"/>
      <c r="AO23" s="44">
        <f>IF($A$1=$B$1,B23,IF($A$1=$E$1,E23,IF($A$1=$H$1,H23,IF($A$1=$K$1,K23,IF($A$1=$N$1,N23,IF($A$1=$Q$1,Q23,IF($A$1=$T$1,T23,IF($A$1=$W$1,W23,IF($A$1=$Z$1,Z23,IF($A$1=$AC$1,AC23,IF($A$1=$AF$1,AF23,IF($A$1=$AI$1,AI23))))))))))))</f>
        <v/>
      </c>
      <c r="AP23" s="44">
        <f>IF($A$1=$B$1,C23,IF($A$1=$E$1,F23,IF($A$1=$H$1,I23,IF($A$1=$K$1,L23,IF($A$1=$N$1,O23,IF($A$1=$Q$1,R23,IF($A$1=$T$1,U23,IF($A$1=$W$1,X23,IF($A$1=$Z$1,AA23,IF($A$1=$AC$1,AD23,IF($A$1=$AF$1,AG23,IF($A$1=$AI$1,AJ23))))))))))))</f>
        <v/>
      </c>
    </row>
    <row r="24" ht="15.5" customFormat="1" customHeight="1" s="1">
      <c r="A24" s="26" t="inlineStr">
        <is>
          <t>Yusen İnci Loj.</t>
        </is>
      </c>
      <c r="B24" s="56">
        <f>B13*0.4/B6</f>
        <v/>
      </c>
      <c r="C24" s="56">
        <f>C13*0.4/C6</f>
        <v/>
      </c>
      <c r="D24" s="8" t="n"/>
      <c r="E24" s="56">
        <f>E13*0.4/E6</f>
        <v/>
      </c>
      <c r="F24" s="56">
        <f>F13*0.4/F6</f>
        <v/>
      </c>
      <c r="G24" s="57" t="n"/>
      <c r="H24" s="56">
        <f>H13*0.4/H6</f>
        <v/>
      </c>
      <c r="I24" s="56">
        <f>I13*0.4/I6</f>
        <v/>
      </c>
      <c r="J24" s="57" t="n"/>
      <c r="K24" s="56">
        <f>K13*0.4/K6</f>
        <v/>
      </c>
      <c r="L24" s="56">
        <f>L13*0.4/L6</f>
        <v/>
      </c>
      <c r="M24" s="57" t="n"/>
      <c r="N24" s="56">
        <f>N13*0.4/N6</f>
        <v/>
      </c>
      <c r="O24" s="56">
        <f>O13*0.4/O6</f>
        <v/>
      </c>
      <c r="P24" s="57" t="n"/>
      <c r="Q24" s="56">
        <f>Q13*0.4/Q6</f>
        <v/>
      </c>
      <c r="R24" s="56">
        <f>R13*0.4/R6</f>
        <v/>
      </c>
      <c r="S24" s="57" t="n"/>
      <c r="T24" s="56">
        <f>T13*0.4/T6</f>
        <v/>
      </c>
      <c r="U24" s="56">
        <f>U13*0.4/U6</f>
        <v/>
      </c>
      <c r="V24" s="57" t="n"/>
      <c r="W24" s="56">
        <f>W13*0.4/W6</f>
        <v/>
      </c>
      <c r="X24" s="56">
        <f>X13*0.4/X6</f>
        <v/>
      </c>
      <c r="Y24" s="57" t="n"/>
      <c r="Z24" s="56">
        <f>Z13*0.4/Z6</f>
        <v/>
      </c>
      <c r="AA24" s="56">
        <f>AA13*0.4/AA6</f>
        <v/>
      </c>
      <c r="AB24" s="57" t="n"/>
      <c r="AC24" s="56">
        <f>AC13*0.4/AC6</f>
        <v/>
      </c>
      <c r="AD24" s="56">
        <f>AD13*0.4/AD6</f>
        <v/>
      </c>
      <c r="AE24" s="57" t="n"/>
      <c r="AF24" s="56">
        <f>AF13*0.4/AF6</f>
        <v/>
      </c>
      <c r="AG24" s="56">
        <f>AG13*0.4/AG6</f>
        <v/>
      </c>
      <c r="AH24" s="57" t="n"/>
      <c r="AI24" s="56">
        <f>AI13*0.4/AI6</f>
        <v/>
      </c>
      <c r="AJ24" s="56">
        <f>AJ13*0.4/AJ6</f>
        <v/>
      </c>
      <c r="AK24" s="57" t="n"/>
      <c r="AL24" s="56">
        <f>AP24-AO24</f>
        <v/>
      </c>
      <c r="AM24" s="57" t="n"/>
      <c r="AO24" s="44">
        <f>IF($A$1=$B$1,B24,IF($A$1=$E$1,E24,IF($A$1=$H$1,H24,IF($A$1=$K$1,K24,IF($A$1=$N$1,N24,IF($A$1=$Q$1,Q24,IF($A$1=$T$1,T24,IF($A$1=$W$1,W24,IF($A$1=$Z$1,Z24,IF($A$1=$AC$1,AC24,IF($A$1=$AF$1,AF24,IF($A$1=$AI$1,AI24))))))))))))</f>
        <v/>
      </c>
      <c r="AP24" s="44">
        <f>IF($A$1=$B$1,C24,IF($A$1=$E$1,F24,IF($A$1=$H$1,I24,IF($A$1=$K$1,L24,IF($A$1=$N$1,O24,IF($A$1=$Q$1,R24,IF($A$1=$T$1,U24,IF($A$1=$W$1,X24,IF($A$1=$Z$1,AA24,IF($A$1=$AC$1,AD24,IF($A$1=$AF$1,AG24,IF($A$1=$AI$1,AJ24))))))))))))</f>
        <v/>
      </c>
    </row>
    <row r="25" ht="15.5" customHeight="1">
      <c r="A25" s="26" t="inlineStr">
        <is>
          <t>Jantaş</t>
        </is>
      </c>
      <c r="B25" s="56">
        <f>B14*0.4/B6</f>
        <v/>
      </c>
      <c r="C25" s="56">
        <f>C14*0.4/C6</f>
        <v/>
      </c>
      <c r="D25" s="7" t="n"/>
      <c r="E25" s="56">
        <f>E14*0.4/E6</f>
        <v/>
      </c>
      <c r="F25" s="56">
        <f>F14*0.4/F6</f>
        <v/>
      </c>
      <c r="G25" s="56" t="n"/>
      <c r="H25" s="56">
        <f>H14*0.4/H6</f>
        <v/>
      </c>
      <c r="I25" s="56">
        <f>I14*0.4/I6</f>
        <v/>
      </c>
      <c r="J25" s="56" t="n"/>
      <c r="K25" s="56">
        <f>K14*0.4/K6</f>
        <v/>
      </c>
      <c r="L25" s="56">
        <f>L14*0.4/L6</f>
        <v/>
      </c>
      <c r="M25" s="56" t="n"/>
      <c r="N25" s="56">
        <f>N14*0.4/N6</f>
        <v/>
      </c>
      <c r="O25" s="56">
        <f>O14*0.4/O6</f>
        <v/>
      </c>
      <c r="P25" s="56" t="n"/>
      <c r="Q25" s="56">
        <f>Q14*0.4/Q6</f>
        <v/>
      </c>
      <c r="R25" s="56">
        <f>R14*0.4/R6</f>
        <v/>
      </c>
      <c r="S25" s="56" t="n"/>
      <c r="T25" s="56">
        <f>T14*0.4/T6</f>
        <v/>
      </c>
      <c r="U25" s="56">
        <f>U14*0.4/U6</f>
        <v/>
      </c>
      <c r="V25" s="56" t="n"/>
      <c r="W25" s="56">
        <f>W14*0.4/W6</f>
        <v/>
      </c>
      <c r="X25" s="56">
        <f>X14*0.4/X6</f>
        <v/>
      </c>
      <c r="Y25" s="56" t="n"/>
      <c r="Z25" s="56">
        <f>Z14*0.4/Z6</f>
        <v/>
      </c>
      <c r="AA25" s="56">
        <f>AA14*0.4/AA6</f>
        <v/>
      </c>
      <c r="AB25" s="56" t="n"/>
      <c r="AC25" s="56">
        <f>AC14*0.4/AC6</f>
        <v/>
      </c>
      <c r="AD25" s="56">
        <f>AD14*0.4/AD6</f>
        <v/>
      </c>
      <c r="AE25" s="56" t="n"/>
      <c r="AF25" s="56">
        <f>AF14*0.4/AF6</f>
        <v/>
      </c>
      <c r="AG25" s="56">
        <f>AG14*0.4/AG6</f>
        <v/>
      </c>
      <c r="AH25" s="56" t="n"/>
      <c r="AI25" s="56">
        <f>AI14*0.4/AI6</f>
        <v/>
      </c>
      <c r="AJ25" s="56">
        <f>AJ14*0.4/AJ6</f>
        <v/>
      </c>
      <c r="AK25" s="56" t="n"/>
      <c r="AL25" s="56">
        <f>AP25-AO25</f>
        <v/>
      </c>
      <c r="AM25" s="56" t="n"/>
      <c r="AO25" s="44">
        <f>IF($A$1=$B$1,B25,IF($A$1=$E$1,E25,IF($A$1=$H$1,H25,IF($A$1=$K$1,K25,IF($A$1=$N$1,N25,IF($A$1=$Q$1,Q25,IF($A$1=$T$1,T25,IF($A$1=$W$1,W25,IF($A$1=$Z$1,Z25,IF($A$1=$AC$1,AC25,IF($A$1=$AF$1,AF25,IF($A$1=$AI$1,AI25))))))))))))</f>
        <v/>
      </c>
      <c r="AP25" s="44">
        <f>IF($A$1=$B$1,C25,IF($A$1=$E$1,F25,IF($A$1=$H$1,I25,IF($A$1=$K$1,L25,IF($A$1=$N$1,O25,IF($A$1=$Q$1,R25,IF($A$1=$T$1,U25,IF($A$1=$W$1,X25,IF($A$1=$Z$1,AA25,IF($A$1=$AC$1,AD25,IF($A$1=$AF$1,AG25,IF($A$1=$AI$1,AJ25))))))))))))</f>
        <v/>
      </c>
    </row>
    <row r="26" ht="15.5" customHeight="1">
      <c r="A26" s="26" t="inlineStr">
        <is>
          <t>Çelik</t>
        </is>
      </c>
      <c r="B26" s="56">
        <f>B15*0.4/B6</f>
        <v/>
      </c>
      <c r="C26" s="56">
        <f>C15*0.4/C6</f>
        <v/>
      </c>
      <c r="D26" s="7" t="n"/>
      <c r="E26" s="56">
        <f>E15*0.4/E6</f>
        <v/>
      </c>
      <c r="F26" s="56">
        <f>F15*0.4/F6</f>
        <v/>
      </c>
      <c r="G26" s="56" t="n"/>
      <c r="H26" s="56">
        <f>H15*0.4/H6</f>
        <v/>
      </c>
      <c r="I26" s="56">
        <f>I15*0.4/I6</f>
        <v/>
      </c>
      <c r="J26" s="56" t="n"/>
      <c r="K26" s="56">
        <f>K15*0.4/K6</f>
        <v/>
      </c>
      <c r="L26" s="56">
        <f>L15*0.4/L6</f>
        <v/>
      </c>
      <c r="M26" s="56" t="n"/>
      <c r="N26" s="56">
        <f>N15*0.4/N6</f>
        <v/>
      </c>
      <c r="O26" s="56">
        <f>O15*0.4/O6</f>
        <v/>
      </c>
      <c r="P26" s="56" t="n"/>
      <c r="Q26" s="56">
        <f>Q15*0.4/Q6</f>
        <v/>
      </c>
      <c r="R26" s="56">
        <f>R15*0.4/R6</f>
        <v/>
      </c>
      <c r="S26" s="56" t="n"/>
      <c r="T26" s="56">
        <f>T15*0.4/T6</f>
        <v/>
      </c>
      <c r="U26" s="56">
        <f>U15*0.4/U6</f>
        <v/>
      </c>
      <c r="V26" s="56" t="n"/>
      <c r="W26" s="56">
        <f>W15*0.4/W6</f>
        <v/>
      </c>
      <c r="X26" s="56">
        <f>X15*0.4/X6</f>
        <v/>
      </c>
      <c r="Y26" s="56" t="n"/>
      <c r="Z26" s="56">
        <f>Z15*0.4/Z6</f>
        <v/>
      </c>
      <c r="AA26" s="56">
        <f>AA15*0.4/AA6</f>
        <v/>
      </c>
      <c r="AB26" s="56" t="n"/>
      <c r="AC26" s="56">
        <f>AC15*0.4/AC6</f>
        <v/>
      </c>
      <c r="AD26" s="56">
        <f>AD15*0.4/AD6</f>
        <v/>
      </c>
      <c r="AE26" s="56" t="n"/>
      <c r="AF26" s="56">
        <f>AF15*0.4/AF6</f>
        <v/>
      </c>
      <c r="AG26" s="56">
        <f>AG15*0.4/AG6</f>
        <v/>
      </c>
      <c r="AH26" s="56" t="n"/>
      <c r="AI26" s="56">
        <f>AI15*0.4/AI6</f>
        <v/>
      </c>
      <c r="AJ26" s="56">
        <f>AJ15*0.4/AJ6</f>
        <v/>
      </c>
      <c r="AK26" s="56" t="n"/>
      <c r="AL26" s="56">
        <f>AP26-AO26</f>
        <v/>
      </c>
      <c r="AM26" s="56" t="n"/>
      <c r="AO26" s="44">
        <f>IF($A$1=$B$1,B26,IF($A$1=$E$1,E26,IF($A$1=$H$1,H26,IF($A$1=$K$1,K26,IF($A$1=$N$1,N26,IF($A$1=$Q$1,Q26,IF($A$1=$T$1,T26,IF($A$1=$W$1,W26,IF($A$1=$Z$1,Z26,IF($A$1=$AC$1,AC26,IF($A$1=$AF$1,AF26,IF($A$1=$AI$1,AI26))))))))))))</f>
        <v/>
      </c>
      <c r="AP26" s="44">
        <f>IF($A$1=$B$1,C26,IF($A$1=$E$1,F26,IF($A$1=$H$1,I26,IF($A$1=$K$1,L26,IF($A$1=$N$1,O26,IF($A$1=$Q$1,R26,IF($A$1=$T$1,U26,IF($A$1=$W$1,X26,IF($A$1=$Z$1,AA26,IF($A$1=$AC$1,AD26,IF($A$1=$AF$1,AG26,IF($A$1=$AI$1,AJ26))))))))))))</f>
        <v/>
      </c>
    </row>
    <row r="27" ht="15.5" customHeight="1">
      <c r="A27" s="26" t="inlineStr">
        <is>
          <t>Alüminyum</t>
        </is>
      </c>
      <c r="B27" s="56">
        <f>B16*0.4/B6</f>
        <v/>
      </c>
      <c r="C27" s="56">
        <f>C16*0.4/C6</f>
        <v/>
      </c>
      <c r="D27" s="7" t="n"/>
      <c r="E27" s="56">
        <f>E16*0.4/E6</f>
        <v/>
      </c>
      <c r="F27" s="56">
        <f>F16*0.4/F6</f>
        <v/>
      </c>
      <c r="G27" s="56" t="n"/>
      <c r="H27" s="56">
        <f>H16*0.4/H6</f>
        <v/>
      </c>
      <c r="I27" s="56">
        <f>I16*0.4/I6</f>
        <v/>
      </c>
      <c r="J27" s="56" t="n"/>
      <c r="K27" s="56">
        <f>K16*0.4/K6</f>
        <v/>
      </c>
      <c r="L27" s="56">
        <f>L16*0.4/L6</f>
        <v/>
      </c>
      <c r="M27" s="56" t="n"/>
      <c r="N27" s="56">
        <f>N16*0.4/N6</f>
        <v/>
      </c>
      <c r="O27" s="56">
        <f>O16*0.4/O6</f>
        <v/>
      </c>
      <c r="P27" s="56" t="n"/>
      <c r="Q27" s="56">
        <f>Q16*0.4/Q6</f>
        <v/>
      </c>
      <c r="R27" s="56">
        <f>R16*0.4/R6</f>
        <v/>
      </c>
      <c r="S27" s="56" t="n"/>
      <c r="T27" s="56">
        <f>T16*0.4/T6</f>
        <v/>
      </c>
      <c r="U27" s="56">
        <f>U16*0.4/U6</f>
        <v/>
      </c>
      <c r="V27" s="56" t="n"/>
      <c r="W27" s="56">
        <f>W16*0.4/W6</f>
        <v/>
      </c>
      <c r="X27" s="56">
        <f>X16*0.4/X6</f>
        <v/>
      </c>
      <c r="Y27" s="56" t="n"/>
      <c r="Z27" s="56">
        <f>Z16*0.4/Z6</f>
        <v/>
      </c>
      <c r="AA27" s="56">
        <f>AA16*0.4/AA6</f>
        <v/>
      </c>
      <c r="AB27" s="56" t="n"/>
      <c r="AC27" s="56">
        <f>AC16*0.4/AC6</f>
        <v/>
      </c>
      <c r="AD27" s="56">
        <f>AD16*0.4/AD6</f>
        <v/>
      </c>
      <c r="AE27" s="56" t="n"/>
      <c r="AF27" s="56">
        <f>AF16*0.4/AF6</f>
        <v/>
      </c>
      <c r="AG27" s="56">
        <f>AG16*0.4/AG6</f>
        <v/>
      </c>
      <c r="AH27" s="56" t="n"/>
      <c r="AI27" s="56">
        <f>AI16*0.4/AI6</f>
        <v/>
      </c>
      <c r="AJ27" s="56">
        <f>AJ16*0.4/AJ6</f>
        <v/>
      </c>
      <c r="AK27" s="56" t="n"/>
      <c r="AL27" s="56">
        <f>AP27-AO27</f>
        <v/>
      </c>
      <c r="AM27" s="56" t="n"/>
      <c r="AO27" s="44">
        <f>IF($A$1=$B$1,B27,IF($A$1=$E$1,E27,IF($A$1=$H$1,H27,IF($A$1=$K$1,K27,IF($A$1=$N$1,N27,IF($A$1=$Q$1,Q27,IF($A$1=$T$1,T27,IF($A$1=$W$1,W27,IF($A$1=$Z$1,Z27,IF($A$1=$AC$1,AC27,IF($A$1=$AF$1,AF27,IF($A$1=$AI$1,AI27))))))))))))</f>
        <v/>
      </c>
      <c r="AP27" s="44">
        <f>IF($A$1=$B$1,C27,IF($A$1=$E$1,F27,IF($A$1=$H$1,I27,IF($A$1=$K$1,L27,IF($A$1=$N$1,O27,IF($A$1=$Q$1,R27,IF($A$1=$T$1,U27,IF($A$1=$W$1,X27,IF($A$1=$Z$1,AA27,IF($A$1=$AC$1,AD27,IF($A$1=$AF$1,AG27,IF($A$1=$AI$1,AJ27))))))))))))</f>
        <v/>
      </c>
    </row>
    <row r="28" ht="15.5" customHeight="1">
      <c r="A28" s="26" t="n"/>
      <c r="B28" s="56" t="n"/>
      <c r="C28" s="56" t="n"/>
      <c r="D28" s="7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>
        <f>AP28-AO28</f>
        <v/>
      </c>
      <c r="AM28" s="56" t="n"/>
      <c r="AO28" s="44">
        <f>IF($A$1=$B$1,B28,IF($A$1=$E$1,E28,IF($A$1=$H$1,H28,IF($A$1=$K$1,K28,IF($A$1=$N$1,N28,IF($A$1=$Q$1,Q28,IF($A$1=$T$1,T28,IF($A$1=$W$1,W28,IF($A$1=$Z$1,Z28,IF($A$1=$AC$1,AC28,IF($A$1=$AF$1,AF28,IF($A$1=$AI$1,AI28))))))))))))</f>
        <v/>
      </c>
      <c r="AP28" s="44">
        <f>IF($A$1=$B$1,C28,IF($A$1=$E$1,F28,IF($A$1=$H$1,I28,IF($A$1=$K$1,L28,IF($A$1=$N$1,O28,IF($A$1=$Q$1,R28,IF($A$1=$T$1,U28,IF($A$1=$W$1,X28,IF($A$1=$Z$1,AA28,IF($A$1=$AC$1,AD28,IF($A$1=$AF$1,AG28,IF($A$1=$AI$1,AJ28))))))))))))</f>
        <v/>
      </c>
    </row>
    <row r="29" ht="15.5" customHeight="1">
      <c r="A29" s="26" t="n"/>
      <c r="B29" s="56" t="n"/>
      <c r="C29" s="56" t="n"/>
      <c r="D29" s="7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>
        <f>AP29-AO29</f>
        <v/>
      </c>
      <c r="AM29" s="56" t="n"/>
      <c r="AO29" s="44">
        <f>IF($A$1=$B$1,B29,IF($A$1=$E$1,E29,IF($A$1=$H$1,H29,IF($A$1=$K$1,K29,IF($A$1=$N$1,N29,IF($A$1=$Q$1,Q29,IF($A$1=$T$1,T29,IF($A$1=$W$1,W29,IF($A$1=$Z$1,Z29,IF($A$1=$AC$1,AC29,IF($A$1=$AF$1,AF29,IF($A$1=$AI$1,AI29))))))))))))</f>
        <v/>
      </c>
      <c r="AP29" s="44">
        <f>IF($A$1=$B$1,C29,IF($A$1=$E$1,F29,IF($A$1=$H$1,I29,IF($A$1=$K$1,L29,IF($A$1=$N$1,O29,IF($A$1=$Q$1,R29,IF($A$1=$T$1,U29,IF($A$1=$W$1,X29,IF($A$1=$Z$1,AA29,IF($A$1=$AC$1,AD29,IF($A$1=$AF$1,AG29,IF($A$1=$AI$1,AJ29))))))))))))</f>
        <v/>
      </c>
    </row>
    <row r="30" ht="15.5" customFormat="1" customHeight="1" s="45">
      <c r="A30" s="35" t="inlineStr">
        <is>
          <t>Net Sales</t>
        </is>
      </c>
      <c r="B30" s="36">
        <f>'Bütçe aylık-Eur'!$B$4</f>
        <v/>
      </c>
      <c r="C30" s="36">
        <f>'gerç aylık-eur'!$B$4</f>
        <v/>
      </c>
      <c r="D30" s="19" t="n"/>
      <c r="E30" s="36">
        <f>'Bütçe aylık-Eur'!$C$4</f>
        <v/>
      </c>
      <c r="F30" s="36">
        <f>'gerç aylık-eur'!$C$4</f>
        <v/>
      </c>
      <c r="G30" s="19" t="n"/>
      <c r="H30" s="36">
        <f>'Bütçe aylık-Eur'!$D$4</f>
        <v/>
      </c>
      <c r="I30" s="36">
        <f>'gerç aylık-eur'!$D$4</f>
        <v/>
      </c>
      <c r="J30" s="19" t="n"/>
      <c r="K30" s="36">
        <f>'Bütçe aylık-Eur'!$E$4</f>
        <v/>
      </c>
      <c r="L30" s="36">
        <f>'gerç aylık-eur'!$E$4</f>
        <v/>
      </c>
      <c r="M30" s="19" t="n"/>
      <c r="N30" s="36">
        <f>'Bütçe aylık-Eur'!$F$4</f>
        <v/>
      </c>
      <c r="O30" s="36">
        <f>'gerç aylık-eur'!$F$4</f>
        <v/>
      </c>
      <c r="P30" s="19" t="n"/>
      <c r="Q30" s="36">
        <f>'Bütçe aylık-Eur'!$G$4</f>
        <v/>
      </c>
      <c r="R30" s="36">
        <f>'gerç aylık-eur'!$G$4</f>
        <v/>
      </c>
      <c r="S30" s="19" t="n"/>
      <c r="T30" s="36">
        <f>'Bütçe aylık-Eur'!$H$4</f>
        <v/>
      </c>
      <c r="U30" s="36">
        <f>'gerç aylık-eur'!$H$4</f>
        <v/>
      </c>
      <c r="V30" s="19" t="n"/>
      <c r="W30" s="36">
        <f>'Bütçe aylık-Eur'!$I$4</f>
        <v/>
      </c>
      <c r="X30" s="36">
        <f>'gerç aylık-eur'!$I$4</f>
        <v/>
      </c>
      <c r="Y30" s="19" t="n"/>
      <c r="Z30" s="36">
        <f>'Bütçe aylık-Eur'!$J$4</f>
        <v/>
      </c>
      <c r="AA30" s="36">
        <f>'gerç aylık-eur'!$J$4</f>
        <v/>
      </c>
      <c r="AB30" s="19" t="n"/>
      <c r="AC30" s="36">
        <f>'Bütçe aylık-Eur'!$K$4</f>
        <v/>
      </c>
      <c r="AD30" s="36">
        <f>'gerç aylık-eur'!$K$4</f>
        <v/>
      </c>
      <c r="AE30" s="19" t="n"/>
      <c r="AF30" s="36">
        <f>'Bütçe aylık-Eur'!$L$4</f>
        <v/>
      </c>
      <c r="AG30" s="36">
        <f>'gerç aylık-eur'!$L$4</f>
        <v/>
      </c>
      <c r="AH30" s="19" t="n"/>
      <c r="AI30" s="36">
        <f>'Bütçe aylık-Eur'!$M$4</f>
        <v/>
      </c>
      <c r="AJ30" s="36">
        <f>'gerç aylık-eur'!$M$4</f>
        <v/>
      </c>
      <c r="AK30" s="19" t="n"/>
      <c r="AL30" s="37">
        <f>AP30-AO30</f>
        <v/>
      </c>
      <c r="AM30" s="38">
        <f>AP30/AO30-1</f>
        <v/>
      </c>
      <c r="AO30" s="44">
        <f>IF($A$1=$B$1,B30,IF($A$1=$E$1,E30,IF($A$1=$H$1,H30,IF($A$1=$K$1,K30,IF($A$1=$N$1,N30,IF($A$1=$Q$1,Q30,IF($A$1=$T$1,T30,IF($A$1=$W$1,W30,IF($A$1=$Z$1,Z30,IF($A$1=$AC$1,AC30,IF($A$1=$AF$1,AF30,IF($A$1=$AI$1,AI30))))))))))))</f>
        <v/>
      </c>
      <c r="AP30" s="44">
        <f>IF($A$1=$B$1,C30,IF($A$1=$E$1,F30,IF($A$1=$H$1,I30,IF($A$1=$K$1,L30,IF($A$1=$N$1,O30,IF($A$1=$Q$1,R30,IF($A$1=$T$1,U30,IF($A$1=$W$1,X30,IF($A$1=$Z$1,AA30,IF($A$1=$AC$1,AD30,IF($A$1=$AF$1,AG30,IF($A$1=$AI$1,AJ30))))))))))))</f>
        <v/>
      </c>
    </row>
    <row r="31" ht="15.5" customFormat="1" customHeight="1" s="45">
      <c r="A31" s="35" t="inlineStr">
        <is>
          <t>Cost of Sales</t>
        </is>
      </c>
      <c r="B31" s="36">
        <f>'Bütçe aylık-Eur'!$B$15</f>
        <v/>
      </c>
      <c r="C31" s="36">
        <f>'gerç aylık-eur'!$B$15</f>
        <v/>
      </c>
      <c r="D31" s="19" t="n"/>
      <c r="E31" s="36">
        <f>'Bütçe aylık-Eur'!$C$15</f>
        <v/>
      </c>
      <c r="F31" s="36">
        <f>'gerç aylık-eur'!$C$15</f>
        <v/>
      </c>
      <c r="G31" s="19" t="n"/>
      <c r="H31" s="36">
        <f>'Bütçe aylık-Eur'!$D$15</f>
        <v/>
      </c>
      <c r="I31" s="36">
        <f>'gerç aylık-eur'!$D$15</f>
        <v/>
      </c>
      <c r="J31" s="19" t="n"/>
      <c r="K31" s="36">
        <f>'Bütçe aylık-Eur'!$E$15</f>
        <v/>
      </c>
      <c r="L31" s="36">
        <f>'gerç aylık-eur'!$E$15</f>
        <v/>
      </c>
      <c r="M31" s="19" t="n"/>
      <c r="N31" s="36">
        <f>'Bütçe aylık-Eur'!$F$15</f>
        <v/>
      </c>
      <c r="O31" s="36">
        <f>'gerç aylık-eur'!$F$15</f>
        <v/>
      </c>
      <c r="P31" s="19" t="n"/>
      <c r="Q31" s="36">
        <f>'Bütçe aylık-Eur'!$G$15</f>
        <v/>
      </c>
      <c r="R31" s="36">
        <f>'gerç aylık-eur'!$G$15</f>
        <v/>
      </c>
      <c r="S31" s="19" t="n"/>
      <c r="T31" s="36">
        <f>'Bütçe aylık-Eur'!$H$15</f>
        <v/>
      </c>
      <c r="U31" s="36">
        <f>'gerç aylık-eur'!$H$15</f>
        <v/>
      </c>
      <c r="V31" s="19" t="n"/>
      <c r="W31" s="36">
        <f>'Bütçe aylık-Eur'!$I$15</f>
        <v/>
      </c>
      <c r="X31" s="36">
        <f>'gerç aylık-eur'!$I$15</f>
        <v/>
      </c>
      <c r="Y31" s="19" t="n"/>
      <c r="Z31" s="36">
        <f>'Bütçe aylık-Eur'!$J$15</f>
        <v/>
      </c>
      <c r="AA31" s="36">
        <f>'gerç aylık-eur'!$J$15</f>
        <v/>
      </c>
      <c r="AB31" s="19" t="n"/>
      <c r="AC31" s="36">
        <f>'Bütçe aylık-Eur'!$K$15</f>
        <v/>
      </c>
      <c r="AD31" s="36">
        <f>'gerç aylık-eur'!$K$15</f>
        <v/>
      </c>
      <c r="AE31" s="19" t="n"/>
      <c r="AF31" s="36">
        <f>'Bütçe aylık-Eur'!$L$15</f>
        <v/>
      </c>
      <c r="AG31" s="36">
        <f>'gerç aylık-eur'!$L$15</f>
        <v/>
      </c>
      <c r="AH31" s="19" t="n"/>
      <c r="AI31" s="36">
        <f>'Bütçe aylık-Eur'!$M$15</f>
        <v/>
      </c>
      <c r="AJ31" s="36">
        <f>'gerç aylık-eur'!$M$15</f>
        <v/>
      </c>
      <c r="AK31" s="19" t="n"/>
      <c r="AL31" s="37">
        <f>AP31-AO31</f>
        <v/>
      </c>
      <c r="AM31" s="38">
        <f>AP31/AO31-1</f>
        <v/>
      </c>
      <c r="AO31" s="44">
        <f>IF($A$1=$B$1,B31,IF($A$1=$E$1,E31,IF($A$1=$H$1,H31,IF($A$1=$K$1,K31,IF($A$1=$N$1,N31,IF($A$1=$Q$1,Q31,IF($A$1=$T$1,T31,IF($A$1=$W$1,W31,IF($A$1=$Z$1,Z31,IF($A$1=$AC$1,AC31,IF($A$1=$AF$1,AF31,IF($A$1=$AI$1,AI31))))))))))))</f>
        <v/>
      </c>
      <c r="AP31" s="44">
        <f>IF($A$1=$B$1,C31,IF($A$1=$E$1,F31,IF($A$1=$H$1,I31,IF($A$1=$K$1,L31,IF($A$1=$N$1,O31,IF($A$1=$Q$1,R31,IF($A$1=$T$1,U31,IF($A$1=$W$1,X31,IF($A$1=$Z$1,AA31,IF($A$1=$AC$1,AD31,IF($A$1=$AF$1,AG31,IF($A$1=$AI$1,AJ31))))))))))))</f>
        <v/>
      </c>
    </row>
    <row r="32" ht="15.5" customFormat="1" customHeight="1" s="44">
      <c r="A32" s="31" t="inlineStr">
        <is>
          <t>Gross Profit</t>
        </is>
      </c>
      <c r="B32" s="32">
        <f>'Bütçe aylık-Eur'!$B$26</f>
        <v/>
      </c>
      <c r="C32" s="32">
        <f>'gerç aylık-eur'!$B$26</f>
        <v/>
      </c>
      <c r="D32" s="18" t="n"/>
      <c r="E32" s="32">
        <f>'Bütçe aylık-Eur'!$C$26</f>
        <v/>
      </c>
      <c r="F32" s="32">
        <f>'gerç aylık-eur'!$C$26</f>
        <v/>
      </c>
      <c r="G32" s="18" t="n"/>
      <c r="H32" s="32">
        <f>'Bütçe aylık-Eur'!$D$26</f>
        <v/>
      </c>
      <c r="I32" s="32">
        <f>'gerç aylık-eur'!$D$26</f>
        <v/>
      </c>
      <c r="J32" s="18" t="n"/>
      <c r="K32" s="32">
        <f>'Bütçe aylık-Eur'!$E$26</f>
        <v/>
      </c>
      <c r="L32" s="32">
        <f>'gerç aylık-eur'!$E$26</f>
        <v/>
      </c>
      <c r="M32" s="18" t="n"/>
      <c r="N32" s="32">
        <f>'Bütçe aylık-Eur'!$F$26</f>
        <v/>
      </c>
      <c r="O32" s="32">
        <f>'gerç aylık-eur'!$F$26</f>
        <v/>
      </c>
      <c r="P32" s="18" t="n"/>
      <c r="Q32" s="32">
        <f>'Bütçe aylık-Eur'!$G$26</f>
        <v/>
      </c>
      <c r="R32" s="32">
        <f>'gerç aylık-eur'!$G$26</f>
        <v/>
      </c>
      <c r="S32" s="18" t="n"/>
      <c r="T32" s="32">
        <f>'Bütçe aylık-Eur'!$H$26</f>
        <v/>
      </c>
      <c r="U32" s="32">
        <f>'gerç aylık-eur'!$H$26</f>
        <v/>
      </c>
      <c r="V32" s="18" t="n"/>
      <c r="W32" s="32">
        <f>'Bütçe aylık-Eur'!$I$26</f>
        <v/>
      </c>
      <c r="X32" s="32">
        <f>'gerç aylık-eur'!$I$26</f>
        <v/>
      </c>
      <c r="Y32" s="18" t="n"/>
      <c r="Z32" s="32">
        <f>'Bütçe aylık-Eur'!$J$26</f>
        <v/>
      </c>
      <c r="AA32" s="32">
        <f>'gerç aylık-eur'!$J$26</f>
        <v/>
      </c>
      <c r="AB32" s="18" t="n"/>
      <c r="AC32" s="32">
        <f>'Bütçe aylık-Eur'!$K$26</f>
        <v/>
      </c>
      <c r="AD32" s="32">
        <f>'gerç aylık-eur'!$K$26</f>
        <v/>
      </c>
      <c r="AE32" s="18" t="n"/>
      <c r="AF32" s="32">
        <f>'Bütçe aylık-Eur'!$L$26</f>
        <v/>
      </c>
      <c r="AG32" s="32">
        <f>'gerç aylık-eur'!$L$26</f>
        <v/>
      </c>
      <c r="AH32" s="18" t="n"/>
      <c r="AI32" s="32">
        <f>'Bütçe aylık-Eur'!$M$26</f>
        <v/>
      </c>
      <c r="AJ32" s="32">
        <f>'gerç aylık-eur'!$M$26</f>
        <v/>
      </c>
      <c r="AK32" s="18" t="n"/>
      <c r="AL32" s="33">
        <f>AP32-AO32</f>
        <v/>
      </c>
      <c r="AM32" s="34">
        <f>AP32/AO32-1</f>
        <v/>
      </c>
      <c r="AO32" s="44">
        <f>IF($A$1=$B$1,B32,IF($A$1=$E$1,E32,IF($A$1=$H$1,H32,IF($A$1=$K$1,K32,IF($A$1=$N$1,N32,IF($A$1=$Q$1,Q32,IF($A$1=$T$1,T32,IF($A$1=$W$1,W32,IF($A$1=$Z$1,Z32,IF($A$1=$AC$1,AC32,IF($A$1=$AF$1,AF32,IF($A$1=$AI$1,AI32))))))))))))</f>
        <v/>
      </c>
      <c r="AP32" s="44">
        <f>IF($A$1=$B$1,C32,IF($A$1=$E$1,F32,IF($A$1=$H$1,I32,IF($A$1=$K$1,L32,IF($A$1=$N$1,O32,IF($A$1=$Q$1,R32,IF($A$1=$T$1,U32,IF($A$1=$W$1,X32,IF($A$1=$Z$1,AA32,IF($A$1=$AC$1,AD32,IF($A$1=$AF$1,AG32,IF($A$1=$AI$1,AJ32))))))))))))</f>
        <v/>
      </c>
    </row>
    <row r="33" ht="15.5" customFormat="1" customHeight="1" s="46">
      <c r="A33" s="29" t="inlineStr">
        <is>
          <t>Gross Profit Margin</t>
        </is>
      </c>
      <c r="B33" s="77">
        <f>B32/B30</f>
        <v/>
      </c>
      <c r="C33" s="77">
        <f>C32/C30</f>
        <v/>
      </c>
      <c r="D33" s="399" t="n"/>
      <c r="E33" s="77">
        <f>E32/E30</f>
        <v/>
      </c>
      <c r="F33" s="77">
        <f>F32/F30</f>
        <v/>
      </c>
      <c r="G33" s="399" t="n"/>
      <c r="H33" s="77">
        <f>H32/H30</f>
        <v/>
      </c>
      <c r="I33" s="77">
        <f>I32/I30</f>
        <v/>
      </c>
      <c r="J33" s="399" t="n"/>
      <c r="K33" s="77">
        <f>K32/K30</f>
        <v/>
      </c>
      <c r="L33" s="77">
        <f>L32/L30</f>
        <v/>
      </c>
      <c r="M33" s="399" t="n"/>
      <c r="N33" s="77">
        <f>N32/N30</f>
        <v/>
      </c>
      <c r="O33" s="77">
        <f>O32/O30</f>
        <v/>
      </c>
      <c r="P33" s="399" t="n"/>
      <c r="Q33" s="77">
        <f>Q32/Q30</f>
        <v/>
      </c>
      <c r="R33" s="77">
        <f>R32/R30</f>
        <v/>
      </c>
      <c r="S33" s="399" t="n"/>
      <c r="T33" s="77">
        <f>T32/T30</f>
        <v/>
      </c>
      <c r="U33" s="77">
        <f>U32/U30</f>
        <v/>
      </c>
      <c r="V33" s="399" t="n"/>
      <c r="W33" s="77">
        <f>W32/W30</f>
        <v/>
      </c>
      <c r="X33" s="77">
        <f>X32/X30</f>
        <v/>
      </c>
      <c r="Y33" s="399" t="n"/>
      <c r="Z33" s="77">
        <f>Z32/Z30</f>
        <v/>
      </c>
      <c r="AA33" s="77">
        <f>AA32/AA30</f>
        <v/>
      </c>
      <c r="AB33" s="399" t="n"/>
      <c r="AC33" s="77">
        <f>AC32/AC30</f>
        <v/>
      </c>
      <c r="AD33" s="77">
        <f>AD32/AD30</f>
        <v/>
      </c>
      <c r="AE33" s="399" t="n"/>
      <c r="AF33" s="77">
        <f>AF32/AF30</f>
        <v/>
      </c>
      <c r="AG33" s="77">
        <f>AG32/AG30</f>
        <v/>
      </c>
      <c r="AH33" s="399" t="n"/>
      <c r="AI33" s="77">
        <f>AI32/AI30</f>
        <v/>
      </c>
      <c r="AJ33" s="77">
        <f>AJ32/AJ30</f>
        <v/>
      </c>
      <c r="AK33" s="399" t="n"/>
      <c r="AL33" s="400" t="n"/>
      <c r="AM33" s="124">
        <f>AP33-AO33</f>
        <v/>
      </c>
      <c r="AO33" s="44">
        <f>IF($A$1=$B$1,B33,IF($A$1=$E$1,E33,IF($A$1=$H$1,H33,IF($A$1=$K$1,K33,IF($A$1=$N$1,N33,IF($A$1=$Q$1,Q33,IF($A$1=$T$1,T33,IF($A$1=$W$1,W33,IF($A$1=$Z$1,Z33,IF($A$1=$AC$1,AC33,IF($A$1=$AF$1,AF33,IF($A$1=$AI$1,AI33))))))))))))</f>
        <v/>
      </c>
      <c r="AP33" s="44">
        <f>IF($A$1=$B$1,C33,IF($A$1=$E$1,F33,IF($A$1=$H$1,I33,IF($A$1=$K$1,L33,IF($A$1=$N$1,O33,IF($A$1=$Q$1,R33,IF($A$1=$T$1,U33,IF($A$1=$W$1,X33,IF($A$1=$Z$1,AA33,IF($A$1=$AC$1,AD33,IF($A$1=$AF$1,AG33,IF($A$1=$AI$1,AJ33))))))))))))</f>
        <v/>
      </c>
    </row>
    <row r="34">
      <c r="A34" s="2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5" t="n"/>
    </row>
    <row r="35" ht="17" customFormat="1" customHeight="1" s="49">
      <c r="A35" s="47" t="inlineStr">
        <is>
          <t>GROSS PROFIT BY CHANNELS (100%)</t>
        </is>
      </c>
      <c r="B35" s="413" t="n"/>
      <c r="C35" s="413" t="n"/>
      <c r="D35" s="413" t="n"/>
      <c r="E35" s="413" t="n"/>
      <c r="F35" s="413" t="n"/>
      <c r="G35" s="413" t="n"/>
      <c r="H35" s="413" t="n"/>
      <c r="I35" s="413" t="n"/>
      <c r="J35" s="413" t="n"/>
      <c r="K35" s="413" t="n"/>
      <c r="L35" s="413" t="n"/>
      <c r="M35" s="413" t="n"/>
      <c r="N35" s="413" t="n"/>
      <c r="O35" s="413" t="n"/>
      <c r="P35" s="413" t="n"/>
      <c r="Q35" s="413" t="n"/>
      <c r="R35" s="413" t="n"/>
      <c r="S35" s="413" t="n"/>
      <c r="T35" s="413" t="n"/>
      <c r="U35" s="413" t="n"/>
      <c r="V35" s="413" t="n"/>
      <c r="W35" s="413" t="n"/>
      <c r="X35" s="413" t="n"/>
      <c r="Y35" s="413" t="n"/>
      <c r="Z35" s="413" t="n"/>
      <c r="AA35" s="413" t="n"/>
      <c r="AB35" s="413" t="n"/>
      <c r="AC35" s="413" t="n"/>
      <c r="AD35" s="413" t="n"/>
      <c r="AE35" s="413" t="n"/>
      <c r="AF35" s="413" t="n"/>
      <c r="AG35" s="413" t="n"/>
      <c r="AH35" s="413" t="n"/>
      <c r="AI35" s="413" t="n"/>
      <c r="AJ35" s="413" t="n"/>
      <c r="AK35" s="413" t="n"/>
      <c r="AL35" s="413" t="n"/>
      <c r="AM35" s="48" t="n"/>
    </row>
    <row r="36" ht="15.5" customHeight="1">
      <c r="A36" s="26" t="inlineStr">
        <is>
          <t xml:space="preserve">İnci Holding </t>
        </is>
      </c>
      <c r="B36" s="7">
        <f>'Bütçe aylık-Eur'!$B$27</f>
        <v/>
      </c>
      <c r="C36" s="7">
        <f>'gerç aylık-eur'!$B$27</f>
        <v/>
      </c>
      <c r="D36" s="7" t="n"/>
      <c r="E36" s="7">
        <f>'Bütçe aylık-Eur'!$C$27</f>
        <v/>
      </c>
      <c r="F36" s="7">
        <f>'gerç aylık-eur'!$C$27</f>
        <v/>
      </c>
      <c r="G36" s="7" t="n"/>
      <c r="H36" s="7">
        <f>'Bütçe aylık-Eur'!$D$27</f>
        <v/>
      </c>
      <c r="I36" s="7">
        <f>'gerç aylık-eur'!$D$27</f>
        <v/>
      </c>
      <c r="J36" s="7" t="n"/>
      <c r="K36" s="7">
        <f>'Bütçe aylık-Eur'!$E$27</f>
        <v/>
      </c>
      <c r="L36" s="7">
        <f>'gerç aylık-eur'!$E$27</f>
        <v/>
      </c>
      <c r="M36" s="7" t="n"/>
      <c r="N36" s="7">
        <f>'Bütçe aylık-Eur'!$F$27</f>
        <v/>
      </c>
      <c r="O36" s="7">
        <f>'gerç aylık-eur'!$F$27</f>
        <v/>
      </c>
      <c r="P36" s="7" t="n"/>
      <c r="Q36" s="7">
        <f>'Bütçe aylık-Eur'!$G$27</f>
        <v/>
      </c>
      <c r="R36" s="7">
        <f>'gerç aylık-eur'!$G$27</f>
        <v/>
      </c>
      <c r="S36" s="7" t="n"/>
      <c r="T36" s="7">
        <f>'Bütçe aylık-Eur'!$H$27</f>
        <v/>
      </c>
      <c r="U36" s="7">
        <f>'gerç aylık-eur'!$H$27</f>
        <v/>
      </c>
      <c r="V36" s="7" t="n"/>
      <c r="W36" s="7">
        <f>'Bütçe aylık-Eur'!$I$27</f>
        <v/>
      </c>
      <c r="X36" s="7">
        <f>'gerç aylık-eur'!$I$27</f>
        <v/>
      </c>
      <c r="Y36" s="7" t="n"/>
      <c r="Z36" s="7">
        <f>'Bütçe aylık-Eur'!$J$27</f>
        <v/>
      </c>
      <c r="AA36" s="7">
        <f>'gerç aylık-eur'!$J$27</f>
        <v/>
      </c>
      <c r="AB36" s="7" t="n"/>
      <c r="AC36" s="7">
        <f>'Bütçe aylık-Eur'!$K$27</f>
        <v/>
      </c>
      <c r="AD36" s="7">
        <f>'gerç aylık-eur'!$K$27</f>
        <v/>
      </c>
      <c r="AE36" s="7" t="n"/>
      <c r="AF36" s="7">
        <f>'Bütçe aylık-Eur'!$L$27</f>
        <v/>
      </c>
      <c r="AG36" s="7">
        <f>'gerç aylık-eur'!$L$27</f>
        <v/>
      </c>
      <c r="AH36" s="7" t="n"/>
      <c r="AI36" s="7">
        <f>'Bütçe aylık-Eur'!$M$27</f>
        <v/>
      </c>
      <c r="AJ36" s="7">
        <f>'gerç aylık-eur'!$M$27</f>
        <v/>
      </c>
      <c r="AK36" s="7" t="n"/>
      <c r="AL36" s="21">
        <f>AP36-AO36</f>
        <v/>
      </c>
      <c r="AM36" s="22">
        <f>AP36/AO36-1</f>
        <v/>
      </c>
      <c r="AO36" s="44">
        <f>IF($A$1=$B$1,B36,IF($A$1=$E$1,E36,IF($A$1=$H$1,H36,IF($A$1=$K$1,K36,IF($A$1=$N$1,N36,IF($A$1=$Q$1,Q36,IF($A$1=$T$1,T36,IF($A$1=$W$1,W36,IF($A$1=$Z$1,Z36,IF($A$1=$AC$1,AC36,IF($A$1=$AF$1,AF36,IF($A$1=$AI$1,AI36))))))))))))</f>
        <v/>
      </c>
      <c r="AP36" s="44">
        <f>IF($A$1=$B$1,C36,IF($A$1=$E$1,F36,IF($A$1=$H$1,I36,IF($A$1=$K$1,L36,IF($A$1=$N$1,O36,IF($A$1=$Q$1,R36,IF($A$1=$T$1,U36,IF($A$1=$W$1,X36,IF($A$1=$Z$1,AA36,IF($A$1=$AC$1,AD36,IF($A$1=$AF$1,AG36,IF($A$1=$AI$1,AJ36))))))))))))</f>
        <v/>
      </c>
    </row>
    <row r="37" ht="15.5" customHeight="1">
      <c r="A37" s="26" t="inlineStr">
        <is>
          <t xml:space="preserve">ISM </t>
        </is>
      </c>
      <c r="B37" s="7">
        <f>'Bütçe aylık-Eur'!$B$28</f>
        <v/>
      </c>
      <c r="C37" s="7">
        <f>'gerç aylık-eur'!$B$28</f>
        <v/>
      </c>
      <c r="D37" s="7" t="n"/>
      <c r="E37" s="7">
        <f>'Bütçe aylık-Eur'!$C$28</f>
        <v/>
      </c>
      <c r="F37" s="7">
        <f>'gerç aylık-eur'!$C$28</f>
        <v/>
      </c>
      <c r="G37" s="7" t="n"/>
      <c r="H37" s="7">
        <f>'Bütçe aylık-Eur'!$D$28</f>
        <v/>
      </c>
      <c r="I37" s="7">
        <f>'gerç aylık-eur'!$D$28</f>
        <v/>
      </c>
      <c r="J37" s="7" t="n"/>
      <c r="K37" s="7">
        <f>'Bütçe aylık-Eur'!$E$28</f>
        <v/>
      </c>
      <c r="L37" s="7">
        <f>'gerç aylık-eur'!$E$28</f>
        <v/>
      </c>
      <c r="M37" s="7" t="n"/>
      <c r="N37" s="7">
        <f>'Bütçe aylık-Eur'!$F$28</f>
        <v/>
      </c>
      <c r="O37" s="7">
        <f>'gerç aylık-eur'!$F$28</f>
        <v/>
      </c>
      <c r="P37" s="7" t="n"/>
      <c r="Q37" s="7">
        <f>'Bütçe aylık-Eur'!$G$28</f>
        <v/>
      </c>
      <c r="R37" s="7">
        <f>'gerç aylık-eur'!$G$28</f>
        <v/>
      </c>
      <c r="S37" s="7" t="n"/>
      <c r="T37" s="7">
        <f>'Bütçe aylık-Eur'!$H$28</f>
        <v/>
      </c>
      <c r="U37" s="7">
        <f>'gerç aylık-eur'!$H$28</f>
        <v/>
      </c>
      <c r="V37" s="7" t="n"/>
      <c r="W37" s="7">
        <f>'Bütçe aylık-Eur'!$I$28</f>
        <v/>
      </c>
      <c r="X37" s="7">
        <f>'gerç aylık-eur'!$I$28</f>
        <v/>
      </c>
      <c r="Y37" s="7" t="n"/>
      <c r="Z37" s="7">
        <f>'Bütçe aylık-Eur'!$J$28</f>
        <v/>
      </c>
      <c r="AA37" s="7">
        <f>'gerç aylık-eur'!$J$28</f>
        <v/>
      </c>
      <c r="AB37" s="7" t="n"/>
      <c r="AC37" s="7">
        <f>'Bütçe aylık-Eur'!$K$28</f>
        <v/>
      </c>
      <c r="AD37" s="7">
        <f>'gerç aylık-eur'!$K$28</f>
        <v/>
      </c>
      <c r="AE37" s="7" t="n"/>
      <c r="AF37" s="7">
        <f>'Bütçe aylık-Eur'!$L$28</f>
        <v/>
      </c>
      <c r="AG37" s="7">
        <f>'gerç aylık-eur'!$L$28</f>
        <v/>
      </c>
      <c r="AH37" s="7" t="n"/>
      <c r="AI37" s="7">
        <f>'Bütçe aylık-Eur'!$M$28</f>
        <v/>
      </c>
      <c r="AJ37" s="7">
        <f>'gerç aylık-eur'!$M$28</f>
        <v/>
      </c>
      <c r="AK37" s="7" t="n"/>
      <c r="AL37" s="21">
        <f>AP37-AO37</f>
        <v/>
      </c>
      <c r="AM37" s="22">
        <f>AP37/AO37-1</f>
        <v/>
      </c>
      <c r="AO37" s="44">
        <f>IF($A$1=$B$1,B37,IF($A$1=$E$1,E37,IF($A$1=$H$1,H37,IF($A$1=$K$1,K37,IF($A$1=$N$1,N37,IF($A$1=$Q$1,Q37,IF($A$1=$T$1,T37,IF($A$1=$W$1,W37,IF($A$1=$Z$1,Z37,IF($A$1=$AC$1,AC37,IF($A$1=$AF$1,AF37,IF($A$1=$AI$1,AI37))))))))))))</f>
        <v/>
      </c>
      <c r="AP37" s="44">
        <f>IF($A$1=$B$1,C37,IF($A$1=$E$1,F37,IF($A$1=$H$1,I37,IF($A$1=$K$1,L37,IF($A$1=$N$1,O37,IF($A$1=$Q$1,R37,IF($A$1=$T$1,U37,IF($A$1=$W$1,X37,IF($A$1=$Z$1,AA37,IF($A$1=$AC$1,AD37,IF($A$1=$AF$1,AG37,IF($A$1=$AI$1,AJ37))))))))))))</f>
        <v/>
      </c>
    </row>
    <row r="38" ht="15.5" customHeight="1">
      <c r="A38" s="26" t="inlineStr">
        <is>
          <t>İncitaş</t>
        </is>
      </c>
      <c r="B38" s="7">
        <f>'Bütçe aylık-Eur'!$B$29</f>
        <v/>
      </c>
      <c r="C38" s="7">
        <f>'gerç aylık-eur'!$B$29</f>
        <v/>
      </c>
      <c r="D38" s="7" t="n"/>
      <c r="E38" s="7">
        <f>'Bütçe aylık-Eur'!$C$29</f>
        <v/>
      </c>
      <c r="F38" s="7">
        <f>'gerç aylık-eur'!$C$29</f>
        <v/>
      </c>
      <c r="G38" s="7" t="n"/>
      <c r="H38" s="7">
        <f>'Bütçe aylık-Eur'!$D$29</f>
        <v/>
      </c>
      <c r="I38" s="7">
        <f>'gerç aylık-eur'!$D$29</f>
        <v/>
      </c>
      <c r="J38" s="7" t="n"/>
      <c r="K38" s="7">
        <f>'Bütçe aylık-Eur'!$E$29</f>
        <v/>
      </c>
      <c r="L38" s="7">
        <f>'gerç aylık-eur'!$E$29</f>
        <v/>
      </c>
      <c r="M38" s="7" t="n"/>
      <c r="N38" s="7">
        <f>'Bütçe aylık-Eur'!$F$29</f>
        <v/>
      </c>
      <c r="O38" s="7">
        <f>'gerç aylık-eur'!$F$29</f>
        <v/>
      </c>
      <c r="P38" s="7" t="n"/>
      <c r="Q38" s="7">
        <f>'Bütçe aylık-Eur'!$G$29</f>
        <v/>
      </c>
      <c r="R38" s="7">
        <f>'gerç aylık-eur'!$G$29</f>
        <v/>
      </c>
      <c r="S38" s="7" t="n"/>
      <c r="T38" s="7">
        <f>'Bütçe aylık-Eur'!$H$29</f>
        <v/>
      </c>
      <c r="U38" s="7">
        <f>'gerç aylık-eur'!$H$29</f>
        <v/>
      </c>
      <c r="V38" s="7" t="n"/>
      <c r="W38" s="7">
        <f>'Bütçe aylık-Eur'!$I$29</f>
        <v/>
      </c>
      <c r="X38" s="7">
        <f>'gerç aylık-eur'!$I$29</f>
        <v/>
      </c>
      <c r="Y38" s="7" t="n"/>
      <c r="Z38" s="7">
        <f>'Bütçe aylık-Eur'!$J$29</f>
        <v/>
      </c>
      <c r="AA38" s="7">
        <f>'gerç aylık-eur'!$J$29</f>
        <v/>
      </c>
      <c r="AB38" s="7" t="n"/>
      <c r="AC38" s="7">
        <f>'Bütçe aylık-Eur'!$K$29</f>
        <v/>
      </c>
      <c r="AD38" s="7">
        <f>'gerç aylık-eur'!$K$29</f>
        <v/>
      </c>
      <c r="AE38" s="7" t="n"/>
      <c r="AF38" s="7">
        <f>'Bütçe aylık-Eur'!$L$29</f>
        <v/>
      </c>
      <c r="AG38" s="7">
        <f>'gerç aylık-eur'!$L$29</f>
        <v/>
      </c>
      <c r="AH38" s="7" t="n"/>
      <c r="AI38" s="7">
        <f>'Bütçe aylık-Eur'!$M$29</f>
        <v/>
      </c>
      <c r="AJ38" s="7">
        <f>'gerç aylık-eur'!$M$29</f>
        <v/>
      </c>
      <c r="AK38" s="7" t="n"/>
      <c r="AL38" s="21">
        <f>AP38-AO38</f>
        <v/>
      </c>
      <c r="AM38" s="22">
        <f>AP38/AO38-1</f>
        <v/>
      </c>
      <c r="AO38" s="44">
        <f>IF($A$1=$B$1,B38,IF($A$1=$E$1,E38,IF($A$1=$H$1,H38,IF($A$1=$K$1,K38,IF($A$1=$N$1,N38,IF($A$1=$Q$1,Q38,IF($A$1=$T$1,T38,IF($A$1=$W$1,W38,IF($A$1=$Z$1,Z38,IF($A$1=$AC$1,AC38,IF($A$1=$AF$1,AF38,IF($A$1=$AI$1,AI38))))))))))))</f>
        <v/>
      </c>
      <c r="AP38" s="44">
        <f>IF($A$1=$B$1,C38,IF($A$1=$E$1,F38,IF($A$1=$H$1,I38,IF($A$1=$K$1,L38,IF($A$1=$N$1,O38,IF($A$1=$Q$1,R38,IF($A$1=$T$1,U38,IF($A$1=$W$1,X38,IF($A$1=$Z$1,AA38,IF($A$1=$AC$1,AD38,IF($A$1=$AF$1,AG38,IF($A$1=$AI$1,AJ38))))))))))))</f>
        <v/>
      </c>
    </row>
    <row r="39" ht="15.5" customHeight="1">
      <c r="A39" s="26" t="inlineStr">
        <is>
          <t>İnci GS Yuasa</t>
        </is>
      </c>
      <c r="B39" s="7">
        <f>'Bütçe aylık-Eur'!$B$30</f>
        <v/>
      </c>
      <c r="C39" s="7">
        <f>'gerç aylık-eur'!$B$30</f>
        <v/>
      </c>
      <c r="D39" s="7" t="n"/>
      <c r="E39" s="7">
        <f>'Bütçe aylık-Eur'!$C$30</f>
        <v/>
      </c>
      <c r="F39" s="7">
        <f>'gerç aylık-eur'!$C$30</f>
        <v/>
      </c>
      <c r="G39" s="7" t="n"/>
      <c r="H39" s="7">
        <f>'Bütçe aylık-Eur'!$D$30</f>
        <v/>
      </c>
      <c r="I39" s="7">
        <f>'gerç aylık-eur'!$D$30</f>
        <v/>
      </c>
      <c r="J39" s="7" t="n"/>
      <c r="K39" s="7">
        <f>'Bütçe aylık-Eur'!$E$30</f>
        <v/>
      </c>
      <c r="L39" s="7">
        <f>'gerç aylık-eur'!$E$30</f>
        <v/>
      </c>
      <c r="M39" s="7" t="n"/>
      <c r="N39" s="7">
        <f>'Bütçe aylık-Eur'!$F$30</f>
        <v/>
      </c>
      <c r="O39" s="7">
        <f>'gerç aylık-eur'!$F$30</f>
        <v/>
      </c>
      <c r="P39" s="7" t="n"/>
      <c r="Q39" s="7">
        <f>'Bütçe aylık-Eur'!$G$30</f>
        <v/>
      </c>
      <c r="R39" s="7">
        <f>'gerç aylık-eur'!$G$30</f>
        <v/>
      </c>
      <c r="S39" s="7" t="n"/>
      <c r="T39" s="7">
        <f>'Bütçe aylık-Eur'!$H$30</f>
        <v/>
      </c>
      <c r="U39" s="7">
        <f>'gerç aylık-eur'!$H$30</f>
        <v/>
      </c>
      <c r="V39" s="7" t="n"/>
      <c r="W39" s="7">
        <f>'Bütçe aylık-Eur'!$I$30</f>
        <v/>
      </c>
      <c r="X39" s="7">
        <f>'gerç aylık-eur'!$I$30</f>
        <v/>
      </c>
      <c r="Y39" s="7" t="n"/>
      <c r="Z39" s="7">
        <f>'Bütçe aylık-Eur'!$J$30</f>
        <v/>
      </c>
      <c r="AA39" s="7">
        <f>'gerç aylık-eur'!$J$30</f>
        <v/>
      </c>
      <c r="AB39" s="7" t="n"/>
      <c r="AC39" s="7">
        <f>'Bütçe aylık-Eur'!$K$30</f>
        <v/>
      </c>
      <c r="AD39" s="7">
        <f>'gerç aylık-eur'!$K$30</f>
        <v/>
      </c>
      <c r="AE39" s="7" t="n"/>
      <c r="AF39" s="7">
        <f>'Bütçe aylık-Eur'!$L$30</f>
        <v/>
      </c>
      <c r="AG39" s="7">
        <f>'gerç aylık-eur'!$L$30</f>
        <v/>
      </c>
      <c r="AH39" s="7" t="n"/>
      <c r="AI39" s="7">
        <f>'Bütçe aylık-Eur'!$M$30</f>
        <v/>
      </c>
      <c r="AJ39" s="7">
        <f>'gerç aylık-eur'!$M$30</f>
        <v/>
      </c>
      <c r="AK39" s="7" t="n"/>
      <c r="AL39" s="21">
        <f>AP39-AO39</f>
        <v/>
      </c>
      <c r="AM39" s="22">
        <f>AP39/AO39-1</f>
        <v/>
      </c>
      <c r="AO39" s="44">
        <f>IF($A$1=$B$1,B39,IF($A$1=$E$1,E39,IF($A$1=$H$1,H39,IF($A$1=$K$1,K39,IF($A$1=$N$1,N39,IF($A$1=$Q$1,Q39,IF($A$1=$T$1,T39,IF($A$1=$W$1,W39,IF($A$1=$Z$1,Z39,IF($A$1=$AC$1,AC39,IF($A$1=$AF$1,AF39,IF($A$1=$AI$1,AI39))))))))))))</f>
        <v/>
      </c>
      <c r="AP39" s="44">
        <f>IF($A$1=$B$1,C39,IF($A$1=$E$1,F39,IF($A$1=$H$1,I39,IF($A$1=$K$1,L39,IF($A$1=$N$1,O39,IF($A$1=$Q$1,R39,IF($A$1=$T$1,U39,IF($A$1=$W$1,X39,IF($A$1=$Z$1,AA39,IF($A$1=$AC$1,AD39,IF($A$1=$AF$1,AG39,IF($A$1=$AI$1,AJ39))))))))))))</f>
        <v/>
      </c>
    </row>
    <row r="40" ht="15.5" customFormat="1" customHeight="1" s="1">
      <c r="A40" s="26" t="inlineStr">
        <is>
          <t>Yusen İnci Loj.</t>
        </is>
      </c>
      <c r="B40" s="7">
        <f>'Bütçe aylık-Eur'!$B$31</f>
        <v/>
      </c>
      <c r="C40" s="7">
        <f>'gerç aylık-eur'!$B$31</f>
        <v/>
      </c>
      <c r="D40" s="8" t="n"/>
      <c r="E40" s="7">
        <f>'Bütçe aylık-Eur'!$C$31</f>
        <v/>
      </c>
      <c r="F40" s="7">
        <f>'gerç aylık-eur'!$C$31</f>
        <v/>
      </c>
      <c r="G40" s="8" t="n"/>
      <c r="H40" s="7">
        <f>'Bütçe aylık-Eur'!$D$31</f>
        <v/>
      </c>
      <c r="I40" s="7">
        <f>'gerç aylık-eur'!$D$31</f>
        <v/>
      </c>
      <c r="J40" s="8" t="n"/>
      <c r="K40" s="7">
        <f>'Bütçe aylık-Eur'!$E$31</f>
        <v/>
      </c>
      <c r="L40" s="7">
        <f>'gerç aylık-eur'!$E$31</f>
        <v/>
      </c>
      <c r="M40" s="8" t="n"/>
      <c r="N40" s="7">
        <f>'Bütçe aylık-Eur'!$F$31</f>
        <v/>
      </c>
      <c r="O40" s="7">
        <f>'gerç aylık-eur'!$F$31</f>
        <v/>
      </c>
      <c r="P40" s="8" t="n"/>
      <c r="Q40" s="7">
        <f>'Bütçe aylık-Eur'!$G$31</f>
        <v/>
      </c>
      <c r="R40" s="7">
        <f>'gerç aylık-eur'!$G$31</f>
        <v/>
      </c>
      <c r="S40" s="8" t="n"/>
      <c r="T40" s="7">
        <f>'Bütçe aylık-Eur'!$H$31</f>
        <v/>
      </c>
      <c r="U40" s="7">
        <f>'gerç aylık-eur'!$H$31</f>
        <v/>
      </c>
      <c r="V40" s="8" t="n"/>
      <c r="W40" s="7">
        <f>'Bütçe aylık-Eur'!$I$31</f>
        <v/>
      </c>
      <c r="X40" s="7">
        <f>'gerç aylık-eur'!$I$31</f>
        <v/>
      </c>
      <c r="Y40" s="8" t="n"/>
      <c r="Z40" s="7">
        <f>'Bütçe aylık-Eur'!$J$31</f>
        <v/>
      </c>
      <c r="AA40" s="7">
        <f>'gerç aylık-eur'!$J$31</f>
        <v/>
      </c>
      <c r="AB40" s="8" t="n"/>
      <c r="AC40" s="7">
        <f>'Bütçe aylık-Eur'!$K$31</f>
        <v/>
      </c>
      <c r="AD40" s="7">
        <f>'gerç aylık-eur'!$K$31</f>
        <v/>
      </c>
      <c r="AE40" s="8" t="n"/>
      <c r="AF40" s="7">
        <f>'Bütçe aylık-Eur'!$L$31</f>
        <v/>
      </c>
      <c r="AG40" s="7">
        <f>'gerç aylık-eur'!$L$31</f>
        <v/>
      </c>
      <c r="AH40" s="8" t="n"/>
      <c r="AI40" s="7">
        <f>'Bütçe aylık-Eur'!$M$31</f>
        <v/>
      </c>
      <c r="AJ40" s="7">
        <f>'gerç aylık-eur'!$M$31</f>
        <v/>
      </c>
      <c r="AK40" s="8" t="n"/>
      <c r="AL40" s="21">
        <f>AP40-AO40</f>
        <v/>
      </c>
      <c r="AM40" s="22">
        <f>AP40/AO40-1</f>
        <v/>
      </c>
      <c r="AO40" s="44">
        <f>IF($A$1=$B$1,B40,IF($A$1=$E$1,E40,IF($A$1=$H$1,H40,IF($A$1=$K$1,K40,IF($A$1=$N$1,N40,IF($A$1=$Q$1,Q40,IF($A$1=$T$1,T40,IF($A$1=$W$1,W40,IF($A$1=$Z$1,Z40,IF($A$1=$AC$1,AC40,IF($A$1=$AF$1,AF40,IF($A$1=$AI$1,AI40))))))))))))</f>
        <v/>
      </c>
      <c r="AP40" s="44">
        <f>IF($A$1=$B$1,C40,IF($A$1=$E$1,F40,IF($A$1=$H$1,I40,IF($A$1=$K$1,L40,IF($A$1=$N$1,O40,IF($A$1=$Q$1,R40,IF($A$1=$T$1,U40,IF($A$1=$W$1,X40,IF($A$1=$Z$1,AA40,IF($A$1=$AC$1,AD40,IF($A$1=$AF$1,AG40,IF($A$1=$AI$1,AJ40))))))))))))</f>
        <v/>
      </c>
    </row>
    <row r="41" ht="15.5" customHeight="1">
      <c r="A41" s="26" t="inlineStr">
        <is>
          <t>Jantaş</t>
        </is>
      </c>
      <c r="B41" s="7">
        <f>'Bütçe aylık-Eur'!$B$32</f>
        <v/>
      </c>
      <c r="C41" s="7">
        <f>'gerç aylık-eur'!$B$32</f>
        <v/>
      </c>
      <c r="D41" s="7" t="n"/>
      <c r="E41" s="7">
        <f>'Bütçe aylık-Eur'!$C$32</f>
        <v/>
      </c>
      <c r="F41" s="7">
        <f>'gerç aylık-eur'!$C$32</f>
        <v/>
      </c>
      <c r="G41" s="7" t="n"/>
      <c r="H41" s="7">
        <f>'Bütçe aylık-Eur'!$D$32</f>
        <v/>
      </c>
      <c r="I41" s="7">
        <f>'gerç aylık-eur'!$D$32</f>
        <v/>
      </c>
      <c r="J41" s="7" t="n"/>
      <c r="K41" s="7">
        <f>'Bütçe aylık-Eur'!$E$32</f>
        <v/>
      </c>
      <c r="L41" s="7">
        <f>'gerç aylık-eur'!$E$32</f>
        <v/>
      </c>
      <c r="M41" s="7" t="n"/>
      <c r="N41" s="7">
        <f>'Bütçe aylık-Eur'!$F$32</f>
        <v/>
      </c>
      <c r="O41" s="7">
        <f>'gerç aylık-eur'!$F$32</f>
        <v/>
      </c>
      <c r="P41" s="7" t="n"/>
      <c r="Q41" s="7">
        <f>'Bütçe aylık-Eur'!$G$32</f>
        <v/>
      </c>
      <c r="R41" s="7">
        <f>'gerç aylık-eur'!$G$32</f>
        <v/>
      </c>
      <c r="S41" s="7" t="n"/>
      <c r="T41" s="7">
        <f>'Bütçe aylık-Eur'!$H$32</f>
        <v/>
      </c>
      <c r="U41" s="7">
        <f>'gerç aylık-eur'!$H$32</f>
        <v/>
      </c>
      <c r="V41" s="7" t="n"/>
      <c r="W41" s="7">
        <f>'Bütçe aylık-Eur'!$I$32</f>
        <v/>
      </c>
      <c r="X41" s="7">
        <f>'gerç aylık-eur'!$I$32</f>
        <v/>
      </c>
      <c r="Y41" s="7" t="n"/>
      <c r="Z41" s="7">
        <f>'Bütçe aylık-Eur'!$J$32</f>
        <v/>
      </c>
      <c r="AA41" s="7">
        <f>'gerç aylık-eur'!$J$32</f>
        <v/>
      </c>
      <c r="AB41" s="7" t="n"/>
      <c r="AC41" s="7">
        <f>'Bütçe aylık-Eur'!$K$32</f>
        <v/>
      </c>
      <c r="AD41" s="7">
        <f>'gerç aylık-eur'!$K$32</f>
        <v/>
      </c>
      <c r="AE41" s="7" t="n"/>
      <c r="AF41" s="7">
        <f>'Bütçe aylık-Eur'!$L$32</f>
        <v/>
      </c>
      <c r="AG41" s="7">
        <f>'gerç aylık-eur'!$L$32</f>
        <v/>
      </c>
      <c r="AH41" s="7" t="n"/>
      <c r="AI41" s="7">
        <f>'Bütçe aylık-Eur'!$M$32</f>
        <v/>
      </c>
      <c r="AJ41" s="7">
        <f>'gerç aylık-eur'!$M$32</f>
        <v/>
      </c>
      <c r="AK41" s="7" t="n"/>
      <c r="AL41" s="21">
        <f>AP41-AO41</f>
        <v/>
      </c>
      <c r="AM41" s="22">
        <f>AP41/AO41-1</f>
        <v/>
      </c>
      <c r="AO41" s="44">
        <f>IF($A$1=$B$1,B41,IF($A$1=$E$1,E41,IF($A$1=$H$1,H41,IF($A$1=$K$1,K41,IF($A$1=$N$1,N41,IF($A$1=$Q$1,Q41,IF($A$1=$T$1,T41,IF($A$1=$W$1,W41,IF($A$1=$Z$1,Z41,IF($A$1=$AC$1,AC41,IF($A$1=$AF$1,AF41,IF($A$1=$AI$1,AI41))))))))))))</f>
        <v/>
      </c>
      <c r="AP41" s="44">
        <f>IF($A$1=$B$1,C41,IF($A$1=$E$1,F41,IF($A$1=$H$1,I41,IF($A$1=$K$1,L41,IF($A$1=$N$1,O41,IF($A$1=$Q$1,R41,IF($A$1=$T$1,U41,IF($A$1=$W$1,X41,IF($A$1=$Z$1,AA41,IF($A$1=$AC$1,AD41,IF($A$1=$AF$1,AG41,IF($A$1=$AI$1,AJ41))))))))))))</f>
        <v/>
      </c>
    </row>
    <row r="42" ht="15.5" customHeight="1">
      <c r="A42" s="26" t="inlineStr">
        <is>
          <t>Çelik</t>
        </is>
      </c>
      <c r="B42" s="7">
        <f>'Bütçe aylık-Eur'!$B$33</f>
        <v/>
      </c>
      <c r="C42" s="7">
        <f>'gerç aylık-eur'!$B$33</f>
        <v/>
      </c>
      <c r="D42" s="7" t="n"/>
      <c r="E42" s="7">
        <f>'Bütçe aylık-Eur'!$C$33</f>
        <v/>
      </c>
      <c r="F42" s="7">
        <f>'gerç aylık-eur'!$C$33</f>
        <v/>
      </c>
      <c r="G42" s="7" t="n"/>
      <c r="H42" s="7">
        <f>'Bütçe aylık-Eur'!$D$33</f>
        <v/>
      </c>
      <c r="I42" s="7">
        <f>'gerç aylık-eur'!$D$33</f>
        <v/>
      </c>
      <c r="J42" s="7" t="n"/>
      <c r="K42" s="7">
        <f>'Bütçe aylık-Eur'!$E$33</f>
        <v/>
      </c>
      <c r="L42" s="7">
        <f>'gerç aylık-eur'!$E$33</f>
        <v/>
      </c>
      <c r="M42" s="7" t="n"/>
      <c r="N42" s="7">
        <f>'Bütçe aylık-Eur'!$F$33</f>
        <v/>
      </c>
      <c r="O42" s="7">
        <f>'gerç aylık-eur'!$F$33</f>
        <v/>
      </c>
      <c r="P42" s="7" t="n"/>
      <c r="Q42" s="7">
        <f>'Bütçe aylık-Eur'!$G$33</f>
        <v/>
      </c>
      <c r="R42" s="7">
        <f>'gerç aylık-eur'!$G$33</f>
        <v/>
      </c>
      <c r="S42" s="7" t="n"/>
      <c r="T42" s="7">
        <f>'Bütçe aylık-Eur'!$H$33</f>
        <v/>
      </c>
      <c r="U42" s="7">
        <f>'gerç aylık-eur'!$H$33</f>
        <v/>
      </c>
      <c r="V42" s="7" t="n"/>
      <c r="W42" s="7">
        <f>'Bütçe aylık-Eur'!$I$33</f>
        <v/>
      </c>
      <c r="X42" s="7">
        <f>'gerç aylık-eur'!$I$33</f>
        <v/>
      </c>
      <c r="Y42" s="7" t="n"/>
      <c r="Z42" s="7">
        <f>'Bütçe aylık-Eur'!$J$33</f>
        <v/>
      </c>
      <c r="AA42" s="7">
        <f>'gerç aylık-eur'!$J$33</f>
        <v/>
      </c>
      <c r="AB42" s="7" t="n"/>
      <c r="AC42" s="7">
        <f>'Bütçe aylık-Eur'!$K$33</f>
        <v/>
      </c>
      <c r="AD42" s="7">
        <f>'gerç aylık-eur'!$K$33</f>
        <v/>
      </c>
      <c r="AE42" s="7" t="n"/>
      <c r="AF42" s="7">
        <f>'Bütçe aylık-Eur'!$L$33</f>
        <v/>
      </c>
      <c r="AG42" s="7">
        <f>'gerç aylık-eur'!$L$33</f>
        <v/>
      </c>
      <c r="AH42" s="7" t="n"/>
      <c r="AI42" s="7">
        <f>'Bütçe aylık-Eur'!$M$33</f>
        <v/>
      </c>
      <c r="AJ42" s="7">
        <f>'gerç aylık-eur'!$M$33</f>
        <v/>
      </c>
      <c r="AK42" s="7" t="n"/>
      <c r="AL42" s="21">
        <f>AP42-AO42</f>
        <v/>
      </c>
      <c r="AM42" s="22">
        <f>AP42/AO42-1</f>
        <v/>
      </c>
      <c r="AO42" s="44">
        <f>IF($A$1=$B$1,B42,IF($A$1=$E$1,E42,IF($A$1=$H$1,H42,IF($A$1=$K$1,K42,IF($A$1=$N$1,N42,IF($A$1=$Q$1,Q42,IF($A$1=$T$1,T42,IF($A$1=$W$1,W42,IF($A$1=$Z$1,Z42,IF($A$1=$AC$1,AC42,IF($A$1=$AF$1,AF42,IF($A$1=$AI$1,AI42))))))))))))</f>
        <v/>
      </c>
      <c r="AP42" s="44">
        <f>IF($A$1=$B$1,C42,IF($A$1=$E$1,F42,IF($A$1=$H$1,I42,IF($A$1=$K$1,L42,IF($A$1=$N$1,O42,IF($A$1=$Q$1,R42,IF($A$1=$T$1,U42,IF($A$1=$W$1,X42,IF($A$1=$Z$1,AA42,IF($A$1=$AC$1,AD42,IF($A$1=$AF$1,AG42,IF($A$1=$AI$1,AJ42))))))))))))</f>
        <v/>
      </c>
    </row>
    <row r="43" ht="15.5" customHeight="1">
      <c r="A43" s="26" t="inlineStr">
        <is>
          <t>Alüminyum</t>
        </is>
      </c>
      <c r="B43" s="7">
        <f>'Bütçe aylık-Eur'!$B$34</f>
        <v/>
      </c>
      <c r="C43" s="7">
        <f>'gerç aylık-eur'!$B$34</f>
        <v/>
      </c>
      <c r="D43" s="7" t="n"/>
      <c r="E43" s="7">
        <f>'Bütçe aylık-Eur'!$C$34</f>
        <v/>
      </c>
      <c r="F43" s="7">
        <f>'gerç aylık-eur'!$C$34</f>
        <v/>
      </c>
      <c r="G43" s="7" t="n"/>
      <c r="H43" s="7">
        <f>'Bütçe aylık-Eur'!$D$34</f>
        <v/>
      </c>
      <c r="I43" s="7">
        <f>'gerç aylık-eur'!$D$34</f>
        <v/>
      </c>
      <c r="J43" s="7" t="n"/>
      <c r="K43" s="7">
        <f>'Bütçe aylık-Eur'!$E$34</f>
        <v/>
      </c>
      <c r="L43" s="7">
        <f>'gerç aylık-eur'!$E$34</f>
        <v/>
      </c>
      <c r="M43" s="7" t="n"/>
      <c r="N43" s="7">
        <f>'Bütçe aylık-Eur'!$F$34</f>
        <v/>
      </c>
      <c r="O43" s="7">
        <f>'gerç aylık-eur'!$F$34</f>
        <v/>
      </c>
      <c r="P43" s="7" t="n"/>
      <c r="Q43" s="7">
        <f>'Bütçe aylık-Eur'!$G$34</f>
        <v/>
      </c>
      <c r="R43" s="7">
        <f>'gerç aylık-eur'!$G$34</f>
        <v/>
      </c>
      <c r="S43" s="7" t="n"/>
      <c r="T43" s="7">
        <f>'Bütçe aylık-Eur'!$H$34</f>
        <v/>
      </c>
      <c r="U43" s="7">
        <f>'gerç aylık-eur'!$H$34</f>
        <v/>
      </c>
      <c r="V43" s="7" t="n"/>
      <c r="W43" s="7">
        <f>'Bütçe aylık-Eur'!$I$34</f>
        <v/>
      </c>
      <c r="X43" s="7">
        <f>'gerç aylık-eur'!$I$34</f>
        <v/>
      </c>
      <c r="Y43" s="7" t="n"/>
      <c r="Z43" s="7">
        <f>'Bütçe aylık-Eur'!$J$34</f>
        <v/>
      </c>
      <c r="AA43" s="7">
        <f>'gerç aylık-eur'!$J$34</f>
        <v/>
      </c>
      <c r="AB43" s="7" t="n"/>
      <c r="AC43" s="7">
        <f>'Bütçe aylık-Eur'!$K$34</f>
        <v/>
      </c>
      <c r="AD43" s="7">
        <f>'gerç aylık-eur'!$K$34</f>
        <v/>
      </c>
      <c r="AE43" s="7" t="n"/>
      <c r="AF43" s="7">
        <f>'Bütçe aylık-Eur'!$L$34</f>
        <v/>
      </c>
      <c r="AG43" s="7">
        <f>'gerç aylık-eur'!$L$34</f>
        <v/>
      </c>
      <c r="AH43" s="7" t="n"/>
      <c r="AI43" s="7">
        <f>'Bütçe aylık-Eur'!$M$34</f>
        <v/>
      </c>
      <c r="AJ43" s="7">
        <f>'gerç aylık-eur'!$M$34</f>
        <v/>
      </c>
      <c r="AK43" s="7" t="n"/>
      <c r="AL43" s="21">
        <f>AP43-AO43</f>
        <v/>
      </c>
      <c r="AM43" s="22">
        <f>AP43/AO43-1</f>
        <v/>
      </c>
      <c r="AO43" s="44">
        <f>IF($A$1=$B$1,B43,IF($A$1=$E$1,E43,IF($A$1=$H$1,H43,IF($A$1=$K$1,K43,IF($A$1=$N$1,N43,IF($A$1=$Q$1,Q43,IF($A$1=$T$1,T43,IF($A$1=$W$1,W43,IF($A$1=$Z$1,Z43,IF($A$1=$AC$1,AC43,IF($A$1=$AF$1,AF43,IF($A$1=$AI$1,AI43))))))))))))</f>
        <v/>
      </c>
      <c r="AP43" s="44">
        <f>IF($A$1=$B$1,C43,IF($A$1=$E$1,F43,IF($A$1=$H$1,I43,IF($A$1=$K$1,L43,IF($A$1=$N$1,O43,IF($A$1=$Q$1,R43,IF($A$1=$T$1,U43,IF($A$1=$W$1,X43,IF($A$1=$Z$1,AA43,IF($A$1=$AC$1,AD43,IF($A$1=$AF$1,AG43,IF($A$1=$AI$1,AJ43))))))))))))</f>
        <v/>
      </c>
    </row>
    <row r="44" ht="15.5" customHeight="1">
      <c r="A44" s="2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21" t="n"/>
      <c r="AM44" s="22" t="n"/>
      <c r="AO44" s="44">
        <f>IF($A$1=$B$1,B44,IF($A$1=$E$1,E44,IF($A$1=$H$1,H44,IF($A$1=$K$1,K44,IF($A$1=$N$1,N44,IF($A$1=$Q$1,Q44,IF($A$1=$T$1,T44,IF($A$1=$W$1,W44,IF($A$1=$Z$1,Z44,IF($A$1=$AC$1,AC44,IF($A$1=$AF$1,AF44,IF($A$1=$AI$1,AI44))))))))))))</f>
        <v/>
      </c>
      <c r="AP44" s="44">
        <f>IF($A$1=$B$1,C44,IF($A$1=$E$1,F44,IF($A$1=$H$1,I44,IF($A$1=$K$1,L44,IF($A$1=$N$1,O44,IF($A$1=$Q$1,R44,IF($A$1=$T$1,U44,IF($A$1=$W$1,X44,IF($A$1=$Z$1,AA44,IF($A$1=$AC$1,AD44,IF($A$1=$AF$1,AG44,IF($A$1=$AI$1,AJ44))))))))))))</f>
        <v/>
      </c>
    </row>
    <row r="45" hidden="1" ht="15.75" customHeight="1">
      <c r="A45" s="2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21">
        <f>AP45-AO45</f>
        <v/>
      </c>
      <c r="AM45" s="22">
        <f>AP45/AO45-1</f>
        <v/>
      </c>
      <c r="AO45" s="44">
        <f>IF($A$1=$B$1,B45,IF($A$1=$E$1,E45,IF($A$1=$H$1,H45,IF($A$1=$K$1,K45,IF($A$1=$N$1,N45,IF($A$1=$Q$1,Q45,IF($A$1=$T$1,T45,IF($A$1=$W$1,W45,IF($A$1=$Z$1,Z45,IF($A$1=$AC$1,AC45,IF($A$1=$AF$1,AF45,IF($A$1=$AI$1,AI45))))))))))))</f>
        <v/>
      </c>
      <c r="AP45" s="44">
        <f>IF($A$1=$B$1,C45,IF($A$1=$E$1,F45,IF($A$1=$H$1,I45,IF($A$1=$K$1,L45,IF($A$1=$N$1,O45,IF($A$1=$Q$1,R45,IF($A$1=$T$1,U45,IF($A$1=$W$1,X45,IF($A$1=$Z$1,AA45,IF($A$1=$AC$1,AD45,IF($A$1=$AF$1,AG45,IF($A$1=$AI$1,AJ45))))))))))))</f>
        <v/>
      </c>
    </row>
    <row r="46" hidden="1" ht="15.75" customFormat="1" customHeight="1" s="1">
      <c r="A46" s="27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15">
        <f>AP46-AO46</f>
        <v/>
      </c>
      <c r="AM46" s="16">
        <f>AP46/AO46-1</f>
        <v/>
      </c>
      <c r="AO46" s="44">
        <f>IF($A$1=$B$1,B46,IF($A$1=$E$1,E46,IF($A$1=$H$1,H46,IF($A$1=$K$1,K46,IF($A$1=$N$1,N46,IF($A$1=$Q$1,Q46,IF($A$1=$T$1,T46,IF($A$1=$W$1,W46,IF($A$1=$Z$1,Z46,IF($A$1=$AC$1,AC46,IF($A$1=$AF$1,AF46,IF($A$1=$AI$1,AI46))))))))))))</f>
        <v/>
      </c>
      <c r="AP46" s="44">
        <f>IF($A$1=$B$1,C46,IF($A$1=$E$1,F46,IF($A$1=$H$1,I46,IF($A$1=$K$1,L46,IF($A$1=$N$1,O46,IF($A$1=$Q$1,R46,IF($A$1=$T$1,U46,IF($A$1=$W$1,X46,IF($A$1=$Z$1,AA46,IF($A$1=$AC$1,AD46,IF($A$1=$AF$1,AG46,IF($A$1=$AI$1,AJ46))))))))))))</f>
        <v/>
      </c>
    </row>
    <row r="47" hidden="1" ht="15.75" customHeight="1">
      <c r="A47" s="2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21">
        <f>AP47-AO47</f>
        <v/>
      </c>
      <c r="AM47" s="22">
        <f>AP47/AO47-1</f>
        <v/>
      </c>
      <c r="AO47" s="44">
        <f>IF($A$1=$B$1,B47,IF($A$1=$E$1,E47,IF($A$1=$H$1,H47,IF($A$1=$K$1,K47,IF($A$1=$N$1,N47,IF($A$1=$Q$1,Q47,IF($A$1=$T$1,T47,IF($A$1=$W$1,W47,IF($A$1=$Z$1,Z47,IF($A$1=$AC$1,AC47,IF($A$1=$AF$1,AF47,IF($A$1=$AI$1,AI47))))))))))))</f>
        <v/>
      </c>
      <c r="AP47" s="44">
        <f>IF($A$1=$B$1,C47,IF($A$1=$E$1,F47,IF($A$1=$H$1,I47,IF($A$1=$K$1,L47,IF($A$1=$N$1,O47,IF($A$1=$Q$1,R47,IF($A$1=$T$1,U47,IF($A$1=$W$1,X47,IF($A$1=$Z$1,AA47,IF($A$1=$AC$1,AD47,IF($A$1=$AF$1,AG47,IF($A$1=$AI$1,AJ47))))))))))))</f>
        <v/>
      </c>
    </row>
    <row r="48" hidden="1" ht="15.75" customFormat="1" customHeight="1" s="1">
      <c r="A48" s="27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15">
        <f>AP48-AO48</f>
        <v/>
      </c>
      <c r="AM48" s="16">
        <f>AP48/AO48-1</f>
        <v/>
      </c>
      <c r="AO48" s="44">
        <f>IF($A$1=$B$1,B48,IF($A$1=$E$1,E48,IF($A$1=$H$1,H48,IF($A$1=$K$1,K48,IF($A$1=$N$1,N48,IF($A$1=$Q$1,Q48,IF($A$1=$T$1,T48,IF($A$1=$W$1,W48,IF($A$1=$Z$1,Z48,IF($A$1=$AC$1,AC48,IF($A$1=$AF$1,AF48,IF($A$1=$AI$1,AI48))))))))))))</f>
        <v/>
      </c>
      <c r="AP48" s="44">
        <f>IF($A$1=$B$1,C48,IF($A$1=$E$1,F48,IF($A$1=$H$1,I48,IF($A$1=$K$1,L48,IF($A$1=$N$1,O48,IF($A$1=$Q$1,R48,IF($A$1=$T$1,U48,IF($A$1=$W$1,X48,IF($A$1=$Z$1,AA48,IF($A$1=$AC$1,AD48,IF($A$1=$AF$1,AG48,IF($A$1=$AI$1,AJ48))))))))))))</f>
        <v/>
      </c>
    </row>
    <row r="49" hidden="1" ht="15.75" customHeight="1">
      <c r="A49" s="2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21" t="n"/>
      <c r="AM49" s="22" t="n"/>
      <c r="AO49" s="44">
        <f>IF($A$1=$B$1,B49,IF($A$1=$E$1,E49,IF($A$1=$H$1,H49,IF($A$1=$K$1,K49,IF($A$1=$N$1,N49,IF($A$1=$Q$1,Q49,IF($A$1=$T$1,T49,IF($A$1=$W$1,W49,IF($A$1=$Z$1,Z49,IF($A$1=$AC$1,AC49,IF($A$1=$AF$1,AF49,IF($A$1=$AI$1,AI49))))))))))))</f>
        <v/>
      </c>
      <c r="AP49" s="44">
        <f>IF($A$1=$B$1,C49,IF($A$1=$E$1,F49,IF($A$1=$H$1,I49,IF($A$1=$K$1,L49,IF($A$1=$N$1,O49,IF($A$1=$Q$1,R49,IF($A$1=$T$1,U49,IF($A$1=$W$1,X49,IF($A$1=$Z$1,AA49,IF($A$1=$AC$1,AD49,IF($A$1=$AF$1,AG49,IF($A$1=$AI$1,AJ49))))))))))))</f>
        <v/>
      </c>
    </row>
    <row r="50" hidden="1" ht="15.75" customHeight="1">
      <c r="A50" s="2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21">
        <f>AP50-AO50</f>
        <v/>
      </c>
      <c r="AM50" s="22">
        <f>AP50/AO50-1</f>
        <v/>
      </c>
      <c r="AO50" s="44">
        <f>IF($A$1=$B$1,B50,IF($A$1=$E$1,E50,IF($A$1=$H$1,H50,IF($A$1=$K$1,K50,IF($A$1=$N$1,N50,IF($A$1=$Q$1,Q50,IF($A$1=$T$1,T50,IF($A$1=$W$1,W50,IF($A$1=$Z$1,Z50,IF($A$1=$AC$1,AC50,IF($A$1=$AF$1,AF50,IF($A$1=$AI$1,AI50))))))))))))</f>
        <v/>
      </c>
      <c r="AP50" s="44">
        <f>IF($A$1=$B$1,C50,IF($A$1=$E$1,F50,IF($A$1=$H$1,I50,IF($A$1=$K$1,L50,IF($A$1=$N$1,O50,IF($A$1=$Q$1,R50,IF($A$1=$T$1,U50,IF($A$1=$W$1,X50,IF($A$1=$Z$1,AA50,IF($A$1=$AC$1,AD50,IF($A$1=$AF$1,AG50,IF($A$1=$AI$1,AJ50))))))))))))</f>
        <v/>
      </c>
    </row>
    <row r="51" hidden="1" ht="15.75" customHeight="1">
      <c r="A51" s="2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21">
        <f>AP51-AO51</f>
        <v/>
      </c>
      <c r="AM51" s="22">
        <f>AP51/AO51-1</f>
        <v/>
      </c>
      <c r="AO51" s="44">
        <f>IF($A$1=$B$1,B51,IF($A$1=$E$1,E51,IF($A$1=$H$1,H51,IF($A$1=$K$1,K51,IF($A$1=$N$1,N51,IF($A$1=$Q$1,Q51,IF($A$1=$T$1,T51,IF($A$1=$W$1,W51,IF($A$1=$Z$1,Z51,IF($A$1=$AC$1,AC51,IF($A$1=$AF$1,AF51,IF($A$1=$AI$1,AI51))))))))))))</f>
        <v/>
      </c>
      <c r="AP51" s="44">
        <f>IF($A$1=$B$1,C51,IF($A$1=$E$1,F51,IF($A$1=$H$1,I51,IF($A$1=$K$1,L51,IF($A$1=$N$1,O51,IF($A$1=$Q$1,R51,IF($A$1=$T$1,U51,IF($A$1=$W$1,X51,IF($A$1=$Z$1,AA51,IF($A$1=$AC$1,AD51,IF($A$1=$AF$1,AG51,IF($A$1=$AI$1,AJ51))))))))))))</f>
        <v/>
      </c>
    </row>
    <row r="52" hidden="1" ht="15.75" customHeight="1">
      <c r="A52" s="2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21">
        <f>AP52-AO52</f>
        <v/>
      </c>
      <c r="AM52" s="22">
        <f>AP52/AO52-1</f>
        <v/>
      </c>
      <c r="AO52" s="44">
        <f>IF($A$1=$B$1,B52,IF($A$1=$E$1,E52,IF($A$1=$H$1,H52,IF($A$1=$K$1,K52,IF($A$1=$N$1,N52,IF($A$1=$Q$1,Q52,IF($A$1=$T$1,T52,IF($A$1=$W$1,W52,IF($A$1=$Z$1,Z52,IF($A$1=$AC$1,AC52,IF($A$1=$AF$1,AF52,IF($A$1=$AI$1,AI52))))))))))))</f>
        <v/>
      </c>
      <c r="AP52" s="44">
        <f>IF($A$1=$B$1,C52,IF($A$1=$E$1,F52,IF($A$1=$H$1,I52,IF($A$1=$K$1,L52,IF($A$1=$N$1,O52,IF($A$1=$Q$1,R52,IF($A$1=$T$1,U52,IF($A$1=$W$1,X52,IF($A$1=$Z$1,AA52,IF($A$1=$AC$1,AD52,IF($A$1=$AF$1,AG52,IF($A$1=$AI$1,AJ52))))))))))))</f>
        <v/>
      </c>
    </row>
    <row r="53" hidden="1" ht="15.75" customHeight="1">
      <c r="A53" s="2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21">
        <f>AP53-AO53</f>
        <v/>
      </c>
      <c r="AM53" s="22">
        <f>AP53/AO53-1</f>
        <v/>
      </c>
      <c r="AO53" s="44">
        <f>IF($A$1=$B$1,B53,IF($A$1=$E$1,E53,IF($A$1=$H$1,H53,IF($A$1=$K$1,K53,IF($A$1=$N$1,N53,IF($A$1=$Q$1,Q53,IF($A$1=$T$1,T53,IF($A$1=$W$1,W53,IF($A$1=$Z$1,Z53,IF($A$1=$AC$1,AC53,IF($A$1=$AF$1,AF53,IF($A$1=$AI$1,AI53))))))))))))</f>
        <v/>
      </c>
      <c r="AP53" s="44">
        <f>IF($A$1=$B$1,C53,IF($A$1=$E$1,F53,IF($A$1=$H$1,I53,IF($A$1=$K$1,L53,IF($A$1=$N$1,O53,IF($A$1=$Q$1,R53,IF($A$1=$T$1,U53,IF($A$1=$W$1,X53,IF($A$1=$Z$1,AA53,IF($A$1=$AC$1,AD53,IF($A$1=$AF$1,AG53,IF($A$1=$AI$1,AJ53))))))))))))</f>
        <v/>
      </c>
    </row>
    <row r="54" hidden="1" ht="15.75" customFormat="1" customHeight="1" s="1">
      <c r="A54" s="27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15">
        <f>AP54-AO54</f>
        <v/>
      </c>
      <c r="AM54" s="16">
        <f>AP54/AO54-1</f>
        <v/>
      </c>
      <c r="AO54" s="44">
        <f>IF($A$1=$B$1,B54,IF($A$1=$E$1,E54,IF($A$1=$H$1,H54,IF($A$1=$K$1,K54,IF($A$1=$N$1,N54,IF($A$1=$Q$1,Q54,IF($A$1=$T$1,T54,IF($A$1=$W$1,W54,IF($A$1=$Z$1,Z54,IF($A$1=$AC$1,AC54,IF($A$1=$AF$1,AF54,IF($A$1=$AI$1,AI54))))))))))))</f>
        <v/>
      </c>
      <c r="AP54" s="44">
        <f>IF($A$1=$B$1,C54,IF($A$1=$E$1,F54,IF($A$1=$H$1,I54,IF($A$1=$K$1,L54,IF($A$1=$N$1,O54,IF($A$1=$Q$1,R54,IF($A$1=$T$1,U54,IF($A$1=$W$1,X54,IF($A$1=$Z$1,AA54,IF($A$1=$AC$1,AD54,IF($A$1=$AF$1,AG54,IF($A$1=$AI$1,AJ54))))))))))))</f>
        <v/>
      </c>
    </row>
    <row r="55" hidden="1" ht="15.75" customHeight="1">
      <c r="A55" s="2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21">
        <f>AP55-AO55</f>
        <v/>
      </c>
      <c r="AM55" s="22">
        <f>AP55/AO55-1</f>
        <v/>
      </c>
      <c r="AO55" s="44">
        <f>IF($A$1=$B$1,B55,IF($A$1=$E$1,E55,IF($A$1=$H$1,H55,IF($A$1=$K$1,K55,IF($A$1=$N$1,N55,IF($A$1=$Q$1,Q55,IF($A$1=$T$1,T55,IF($A$1=$W$1,W55,IF($A$1=$Z$1,Z55,IF($A$1=$AC$1,AC55,IF($A$1=$AF$1,AF55,IF($A$1=$AI$1,AI55))))))))))))</f>
        <v/>
      </c>
      <c r="AP55" s="44">
        <f>IF($A$1=$B$1,C55,IF($A$1=$E$1,F55,IF($A$1=$H$1,I55,IF($A$1=$K$1,L55,IF($A$1=$N$1,O55,IF($A$1=$Q$1,R55,IF($A$1=$T$1,U55,IF($A$1=$W$1,X55,IF($A$1=$Z$1,AA55,IF($A$1=$AC$1,AD55,IF($A$1=$AF$1,AG55,IF($A$1=$AI$1,AJ55))))))))))))</f>
        <v/>
      </c>
    </row>
    <row r="56" hidden="1" ht="15.75" customHeight="1">
      <c r="A56" s="2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21">
        <f>AP56-AO56</f>
        <v/>
      </c>
      <c r="AM56" s="22">
        <f>AP56/AO56-1</f>
        <v/>
      </c>
      <c r="AO56" s="44">
        <f>IF($A$1=$B$1,B56,IF($A$1=$E$1,E56,IF($A$1=$H$1,H56,IF($A$1=$K$1,K56,IF($A$1=$N$1,N56,IF($A$1=$Q$1,Q56,IF($A$1=$T$1,T56,IF($A$1=$W$1,W56,IF($A$1=$Z$1,Z56,IF($A$1=$AC$1,AC56,IF($A$1=$AF$1,AF56,IF($A$1=$AI$1,AI56))))))))))))</f>
        <v/>
      </c>
      <c r="AP56" s="44">
        <f>IF($A$1=$B$1,C56,IF($A$1=$E$1,F56,IF($A$1=$H$1,I56,IF($A$1=$K$1,L56,IF($A$1=$N$1,O56,IF($A$1=$Q$1,R56,IF($A$1=$T$1,U56,IF($A$1=$W$1,X56,IF($A$1=$Z$1,AA56,IF($A$1=$AC$1,AD56,IF($A$1=$AF$1,AG56,IF($A$1=$AI$1,AJ56))))))))))))</f>
        <v/>
      </c>
    </row>
    <row r="57" hidden="1" ht="15.75" customHeight="1">
      <c r="A57" s="2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21">
        <f>AP57-AO57</f>
        <v/>
      </c>
      <c r="AM57" s="22">
        <f>AP57/AO57-1</f>
        <v/>
      </c>
      <c r="AO57" s="44">
        <f>IF($A$1=$B$1,B57,IF($A$1=$E$1,E57,IF($A$1=$H$1,H57,IF($A$1=$K$1,K57,IF($A$1=$N$1,N57,IF($A$1=$Q$1,Q57,IF($A$1=$T$1,T57,IF($A$1=$W$1,W57,IF($A$1=$Z$1,Z57,IF($A$1=$AC$1,AC57,IF($A$1=$AF$1,AF57,IF($A$1=$AI$1,AI57))))))))))))</f>
        <v/>
      </c>
      <c r="AP57" s="44">
        <f>IF($A$1=$B$1,C57,IF($A$1=$E$1,F57,IF($A$1=$H$1,I57,IF($A$1=$K$1,L57,IF($A$1=$N$1,O57,IF($A$1=$Q$1,R57,IF($A$1=$T$1,U57,IF($A$1=$W$1,X57,IF($A$1=$Z$1,AA57,IF($A$1=$AC$1,AD57,IF($A$1=$AF$1,AG57,IF($A$1=$AI$1,AJ57))))))))))))</f>
        <v/>
      </c>
    </row>
    <row r="58" hidden="1" ht="15.75" customHeight="1">
      <c r="A58" s="26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21">
        <f>AP58-AO58</f>
        <v/>
      </c>
      <c r="AM58" s="22">
        <f>AP58/AO58-1</f>
        <v/>
      </c>
      <c r="AO58" s="44">
        <f>IF($A$1=$B$1,B58,IF($A$1=$E$1,E58,IF($A$1=$H$1,H58,IF($A$1=$K$1,K58,IF($A$1=$N$1,N58,IF($A$1=$Q$1,Q58,IF($A$1=$T$1,T58,IF($A$1=$W$1,W58,IF($A$1=$Z$1,Z58,IF($A$1=$AC$1,AC58,IF($A$1=$AF$1,AF58,IF($A$1=$AI$1,AI58))))))))))))</f>
        <v/>
      </c>
      <c r="AP58" s="44">
        <f>IF($A$1=$B$1,C58,IF($A$1=$E$1,F58,IF($A$1=$H$1,I58,IF($A$1=$K$1,L58,IF($A$1=$N$1,O58,IF($A$1=$Q$1,R58,IF($A$1=$T$1,U58,IF($A$1=$W$1,X58,IF($A$1=$Z$1,AA58,IF($A$1=$AC$1,AD58,IF($A$1=$AF$1,AG58,IF($A$1=$AI$1,AJ58))))))))))))</f>
        <v/>
      </c>
    </row>
    <row r="59" hidden="1" ht="15.75" customHeight="1">
      <c r="A59" s="26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21">
        <f>AP59-AO59</f>
        <v/>
      </c>
      <c r="AM59" s="22">
        <f>AP59/AO59-1</f>
        <v/>
      </c>
      <c r="AO59" s="44">
        <f>IF($A$1=$B$1,B59,IF($A$1=$E$1,E59,IF($A$1=$H$1,H59,IF($A$1=$K$1,K59,IF($A$1=$N$1,N59,IF($A$1=$Q$1,Q59,IF($A$1=$T$1,T59,IF($A$1=$W$1,W59,IF($A$1=$Z$1,Z59,IF($A$1=$AC$1,AC59,IF($A$1=$AF$1,AF59,IF($A$1=$AI$1,AI59))))))))))))</f>
        <v/>
      </c>
      <c r="AP59" s="44">
        <f>IF($A$1=$B$1,C59,IF($A$1=$E$1,F59,IF($A$1=$H$1,I59,IF($A$1=$K$1,L59,IF($A$1=$N$1,O59,IF($A$1=$Q$1,R59,IF($A$1=$T$1,U59,IF($A$1=$W$1,X59,IF($A$1=$Z$1,AA59,IF($A$1=$AC$1,AD59,IF($A$1=$AF$1,AG59,IF($A$1=$AI$1,AJ59))))))))))))</f>
        <v/>
      </c>
    </row>
    <row r="60" hidden="1" ht="15.75" customFormat="1" customHeight="1" s="1">
      <c r="A60" s="27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15">
        <f>AP60-AO60</f>
        <v/>
      </c>
      <c r="AM60" s="16">
        <f>AP60/AO60-1</f>
        <v/>
      </c>
      <c r="AO60" s="44">
        <f>IF($A$1=$B$1,B60,IF($A$1=$E$1,E60,IF($A$1=$H$1,H60,IF($A$1=$K$1,K60,IF($A$1=$N$1,N60,IF($A$1=$Q$1,Q60,IF($A$1=$T$1,T60,IF($A$1=$W$1,W60,IF($A$1=$Z$1,Z60,IF($A$1=$AC$1,AC60,IF($A$1=$AF$1,AF60,IF($A$1=$AI$1,AI60))))))))))))</f>
        <v/>
      </c>
      <c r="AP60" s="44">
        <f>IF($A$1=$B$1,C60,IF($A$1=$E$1,F60,IF($A$1=$H$1,I60,IF($A$1=$K$1,L60,IF($A$1=$N$1,O60,IF($A$1=$Q$1,R60,IF($A$1=$T$1,U60,IF($A$1=$W$1,X60,IF($A$1=$Z$1,AA60,IF($A$1=$AC$1,AD60,IF($A$1=$AF$1,AG60,IF($A$1=$AI$1,AJ60))))))))))))</f>
        <v/>
      </c>
    </row>
    <row r="61" hidden="1" ht="15.75" customHeight="1">
      <c r="A61" s="26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21">
        <f>AP61-AO61</f>
        <v/>
      </c>
      <c r="AM61" s="22">
        <f>AP61/AO61-1</f>
        <v/>
      </c>
      <c r="AO61" s="44">
        <f>IF($A$1=$B$1,B61,IF($A$1=$E$1,E61,IF($A$1=$H$1,H61,IF($A$1=$K$1,K61,IF($A$1=$N$1,N61,IF($A$1=$Q$1,Q61,IF($A$1=$T$1,T61,IF($A$1=$W$1,W61,IF($A$1=$Z$1,Z61,IF($A$1=$AC$1,AC61,IF($A$1=$AF$1,AF61,IF($A$1=$AI$1,AI61))))))))))))</f>
        <v/>
      </c>
      <c r="AP61" s="44">
        <f>IF($A$1=$B$1,C61,IF($A$1=$E$1,F61,IF($A$1=$H$1,I61,IF($A$1=$K$1,L61,IF($A$1=$N$1,O61,IF($A$1=$Q$1,R61,IF($A$1=$T$1,U61,IF($A$1=$W$1,X61,IF($A$1=$Z$1,AA61,IF($A$1=$AC$1,AD61,IF($A$1=$AF$1,AG61,IF($A$1=$AI$1,AJ61))))))))))))</f>
        <v/>
      </c>
    </row>
    <row r="62" hidden="1" ht="15.75" customFormat="1" customHeight="1" s="1">
      <c r="A62" s="27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15">
        <f>AP62-AO62</f>
        <v/>
      </c>
      <c r="AM62" s="16">
        <f>AP62/AO62-1</f>
        <v/>
      </c>
      <c r="AO62" s="44">
        <f>IF($A$1=$B$1,B62,IF($A$1=$E$1,E62,IF($A$1=$H$1,H62,IF($A$1=$K$1,K62,IF($A$1=$N$1,N62,IF($A$1=$Q$1,Q62,IF($A$1=$T$1,T62,IF($A$1=$W$1,W62,IF($A$1=$Z$1,Z62,IF($A$1=$AC$1,AC62,IF($A$1=$AF$1,AF62,IF($A$1=$AI$1,AI62))))))))))))</f>
        <v/>
      </c>
      <c r="AP62" s="44">
        <f>IF($A$1=$B$1,C62,IF($A$1=$E$1,F62,IF($A$1=$H$1,I62,IF($A$1=$K$1,L62,IF($A$1=$N$1,O62,IF($A$1=$Q$1,R62,IF($A$1=$T$1,U62,IF($A$1=$W$1,X62,IF($A$1=$Z$1,AA62,IF($A$1=$AC$1,AD62,IF($A$1=$AF$1,AG62,IF($A$1=$AI$1,AJ62))))))))))))</f>
        <v/>
      </c>
    </row>
    <row r="63" hidden="1" ht="15.75" customHeight="1">
      <c r="A63" s="2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21">
        <f>AP63-AO63</f>
        <v/>
      </c>
      <c r="AM63" s="22">
        <f>AP63/AO63-1</f>
        <v/>
      </c>
      <c r="AO63" s="44">
        <f>IF($A$1=$B$1,B63,IF($A$1=$E$1,E63,IF($A$1=$H$1,H63,IF($A$1=$K$1,K63,IF($A$1=$N$1,N63,IF($A$1=$Q$1,Q63,IF($A$1=$T$1,T63,IF($A$1=$W$1,W63,IF($A$1=$Z$1,Z63,IF($A$1=$AC$1,AC63,IF($A$1=$AF$1,AF63,IF($A$1=$AI$1,AI63))))))))))))</f>
        <v/>
      </c>
      <c r="AP63" s="44">
        <f>IF($A$1=$B$1,C63,IF($A$1=$E$1,F63,IF($A$1=$H$1,I63,IF($A$1=$K$1,L63,IF($A$1=$N$1,O63,IF($A$1=$Q$1,R63,IF($A$1=$T$1,U63,IF($A$1=$W$1,X63,IF($A$1=$Z$1,AA63,IF($A$1=$AC$1,AD63,IF($A$1=$AF$1,AG63,IF($A$1=$AI$1,AJ63))))))))))))</f>
        <v/>
      </c>
    </row>
    <row r="64" hidden="1" ht="15.75" customHeight="1">
      <c r="A64" s="2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21">
        <f>AP64-AO64</f>
        <v/>
      </c>
      <c r="AM64" s="22">
        <f>AP64/AO64-1</f>
        <v/>
      </c>
      <c r="AO64" s="44">
        <f>IF($A$1=$B$1,B64,IF($A$1=$E$1,E64,IF($A$1=$H$1,H64,IF($A$1=$K$1,K64,IF($A$1=$N$1,N64,IF($A$1=$Q$1,Q64,IF($A$1=$T$1,T64,IF($A$1=$W$1,W64,IF($A$1=$Z$1,Z64,IF($A$1=$AC$1,AC64,IF($A$1=$AF$1,AF64,IF($A$1=$AI$1,AI64))))))))))))</f>
        <v/>
      </c>
      <c r="AP64" s="44">
        <f>IF($A$1=$B$1,C64,IF($A$1=$E$1,F64,IF($A$1=$H$1,I64,IF($A$1=$K$1,L64,IF($A$1=$N$1,O64,IF($A$1=$Q$1,R64,IF($A$1=$T$1,U64,IF($A$1=$W$1,X64,IF($A$1=$Z$1,AA64,IF($A$1=$AC$1,AD64,IF($A$1=$AF$1,AG64,IF($A$1=$AI$1,AJ64))))))))))))</f>
        <v/>
      </c>
    </row>
    <row r="65" hidden="1" ht="15.75" customHeight="1">
      <c r="A65" s="26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21">
        <f>AP65-AO65</f>
        <v/>
      </c>
      <c r="AM65" s="22">
        <f>AP65/AO65-1</f>
        <v/>
      </c>
      <c r="AO65" s="44">
        <f>IF($A$1=$B$1,B65,IF($A$1=$E$1,E65,IF($A$1=$H$1,H65,IF($A$1=$K$1,K65,IF($A$1=$N$1,N65,IF($A$1=$Q$1,Q65,IF($A$1=$T$1,T65,IF($A$1=$W$1,W65,IF($A$1=$Z$1,Z65,IF($A$1=$AC$1,AC65,IF($A$1=$AF$1,AF65,IF($A$1=$AI$1,AI65))))))))))))</f>
        <v/>
      </c>
      <c r="AP65" s="44">
        <f>IF($A$1=$B$1,C65,IF($A$1=$E$1,F65,IF($A$1=$H$1,I65,IF($A$1=$K$1,L65,IF($A$1=$N$1,O65,IF($A$1=$Q$1,R65,IF($A$1=$T$1,U65,IF($A$1=$W$1,X65,IF($A$1=$Z$1,AA65,IF($A$1=$AC$1,AD65,IF($A$1=$AF$1,AG65,IF($A$1=$AI$1,AJ65))))))))))))</f>
        <v/>
      </c>
    </row>
    <row r="66" hidden="1" ht="15.75" customHeight="1">
      <c r="A66" s="26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21">
        <f>AP66-AO66</f>
        <v/>
      </c>
      <c r="AM66" s="22">
        <f>AP66/AO66-1</f>
        <v/>
      </c>
      <c r="AO66" s="44">
        <f>IF($A$1=$B$1,B66,IF($A$1=$E$1,E66,IF($A$1=$H$1,H66,IF($A$1=$K$1,K66,IF($A$1=$N$1,N66,IF($A$1=$Q$1,Q66,IF($A$1=$T$1,T66,IF($A$1=$W$1,W66,IF($A$1=$Z$1,Z66,IF($A$1=$AC$1,AC66,IF($A$1=$AF$1,AF66,IF($A$1=$AI$1,AI66))))))))))))</f>
        <v/>
      </c>
      <c r="AP66" s="44">
        <f>IF($A$1=$B$1,C66,IF($A$1=$E$1,F66,IF($A$1=$H$1,I66,IF($A$1=$K$1,L66,IF($A$1=$N$1,O66,IF($A$1=$Q$1,R66,IF($A$1=$T$1,U66,IF($A$1=$W$1,X66,IF($A$1=$Z$1,AA66,IF($A$1=$AC$1,AD66,IF($A$1=$AF$1,AG66,IF($A$1=$AI$1,AJ66))))))))))))</f>
        <v/>
      </c>
    </row>
    <row r="67" hidden="1" ht="15.75" customHeight="1">
      <c r="A67" s="2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21">
        <f>AP67-AO67</f>
        <v/>
      </c>
      <c r="AM67" s="22">
        <f>AP67/AO67-1</f>
        <v/>
      </c>
      <c r="AO67" s="44">
        <f>IF($A$1=$B$1,B67,IF($A$1=$E$1,E67,IF($A$1=$H$1,H67,IF($A$1=$K$1,K67,IF($A$1=$N$1,N67,IF($A$1=$Q$1,Q67,IF($A$1=$T$1,T67,IF($A$1=$W$1,W67,IF($A$1=$Z$1,Z67,IF($A$1=$AC$1,AC67,IF($A$1=$AF$1,AF67,IF($A$1=$AI$1,AI67))))))))))))</f>
        <v/>
      </c>
      <c r="AP67" s="44">
        <f>IF($A$1=$B$1,C67,IF($A$1=$E$1,F67,IF($A$1=$H$1,I67,IF($A$1=$K$1,L67,IF($A$1=$N$1,O67,IF($A$1=$Q$1,R67,IF($A$1=$T$1,U67,IF($A$1=$W$1,X67,IF($A$1=$Z$1,AA67,IF($A$1=$AC$1,AD67,IF($A$1=$AF$1,AG67,IF($A$1=$AI$1,AJ67))))))))))))</f>
        <v/>
      </c>
    </row>
    <row r="68" hidden="1" ht="15.75" customFormat="1" customHeight="1" s="1">
      <c r="A68" s="27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15">
        <f>AP68-AO68</f>
        <v/>
      </c>
      <c r="AM68" s="16">
        <f>AP68/AO68-1</f>
        <v/>
      </c>
      <c r="AO68" s="44">
        <f>IF($A$1=$B$1,B68,IF($A$1=$E$1,E68,IF($A$1=$H$1,H68,IF($A$1=$K$1,K68,IF($A$1=$N$1,N68,IF($A$1=$Q$1,Q68,IF($A$1=$T$1,T68,IF($A$1=$W$1,W68,IF($A$1=$Z$1,Z68,IF($A$1=$AC$1,AC68,IF($A$1=$AF$1,AF68,IF($A$1=$AI$1,AI68))))))))))))</f>
        <v/>
      </c>
      <c r="AP68" s="44">
        <f>IF($A$1=$B$1,C68,IF($A$1=$E$1,F68,IF($A$1=$H$1,I68,IF($A$1=$K$1,L68,IF($A$1=$N$1,O68,IF($A$1=$Q$1,R68,IF($A$1=$T$1,U68,IF($A$1=$W$1,X68,IF($A$1=$Z$1,AA68,IF($A$1=$AC$1,AD68,IF($A$1=$AF$1,AG68,IF($A$1=$AI$1,AJ68))))))))))))</f>
        <v/>
      </c>
    </row>
    <row r="69" hidden="1" ht="15.75" customHeight="1">
      <c r="A69" s="26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21">
        <f>AP69-AO69</f>
        <v/>
      </c>
      <c r="AM69" s="22">
        <f>AP69/AO69-1</f>
        <v/>
      </c>
      <c r="AO69" s="44">
        <f>IF($A$1=$B$1,B69,IF($A$1=$E$1,E69,IF($A$1=$H$1,H69,IF($A$1=$K$1,K69,IF($A$1=$N$1,N69,IF($A$1=$Q$1,Q69,IF($A$1=$T$1,T69,IF($A$1=$W$1,W69,IF($A$1=$Z$1,Z69,IF($A$1=$AC$1,AC69,IF($A$1=$AF$1,AF69,IF($A$1=$AI$1,AI69))))))))))))</f>
        <v/>
      </c>
      <c r="AP69" s="44">
        <f>IF($A$1=$B$1,C69,IF($A$1=$E$1,F69,IF($A$1=$H$1,I69,IF($A$1=$K$1,L69,IF($A$1=$N$1,O69,IF($A$1=$Q$1,R69,IF($A$1=$T$1,U69,IF($A$1=$W$1,X69,IF($A$1=$Z$1,AA69,IF($A$1=$AC$1,AD69,IF($A$1=$AF$1,AG69,IF($A$1=$AI$1,AJ69))))))))))))</f>
        <v/>
      </c>
    </row>
    <row r="70" hidden="1" ht="15.75" customHeight="1">
      <c r="A70" s="26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21">
        <f>AP70-AO70</f>
        <v/>
      </c>
      <c r="AM70" s="22">
        <f>AP70/AO70-1</f>
        <v/>
      </c>
      <c r="AO70" s="44">
        <f>IF($A$1=$B$1,B70,IF($A$1=$E$1,E70,IF($A$1=$H$1,H70,IF($A$1=$K$1,K70,IF($A$1=$N$1,N70,IF($A$1=$Q$1,Q70,IF($A$1=$T$1,T70,IF($A$1=$W$1,W70,IF($A$1=$Z$1,Z70,IF($A$1=$AC$1,AC70,IF($A$1=$AF$1,AF70,IF($A$1=$AI$1,AI70))))))))))))</f>
        <v/>
      </c>
      <c r="AP70" s="44">
        <f>IF($A$1=$B$1,C70,IF($A$1=$E$1,F70,IF($A$1=$H$1,I70,IF($A$1=$K$1,L70,IF($A$1=$N$1,O70,IF($A$1=$Q$1,R70,IF($A$1=$T$1,U70,IF($A$1=$W$1,X70,IF($A$1=$Z$1,AA70,IF($A$1=$AC$1,AD70,IF($A$1=$AF$1,AG70,IF($A$1=$AI$1,AJ70))))))))))))</f>
        <v/>
      </c>
    </row>
    <row r="71" hidden="1" ht="15.75" customHeight="1">
      <c r="A71" s="2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21" t="n"/>
      <c r="AM71" s="22" t="n"/>
      <c r="AO71" s="44" t="n"/>
      <c r="AP71" s="44" t="n"/>
    </row>
    <row r="72" hidden="1" ht="15.75" customHeight="1">
      <c r="A72" s="26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21" t="n"/>
      <c r="AM72" s="22" t="n"/>
      <c r="AO72" s="44" t="n"/>
      <c r="AP72" s="44" t="n"/>
    </row>
    <row r="73" hidden="1" ht="15.75" customFormat="1" customHeight="1" s="1">
      <c r="A73" s="2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21">
        <f>AP73-AO73</f>
        <v/>
      </c>
      <c r="AM73" s="22">
        <f>AP73/AO73-1</f>
        <v/>
      </c>
      <c r="AO73" s="44">
        <f>IF($A$1=$B$1,B73,IF($A$1=$E$1,E73,IF($A$1=$H$1,H73,IF($A$1=$K$1,K73,IF($A$1=$N$1,N73,IF($A$1=$Q$1,Q73,IF($A$1=$T$1,T73,IF($A$1=$W$1,W73,IF($A$1=$Z$1,Z73,IF($A$1=$AC$1,AC73,IF($A$1=$AF$1,AF73,IF($A$1=$AI$1,AI73))))))))))))</f>
        <v/>
      </c>
      <c r="AP73" s="44">
        <f>IF($A$1=$B$1,C73,IF($A$1=$E$1,F73,IF($A$1=$H$1,I73,IF($A$1=$K$1,L73,IF($A$1=$N$1,O73,IF($A$1=$Q$1,R73,IF($A$1=$T$1,U73,IF($A$1=$W$1,X73,IF($A$1=$Z$1,AA73,IF($A$1=$AC$1,AD73,IF($A$1=$AF$1,AG73,IF($A$1=$AI$1,AJ73))))))))))))</f>
        <v/>
      </c>
    </row>
    <row r="74" hidden="1" ht="15.75" customHeight="1">
      <c r="A74" s="26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21">
        <f>AP74-AO74</f>
        <v/>
      </c>
      <c r="AM74" s="22">
        <f>AP74/AO74-1</f>
        <v/>
      </c>
      <c r="AO74" s="44">
        <f>IF($A$1=$B$1,B74,IF($A$1=$E$1,E74,IF($A$1=$H$1,H74,IF($A$1=$K$1,K74,IF($A$1=$N$1,N74,IF($A$1=$Q$1,Q74,IF($A$1=$T$1,T74,IF($A$1=$W$1,W74,IF($A$1=$Z$1,Z74,IF($A$1=$AC$1,AC74,IF($A$1=$AF$1,AF74,IF($A$1=$AI$1,AI74))))))))))))</f>
        <v/>
      </c>
      <c r="AP74" s="44">
        <f>IF($A$1=$B$1,C74,IF($A$1=$E$1,F74,IF($A$1=$H$1,I74,IF($A$1=$K$1,L74,IF($A$1=$N$1,O74,IF($A$1=$Q$1,R74,IF($A$1=$T$1,U74,IF($A$1=$W$1,X74,IF($A$1=$Z$1,AA74,IF($A$1=$AC$1,AD74,IF($A$1=$AF$1,AG74,IF($A$1=$AI$1,AJ74))))))))))))</f>
        <v/>
      </c>
    </row>
    <row r="75" hidden="1" ht="15.75" customFormat="1" customHeight="1" s="1">
      <c r="A75" s="2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21">
        <f>AP75-AO75</f>
        <v/>
      </c>
      <c r="AM75" s="22">
        <f>AP75/AO75-1</f>
        <v/>
      </c>
      <c r="AO75" s="44">
        <f>IF($A$1=$B$1,B75,IF($A$1=$E$1,E75,IF($A$1=$H$1,H75,IF($A$1=$K$1,K75,IF($A$1=$N$1,N75,IF($A$1=$Q$1,Q75,IF($A$1=$T$1,T75,IF($A$1=$W$1,W75,IF($A$1=$Z$1,Z75,IF($A$1=$AC$1,AC75,IF($A$1=$AF$1,AF75,IF($A$1=$AI$1,AI75))))))))))))</f>
        <v/>
      </c>
      <c r="AP75" s="44">
        <f>IF($A$1=$B$1,C75,IF($A$1=$E$1,F75,IF($A$1=$H$1,I75,IF($A$1=$K$1,L75,IF($A$1=$N$1,O75,IF($A$1=$Q$1,R75,IF($A$1=$T$1,U75,IF($A$1=$W$1,X75,IF($A$1=$Z$1,AA75,IF($A$1=$AC$1,AD75,IF($A$1=$AF$1,AG75,IF($A$1=$AI$1,AJ75))))))))))))</f>
        <v/>
      </c>
    </row>
    <row r="76" hidden="1" ht="15.75" customHeight="1">
      <c r="A76" s="2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15" t="n"/>
      <c r="AM76" s="16" t="n"/>
    </row>
    <row r="77">
      <c r="A77" s="2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5" t="n"/>
    </row>
    <row r="78" ht="17" customFormat="1" customHeight="1" s="49">
      <c r="A78" s="47" t="inlineStr">
        <is>
          <t>GROSS PROFIT MARGIN BY CHANNELS</t>
        </is>
      </c>
      <c r="B78" s="413" t="n"/>
      <c r="C78" s="413" t="n"/>
      <c r="D78" s="413" t="n"/>
      <c r="E78" s="413" t="n"/>
      <c r="F78" s="413" t="n"/>
      <c r="G78" s="413" t="n"/>
      <c r="H78" s="413" t="n"/>
      <c r="I78" s="413" t="n"/>
      <c r="J78" s="413" t="n"/>
      <c r="K78" s="413" t="n"/>
      <c r="L78" s="413" t="n"/>
      <c r="M78" s="413" t="n"/>
      <c r="N78" s="413" t="n"/>
      <c r="O78" s="413" t="n"/>
      <c r="P78" s="413" t="n"/>
      <c r="Q78" s="413" t="n"/>
      <c r="R78" s="413" t="n"/>
      <c r="S78" s="413" t="n"/>
      <c r="T78" s="413" t="n"/>
      <c r="U78" s="413" t="n"/>
      <c r="V78" s="413" t="n"/>
      <c r="W78" s="413" t="n"/>
      <c r="X78" s="413" t="n"/>
      <c r="Y78" s="413" t="n"/>
      <c r="Z78" s="413" t="n"/>
      <c r="AA78" s="413" t="n"/>
      <c r="AB78" s="413" t="n"/>
      <c r="AC78" s="413" t="n"/>
      <c r="AD78" s="413" t="n"/>
      <c r="AE78" s="413" t="n"/>
      <c r="AF78" s="413" t="n"/>
      <c r="AG78" s="413" t="n"/>
      <c r="AH78" s="413" t="n"/>
      <c r="AI78" s="413" t="n"/>
      <c r="AJ78" s="413" t="n"/>
      <c r="AK78" s="413" t="n"/>
      <c r="AL78" s="413" t="n"/>
      <c r="AM78" s="48" t="n"/>
    </row>
    <row r="79" ht="15.5" customFormat="1" customHeight="1" s="13">
      <c r="A79" s="26" t="inlineStr">
        <is>
          <t xml:space="preserve">İnci Holding </t>
        </is>
      </c>
      <c r="B79" s="12">
        <f>B36/B9</f>
        <v/>
      </c>
      <c r="C79" s="12">
        <f>IFERROR((C36/C9),"")</f>
        <v/>
      </c>
      <c r="D79" s="41" t="n"/>
      <c r="E79" s="12">
        <f>E36/E9</f>
        <v/>
      </c>
      <c r="F79" s="12">
        <f>IFERROR((F36/F9),"")</f>
        <v/>
      </c>
      <c r="G79" s="41" t="n"/>
      <c r="H79" s="12">
        <f>H36/H9</f>
        <v/>
      </c>
      <c r="I79" s="12">
        <f>IFERROR((I36/I9),"")</f>
        <v/>
      </c>
      <c r="J79" s="41" t="n"/>
      <c r="K79" s="12">
        <f>K36/K9</f>
        <v/>
      </c>
      <c r="L79" s="12">
        <f>IFERROR((L36/L9),"")</f>
        <v/>
      </c>
      <c r="M79" s="41" t="n"/>
      <c r="N79" s="12">
        <f>N36/N9</f>
        <v/>
      </c>
      <c r="O79" s="12">
        <f>IFERROR((O36/O9),"")</f>
        <v/>
      </c>
      <c r="P79" s="41" t="n"/>
      <c r="Q79" s="12">
        <f>Q36/Q9</f>
        <v/>
      </c>
      <c r="R79" s="12">
        <f>IFERROR((R36/R9),"")</f>
        <v/>
      </c>
      <c r="S79" s="41" t="n"/>
      <c r="T79" s="12">
        <f>T36/T9</f>
        <v/>
      </c>
      <c r="U79" s="12">
        <f>IFERROR((U36/U9),"")</f>
        <v/>
      </c>
      <c r="V79" s="41" t="n"/>
      <c r="W79" s="12">
        <f>W36/W9</f>
        <v/>
      </c>
      <c r="X79" s="12">
        <f>IFERROR((X36/X9),"")</f>
        <v/>
      </c>
      <c r="Y79" s="41" t="n"/>
      <c r="Z79" s="12">
        <f>Z36/Z9</f>
        <v/>
      </c>
      <c r="AA79" s="12">
        <f>IFERROR((AA36/AA9),"")</f>
        <v/>
      </c>
      <c r="AB79" s="41" t="n"/>
      <c r="AC79" s="12">
        <f>AC36/AC9</f>
        <v/>
      </c>
      <c r="AD79" s="12">
        <f>IFERROR((AD36/AD9),"")</f>
        <v/>
      </c>
      <c r="AE79" s="41" t="n"/>
      <c r="AF79" s="12">
        <f>AF36/AF9</f>
        <v/>
      </c>
      <c r="AG79" s="12">
        <f>IFERROR((AG36/AG9),"")</f>
        <v/>
      </c>
      <c r="AH79" s="41" t="n"/>
      <c r="AI79" s="12">
        <f>AI36/AI9</f>
        <v/>
      </c>
      <c r="AJ79" s="12">
        <f>IFERROR((AJ36/AJ9),"")</f>
        <v/>
      </c>
      <c r="AK79" s="41" t="n"/>
      <c r="AL79" s="15" t="n"/>
      <c r="AM79" s="467">
        <f>AP79-AO79</f>
        <v/>
      </c>
      <c r="AO79" s="44">
        <f>IF($A$1=$B$1,B79,IF($A$1=$E$1,E79,IF($A$1=$H$1,H79,IF($A$1=$K$1,K79,IF($A$1=$N$1,N79,IF($A$1=$Q$1,Q79,IF($A$1=$T$1,T79,IF($A$1=$W$1,W79,IF($A$1=$Z$1,Z79,IF($A$1=$AC$1,AC79,IF($A$1=$AF$1,AF79,IF($A$1=$AI$1,AI79))))))))))))</f>
        <v/>
      </c>
      <c r="AP79" s="44">
        <f>IF($A$1=$B$1,C79,IF($A$1=$E$1,F79,IF($A$1=$H$1,I79,IF($A$1=$K$1,L79,IF($A$1=$N$1,O79,IF($A$1=$Q$1,R79,IF($A$1=$T$1,U79,IF($A$1=$W$1,X79,IF($A$1=$Z$1,AA79,IF($A$1=$AC$1,AD79,IF($A$1=$AF$1,AG79,IF($A$1=$AI$1,AJ79))))))))))))</f>
        <v/>
      </c>
    </row>
    <row r="80" ht="15.5" customFormat="1" customHeight="1" s="13">
      <c r="A80" s="26" t="inlineStr">
        <is>
          <t xml:space="preserve">ISM </t>
        </is>
      </c>
      <c r="B80" s="468">
        <f>B37/B10</f>
        <v/>
      </c>
      <c r="C80" s="468">
        <f>IFERROR((C37/C10),"")</f>
        <v/>
      </c>
      <c r="D80" s="41" t="n"/>
      <c r="E80" s="12">
        <f>E37/E10</f>
        <v/>
      </c>
      <c r="F80" s="12">
        <f>IFERROR((F37/F10),"")</f>
        <v/>
      </c>
      <c r="G80" s="41" t="n"/>
      <c r="H80" s="12">
        <f>H37/H10</f>
        <v/>
      </c>
      <c r="I80" s="12">
        <f>IFERROR((I37/I10),"")</f>
        <v/>
      </c>
      <c r="J80" s="41" t="n"/>
      <c r="K80" s="12">
        <f>K37/K10</f>
        <v/>
      </c>
      <c r="L80" s="12">
        <f>IFERROR((L37/L10),"")</f>
        <v/>
      </c>
      <c r="M80" s="41" t="n"/>
      <c r="N80" s="12">
        <f>N37/N10</f>
        <v/>
      </c>
      <c r="O80" s="12">
        <f>IFERROR((O37/O10),"")</f>
        <v/>
      </c>
      <c r="P80" s="41" t="n"/>
      <c r="Q80" s="12">
        <f>Q37/Q10</f>
        <v/>
      </c>
      <c r="R80" s="12">
        <f>IFERROR((R37/R10),"")</f>
        <v/>
      </c>
      <c r="S80" s="41" t="n"/>
      <c r="T80" s="12">
        <f>T37/T10</f>
        <v/>
      </c>
      <c r="U80" s="12">
        <f>IFERROR((U37/U10),"")</f>
        <v/>
      </c>
      <c r="V80" s="41" t="n"/>
      <c r="W80" s="12">
        <f>W37/W10</f>
        <v/>
      </c>
      <c r="X80" s="12">
        <f>IFERROR((X37/X10),"")</f>
        <v/>
      </c>
      <c r="Y80" s="41" t="n"/>
      <c r="Z80" s="12">
        <f>Z37/Z10</f>
        <v/>
      </c>
      <c r="AA80" s="12">
        <f>IFERROR((AA37/AA10),"")</f>
        <v/>
      </c>
      <c r="AB80" s="41" t="n"/>
      <c r="AC80" s="12">
        <f>AC37/AC10</f>
        <v/>
      </c>
      <c r="AD80" s="12">
        <f>IFERROR((AD37/AD10),"")</f>
        <v/>
      </c>
      <c r="AE80" s="41" t="n"/>
      <c r="AF80" s="12">
        <f>AF37/AF10</f>
        <v/>
      </c>
      <c r="AG80" s="12">
        <f>IFERROR((AG37/AG10),"")</f>
        <v/>
      </c>
      <c r="AH80" s="41" t="n"/>
      <c r="AI80" s="12">
        <f>AI37/AI10</f>
        <v/>
      </c>
      <c r="AJ80" s="12">
        <f>IFERROR((AJ37/AJ10),"")</f>
        <v/>
      </c>
      <c r="AK80" s="41" t="n"/>
      <c r="AL80" s="15" t="n"/>
      <c r="AM80" s="467">
        <f>AP80-AO80</f>
        <v/>
      </c>
      <c r="AO80" s="44">
        <f>IF($A$1=$B$1,B80,IF($A$1=$E$1,E80,IF($A$1=$H$1,H80,IF($A$1=$K$1,K80,IF($A$1=$N$1,N80,IF($A$1=$Q$1,Q80,IF($A$1=$T$1,T80,IF($A$1=$W$1,W80,IF($A$1=$Z$1,Z80,IF($A$1=$AC$1,AC80,IF($A$1=$AF$1,AF80,IF($A$1=$AI$1,AI80))))))))))))</f>
        <v/>
      </c>
      <c r="AP80" s="44">
        <f>IF($A$1=$B$1,C80,IF($A$1=$E$1,F80,IF($A$1=$H$1,I80,IF($A$1=$K$1,L80,IF($A$1=$N$1,O80,IF($A$1=$Q$1,R80,IF($A$1=$T$1,U80,IF($A$1=$W$1,X80,IF($A$1=$Z$1,AA80,IF($A$1=$AC$1,AD80,IF($A$1=$AF$1,AG80,IF($A$1=$AI$1,AJ80))))))))))))</f>
        <v/>
      </c>
    </row>
    <row r="81" ht="15.5" customFormat="1" customHeight="1" s="13">
      <c r="A81" s="26" t="inlineStr">
        <is>
          <t>İncitaş</t>
        </is>
      </c>
      <c r="B81" s="468">
        <f>B38/B11</f>
        <v/>
      </c>
      <c r="C81" s="468">
        <f>IFERROR((C38/C11),"")</f>
        <v/>
      </c>
      <c r="D81" s="41" t="n"/>
      <c r="E81" s="12">
        <f>E38/E11</f>
        <v/>
      </c>
      <c r="F81" s="12">
        <f>IFERROR((F38/F11),"")</f>
        <v/>
      </c>
      <c r="G81" s="41" t="n"/>
      <c r="H81" s="12">
        <f>H38/H11</f>
        <v/>
      </c>
      <c r="I81" s="12">
        <f>IFERROR((I38/I11),"")</f>
        <v/>
      </c>
      <c r="J81" s="41" t="n"/>
      <c r="K81" s="12">
        <f>K38/K11</f>
        <v/>
      </c>
      <c r="L81" s="12">
        <f>IFERROR((L38/L11),"")</f>
        <v/>
      </c>
      <c r="M81" s="41" t="n"/>
      <c r="N81" s="12">
        <f>N38/N11</f>
        <v/>
      </c>
      <c r="O81" s="12">
        <f>IFERROR((O38/O11),"")</f>
        <v/>
      </c>
      <c r="P81" s="41" t="n"/>
      <c r="Q81" s="12">
        <f>Q38/Q11</f>
        <v/>
      </c>
      <c r="R81" s="12">
        <f>IFERROR((R38/R11),"")</f>
        <v/>
      </c>
      <c r="S81" s="41" t="n"/>
      <c r="T81" s="12">
        <f>T38/T11</f>
        <v/>
      </c>
      <c r="U81" s="12">
        <f>IFERROR((U38/U11),"")</f>
        <v/>
      </c>
      <c r="V81" s="41" t="n"/>
      <c r="W81" s="12">
        <f>W38/W11</f>
        <v/>
      </c>
      <c r="X81" s="12">
        <f>IFERROR((X38/X11),"")</f>
        <v/>
      </c>
      <c r="Y81" s="41" t="n"/>
      <c r="Z81" s="12">
        <f>Z38/Z11</f>
        <v/>
      </c>
      <c r="AA81" s="12">
        <f>IFERROR((AA38/AA11),"")</f>
        <v/>
      </c>
      <c r="AB81" s="41" t="n"/>
      <c r="AC81" s="12">
        <f>AC38/AC11</f>
        <v/>
      </c>
      <c r="AD81" s="12">
        <f>IFERROR((AD38/AD11),"")</f>
        <v/>
      </c>
      <c r="AE81" s="41" t="n"/>
      <c r="AF81" s="12">
        <f>AF38/AF11</f>
        <v/>
      </c>
      <c r="AG81" s="12">
        <f>IFERROR((AG38/AG11),"")</f>
        <v/>
      </c>
      <c r="AH81" s="41" t="n"/>
      <c r="AI81" s="12">
        <f>AI38/AI11</f>
        <v/>
      </c>
      <c r="AJ81" s="12">
        <f>IFERROR((AJ38/AJ11),"")</f>
        <v/>
      </c>
      <c r="AK81" s="41" t="n"/>
      <c r="AL81" s="15" t="n"/>
      <c r="AM81" s="467">
        <f>AP81-AO81</f>
        <v/>
      </c>
      <c r="AO81" s="44">
        <f>IF($A$1=$B$1,B81,IF($A$1=$E$1,E81,IF($A$1=$H$1,H81,IF($A$1=$K$1,K81,IF($A$1=$N$1,N81,IF($A$1=$Q$1,Q81,IF($A$1=$T$1,T81,IF($A$1=$W$1,W81,IF($A$1=$Z$1,Z81,IF($A$1=$AC$1,AC81,IF($A$1=$AF$1,AF81,IF($A$1=$AI$1,AI81))))))))))))</f>
        <v/>
      </c>
      <c r="AP81" s="44">
        <f>IF($A$1=$B$1,C81,IF($A$1=$E$1,F81,IF($A$1=$H$1,I81,IF($A$1=$K$1,L81,IF($A$1=$N$1,O81,IF($A$1=$Q$1,R81,IF($A$1=$T$1,U81,IF($A$1=$W$1,X81,IF($A$1=$Z$1,AA81,IF($A$1=$AC$1,AD81,IF($A$1=$AF$1,AG81,IF($A$1=$AI$1,AJ81))))))))))))</f>
        <v/>
      </c>
    </row>
    <row r="82" ht="15.5" customFormat="1" customHeight="1" s="13">
      <c r="A82" s="26" t="inlineStr">
        <is>
          <t>İnci GS Yuasa</t>
        </is>
      </c>
      <c r="B82" s="468">
        <f>B39/B12</f>
        <v/>
      </c>
      <c r="C82" s="468">
        <f>IFERROR((C39/C12),"")</f>
        <v/>
      </c>
      <c r="D82" s="41" t="n"/>
      <c r="E82" s="12">
        <f>E39/E12</f>
        <v/>
      </c>
      <c r="F82" s="12">
        <f>IFERROR((F39/F12),"")</f>
        <v/>
      </c>
      <c r="G82" s="41" t="n"/>
      <c r="H82" s="12">
        <f>H39/H12</f>
        <v/>
      </c>
      <c r="I82" s="12">
        <f>IFERROR((I39/I12),"")</f>
        <v/>
      </c>
      <c r="J82" s="41" t="n"/>
      <c r="K82" s="12">
        <f>K39/K12</f>
        <v/>
      </c>
      <c r="L82" s="12">
        <f>IFERROR((L39/L12),"")</f>
        <v/>
      </c>
      <c r="M82" s="41" t="n"/>
      <c r="N82" s="12">
        <f>N39/N12</f>
        <v/>
      </c>
      <c r="O82" s="12">
        <f>IFERROR((O39/O12),"")</f>
        <v/>
      </c>
      <c r="P82" s="41" t="n"/>
      <c r="Q82" s="12">
        <f>Q39/Q12</f>
        <v/>
      </c>
      <c r="R82" s="12">
        <f>IFERROR((R39/R12),"")</f>
        <v/>
      </c>
      <c r="S82" s="41" t="n"/>
      <c r="T82" s="12">
        <f>T39/T12</f>
        <v/>
      </c>
      <c r="U82" s="12">
        <f>IFERROR((U39/U12),"")</f>
        <v/>
      </c>
      <c r="V82" s="41" t="n"/>
      <c r="W82" s="12">
        <f>W39/W12</f>
        <v/>
      </c>
      <c r="X82" s="12">
        <f>IFERROR((X39/X12),"")</f>
        <v/>
      </c>
      <c r="Y82" s="41" t="n"/>
      <c r="Z82" s="12">
        <f>Z39/Z12</f>
        <v/>
      </c>
      <c r="AA82" s="12">
        <f>IFERROR((AA39/AA12),"")</f>
        <v/>
      </c>
      <c r="AB82" s="41" t="n"/>
      <c r="AC82" s="12">
        <f>AC39/AC12</f>
        <v/>
      </c>
      <c r="AD82" s="12">
        <f>IFERROR((AD39/AD12),"")</f>
        <v/>
      </c>
      <c r="AE82" s="41" t="n"/>
      <c r="AF82" s="12">
        <f>AF39/AF12</f>
        <v/>
      </c>
      <c r="AG82" s="12">
        <f>IFERROR((AG39/AG12),"")</f>
        <v/>
      </c>
      <c r="AH82" s="41" t="n"/>
      <c r="AI82" s="12">
        <f>AI39/AI12</f>
        <v/>
      </c>
      <c r="AJ82" s="12">
        <f>IFERROR((AJ39/AJ12),"")</f>
        <v/>
      </c>
      <c r="AK82" s="41" t="n"/>
      <c r="AL82" s="15" t="n"/>
      <c r="AM82" s="467">
        <f>AP82-AO82</f>
        <v/>
      </c>
      <c r="AO82" s="44">
        <f>IF($A$1=$B$1,B82,IF($A$1=$E$1,E82,IF($A$1=$H$1,H82,IF($A$1=$K$1,K82,IF($A$1=$N$1,N82,IF($A$1=$Q$1,Q82,IF($A$1=$T$1,T82,IF($A$1=$W$1,W82,IF($A$1=$Z$1,Z82,IF($A$1=$AC$1,AC82,IF($A$1=$AF$1,AF82,IF($A$1=$AI$1,AI82))))))))))))</f>
        <v/>
      </c>
      <c r="AP82" s="44">
        <f>IF($A$1=$B$1,C82,IF($A$1=$E$1,F82,IF($A$1=$H$1,I82,IF($A$1=$K$1,L82,IF($A$1=$N$1,O82,IF($A$1=$Q$1,R82,IF($A$1=$T$1,U82,IF($A$1=$W$1,X82,IF($A$1=$Z$1,AA82,IF($A$1=$AC$1,AD82,IF($A$1=$AF$1,AG82,IF($A$1=$AI$1,AJ82))))))))))))</f>
        <v/>
      </c>
    </row>
    <row r="83" ht="15.5" customFormat="1" customHeight="1" s="13">
      <c r="A83" s="26" t="inlineStr">
        <is>
          <t>Yusen İnci Loj.</t>
        </is>
      </c>
      <c r="B83" s="468">
        <f>B40/B13</f>
        <v/>
      </c>
      <c r="C83" s="469">
        <f>IFERROR((C40/C13),"")</f>
        <v/>
      </c>
      <c r="D83" s="41" t="n"/>
      <c r="E83" s="12">
        <f>E40/E13</f>
        <v/>
      </c>
      <c r="F83" s="30">
        <f>IFERROR((F40/F13),"")</f>
        <v/>
      </c>
      <c r="G83" s="41" t="n"/>
      <c r="H83" s="12">
        <f>H40/H13</f>
        <v/>
      </c>
      <c r="I83" s="30">
        <f>IFERROR((I40/I13),"")</f>
        <v/>
      </c>
      <c r="J83" s="41" t="n"/>
      <c r="K83" s="12">
        <f>K40/K13</f>
        <v/>
      </c>
      <c r="L83" s="30">
        <f>IFERROR((L40/L13),"")</f>
        <v/>
      </c>
      <c r="M83" s="41" t="n"/>
      <c r="N83" s="12">
        <f>N40/N13</f>
        <v/>
      </c>
      <c r="O83" s="30">
        <f>IFERROR((O40/O13),"")</f>
        <v/>
      </c>
      <c r="P83" s="41" t="n"/>
      <c r="Q83" s="12">
        <f>Q40/Q13</f>
        <v/>
      </c>
      <c r="R83" s="30">
        <f>IFERROR((R40/R13),"")</f>
        <v/>
      </c>
      <c r="S83" s="41" t="n"/>
      <c r="T83" s="12">
        <f>T40/T13</f>
        <v/>
      </c>
      <c r="U83" s="30">
        <f>IFERROR((U40/U13),"")</f>
        <v/>
      </c>
      <c r="V83" s="41" t="n"/>
      <c r="W83" s="12">
        <f>W40/W13</f>
        <v/>
      </c>
      <c r="X83" s="30">
        <f>IFERROR((X40/X13),"")</f>
        <v/>
      </c>
      <c r="Y83" s="41" t="n"/>
      <c r="Z83" s="12">
        <f>Z40/Z13</f>
        <v/>
      </c>
      <c r="AA83" s="30">
        <f>IFERROR((AA40/AA13),"")</f>
        <v/>
      </c>
      <c r="AB83" s="41" t="n"/>
      <c r="AC83" s="12">
        <f>AC40/AC13</f>
        <v/>
      </c>
      <c r="AD83" s="30">
        <f>IFERROR((AD40/AD13),"")</f>
        <v/>
      </c>
      <c r="AE83" s="41" t="n"/>
      <c r="AF83" s="12">
        <f>AF40/AF13</f>
        <v/>
      </c>
      <c r="AG83" s="30">
        <f>IFERROR((AG40/AG13),"")</f>
        <v/>
      </c>
      <c r="AH83" s="41" t="n"/>
      <c r="AI83" s="12">
        <f>AI40/AI13</f>
        <v/>
      </c>
      <c r="AJ83" s="30">
        <f>IFERROR((AJ40/AJ13),"")</f>
        <v/>
      </c>
      <c r="AK83" s="41" t="n"/>
      <c r="AL83" s="15" t="n"/>
      <c r="AM83" s="467">
        <f>AP83-AO83</f>
        <v/>
      </c>
      <c r="AO83" s="44">
        <f>IF($A$1=$B$1,B83,IF($A$1=$E$1,E83,IF($A$1=$H$1,H83,IF($A$1=$K$1,K83,IF($A$1=$N$1,N83,IF($A$1=$Q$1,Q83,IF($A$1=$T$1,T83,IF($A$1=$W$1,W83,IF($A$1=$Z$1,Z83,IF($A$1=$AC$1,AC83,IF($A$1=$AF$1,AF83,IF($A$1=$AI$1,AI83))))))))))))</f>
        <v/>
      </c>
      <c r="AP83" s="44">
        <f>IF($A$1=$B$1,C83,IF($A$1=$E$1,F83,IF($A$1=$H$1,I83,IF($A$1=$K$1,L83,IF($A$1=$N$1,O83,IF($A$1=$Q$1,R83,IF($A$1=$T$1,U83,IF($A$1=$W$1,X83,IF($A$1=$Z$1,AA83,IF($A$1=$AC$1,AD83,IF($A$1=$AF$1,AG83,IF($A$1=$AI$1,AJ83))))))))))))</f>
        <v/>
      </c>
    </row>
    <row r="84" ht="15.5" customFormat="1" customHeight="1" s="13">
      <c r="A84" s="26" t="inlineStr">
        <is>
          <t>Jantaş</t>
        </is>
      </c>
      <c r="B84" s="468">
        <f>B41/B14</f>
        <v/>
      </c>
      <c r="C84" s="468">
        <f>IFERROR((C41/C14),"")</f>
        <v/>
      </c>
      <c r="D84" s="41" t="n"/>
      <c r="E84" s="12">
        <f>E41/E14</f>
        <v/>
      </c>
      <c r="F84" s="12">
        <f>IFERROR((F41/F14),"")</f>
        <v/>
      </c>
      <c r="G84" s="41" t="n"/>
      <c r="H84" s="12">
        <f>H41/H14</f>
        <v/>
      </c>
      <c r="I84" s="12">
        <f>IFERROR((I41/I14),"")</f>
        <v/>
      </c>
      <c r="J84" s="41" t="n"/>
      <c r="K84" s="12">
        <f>K41/K14</f>
        <v/>
      </c>
      <c r="L84" s="12">
        <f>IFERROR((L41/L14),"")</f>
        <v/>
      </c>
      <c r="M84" s="41" t="n"/>
      <c r="N84" s="12">
        <f>N41/N14</f>
        <v/>
      </c>
      <c r="O84" s="12">
        <f>IFERROR((O41/O14),"")</f>
        <v/>
      </c>
      <c r="P84" s="41" t="n"/>
      <c r="Q84" s="12">
        <f>Q41/Q14</f>
        <v/>
      </c>
      <c r="R84" s="12">
        <f>IFERROR((R41/R14),"")</f>
        <v/>
      </c>
      <c r="S84" s="41" t="n"/>
      <c r="T84" s="12">
        <f>T41/T14</f>
        <v/>
      </c>
      <c r="U84" s="12">
        <f>IFERROR((U41/U14),"")</f>
        <v/>
      </c>
      <c r="V84" s="41" t="n"/>
      <c r="W84" s="12">
        <f>W41/W14</f>
        <v/>
      </c>
      <c r="X84" s="12">
        <f>IFERROR((X41/X14),"")</f>
        <v/>
      </c>
      <c r="Y84" s="41" t="n"/>
      <c r="Z84" s="12">
        <f>Z41/Z14</f>
        <v/>
      </c>
      <c r="AA84" s="12">
        <f>IFERROR((AA41/AA14),"")</f>
        <v/>
      </c>
      <c r="AB84" s="41" t="n"/>
      <c r="AC84" s="12">
        <f>AC41/AC14</f>
        <v/>
      </c>
      <c r="AD84" s="12">
        <f>IFERROR((AD41/AD14),"")</f>
        <v/>
      </c>
      <c r="AE84" s="41" t="n"/>
      <c r="AF84" s="12">
        <f>AF41/AF14</f>
        <v/>
      </c>
      <c r="AG84" s="12">
        <f>IFERROR((AG41/AG14),"")</f>
        <v/>
      </c>
      <c r="AH84" s="41" t="n"/>
      <c r="AI84" s="12">
        <f>AI41/AI14</f>
        <v/>
      </c>
      <c r="AJ84" s="12">
        <f>IFERROR((AJ41/AJ14),"")</f>
        <v/>
      </c>
      <c r="AK84" s="41" t="n"/>
      <c r="AL84" s="15" t="n"/>
      <c r="AM84" s="467">
        <f>AP84-AO84</f>
        <v/>
      </c>
      <c r="AO84" s="44">
        <f>IF($A$1=$B$1,B84,IF($A$1=$E$1,E84,IF($A$1=$H$1,H84,IF($A$1=$K$1,K84,IF($A$1=$N$1,N84,IF($A$1=$Q$1,Q84,IF($A$1=$T$1,T84,IF($A$1=$W$1,W84,IF($A$1=$Z$1,Z84,IF($A$1=$AC$1,AC84,IF($A$1=$AF$1,AF84,IF($A$1=$AI$1,AI84))))))))))))</f>
        <v/>
      </c>
      <c r="AP84" s="44">
        <f>IF($A$1=$B$1,C84,IF($A$1=$E$1,F84,IF($A$1=$H$1,I84,IF($A$1=$K$1,L84,IF($A$1=$N$1,O84,IF($A$1=$Q$1,R84,IF($A$1=$T$1,U84,IF($A$1=$W$1,X84,IF($A$1=$Z$1,AA84,IF($A$1=$AC$1,AD84,IF($A$1=$AF$1,AG84,IF($A$1=$AI$1,AJ84))))))))))))</f>
        <v/>
      </c>
    </row>
    <row r="85" ht="15.5" customFormat="1" customHeight="1" s="13">
      <c r="A85" s="26" t="inlineStr">
        <is>
          <t>Çelik</t>
        </is>
      </c>
      <c r="B85" s="468">
        <f>B42/B15</f>
        <v/>
      </c>
      <c r="C85" s="468">
        <f>IFERROR((C42/C15),"")</f>
        <v/>
      </c>
      <c r="D85" s="41" t="n"/>
      <c r="E85" s="12">
        <f>E42/E15</f>
        <v/>
      </c>
      <c r="F85" s="12">
        <f>IFERROR((F42/F15),"")</f>
        <v/>
      </c>
      <c r="G85" s="41" t="n"/>
      <c r="H85" s="12">
        <f>H42/H15</f>
        <v/>
      </c>
      <c r="I85" s="12">
        <f>IFERROR((I42/I15),"")</f>
        <v/>
      </c>
      <c r="J85" s="41" t="n"/>
      <c r="K85" s="12">
        <f>K42/K15</f>
        <v/>
      </c>
      <c r="L85" s="12">
        <f>IFERROR((L42/L15),"")</f>
        <v/>
      </c>
      <c r="M85" s="41" t="n"/>
      <c r="N85" s="12">
        <f>N42/N15</f>
        <v/>
      </c>
      <c r="O85" s="12">
        <f>IFERROR((O42/O15),"")</f>
        <v/>
      </c>
      <c r="P85" s="41" t="n"/>
      <c r="Q85" s="12">
        <f>Q42/Q15</f>
        <v/>
      </c>
      <c r="R85" s="12">
        <f>IFERROR((R42/R15),"")</f>
        <v/>
      </c>
      <c r="S85" s="41" t="n"/>
      <c r="T85" s="12">
        <f>T42/T15</f>
        <v/>
      </c>
      <c r="U85" s="12">
        <f>IFERROR((U42/U15),"")</f>
        <v/>
      </c>
      <c r="V85" s="41" t="n"/>
      <c r="W85" s="12">
        <f>W42/W15</f>
        <v/>
      </c>
      <c r="X85" s="12">
        <f>IFERROR((X42/X15),"")</f>
        <v/>
      </c>
      <c r="Y85" s="41" t="n"/>
      <c r="Z85" s="12">
        <f>Z42/Z15</f>
        <v/>
      </c>
      <c r="AA85" s="12">
        <f>IFERROR((AA42/AA15),"")</f>
        <v/>
      </c>
      <c r="AB85" s="41" t="n"/>
      <c r="AC85" s="12">
        <f>AC42/AC15</f>
        <v/>
      </c>
      <c r="AD85" s="12">
        <f>IFERROR((AD42/AD15),"")</f>
        <v/>
      </c>
      <c r="AE85" s="41" t="n"/>
      <c r="AF85" s="12">
        <f>AF42/AF15</f>
        <v/>
      </c>
      <c r="AG85" s="12">
        <f>IFERROR((AG42/AG15),"")</f>
        <v/>
      </c>
      <c r="AH85" s="41" t="n"/>
      <c r="AI85" s="12">
        <f>AI42/AI15</f>
        <v/>
      </c>
      <c r="AJ85" s="12">
        <f>IFERROR((AJ42/AJ15),"")</f>
        <v/>
      </c>
      <c r="AK85" s="41" t="n"/>
      <c r="AL85" s="15" t="n"/>
      <c r="AM85" s="467">
        <f>AP85-AO85</f>
        <v/>
      </c>
      <c r="AO85" s="44">
        <f>IF($A$1=$B$1,B85,IF($A$1=$E$1,E85,IF($A$1=$H$1,H85,IF($A$1=$K$1,K85,IF($A$1=$N$1,N85,IF($A$1=$Q$1,Q85,IF($A$1=$T$1,T85,IF($A$1=$W$1,W85,IF($A$1=$Z$1,Z85,IF($A$1=$AC$1,AC85,IF($A$1=$AF$1,AF85,IF($A$1=$AI$1,AI85))))))))))))</f>
        <v/>
      </c>
      <c r="AP85" s="44">
        <f>IF($A$1=$B$1,C85,IF($A$1=$E$1,F85,IF($A$1=$H$1,I85,IF($A$1=$K$1,L85,IF($A$1=$N$1,O85,IF($A$1=$Q$1,R85,IF($A$1=$T$1,U85,IF($A$1=$W$1,X85,IF($A$1=$Z$1,AA85,IF($A$1=$AC$1,AD85,IF($A$1=$AF$1,AG85,IF($A$1=$AI$1,AJ85))))))))))))</f>
        <v/>
      </c>
    </row>
    <row r="86" ht="15.5" customFormat="1" customHeight="1" s="13">
      <c r="A86" s="26" t="inlineStr">
        <is>
          <t>Alüminyum</t>
        </is>
      </c>
      <c r="B86" s="468">
        <f>B43/B16</f>
        <v/>
      </c>
      <c r="C86" s="468">
        <f>IFERROR((C43/C16),"")</f>
        <v/>
      </c>
      <c r="D86" s="41" t="n"/>
      <c r="E86" s="12">
        <f>E43/E16</f>
        <v/>
      </c>
      <c r="F86" s="12">
        <f>IFERROR((F43/F16),"")</f>
        <v/>
      </c>
      <c r="G86" s="41" t="n"/>
      <c r="H86" s="12">
        <f>H43/H16</f>
        <v/>
      </c>
      <c r="I86" s="12">
        <f>IFERROR((I43/I16),"")</f>
        <v/>
      </c>
      <c r="J86" s="41" t="n"/>
      <c r="K86" s="12">
        <f>K43/K16</f>
        <v/>
      </c>
      <c r="L86" s="12">
        <f>IFERROR((L43/L16),"")</f>
        <v/>
      </c>
      <c r="M86" s="41" t="n"/>
      <c r="N86" s="12">
        <f>N43/N16</f>
        <v/>
      </c>
      <c r="O86" s="12">
        <f>IFERROR((O43/O16),"")</f>
        <v/>
      </c>
      <c r="P86" s="41" t="n"/>
      <c r="Q86" s="12">
        <f>Q43/Q16</f>
        <v/>
      </c>
      <c r="R86" s="12">
        <f>IFERROR((R43/R16),"")</f>
        <v/>
      </c>
      <c r="S86" s="41" t="n"/>
      <c r="T86" s="12">
        <f>T43/T16</f>
        <v/>
      </c>
      <c r="U86" s="12">
        <f>IFERROR((U43/U16),"")</f>
        <v/>
      </c>
      <c r="V86" s="41" t="n"/>
      <c r="W86" s="12">
        <f>W43/W16</f>
        <v/>
      </c>
      <c r="X86" s="12">
        <f>IFERROR((X43/X16),"")</f>
        <v/>
      </c>
      <c r="Y86" s="41" t="n"/>
      <c r="Z86" s="12">
        <f>Z43/Z16</f>
        <v/>
      </c>
      <c r="AA86" s="12">
        <f>IFERROR((AA43/AA16),"")</f>
        <v/>
      </c>
      <c r="AB86" s="41" t="n"/>
      <c r="AC86" s="12">
        <f>AC43/AC16</f>
        <v/>
      </c>
      <c r="AD86" s="12">
        <f>IFERROR((AD43/AD16),"")</f>
        <v/>
      </c>
      <c r="AE86" s="41" t="n"/>
      <c r="AF86" s="12">
        <f>AF43/AF16</f>
        <v/>
      </c>
      <c r="AG86" s="12">
        <f>IFERROR((AG43/AG16),"")</f>
        <v/>
      </c>
      <c r="AH86" s="41" t="n"/>
      <c r="AI86" s="12">
        <f>AI43/AI16</f>
        <v/>
      </c>
      <c r="AJ86" s="12">
        <f>IFERROR((AJ43/AJ16),"")</f>
        <v/>
      </c>
      <c r="AK86" s="41" t="n"/>
      <c r="AL86" s="15" t="n"/>
      <c r="AM86" s="467">
        <f>AP86-AO86</f>
        <v/>
      </c>
      <c r="AO86" s="44">
        <f>IF($A$1=$B$1,B86,IF($A$1=$E$1,E86,IF($A$1=$H$1,H86,IF($A$1=$K$1,K86,IF($A$1=$N$1,N86,IF($A$1=$Q$1,Q86,IF($A$1=$T$1,T86,IF($A$1=$W$1,W86,IF($A$1=$Z$1,Z86,IF($A$1=$AC$1,AC86,IF($A$1=$AF$1,AF86,IF($A$1=$AI$1,AI86))))))))))))</f>
        <v/>
      </c>
      <c r="AP86" s="44">
        <f>IF($A$1=$B$1,C86,IF($A$1=$E$1,F86,IF($A$1=$H$1,I86,IF($A$1=$K$1,L86,IF($A$1=$N$1,O86,IF($A$1=$Q$1,R86,IF($A$1=$T$1,U86,IF($A$1=$W$1,X86,IF($A$1=$Z$1,AA86,IF($A$1=$AC$1,AD86,IF($A$1=$AF$1,AG86,IF($A$1=$AI$1,AJ86))))))))))))</f>
        <v/>
      </c>
    </row>
    <row r="87" ht="15.5" customFormat="1" customHeight="1" s="13">
      <c r="A87" s="26" t="n"/>
      <c r="B87" s="12" t="n"/>
      <c r="C87" s="12">
        <f>IFERROR((C44/C17),"")</f>
        <v/>
      </c>
      <c r="D87" s="41" t="n"/>
      <c r="E87" s="12" t="n"/>
      <c r="F87" s="12">
        <f>IFERROR((F44/F17),"")</f>
        <v/>
      </c>
      <c r="G87" s="41" t="n"/>
      <c r="H87" s="12" t="n"/>
      <c r="I87" s="12">
        <f>IFERROR((I44/I17),"")</f>
        <v/>
      </c>
      <c r="J87" s="41" t="n"/>
      <c r="K87" s="12" t="n"/>
      <c r="L87" s="12">
        <f>IFERROR((L44/L17),"")</f>
        <v/>
      </c>
      <c r="M87" s="41" t="n"/>
      <c r="N87" s="12" t="n"/>
      <c r="O87" s="12">
        <f>IFERROR((O44/O17),"")</f>
        <v/>
      </c>
      <c r="P87" s="41" t="n"/>
      <c r="Q87" s="12" t="n"/>
      <c r="R87" s="12">
        <f>IFERROR((R44/R17),"")</f>
        <v/>
      </c>
      <c r="S87" s="41" t="n"/>
      <c r="T87" s="12" t="n"/>
      <c r="U87" s="12">
        <f>IFERROR((U44/U17),"")</f>
        <v/>
      </c>
      <c r="V87" s="41" t="n"/>
      <c r="W87" s="12" t="n"/>
      <c r="X87" s="12">
        <f>IFERROR((X44/X17),"")</f>
        <v/>
      </c>
      <c r="Y87" s="41" t="n"/>
      <c r="Z87" s="12" t="n"/>
      <c r="AA87" s="12">
        <f>IFERROR((AA44/AA17),"")</f>
        <v/>
      </c>
      <c r="AB87" s="41" t="n"/>
      <c r="AC87" s="12" t="n"/>
      <c r="AD87" s="12">
        <f>IFERROR((AD44/AD17),"")</f>
        <v/>
      </c>
      <c r="AE87" s="41" t="n"/>
      <c r="AF87" s="12" t="n"/>
      <c r="AG87" s="12">
        <f>IFERROR((AG44/AG17),"")</f>
        <v/>
      </c>
      <c r="AH87" s="41" t="n"/>
      <c r="AI87" s="12" t="n"/>
      <c r="AJ87" s="12">
        <f>IFERROR((AJ44/AJ17),"")</f>
        <v/>
      </c>
      <c r="AK87" s="41" t="n"/>
      <c r="AL87" s="15" t="n"/>
      <c r="AM87" s="22" t="n"/>
      <c r="AO87" s="44">
        <f>IF($A$1=$B$1,B87,IF($A$1=$E$1,E87,IF($A$1=$H$1,H87,IF($A$1=$K$1,K87,IF($A$1=$N$1,N87,IF($A$1=$Q$1,Q87,IF($A$1=$T$1,T87,IF($A$1=$W$1,W87,IF($A$1=$Z$1,Z87,IF($A$1=$AC$1,AC87,IF($A$1=$AF$1,AF87,IF($A$1=$AI$1,AI87))))))))))))</f>
        <v/>
      </c>
      <c r="AP87" s="44">
        <f>IF($A$1=$B$1,C87,IF($A$1=$E$1,F87,IF($A$1=$H$1,I87,IF($A$1=$K$1,L87,IF($A$1=$N$1,O87,IF($A$1=$Q$1,R87,IF($A$1=$T$1,U87,IF($A$1=$W$1,X87,IF($A$1=$Z$1,AA87,IF($A$1=$AC$1,AD87,IF($A$1=$AF$1,AG87,IF($A$1=$AI$1,AJ87))))))))))))</f>
        <v/>
      </c>
    </row>
    <row r="88" ht="15.5" customFormat="1" customHeight="1" s="44">
      <c r="A88" s="31" t="inlineStr">
        <is>
          <t>Operating Expenses</t>
        </is>
      </c>
      <c r="B88" s="32">
        <f>-'Bütçe aylık-Eur'!$B$37</f>
        <v/>
      </c>
      <c r="C88" s="32">
        <f>'gerç aylık-eur'!$B$37</f>
        <v/>
      </c>
      <c r="D88" s="18" t="n"/>
      <c r="E88" s="32">
        <f>-'Bütçe aylık-Eur'!$C$37</f>
        <v/>
      </c>
      <c r="F88" s="32">
        <f>'gerç aylık-eur'!$C$37</f>
        <v/>
      </c>
      <c r="G88" s="18" t="n"/>
      <c r="H88" s="32">
        <f>-'Bütçe aylık-Eur'!$D$37</f>
        <v/>
      </c>
      <c r="I88" s="32">
        <f>'gerç aylık-eur'!$D$37</f>
        <v/>
      </c>
      <c r="J88" s="18" t="n"/>
      <c r="K88" s="32">
        <f>-'Bütçe aylık-Eur'!$E$37</f>
        <v/>
      </c>
      <c r="L88" s="32">
        <f>'gerç aylık-eur'!$E$37</f>
        <v/>
      </c>
      <c r="M88" s="18" t="n"/>
      <c r="N88" s="32">
        <f>-'Bütçe aylık-Eur'!$F$37</f>
        <v/>
      </c>
      <c r="O88" s="32">
        <f>'gerç aylık-eur'!$F$37</f>
        <v/>
      </c>
      <c r="P88" s="18" t="n"/>
      <c r="Q88" s="32">
        <f>-'Bütçe aylık-Eur'!$G$37</f>
        <v/>
      </c>
      <c r="R88" s="32">
        <f>'gerç aylık-eur'!$G$37</f>
        <v/>
      </c>
      <c r="S88" s="18" t="n"/>
      <c r="T88" s="32">
        <f>-'Bütçe aylık-Eur'!$H$37</f>
        <v/>
      </c>
      <c r="U88" s="32">
        <f>'gerç aylık-eur'!$H$37</f>
        <v/>
      </c>
      <c r="V88" s="18" t="n"/>
      <c r="W88" s="32">
        <f>-'Bütçe aylık-Eur'!$I$37</f>
        <v/>
      </c>
      <c r="X88" s="32">
        <f>'gerç aylık-eur'!$I$37</f>
        <v/>
      </c>
      <c r="Y88" s="18" t="n"/>
      <c r="Z88" s="32">
        <f>-'Bütçe aylık-Eur'!$J$37</f>
        <v/>
      </c>
      <c r="AA88" s="32">
        <f>'gerç aylık-eur'!$J$37</f>
        <v/>
      </c>
      <c r="AB88" s="18" t="n"/>
      <c r="AC88" s="32">
        <f>-'Bütçe aylık-Eur'!$K$37</f>
        <v/>
      </c>
      <c r="AD88" s="32">
        <f>'gerç aylık-eur'!$K$37</f>
        <v/>
      </c>
      <c r="AE88" s="18" t="n"/>
      <c r="AF88" s="32">
        <f>-'Bütçe aylık-Eur'!$L$37</f>
        <v/>
      </c>
      <c r="AG88" s="32">
        <f>'gerç aylık-eur'!$L$37</f>
        <v/>
      </c>
      <c r="AH88" s="18" t="n"/>
      <c r="AI88" s="32">
        <f>-'Bütçe aylık-Eur'!$M$37</f>
        <v/>
      </c>
      <c r="AJ88" s="32">
        <f>'gerç aylık-eur'!$M$37</f>
        <v/>
      </c>
      <c r="AK88" s="18" t="n"/>
      <c r="AL88" s="33">
        <f>AP88-AO88</f>
        <v/>
      </c>
      <c r="AM88" s="34">
        <f>AP88/AO88-1</f>
        <v/>
      </c>
      <c r="AO88" s="44">
        <f>IF($A$1=$B$1,B88,IF($A$1=$E$1,E88,IF($A$1=$H$1,H88,IF($A$1=$K$1,K88,IF($A$1=$N$1,N88,IF($A$1=$Q$1,Q88,IF($A$1=$T$1,T88,IF($A$1=$W$1,W88,IF($A$1=$Z$1,Z88,IF($A$1=$AC$1,AC88,IF($A$1=$AF$1,AF88,IF($A$1=$AI$1,AI88))))))))))))</f>
        <v/>
      </c>
      <c r="AP88" s="44">
        <f>IF($A$1=$B$1,C88,IF($A$1=$E$1,F88,IF($A$1=$H$1,I88,IF($A$1=$K$1,L88,IF($A$1=$N$1,O88,IF($A$1=$Q$1,R88,IF($A$1=$T$1,U88,IF($A$1=$W$1,X88,IF($A$1=$Z$1,AA88,IF($A$1=$AC$1,AD88,IF($A$1=$AF$1,AG88,IF($A$1=$AI$1,AJ88))))))))))))</f>
        <v/>
      </c>
    </row>
    <row r="89" ht="15.5" customFormat="1" customHeight="1" s="13">
      <c r="A89" s="27" t="n"/>
      <c r="B89" s="30">
        <f>B88/-B30</f>
        <v/>
      </c>
      <c r="C89" s="30">
        <f>C88/-C30</f>
        <v/>
      </c>
      <c r="D89" s="41" t="n"/>
      <c r="E89" s="30" t="n"/>
      <c r="F89" s="30" t="n"/>
      <c r="G89" s="41" t="n"/>
      <c r="H89" s="30" t="n"/>
      <c r="I89" s="30" t="n"/>
      <c r="J89" s="41" t="n"/>
      <c r="K89" s="30" t="n"/>
      <c r="L89" s="30" t="n"/>
      <c r="M89" s="41" t="n"/>
      <c r="N89" s="30" t="n"/>
      <c r="O89" s="30" t="n"/>
      <c r="P89" s="41" t="n"/>
      <c r="Q89" s="30" t="n"/>
      <c r="R89" s="30" t="n"/>
      <c r="S89" s="41" t="n"/>
      <c r="T89" s="30" t="n"/>
      <c r="U89" s="30" t="n"/>
      <c r="V89" s="41" t="n"/>
      <c r="W89" s="30" t="n"/>
      <c r="X89" s="30" t="n"/>
      <c r="Y89" s="41" t="n"/>
      <c r="Z89" s="30" t="n"/>
      <c r="AA89" s="30" t="n"/>
      <c r="AB89" s="41" t="n"/>
      <c r="AC89" s="30" t="n"/>
      <c r="AD89" s="30" t="n"/>
      <c r="AE89" s="41" t="n"/>
      <c r="AF89" s="30" t="n"/>
      <c r="AG89" s="30" t="n"/>
      <c r="AH89" s="41" t="n"/>
      <c r="AI89" s="30" t="n"/>
      <c r="AJ89" s="30" t="n"/>
      <c r="AK89" s="41" t="n"/>
      <c r="AL89" s="15" t="n"/>
      <c r="AM89" s="22" t="n"/>
      <c r="AO89" s="44">
        <f>IF($A$1=$B$1,B89,IF($A$1=$E$1,E89,IF($A$1=$H$1,H89,IF($A$1=$K$1,K89,IF($A$1=$N$1,N89,IF($A$1=$Q$1,Q89,IF($A$1=$T$1,T89,IF($A$1=$W$1,W89,IF($A$1=$Z$1,Z89,IF($A$1=$AC$1,AC89,IF($A$1=$AF$1,AF89,IF($A$1=$AI$1,AI89))))))))))))</f>
        <v/>
      </c>
      <c r="AP89" s="44">
        <f>IF($A$1=$B$1,C89,IF($A$1=$E$1,F89,IF($A$1=$H$1,I89,IF($A$1=$K$1,L89,IF($A$1=$N$1,O89,IF($A$1=$Q$1,R89,IF($A$1=$T$1,U89,IF($A$1=$W$1,X89,IF($A$1=$Z$1,AA89,IF($A$1=$AC$1,AD89,IF($A$1=$AF$1,AG89,IF($A$1=$AI$1,AJ89))))))))))))</f>
        <v/>
      </c>
    </row>
    <row r="90" ht="17" customFormat="1" customHeight="1" s="49">
      <c r="A90" s="47" t="inlineStr">
        <is>
          <t>Operating Expenses by channels (100%)</t>
        </is>
      </c>
      <c r="B90" s="413" t="n"/>
      <c r="C90" s="413" t="n"/>
      <c r="D90" s="413" t="n"/>
      <c r="E90" s="413" t="n"/>
      <c r="F90" s="413" t="n"/>
      <c r="G90" s="413" t="n"/>
      <c r="H90" s="413" t="n"/>
      <c r="I90" s="413" t="n"/>
      <c r="J90" s="413" t="n"/>
      <c r="K90" s="413" t="n"/>
      <c r="L90" s="413" t="n"/>
      <c r="M90" s="413" t="n"/>
      <c r="N90" s="413" t="n"/>
      <c r="O90" s="413" t="n"/>
      <c r="P90" s="413" t="n"/>
      <c r="Q90" s="413" t="n"/>
      <c r="R90" s="413" t="n"/>
      <c r="S90" s="413" t="n"/>
      <c r="T90" s="413" t="n"/>
      <c r="U90" s="413" t="n"/>
      <c r="V90" s="413" t="n"/>
      <c r="W90" s="413" t="n"/>
      <c r="X90" s="413" t="n"/>
      <c r="Y90" s="413" t="n"/>
      <c r="Z90" s="413" t="n"/>
      <c r="AA90" s="413" t="n"/>
      <c r="AB90" s="413" t="n"/>
      <c r="AC90" s="413" t="n"/>
      <c r="AD90" s="413" t="n"/>
      <c r="AE90" s="413" t="n"/>
      <c r="AF90" s="413" t="n"/>
      <c r="AG90" s="413" t="n"/>
      <c r="AH90" s="413" t="n"/>
      <c r="AI90" s="413" t="n"/>
      <c r="AJ90" s="413" t="n"/>
      <c r="AK90" s="413" t="n"/>
      <c r="AL90" s="413" t="n"/>
      <c r="AM90" s="48" t="n"/>
    </row>
    <row r="91" ht="15.5" customHeight="1">
      <c r="A91" s="26" t="inlineStr">
        <is>
          <t xml:space="preserve">İnci Holding </t>
        </is>
      </c>
      <c r="B91" s="7">
        <f>-'Bütçe aylık-Eur'!$B$38</f>
        <v/>
      </c>
      <c r="C91" s="7">
        <f>'gerç aylık-eur'!$B$38</f>
        <v/>
      </c>
      <c r="D91" s="7" t="n"/>
      <c r="E91" s="7">
        <f>-'Bütçe aylık-Eur'!$C$38</f>
        <v/>
      </c>
      <c r="F91" s="7">
        <f>'gerç aylık-eur'!$C$38</f>
        <v/>
      </c>
      <c r="G91" s="7" t="n"/>
      <c r="H91" s="7">
        <f>-'Bütçe aylık-Eur'!$D$38</f>
        <v/>
      </c>
      <c r="I91" s="7">
        <f>'gerç aylık-eur'!$D$38</f>
        <v/>
      </c>
      <c r="J91" s="7" t="n"/>
      <c r="K91" s="7">
        <f>-'Bütçe aylık-Eur'!$E$38</f>
        <v/>
      </c>
      <c r="L91" s="7">
        <f>'gerç aylık-eur'!$E$38</f>
        <v/>
      </c>
      <c r="M91" s="7" t="n"/>
      <c r="N91" s="7">
        <f>-'Bütçe aylık-Eur'!$F$38</f>
        <v/>
      </c>
      <c r="O91" s="7">
        <f>'gerç aylık-eur'!$F$38</f>
        <v/>
      </c>
      <c r="P91" s="7" t="n"/>
      <c r="Q91" s="7">
        <f>-'Bütçe aylık-Eur'!$G$38</f>
        <v/>
      </c>
      <c r="R91" s="7">
        <f>'gerç aylık-eur'!$G$38</f>
        <v/>
      </c>
      <c r="S91" s="7" t="n"/>
      <c r="T91" s="7">
        <f>-'Bütçe aylık-Eur'!$H$38</f>
        <v/>
      </c>
      <c r="U91" s="7">
        <f>'gerç aylık-eur'!$H$38</f>
        <v/>
      </c>
      <c r="V91" s="7" t="n"/>
      <c r="W91" s="7">
        <f>-'Bütçe aylık-Eur'!$I$38</f>
        <v/>
      </c>
      <c r="X91" s="7">
        <f>'gerç aylık-eur'!$I$38</f>
        <v/>
      </c>
      <c r="Y91" s="7" t="n"/>
      <c r="Z91" s="7">
        <f>-'Bütçe aylık-Eur'!$J$38</f>
        <v/>
      </c>
      <c r="AA91" s="7">
        <f>'gerç aylık-eur'!$J$38</f>
        <v/>
      </c>
      <c r="AB91" s="7" t="n"/>
      <c r="AC91" s="7">
        <f>-'Bütçe aylık-Eur'!$K$38</f>
        <v/>
      </c>
      <c r="AD91" s="7">
        <f>'gerç aylık-eur'!$K$38</f>
        <v/>
      </c>
      <c r="AE91" s="7" t="n"/>
      <c r="AF91" s="7">
        <f>-'Bütçe aylık-Eur'!$L$38</f>
        <v/>
      </c>
      <c r="AG91" s="7">
        <f>'gerç aylık-eur'!$L$38</f>
        <v/>
      </c>
      <c r="AH91" s="7" t="n"/>
      <c r="AI91" s="7">
        <f>-'Bütçe aylık-Eur'!$M$38</f>
        <v/>
      </c>
      <c r="AJ91" s="7">
        <f>'gerç aylık-eur'!$M$38</f>
        <v/>
      </c>
      <c r="AK91" s="7" t="n"/>
      <c r="AL91" s="21">
        <f>AP91-AO91</f>
        <v/>
      </c>
      <c r="AM91" s="22">
        <f>AP91/AO91-1</f>
        <v/>
      </c>
      <c r="AO91" s="44">
        <f>IF($A$1=$B$1,B91,IF($A$1=$E$1,E91,IF($A$1=$H$1,H91,IF($A$1=$K$1,K91,IF($A$1=$N$1,N91,IF($A$1=$Q$1,Q91,IF($A$1=$T$1,T91,IF($A$1=$W$1,W91,IF($A$1=$Z$1,Z91,IF($A$1=$AC$1,AC91,IF($A$1=$AF$1,AF91,IF($A$1=$AI$1,AI91))))))))))))</f>
        <v/>
      </c>
      <c r="AP91" s="44">
        <f>IF($A$1=$B$1,C91,IF($A$1=$E$1,F91,IF($A$1=$H$1,I91,IF($A$1=$K$1,L91,IF($A$1=$N$1,O91,IF($A$1=$Q$1,R91,IF($A$1=$T$1,U91,IF($A$1=$W$1,X91,IF($A$1=$Z$1,AA91,IF($A$1=$AC$1,AD91,IF($A$1=$AF$1,AG91,IF($A$1=$AI$1,AJ91))))))))))))</f>
        <v/>
      </c>
    </row>
    <row r="92" ht="15.5" customHeight="1">
      <c r="A92" s="26" t="inlineStr">
        <is>
          <t xml:space="preserve">ISM </t>
        </is>
      </c>
      <c r="B92" s="7">
        <f>-'Bütçe aylık-Eur'!$B$39</f>
        <v/>
      </c>
      <c r="C92" s="7">
        <f>'gerç aylık-eur'!$B$39</f>
        <v/>
      </c>
      <c r="D92" s="7" t="n"/>
      <c r="E92" s="7">
        <f>-'Bütçe aylık-Eur'!$C$39</f>
        <v/>
      </c>
      <c r="F92" s="7">
        <f>'gerç aylık-eur'!$C$39</f>
        <v/>
      </c>
      <c r="G92" s="7" t="n"/>
      <c r="H92" s="7">
        <f>-'Bütçe aylık-Eur'!$D$39</f>
        <v/>
      </c>
      <c r="I92" s="7">
        <f>'gerç aylık-eur'!$D$39</f>
        <v/>
      </c>
      <c r="J92" s="7" t="n"/>
      <c r="K92" s="7">
        <f>-'Bütçe aylık-Eur'!$E$39</f>
        <v/>
      </c>
      <c r="L92" s="7">
        <f>'gerç aylık-eur'!$E$39</f>
        <v/>
      </c>
      <c r="M92" s="7" t="n"/>
      <c r="N92" s="7">
        <f>-'Bütçe aylık-Eur'!$F$39</f>
        <v/>
      </c>
      <c r="O92" s="7">
        <f>'gerç aylık-eur'!$F$39</f>
        <v/>
      </c>
      <c r="P92" s="7" t="n"/>
      <c r="Q92" s="7">
        <f>-'Bütçe aylık-Eur'!$G$39</f>
        <v/>
      </c>
      <c r="R92" s="7">
        <f>'gerç aylık-eur'!$G$39</f>
        <v/>
      </c>
      <c r="S92" s="7" t="n"/>
      <c r="T92" s="7">
        <f>-'Bütçe aylık-Eur'!$H$39</f>
        <v/>
      </c>
      <c r="U92" s="7">
        <f>'gerç aylık-eur'!$H$39</f>
        <v/>
      </c>
      <c r="V92" s="7" t="n"/>
      <c r="W92" s="7">
        <f>-'Bütçe aylık-Eur'!$I$39</f>
        <v/>
      </c>
      <c r="X92" s="7">
        <f>'gerç aylık-eur'!$I$39</f>
        <v/>
      </c>
      <c r="Y92" s="7" t="n"/>
      <c r="Z92" s="7">
        <f>-'Bütçe aylık-Eur'!$J$39</f>
        <v/>
      </c>
      <c r="AA92" s="7">
        <f>'gerç aylık-eur'!$J$39</f>
        <v/>
      </c>
      <c r="AB92" s="7" t="n"/>
      <c r="AC92" s="7">
        <f>-'Bütçe aylık-Eur'!$K$39</f>
        <v/>
      </c>
      <c r="AD92" s="7">
        <f>'gerç aylık-eur'!$K$39</f>
        <v/>
      </c>
      <c r="AE92" s="7" t="n"/>
      <c r="AF92" s="7">
        <f>-'Bütçe aylık-Eur'!$L$39</f>
        <v/>
      </c>
      <c r="AG92" s="7">
        <f>'gerç aylık-eur'!$L$39</f>
        <v/>
      </c>
      <c r="AH92" s="7" t="n"/>
      <c r="AI92" s="7">
        <f>-'Bütçe aylık-Eur'!$M$39</f>
        <v/>
      </c>
      <c r="AJ92" s="7">
        <f>'gerç aylık-eur'!$M$39</f>
        <v/>
      </c>
      <c r="AK92" s="7" t="n"/>
      <c r="AL92" s="21">
        <f>AP92-AO92</f>
        <v/>
      </c>
      <c r="AM92" s="22">
        <f>AP92/AO92-1</f>
        <v/>
      </c>
      <c r="AO92" s="44">
        <f>IF($A$1=$B$1,B92,IF($A$1=$E$1,E92,IF($A$1=$H$1,H92,IF($A$1=$K$1,K92,IF($A$1=$N$1,N92,IF($A$1=$Q$1,Q92,IF($A$1=$T$1,T92,IF($A$1=$W$1,W92,IF($A$1=$Z$1,Z92,IF($A$1=$AC$1,AC92,IF($A$1=$AF$1,AF92,IF($A$1=$AI$1,AI92))))))))))))</f>
        <v/>
      </c>
      <c r="AP92" s="44">
        <f>IF($A$1=$B$1,C92,IF($A$1=$E$1,F92,IF($A$1=$H$1,I92,IF($A$1=$K$1,L92,IF($A$1=$N$1,O92,IF($A$1=$Q$1,R92,IF($A$1=$T$1,U92,IF($A$1=$W$1,X92,IF($A$1=$Z$1,AA92,IF($A$1=$AC$1,AD92,IF($A$1=$AF$1,AG92,IF($A$1=$AI$1,AJ92))))))))))))</f>
        <v/>
      </c>
    </row>
    <row r="93" ht="15.5" customHeight="1">
      <c r="A93" s="26" t="inlineStr">
        <is>
          <t>İncitaş</t>
        </is>
      </c>
      <c r="B93" s="7">
        <f>-'Bütçe aylık-Eur'!$B$40</f>
        <v/>
      </c>
      <c r="C93" s="7">
        <f>'gerç aylık-eur'!$B$40</f>
        <v/>
      </c>
      <c r="D93" s="7" t="n"/>
      <c r="E93" s="7">
        <f>-'Bütçe aylık-Eur'!$C$40</f>
        <v/>
      </c>
      <c r="F93" s="7">
        <f>'gerç aylık-eur'!$C$40</f>
        <v/>
      </c>
      <c r="G93" s="7" t="n"/>
      <c r="H93" s="7">
        <f>-'Bütçe aylık-Eur'!$D$40</f>
        <v/>
      </c>
      <c r="I93" s="7">
        <f>'gerç aylık-eur'!$D$40</f>
        <v/>
      </c>
      <c r="J93" s="7" t="n"/>
      <c r="K93" s="7">
        <f>-'Bütçe aylık-Eur'!$E$40</f>
        <v/>
      </c>
      <c r="L93" s="7">
        <f>'gerç aylık-eur'!$E$40</f>
        <v/>
      </c>
      <c r="M93" s="7" t="n"/>
      <c r="N93" s="7">
        <f>-'Bütçe aylık-Eur'!$F$40</f>
        <v/>
      </c>
      <c r="O93" s="7">
        <f>'gerç aylık-eur'!$F$40</f>
        <v/>
      </c>
      <c r="P93" s="7" t="n"/>
      <c r="Q93" s="7">
        <f>-'Bütçe aylık-Eur'!$G$40</f>
        <v/>
      </c>
      <c r="R93" s="7">
        <f>'gerç aylık-eur'!$G$40</f>
        <v/>
      </c>
      <c r="S93" s="7" t="n"/>
      <c r="T93" s="7">
        <f>-'Bütçe aylık-Eur'!$H$40</f>
        <v/>
      </c>
      <c r="U93" s="7">
        <f>'gerç aylık-eur'!$H$40</f>
        <v/>
      </c>
      <c r="V93" s="7" t="n"/>
      <c r="W93" s="7">
        <f>-'Bütçe aylık-Eur'!$I$40</f>
        <v/>
      </c>
      <c r="X93" s="7">
        <f>'gerç aylık-eur'!$I$40</f>
        <v/>
      </c>
      <c r="Y93" s="7" t="n"/>
      <c r="Z93" s="7">
        <f>-'Bütçe aylık-Eur'!$J$40</f>
        <v/>
      </c>
      <c r="AA93" s="7">
        <f>'gerç aylık-eur'!$J$40</f>
        <v/>
      </c>
      <c r="AB93" s="7" t="n"/>
      <c r="AC93" s="7">
        <f>-'Bütçe aylık-Eur'!$K$40</f>
        <v/>
      </c>
      <c r="AD93" s="7">
        <f>'gerç aylık-eur'!$K$40</f>
        <v/>
      </c>
      <c r="AE93" s="7" t="n"/>
      <c r="AF93" s="7">
        <f>-'Bütçe aylık-Eur'!$L$40</f>
        <v/>
      </c>
      <c r="AG93" s="7">
        <f>'gerç aylık-eur'!$L$40</f>
        <v/>
      </c>
      <c r="AH93" s="7" t="n"/>
      <c r="AI93" s="7">
        <f>-'Bütçe aylık-Eur'!$M$40</f>
        <v/>
      </c>
      <c r="AJ93" s="7">
        <f>'gerç aylık-eur'!$M$40</f>
        <v/>
      </c>
      <c r="AK93" s="7" t="n"/>
      <c r="AL93" s="21">
        <f>AP93-AO93</f>
        <v/>
      </c>
      <c r="AM93" s="22">
        <f>AP93/AO93-1</f>
        <v/>
      </c>
      <c r="AO93" s="44">
        <f>IF($A$1=$B$1,B93,IF($A$1=$E$1,E93,IF($A$1=$H$1,H93,IF($A$1=$K$1,K93,IF($A$1=$N$1,N93,IF($A$1=$Q$1,Q93,IF($A$1=$T$1,T93,IF($A$1=$W$1,W93,IF($A$1=$Z$1,Z93,IF($A$1=$AC$1,AC93,IF($A$1=$AF$1,AF93,IF($A$1=$AI$1,AI93))))))))))))</f>
        <v/>
      </c>
      <c r="AP93" s="44">
        <f>IF($A$1=$B$1,C93,IF($A$1=$E$1,F93,IF($A$1=$H$1,I93,IF($A$1=$K$1,L93,IF($A$1=$N$1,O93,IF($A$1=$Q$1,R93,IF($A$1=$T$1,U93,IF($A$1=$W$1,X93,IF($A$1=$Z$1,AA93,IF($A$1=$AC$1,AD93,IF($A$1=$AF$1,AG93,IF($A$1=$AI$1,AJ93))))))))))))</f>
        <v/>
      </c>
    </row>
    <row r="94" ht="15.5" customHeight="1">
      <c r="A94" s="26" t="inlineStr">
        <is>
          <t>İnci GS Yuasa</t>
        </is>
      </c>
      <c r="B94" s="7">
        <f>-'Bütçe aylık-Eur'!$B$41</f>
        <v/>
      </c>
      <c r="C94" s="7">
        <f>'gerç aylık-eur'!$B$41</f>
        <v/>
      </c>
      <c r="D94" s="7" t="n"/>
      <c r="E94" s="7">
        <f>-'Bütçe aylık-Eur'!$C$41</f>
        <v/>
      </c>
      <c r="F94" s="7">
        <f>'gerç aylık-eur'!$C$41</f>
        <v/>
      </c>
      <c r="G94" s="7" t="n"/>
      <c r="H94" s="7">
        <f>-'Bütçe aylık-Eur'!$D$41</f>
        <v/>
      </c>
      <c r="I94" s="7">
        <f>'gerç aylık-eur'!$D$41</f>
        <v/>
      </c>
      <c r="J94" s="7" t="n"/>
      <c r="K94" s="7">
        <f>-'Bütçe aylık-Eur'!$E$41</f>
        <v/>
      </c>
      <c r="L94" s="7">
        <f>'gerç aylık-eur'!$E$41</f>
        <v/>
      </c>
      <c r="M94" s="7" t="n"/>
      <c r="N94" s="7">
        <f>-'Bütçe aylık-Eur'!$F$41</f>
        <v/>
      </c>
      <c r="O94" s="7">
        <f>'gerç aylık-eur'!$F$41</f>
        <v/>
      </c>
      <c r="P94" s="7" t="n"/>
      <c r="Q94" s="7">
        <f>-'Bütçe aylık-Eur'!$G$41</f>
        <v/>
      </c>
      <c r="R94" s="7">
        <f>'gerç aylık-eur'!$G$41</f>
        <v/>
      </c>
      <c r="S94" s="7" t="n"/>
      <c r="T94" s="7">
        <f>-'Bütçe aylık-Eur'!$H$41</f>
        <v/>
      </c>
      <c r="U94" s="7">
        <f>'gerç aylık-eur'!$H$41</f>
        <v/>
      </c>
      <c r="V94" s="7" t="n"/>
      <c r="W94" s="7">
        <f>-'Bütçe aylık-Eur'!$I$41</f>
        <v/>
      </c>
      <c r="X94" s="7">
        <f>'gerç aylık-eur'!$I$41</f>
        <v/>
      </c>
      <c r="Y94" s="7" t="n"/>
      <c r="Z94" s="7">
        <f>-'Bütçe aylık-Eur'!$J$41</f>
        <v/>
      </c>
      <c r="AA94" s="7">
        <f>'gerç aylık-eur'!$J$41</f>
        <v/>
      </c>
      <c r="AB94" s="7" t="n"/>
      <c r="AC94" s="7">
        <f>-'Bütçe aylık-Eur'!$K$41</f>
        <v/>
      </c>
      <c r="AD94" s="7">
        <f>'gerç aylık-eur'!$K$41</f>
        <v/>
      </c>
      <c r="AE94" s="7" t="n"/>
      <c r="AF94" s="7">
        <f>-'Bütçe aylık-Eur'!$L$41</f>
        <v/>
      </c>
      <c r="AG94" s="7">
        <f>'gerç aylık-eur'!$L$41</f>
        <v/>
      </c>
      <c r="AH94" s="7" t="n"/>
      <c r="AI94" s="7">
        <f>-'Bütçe aylık-Eur'!$M$41</f>
        <v/>
      </c>
      <c r="AJ94" s="7">
        <f>'gerç aylık-eur'!$M$41</f>
        <v/>
      </c>
      <c r="AK94" s="7" t="n"/>
      <c r="AL94" s="21">
        <f>AP94-AO94</f>
        <v/>
      </c>
      <c r="AM94" s="22">
        <f>AP94/AO94-1</f>
        <v/>
      </c>
      <c r="AO94" s="44">
        <f>IF($A$1=$B$1,B94,IF($A$1=$E$1,E94,IF($A$1=$H$1,H94,IF($A$1=$K$1,K94,IF($A$1=$N$1,N94,IF($A$1=$Q$1,Q94,IF($A$1=$T$1,T94,IF($A$1=$W$1,W94,IF($A$1=$Z$1,Z94,IF($A$1=$AC$1,AC94,IF($A$1=$AF$1,AF94,IF($A$1=$AI$1,AI94))))))))))))</f>
        <v/>
      </c>
      <c r="AP94" s="44">
        <f>IF($A$1=$B$1,C94,IF($A$1=$E$1,F94,IF($A$1=$H$1,I94,IF($A$1=$K$1,L94,IF($A$1=$N$1,O94,IF($A$1=$Q$1,R94,IF($A$1=$T$1,U94,IF($A$1=$W$1,X94,IF($A$1=$Z$1,AA94,IF($A$1=$AC$1,AD94,IF($A$1=$AF$1,AG94,IF($A$1=$AI$1,AJ94))))))))))))</f>
        <v/>
      </c>
    </row>
    <row r="95" ht="15.5" customFormat="1" customHeight="1" s="1">
      <c r="A95" s="26" t="inlineStr">
        <is>
          <t>Yusen İnci Loj.</t>
        </is>
      </c>
      <c r="B95" s="7">
        <f>-'Bütçe aylık-Eur'!$B$42</f>
        <v/>
      </c>
      <c r="C95" s="7">
        <f>'gerç aylık-eur'!$B$42</f>
        <v/>
      </c>
      <c r="D95" s="8" t="n"/>
      <c r="E95" s="7">
        <f>-'Bütçe aylık-Eur'!$C$42</f>
        <v/>
      </c>
      <c r="F95" s="7">
        <f>'gerç aylık-eur'!$C$42</f>
        <v/>
      </c>
      <c r="G95" s="8" t="n"/>
      <c r="H95" s="7">
        <f>-'Bütçe aylık-Eur'!$D$42</f>
        <v/>
      </c>
      <c r="I95" s="7">
        <f>'gerç aylık-eur'!$D$42</f>
        <v/>
      </c>
      <c r="J95" s="8" t="n"/>
      <c r="K95" s="7">
        <f>-'Bütçe aylık-Eur'!$E$42</f>
        <v/>
      </c>
      <c r="L95" s="7">
        <f>'gerç aylık-eur'!$E$42</f>
        <v/>
      </c>
      <c r="M95" s="8" t="n"/>
      <c r="N95" s="7">
        <f>-'Bütçe aylık-Eur'!$F$42</f>
        <v/>
      </c>
      <c r="O95" s="7">
        <f>'gerç aylık-eur'!$F$42</f>
        <v/>
      </c>
      <c r="P95" s="8" t="n"/>
      <c r="Q95" s="7">
        <f>-'Bütçe aylık-Eur'!$G$42</f>
        <v/>
      </c>
      <c r="R95" s="7">
        <f>'gerç aylık-eur'!$G$42</f>
        <v/>
      </c>
      <c r="S95" s="8" t="n"/>
      <c r="T95" s="7">
        <f>-'Bütçe aylık-Eur'!$H$42</f>
        <v/>
      </c>
      <c r="U95" s="7">
        <f>'gerç aylık-eur'!$H$42</f>
        <v/>
      </c>
      <c r="V95" s="8" t="n"/>
      <c r="W95" s="7">
        <f>-'Bütçe aylık-Eur'!$I$42</f>
        <v/>
      </c>
      <c r="X95" s="7">
        <f>'gerç aylık-eur'!$I$42</f>
        <v/>
      </c>
      <c r="Y95" s="8" t="n"/>
      <c r="Z95" s="7">
        <f>-'Bütçe aylık-Eur'!$J$42</f>
        <v/>
      </c>
      <c r="AA95" s="7">
        <f>'gerç aylık-eur'!$J$42</f>
        <v/>
      </c>
      <c r="AB95" s="8" t="n"/>
      <c r="AC95" s="7">
        <f>-'Bütçe aylık-Eur'!$K$42</f>
        <v/>
      </c>
      <c r="AD95" s="7">
        <f>'gerç aylık-eur'!$K$42</f>
        <v/>
      </c>
      <c r="AE95" s="8" t="n"/>
      <c r="AF95" s="7">
        <f>-'Bütçe aylık-Eur'!$L$42</f>
        <v/>
      </c>
      <c r="AG95" s="7">
        <f>'gerç aylık-eur'!$L$42</f>
        <v/>
      </c>
      <c r="AH95" s="8" t="n"/>
      <c r="AI95" s="7">
        <f>-'Bütçe aylık-Eur'!$M$42</f>
        <v/>
      </c>
      <c r="AJ95" s="7">
        <f>'gerç aylık-eur'!$M$42</f>
        <v/>
      </c>
      <c r="AK95" s="8" t="n"/>
      <c r="AL95" s="21">
        <f>AP95-AO95</f>
        <v/>
      </c>
      <c r="AM95" s="22">
        <f>AP95/AO95-1</f>
        <v/>
      </c>
      <c r="AO95" s="44">
        <f>IF($A$1=$B$1,B95,IF($A$1=$E$1,E95,IF($A$1=$H$1,H95,IF($A$1=$K$1,K95,IF($A$1=$N$1,N95,IF($A$1=$Q$1,Q95,IF($A$1=$T$1,T95,IF($A$1=$W$1,W95,IF($A$1=$Z$1,Z95,IF($A$1=$AC$1,AC95,IF($A$1=$AF$1,AF95,IF($A$1=$AI$1,AI95))))))))))))</f>
        <v/>
      </c>
      <c r="AP95" s="44">
        <f>IF($A$1=$B$1,C95,IF($A$1=$E$1,F95,IF($A$1=$H$1,I95,IF($A$1=$K$1,L95,IF($A$1=$N$1,O95,IF($A$1=$Q$1,R95,IF($A$1=$T$1,U95,IF($A$1=$W$1,X95,IF($A$1=$Z$1,AA95,IF($A$1=$AC$1,AD95,IF($A$1=$AF$1,AG95,IF($A$1=$AI$1,AJ95))))))))))))</f>
        <v/>
      </c>
    </row>
    <row r="96" ht="15.5" customHeight="1">
      <c r="A96" s="26" t="inlineStr">
        <is>
          <t>Jantaş</t>
        </is>
      </c>
      <c r="B96" s="7">
        <f>-'Bütçe aylık-Eur'!$B$43</f>
        <v/>
      </c>
      <c r="C96" s="7">
        <f>'gerç aylık-eur'!$B$43</f>
        <v/>
      </c>
      <c r="D96" s="7" t="n"/>
      <c r="E96" s="7">
        <f>-'Bütçe aylık-Eur'!$C$43</f>
        <v/>
      </c>
      <c r="F96" s="7">
        <f>'gerç aylık-eur'!$C$43</f>
        <v/>
      </c>
      <c r="G96" s="7" t="n"/>
      <c r="H96" s="7">
        <f>-'Bütçe aylık-Eur'!$D$43</f>
        <v/>
      </c>
      <c r="I96" s="7">
        <f>'gerç aylık-eur'!$D$43</f>
        <v/>
      </c>
      <c r="J96" s="7" t="n"/>
      <c r="K96" s="7">
        <f>-'Bütçe aylık-Eur'!$E$43</f>
        <v/>
      </c>
      <c r="L96" s="7">
        <f>'gerç aylık-eur'!$E$43</f>
        <v/>
      </c>
      <c r="M96" s="7" t="n"/>
      <c r="N96" s="7">
        <f>-'Bütçe aylık-Eur'!$F$43</f>
        <v/>
      </c>
      <c r="O96" s="7">
        <f>'gerç aylık-eur'!$F$43</f>
        <v/>
      </c>
      <c r="P96" s="7" t="n"/>
      <c r="Q96" s="7">
        <f>-'Bütçe aylık-Eur'!$G$43</f>
        <v/>
      </c>
      <c r="R96" s="7">
        <f>'gerç aylık-eur'!$G$43</f>
        <v/>
      </c>
      <c r="S96" s="7" t="n"/>
      <c r="T96" s="7">
        <f>-'Bütçe aylık-Eur'!$H$43</f>
        <v/>
      </c>
      <c r="U96" s="7">
        <f>'gerç aylık-eur'!$H$43</f>
        <v/>
      </c>
      <c r="V96" s="7" t="n"/>
      <c r="W96" s="7">
        <f>-'Bütçe aylık-Eur'!$I$43</f>
        <v/>
      </c>
      <c r="X96" s="7">
        <f>'gerç aylık-eur'!$I$43</f>
        <v/>
      </c>
      <c r="Y96" s="7" t="n"/>
      <c r="Z96" s="7">
        <f>-'Bütçe aylık-Eur'!$J$43</f>
        <v/>
      </c>
      <c r="AA96" s="7">
        <f>'gerç aylık-eur'!$J$43</f>
        <v/>
      </c>
      <c r="AB96" s="7" t="n"/>
      <c r="AC96" s="7">
        <f>-'Bütçe aylık-Eur'!$K$43</f>
        <v/>
      </c>
      <c r="AD96" s="7">
        <f>'gerç aylık-eur'!$K$43</f>
        <v/>
      </c>
      <c r="AE96" s="7" t="n"/>
      <c r="AF96" s="7">
        <f>-'Bütçe aylık-Eur'!$L$43</f>
        <v/>
      </c>
      <c r="AG96" s="7">
        <f>'gerç aylık-eur'!$L$43</f>
        <v/>
      </c>
      <c r="AH96" s="7" t="n"/>
      <c r="AI96" s="7">
        <f>-'Bütçe aylık-Eur'!$M$43</f>
        <v/>
      </c>
      <c r="AJ96" s="7">
        <f>'gerç aylık-eur'!$M$43</f>
        <v/>
      </c>
      <c r="AK96" s="7" t="n"/>
      <c r="AL96" s="21">
        <f>AP96-AO96</f>
        <v/>
      </c>
      <c r="AM96" s="22">
        <f>AP96/AO96-1</f>
        <v/>
      </c>
      <c r="AO96" s="44">
        <f>IF($A$1=$B$1,B96,IF($A$1=$E$1,E96,IF($A$1=$H$1,H96,IF($A$1=$K$1,K96,IF($A$1=$N$1,N96,IF($A$1=$Q$1,Q96,IF($A$1=$T$1,T96,IF($A$1=$W$1,W96,IF($A$1=$Z$1,Z96,IF($A$1=$AC$1,AC96,IF($A$1=$AF$1,AF96,IF($A$1=$AI$1,AI96))))))))))))</f>
        <v/>
      </c>
      <c r="AP96" s="44">
        <f>IF($A$1=$B$1,C96,IF($A$1=$E$1,F96,IF($A$1=$H$1,I96,IF($A$1=$K$1,L96,IF($A$1=$N$1,O96,IF($A$1=$Q$1,R96,IF($A$1=$T$1,U96,IF($A$1=$W$1,X96,IF($A$1=$Z$1,AA96,IF($A$1=$AC$1,AD96,IF($A$1=$AF$1,AG96,IF($A$1=$AI$1,AJ96))))))))))))</f>
        <v/>
      </c>
    </row>
    <row r="97" ht="15.5" customHeight="1">
      <c r="A97" s="26" t="inlineStr">
        <is>
          <t>Çelik</t>
        </is>
      </c>
      <c r="B97" s="7">
        <f>-'Bütçe aylık-Eur'!$B$44</f>
        <v/>
      </c>
      <c r="C97" s="7">
        <f>'gerç aylık-eur'!$B$44</f>
        <v/>
      </c>
      <c r="D97" s="7" t="n"/>
      <c r="E97" s="7">
        <f>-'Bütçe aylık-Eur'!$C$44</f>
        <v/>
      </c>
      <c r="F97" s="7">
        <f>'gerç aylık-eur'!$C$44</f>
        <v/>
      </c>
      <c r="G97" s="7" t="n"/>
      <c r="H97" s="7">
        <f>-'Bütçe aylık-Eur'!$D$44</f>
        <v/>
      </c>
      <c r="I97" s="7">
        <f>'gerç aylık-eur'!$D$44</f>
        <v/>
      </c>
      <c r="J97" s="7" t="n"/>
      <c r="K97" s="7">
        <f>-'Bütçe aylık-Eur'!$E$44</f>
        <v/>
      </c>
      <c r="L97" s="7">
        <f>'gerç aylık-eur'!$E$44</f>
        <v/>
      </c>
      <c r="M97" s="7" t="n"/>
      <c r="N97" s="7">
        <f>-'Bütçe aylık-Eur'!$F$44</f>
        <v/>
      </c>
      <c r="O97" s="7">
        <f>'gerç aylık-eur'!$F$44</f>
        <v/>
      </c>
      <c r="P97" s="7" t="n"/>
      <c r="Q97" s="7">
        <f>-'Bütçe aylık-Eur'!$G$44</f>
        <v/>
      </c>
      <c r="R97" s="7">
        <f>'gerç aylık-eur'!$G$44</f>
        <v/>
      </c>
      <c r="S97" s="7" t="n"/>
      <c r="T97" s="7">
        <f>-'Bütçe aylık-Eur'!$H$44</f>
        <v/>
      </c>
      <c r="U97" s="7">
        <f>'gerç aylık-eur'!$H$44</f>
        <v/>
      </c>
      <c r="V97" s="7" t="n"/>
      <c r="W97" s="7">
        <f>-'Bütçe aylık-Eur'!$I$44</f>
        <v/>
      </c>
      <c r="X97" s="7">
        <f>'gerç aylık-eur'!$I$44</f>
        <v/>
      </c>
      <c r="Y97" s="7" t="n"/>
      <c r="Z97" s="7">
        <f>-'Bütçe aylık-Eur'!$J$44</f>
        <v/>
      </c>
      <c r="AA97" s="7">
        <f>'gerç aylık-eur'!$J$44</f>
        <v/>
      </c>
      <c r="AB97" s="7" t="n"/>
      <c r="AC97" s="7">
        <f>-'Bütçe aylık-Eur'!$K$44</f>
        <v/>
      </c>
      <c r="AD97" s="7">
        <f>'gerç aylık-eur'!$K$44</f>
        <v/>
      </c>
      <c r="AE97" s="7" t="n"/>
      <c r="AF97" s="7">
        <f>-'Bütçe aylık-Eur'!$L$44</f>
        <v/>
      </c>
      <c r="AG97" s="7">
        <f>'gerç aylık-eur'!$L$44</f>
        <v/>
      </c>
      <c r="AH97" s="7" t="n"/>
      <c r="AI97" s="7">
        <f>-'Bütçe aylık-Eur'!$M$44</f>
        <v/>
      </c>
      <c r="AJ97" s="7">
        <f>'gerç aylık-eur'!$M$44</f>
        <v/>
      </c>
      <c r="AK97" s="7" t="n"/>
      <c r="AL97" s="21">
        <f>AP97-AO97</f>
        <v/>
      </c>
      <c r="AM97" s="22">
        <f>AP97/AO97-1</f>
        <v/>
      </c>
      <c r="AO97" s="44">
        <f>IF($A$1=$B$1,B97,IF($A$1=$E$1,E97,IF($A$1=$H$1,H97,IF($A$1=$K$1,K97,IF($A$1=$N$1,N97,IF($A$1=$Q$1,Q97,IF($A$1=$T$1,T97,IF($A$1=$W$1,W97,IF($A$1=$Z$1,Z97,IF($A$1=$AC$1,AC97,IF($A$1=$AF$1,AF97,IF($A$1=$AI$1,AI97))))))))))))</f>
        <v/>
      </c>
      <c r="AP97" s="44">
        <f>IF($A$1=$B$1,C97,IF($A$1=$E$1,F97,IF($A$1=$H$1,I97,IF($A$1=$K$1,L97,IF($A$1=$N$1,O97,IF($A$1=$Q$1,R97,IF($A$1=$T$1,U97,IF($A$1=$W$1,X97,IF($A$1=$Z$1,AA97,IF($A$1=$AC$1,AD97,IF($A$1=$AF$1,AG97,IF($A$1=$AI$1,AJ97))))))))))))</f>
        <v/>
      </c>
    </row>
    <row r="98" ht="15.5" customHeight="1">
      <c r="A98" s="26" t="inlineStr">
        <is>
          <t>Alüminyum</t>
        </is>
      </c>
      <c r="B98" s="7">
        <f>-'Bütçe aylık-Eur'!$B$45</f>
        <v/>
      </c>
      <c r="C98" s="7">
        <f>'gerç aylık-eur'!$B$45</f>
        <v/>
      </c>
      <c r="D98" s="7" t="n"/>
      <c r="E98" s="7">
        <f>-'Bütçe aylık-Eur'!$C$45</f>
        <v/>
      </c>
      <c r="F98" s="7">
        <f>'gerç aylık-eur'!$C$45</f>
        <v/>
      </c>
      <c r="G98" s="7" t="n"/>
      <c r="H98" s="7">
        <f>-'Bütçe aylık-Eur'!$D$45</f>
        <v/>
      </c>
      <c r="I98" s="7">
        <f>'gerç aylık-eur'!$D$45</f>
        <v/>
      </c>
      <c r="J98" s="7" t="n"/>
      <c r="K98" s="7">
        <f>-'Bütçe aylık-Eur'!$E$45</f>
        <v/>
      </c>
      <c r="L98" s="7">
        <f>'gerç aylık-eur'!$E$45</f>
        <v/>
      </c>
      <c r="M98" s="7" t="n"/>
      <c r="N98" s="7">
        <f>-'Bütçe aylık-Eur'!$F$45</f>
        <v/>
      </c>
      <c r="O98" s="7">
        <f>'gerç aylık-eur'!$F$45</f>
        <v/>
      </c>
      <c r="P98" s="7" t="n"/>
      <c r="Q98" s="7">
        <f>-'Bütçe aylık-Eur'!$G$45</f>
        <v/>
      </c>
      <c r="R98" s="7">
        <f>'gerç aylık-eur'!$G$45</f>
        <v/>
      </c>
      <c r="S98" s="7" t="n"/>
      <c r="T98" s="7">
        <f>-'Bütçe aylık-Eur'!$H$45</f>
        <v/>
      </c>
      <c r="U98" s="7">
        <f>'gerç aylık-eur'!$H$45</f>
        <v/>
      </c>
      <c r="V98" s="7" t="n"/>
      <c r="W98" s="7">
        <f>-'Bütçe aylık-Eur'!$I$45</f>
        <v/>
      </c>
      <c r="X98" s="7">
        <f>'gerç aylık-eur'!$I$45</f>
        <v/>
      </c>
      <c r="Y98" s="7" t="n"/>
      <c r="Z98" s="7">
        <f>-'Bütçe aylık-Eur'!$J$45</f>
        <v/>
      </c>
      <c r="AA98" s="7">
        <f>'gerç aylık-eur'!$J$45</f>
        <v/>
      </c>
      <c r="AB98" s="7" t="n"/>
      <c r="AC98" s="7">
        <f>-'Bütçe aylık-Eur'!$K$45</f>
        <v/>
      </c>
      <c r="AD98" s="7">
        <f>'gerç aylık-eur'!$K$45</f>
        <v/>
      </c>
      <c r="AE98" s="7" t="n"/>
      <c r="AF98" s="7">
        <f>-'Bütçe aylık-Eur'!$L$45</f>
        <v/>
      </c>
      <c r="AG98" s="7">
        <f>'gerç aylık-eur'!$L$45</f>
        <v/>
      </c>
      <c r="AH98" s="7" t="n"/>
      <c r="AI98" s="7">
        <f>'Bütçe aylık-Eur'!$M$45</f>
        <v/>
      </c>
      <c r="AJ98" s="7">
        <f>'gerç aylık-eur'!$M$45</f>
        <v/>
      </c>
      <c r="AK98" s="7" t="n"/>
      <c r="AL98" s="21">
        <f>AP98-AO98</f>
        <v/>
      </c>
      <c r="AM98" s="22">
        <f>AP98/AO98-1</f>
        <v/>
      </c>
      <c r="AO98" s="44">
        <f>IF($A$1=$B$1,B98,IF($A$1=$E$1,E98,IF($A$1=$H$1,H98,IF($A$1=$K$1,K98,IF($A$1=$N$1,N98,IF($A$1=$Q$1,Q98,IF($A$1=$T$1,T98,IF($A$1=$W$1,W98,IF($A$1=$Z$1,Z98,IF($A$1=$AC$1,AC98,IF($A$1=$AF$1,AF98,IF($A$1=$AI$1,AI98))))))))))))</f>
        <v/>
      </c>
      <c r="AP98" s="44">
        <f>IF($A$1=$B$1,C98,IF($A$1=$E$1,F98,IF($A$1=$H$1,I98,IF($A$1=$K$1,L98,IF($A$1=$N$1,O98,IF($A$1=$Q$1,R98,IF($A$1=$T$1,U98,IF($A$1=$W$1,X98,IF($A$1=$Z$1,AA98,IF($A$1=$AC$1,AD98,IF($A$1=$AF$1,AG98,IF($A$1=$AI$1,AJ98))))))))))))</f>
        <v/>
      </c>
    </row>
    <row r="99" ht="15.5" customHeight="1">
      <c r="A99" s="2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21" t="n"/>
      <c r="AM99" s="22" t="n"/>
      <c r="AO99" s="44">
        <f>IF($A$1=$B$1,B99,IF($A$1=$E$1,E99,IF($A$1=$H$1,H99,IF($A$1=$K$1,K99,IF($A$1=$N$1,N99,IF($A$1=$Q$1,Q99,IF($A$1=$T$1,T99,IF($A$1=$W$1,W99,IF($A$1=$Z$1,Z99,IF($A$1=$AC$1,AC99,IF($A$1=$AF$1,AF99,IF($A$1=$AI$1,AI99))))))))))))</f>
        <v/>
      </c>
      <c r="AP99" s="44">
        <f>IF($A$1=$B$1,C99,IF($A$1=$E$1,F99,IF($A$1=$H$1,I99,IF($A$1=$K$1,L99,IF($A$1=$N$1,O99,IF($A$1=$Q$1,R99,IF($A$1=$T$1,U99,IF($A$1=$W$1,X99,IF($A$1=$Z$1,AA99,IF($A$1=$AC$1,AD99,IF($A$1=$AF$1,AG99,IF($A$1=$AI$1,AJ99))))))))))))</f>
        <v/>
      </c>
    </row>
    <row r="100">
      <c r="A100" s="2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5" t="n"/>
    </row>
    <row r="101" ht="17" customFormat="1" customHeight="1" s="49">
      <c r="A101" s="47" t="inlineStr">
        <is>
          <t>Operating expense/Sales</t>
        </is>
      </c>
      <c r="B101" s="413" t="n"/>
      <c r="C101" s="413" t="n"/>
      <c r="D101" s="413" t="n"/>
      <c r="E101" s="413" t="n"/>
      <c r="F101" s="413" t="n"/>
      <c r="G101" s="413" t="n"/>
      <c r="H101" s="413" t="n"/>
      <c r="I101" s="413" t="n"/>
      <c r="J101" s="413" t="n"/>
      <c r="K101" s="413" t="n"/>
      <c r="L101" s="413" t="n"/>
      <c r="M101" s="413" t="n"/>
      <c r="N101" s="413" t="n"/>
      <c r="O101" s="413" t="n"/>
      <c r="P101" s="413" t="n"/>
      <c r="Q101" s="413" t="n"/>
      <c r="R101" s="413" t="n"/>
      <c r="S101" s="413" t="n"/>
      <c r="T101" s="413" t="n"/>
      <c r="U101" s="413" t="n"/>
      <c r="V101" s="413" t="n"/>
      <c r="W101" s="413" t="n"/>
      <c r="X101" s="413" t="n"/>
      <c r="Y101" s="413" t="n"/>
      <c r="Z101" s="413" t="n"/>
      <c r="AA101" s="413" t="n"/>
      <c r="AB101" s="413" t="n"/>
      <c r="AC101" s="413" t="n"/>
      <c r="AD101" s="413" t="n"/>
      <c r="AE101" s="413" t="n"/>
      <c r="AF101" s="413" t="n"/>
      <c r="AG101" s="413" t="n"/>
      <c r="AH101" s="413" t="n"/>
      <c r="AI101" s="413" t="n"/>
      <c r="AJ101" s="413" t="n"/>
      <c r="AK101" s="413" t="n"/>
      <c r="AL101" s="413" t="n"/>
      <c r="AM101" s="48" t="n"/>
    </row>
    <row r="102" ht="15.5" customFormat="1" customHeight="1" s="13">
      <c r="A102" s="26" t="inlineStr">
        <is>
          <t xml:space="preserve">İnci Holding </t>
        </is>
      </c>
      <c r="B102" s="12">
        <f>B91*-1/B9</f>
        <v/>
      </c>
      <c r="C102" s="12">
        <f>C91*-1/C9</f>
        <v/>
      </c>
      <c r="D102" s="41" t="n"/>
      <c r="E102" s="12">
        <f>E91*-1/E9</f>
        <v/>
      </c>
      <c r="F102" s="12">
        <f>F91*-1/F9</f>
        <v/>
      </c>
      <c r="G102" s="41" t="n"/>
      <c r="H102" s="12">
        <f>H91*-1/H9</f>
        <v/>
      </c>
      <c r="I102" s="12">
        <f>I91*-1/I9</f>
        <v/>
      </c>
      <c r="J102" s="41" t="n"/>
      <c r="K102" s="12">
        <f>K91*-1/K9</f>
        <v/>
      </c>
      <c r="L102" s="12">
        <f>L91*-1/L9</f>
        <v/>
      </c>
      <c r="M102" s="41" t="n"/>
      <c r="N102" s="12">
        <f>N91*-1/N9</f>
        <v/>
      </c>
      <c r="O102" s="12">
        <f>O91*-1/O9</f>
        <v/>
      </c>
      <c r="P102" s="41" t="n"/>
      <c r="Q102" s="12">
        <f>Q91*-1/Q9</f>
        <v/>
      </c>
      <c r="R102" s="12">
        <f>R91*-1/R9</f>
        <v/>
      </c>
      <c r="S102" s="41" t="n"/>
      <c r="T102" s="12">
        <f>T91*-1/T9</f>
        <v/>
      </c>
      <c r="U102" s="12">
        <f>U91*-1/U9</f>
        <v/>
      </c>
      <c r="V102" s="41" t="n"/>
      <c r="W102" s="12">
        <f>W91*-1/W9</f>
        <v/>
      </c>
      <c r="X102" s="12">
        <f>X91*-1/X9</f>
        <v/>
      </c>
      <c r="Y102" s="41" t="n"/>
      <c r="Z102" s="12">
        <f>Z91*-1/Z9</f>
        <v/>
      </c>
      <c r="AA102" s="12">
        <f>AA91*-1/AA9</f>
        <v/>
      </c>
      <c r="AB102" s="41" t="n"/>
      <c r="AC102" s="12">
        <f>AC91*-1/AC9</f>
        <v/>
      </c>
      <c r="AD102" s="12">
        <f>AD91*-1/AD9</f>
        <v/>
      </c>
      <c r="AE102" s="41" t="n"/>
      <c r="AF102" s="12">
        <f>AF91*-1/AF9</f>
        <v/>
      </c>
      <c r="AG102" s="12">
        <f>AG91*-1/AG9</f>
        <v/>
      </c>
      <c r="AH102" s="41" t="n"/>
      <c r="AI102" s="12">
        <f>AI91*-1/AI9</f>
        <v/>
      </c>
      <c r="AJ102" s="12">
        <f>AJ91*-1/AJ9</f>
        <v/>
      </c>
      <c r="AK102" s="41" t="n"/>
      <c r="AL102" s="15" t="n"/>
      <c r="AM102" s="22">
        <f>AP102-AO102</f>
        <v/>
      </c>
      <c r="AO102" s="44">
        <f>IF($A$1=$B$1,B102,IF($A$1=$E$1,E102,IF($A$1=$H$1,H102,IF($A$1=$K$1,K102,IF($A$1=$N$1,N102,IF($A$1=$Q$1,Q102,IF($A$1=$T$1,T102,IF($A$1=$W$1,W102,IF($A$1=$Z$1,Z102,IF($A$1=$AC$1,AC102,IF($A$1=$AF$1,AF102,IF($A$1=$AI$1,AI102))))))))))))</f>
        <v/>
      </c>
      <c r="AP102" s="44">
        <f>IF($A$1=$B$1,C102,IF($A$1=$E$1,F102,IF($A$1=$H$1,I102,IF($A$1=$K$1,L102,IF($A$1=$N$1,O102,IF($A$1=$Q$1,R102,IF($A$1=$T$1,U102,IF($A$1=$W$1,X102,IF($A$1=$Z$1,AA102,IF($A$1=$AC$1,AD102,IF($A$1=$AF$1,AG102,IF($A$1=$AI$1,AJ102))))))))))))</f>
        <v/>
      </c>
    </row>
    <row r="103" ht="15.5" customFormat="1" customHeight="1" s="13">
      <c r="A103" s="26" t="inlineStr">
        <is>
          <t xml:space="preserve">ISM </t>
        </is>
      </c>
      <c r="B103" s="12">
        <f>B92*-1/B10</f>
        <v/>
      </c>
      <c r="C103" s="12">
        <f>C92*-1/C10</f>
        <v/>
      </c>
      <c r="D103" s="41" t="n"/>
      <c r="E103" s="12">
        <f>E92*-1/E10</f>
        <v/>
      </c>
      <c r="F103" s="12">
        <f>F92*-1/F10</f>
        <v/>
      </c>
      <c r="G103" s="41" t="n"/>
      <c r="H103" s="12">
        <f>H92*-1/H10</f>
        <v/>
      </c>
      <c r="I103" s="12">
        <f>I92*-1/I10</f>
        <v/>
      </c>
      <c r="J103" s="41" t="n"/>
      <c r="K103" s="12">
        <f>K92*-1/K10</f>
        <v/>
      </c>
      <c r="L103" s="12">
        <f>L92*-1/L10</f>
        <v/>
      </c>
      <c r="M103" s="41" t="n"/>
      <c r="N103" s="12">
        <f>N92*-1/N10</f>
        <v/>
      </c>
      <c r="O103" s="12">
        <f>O92*-1/O10</f>
        <v/>
      </c>
      <c r="P103" s="41" t="n"/>
      <c r="Q103" s="12">
        <f>Q92*-1/Q10</f>
        <v/>
      </c>
      <c r="R103" s="12">
        <f>R92*-1/R10</f>
        <v/>
      </c>
      <c r="S103" s="41" t="n"/>
      <c r="T103" s="12">
        <f>T92*-1/T10</f>
        <v/>
      </c>
      <c r="U103" s="12">
        <f>U92*-1/U10</f>
        <v/>
      </c>
      <c r="V103" s="41" t="n"/>
      <c r="W103" s="12">
        <f>W92*-1/W10</f>
        <v/>
      </c>
      <c r="X103" s="12">
        <f>X92*-1/X10</f>
        <v/>
      </c>
      <c r="Y103" s="41" t="n"/>
      <c r="Z103" s="12">
        <f>Z92*-1/Z10</f>
        <v/>
      </c>
      <c r="AA103" s="12">
        <f>AA92*-1/AA10</f>
        <v/>
      </c>
      <c r="AB103" s="41" t="n"/>
      <c r="AC103" s="12">
        <f>AC92*-1/AC10</f>
        <v/>
      </c>
      <c r="AD103" s="12">
        <f>AD92*-1/AD10</f>
        <v/>
      </c>
      <c r="AE103" s="41" t="n"/>
      <c r="AF103" s="12">
        <f>AF92*-1/AF10</f>
        <v/>
      </c>
      <c r="AG103" s="12">
        <f>AG92*-1/AG10</f>
        <v/>
      </c>
      <c r="AH103" s="41" t="n"/>
      <c r="AI103" s="12">
        <f>AI92*-1/AI10</f>
        <v/>
      </c>
      <c r="AJ103" s="12">
        <f>AJ92*-1/AJ10</f>
        <v/>
      </c>
      <c r="AK103" s="41" t="n"/>
      <c r="AL103" s="15" t="n"/>
      <c r="AM103" s="22">
        <f>AP103-AO103</f>
        <v/>
      </c>
      <c r="AO103" s="44">
        <f>IF($A$1=$B$1,B103,IF($A$1=$E$1,E103,IF($A$1=$H$1,H103,IF($A$1=$K$1,K103,IF($A$1=$N$1,N103,IF($A$1=$Q$1,Q103,IF($A$1=$T$1,T103,IF($A$1=$W$1,W103,IF($A$1=$Z$1,Z103,IF($A$1=$AC$1,AC103,IF($A$1=$AF$1,AF103,IF($A$1=$AI$1,AI103))))))))))))</f>
        <v/>
      </c>
      <c r="AP103" s="44">
        <f>IF($A$1=$B$1,C103,IF($A$1=$E$1,F103,IF($A$1=$H$1,I103,IF($A$1=$K$1,L103,IF($A$1=$N$1,O103,IF($A$1=$Q$1,R103,IF($A$1=$T$1,U103,IF($A$1=$W$1,X103,IF($A$1=$Z$1,AA103,IF($A$1=$AC$1,AD103,IF($A$1=$AF$1,AG103,IF($A$1=$AI$1,AJ103))))))))))))</f>
        <v/>
      </c>
    </row>
    <row r="104" ht="15.5" customFormat="1" customHeight="1" s="13">
      <c r="A104" s="26" t="inlineStr">
        <is>
          <t>İncitaş</t>
        </is>
      </c>
      <c r="B104" s="12">
        <f>B93*-1/B11</f>
        <v/>
      </c>
      <c r="C104" s="12">
        <f>C93*-1/C11</f>
        <v/>
      </c>
      <c r="D104" s="41" t="n"/>
      <c r="E104" s="12">
        <f>E93*-1/E11</f>
        <v/>
      </c>
      <c r="F104" s="12">
        <f>F93*-1/F11</f>
        <v/>
      </c>
      <c r="G104" s="41" t="n"/>
      <c r="H104" s="12">
        <f>H93*-1/H11</f>
        <v/>
      </c>
      <c r="I104" s="12">
        <f>I93*-1/I11</f>
        <v/>
      </c>
      <c r="J104" s="41" t="n"/>
      <c r="K104" s="12">
        <f>K93*-1/K11</f>
        <v/>
      </c>
      <c r="L104" s="12">
        <f>L93*-1/L11</f>
        <v/>
      </c>
      <c r="M104" s="41" t="n"/>
      <c r="N104" s="12">
        <f>N93*-1/N11</f>
        <v/>
      </c>
      <c r="O104" s="12">
        <f>O93*-1/O11</f>
        <v/>
      </c>
      <c r="P104" s="41" t="n"/>
      <c r="Q104" s="12">
        <f>Q93*-1/Q11</f>
        <v/>
      </c>
      <c r="R104" s="12">
        <f>R93*-1/R11</f>
        <v/>
      </c>
      <c r="S104" s="41" t="n"/>
      <c r="T104" s="12">
        <f>T93*-1/T11</f>
        <v/>
      </c>
      <c r="U104" s="12">
        <f>U93*-1/U11</f>
        <v/>
      </c>
      <c r="V104" s="41" t="n"/>
      <c r="W104" s="12">
        <f>W93*-1/W11</f>
        <v/>
      </c>
      <c r="X104" s="12">
        <f>X93*-1/X11</f>
        <v/>
      </c>
      <c r="Y104" s="41" t="n"/>
      <c r="Z104" s="12">
        <f>Z93*-1/Z11</f>
        <v/>
      </c>
      <c r="AA104" s="12">
        <f>AA93*-1/AA11</f>
        <v/>
      </c>
      <c r="AB104" s="41" t="n"/>
      <c r="AC104" s="12">
        <f>AC93*-1/AC11</f>
        <v/>
      </c>
      <c r="AD104" s="12">
        <f>AD93*-1/AD11</f>
        <v/>
      </c>
      <c r="AE104" s="41" t="n"/>
      <c r="AF104" s="12">
        <f>AF93*-1/AF11</f>
        <v/>
      </c>
      <c r="AG104" s="12">
        <f>AG93*-1/AG11</f>
        <v/>
      </c>
      <c r="AH104" s="41" t="n"/>
      <c r="AI104" s="12">
        <f>AI93*-1/AI11</f>
        <v/>
      </c>
      <c r="AJ104" s="12">
        <f>AJ93*-1/AJ11</f>
        <v/>
      </c>
      <c r="AK104" s="41" t="n"/>
      <c r="AL104" s="15" t="n"/>
      <c r="AM104" s="22">
        <f>AP104-AO104</f>
        <v/>
      </c>
      <c r="AO104" s="44">
        <f>IF($A$1=$B$1,B104,IF($A$1=$E$1,E104,IF($A$1=$H$1,H104,IF($A$1=$K$1,K104,IF($A$1=$N$1,N104,IF($A$1=$Q$1,Q104,IF($A$1=$T$1,T104,IF($A$1=$W$1,W104,IF($A$1=$Z$1,Z104,IF($A$1=$AC$1,AC104,IF($A$1=$AF$1,AF104,IF($A$1=$AI$1,AI104))))))))))))</f>
        <v/>
      </c>
      <c r="AP104" s="44">
        <f>IF($A$1=$B$1,C104,IF($A$1=$E$1,F104,IF($A$1=$H$1,I104,IF($A$1=$K$1,L104,IF($A$1=$N$1,O104,IF($A$1=$Q$1,R104,IF($A$1=$T$1,U104,IF($A$1=$W$1,X104,IF($A$1=$Z$1,AA104,IF($A$1=$AC$1,AD104,IF($A$1=$AF$1,AG104,IF($A$1=$AI$1,AJ104))))))))))))</f>
        <v/>
      </c>
    </row>
    <row r="105" ht="15.5" customFormat="1" customHeight="1" s="13">
      <c r="A105" s="26" t="inlineStr">
        <is>
          <t>İnci GS Yuasa</t>
        </is>
      </c>
      <c r="B105" s="12">
        <f>B94*-1/B12</f>
        <v/>
      </c>
      <c r="C105" s="12">
        <f>C94*-1/C12</f>
        <v/>
      </c>
      <c r="D105" s="41" t="n"/>
      <c r="E105" s="12">
        <f>E94*-1/E12</f>
        <v/>
      </c>
      <c r="F105" s="12">
        <f>F94*-1/F12</f>
        <v/>
      </c>
      <c r="G105" s="41" t="n"/>
      <c r="H105" s="12">
        <f>H94*-1/H12</f>
        <v/>
      </c>
      <c r="I105" s="12">
        <f>I94*-1/I12</f>
        <v/>
      </c>
      <c r="J105" s="41" t="n"/>
      <c r="K105" s="12">
        <f>K94*-1/K12</f>
        <v/>
      </c>
      <c r="L105" s="12">
        <f>L94*-1/L12</f>
        <v/>
      </c>
      <c r="M105" s="41" t="n"/>
      <c r="N105" s="12">
        <f>N94*-1/N12</f>
        <v/>
      </c>
      <c r="O105" s="12">
        <f>O94*-1/O12</f>
        <v/>
      </c>
      <c r="P105" s="41" t="n"/>
      <c r="Q105" s="12">
        <f>Q94*-1/Q12</f>
        <v/>
      </c>
      <c r="R105" s="12">
        <f>R94*-1/R12</f>
        <v/>
      </c>
      <c r="S105" s="41" t="n"/>
      <c r="T105" s="12">
        <f>T94*-1/T12</f>
        <v/>
      </c>
      <c r="U105" s="12">
        <f>U94*-1/U12</f>
        <v/>
      </c>
      <c r="V105" s="41" t="n"/>
      <c r="W105" s="12">
        <f>W94*-1/W12</f>
        <v/>
      </c>
      <c r="X105" s="12">
        <f>X94*-1/X12</f>
        <v/>
      </c>
      <c r="Y105" s="41" t="n"/>
      <c r="Z105" s="12">
        <f>Z94*-1/Z12</f>
        <v/>
      </c>
      <c r="AA105" s="12">
        <f>AA94*-1/AA12</f>
        <v/>
      </c>
      <c r="AB105" s="41" t="n"/>
      <c r="AC105" s="12">
        <f>AC94*-1/AC12</f>
        <v/>
      </c>
      <c r="AD105" s="12">
        <f>AD94*-1/AD12</f>
        <v/>
      </c>
      <c r="AE105" s="41" t="n"/>
      <c r="AF105" s="12">
        <f>AF94*-1/AF12</f>
        <v/>
      </c>
      <c r="AG105" s="12">
        <f>AG94*-1/AG12</f>
        <v/>
      </c>
      <c r="AH105" s="41" t="n"/>
      <c r="AI105" s="12">
        <f>AI94*-1/AI12</f>
        <v/>
      </c>
      <c r="AJ105" s="12">
        <f>AJ94*-1/AJ12</f>
        <v/>
      </c>
      <c r="AK105" s="41" t="n"/>
      <c r="AL105" s="15" t="n"/>
      <c r="AM105" s="22">
        <f>AP105-AO105</f>
        <v/>
      </c>
      <c r="AO105" s="44">
        <f>IF($A$1=$B$1,B105,IF($A$1=$E$1,E105,IF($A$1=$H$1,H105,IF($A$1=$K$1,K105,IF($A$1=$N$1,N105,IF($A$1=$Q$1,Q105,IF($A$1=$T$1,T105,IF($A$1=$W$1,W105,IF($A$1=$Z$1,Z105,IF($A$1=$AC$1,AC105,IF($A$1=$AF$1,AF105,IF($A$1=$AI$1,AI105))))))))))))</f>
        <v/>
      </c>
      <c r="AP105" s="44">
        <f>IF($A$1=$B$1,C105,IF($A$1=$E$1,F105,IF($A$1=$H$1,I105,IF($A$1=$K$1,L105,IF($A$1=$N$1,O105,IF($A$1=$Q$1,R105,IF($A$1=$T$1,U105,IF($A$1=$W$1,X105,IF($A$1=$Z$1,AA105,IF($A$1=$AC$1,AD105,IF($A$1=$AF$1,AG105,IF($A$1=$AI$1,AJ105))))))))))))</f>
        <v/>
      </c>
    </row>
    <row r="106" ht="15.5" customFormat="1" customHeight="1" s="13">
      <c r="A106" s="26" t="inlineStr">
        <is>
          <t>Yusen İnci Loj.</t>
        </is>
      </c>
      <c r="B106" s="12">
        <f>B95*-1/B13</f>
        <v/>
      </c>
      <c r="C106" s="12">
        <f>C95*-1/C13</f>
        <v/>
      </c>
      <c r="D106" s="41" t="n"/>
      <c r="E106" s="12">
        <f>E95*-1/E13</f>
        <v/>
      </c>
      <c r="F106" s="12">
        <f>F95*-1/F13</f>
        <v/>
      </c>
      <c r="G106" s="41" t="n"/>
      <c r="H106" s="12">
        <f>H95*-1/H13</f>
        <v/>
      </c>
      <c r="I106" s="12">
        <f>I95*-1/I13</f>
        <v/>
      </c>
      <c r="J106" s="41" t="n"/>
      <c r="K106" s="12">
        <f>K95*-1/K13</f>
        <v/>
      </c>
      <c r="L106" s="12">
        <f>L95*-1/L13</f>
        <v/>
      </c>
      <c r="M106" s="41" t="n"/>
      <c r="N106" s="12">
        <f>N95*-1/N13</f>
        <v/>
      </c>
      <c r="O106" s="12">
        <f>O95*-1/O13</f>
        <v/>
      </c>
      <c r="P106" s="41" t="n"/>
      <c r="Q106" s="12">
        <f>Q95*-1/Q13</f>
        <v/>
      </c>
      <c r="R106" s="12">
        <f>R95*-1/R13</f>
        <v/>
      </c>
      <c r="S106" s="41" t="n"/>
      <c r="T106" s="12">
        <f>T95*-1/T13</f>
        <v/>
      </c>
      <c r="U106" s="12">
        <f>U95*-1/U13</f>
        <v/>
      </c>
      <c r="V106" s="41" t="n"/>
      <c r="W106" s="12">
        <f>W95*-1/W13</f>
        <v/>
      </c>
      <c r="X106" s="12">
        <f>X95*-1/X13</f>
        <v/>
      </c>
      <c r="Y106" s="41" t="n"/>
      <c r="Z106" s="12">
        <f>Z95*-1/Z13</f>
        <v/>
      </c>
      <c r="AA106" s="12">
        <f>AA95*-1/AA13</f>
        <v/>
      </c>
      <c r="AB106" s="41" t="n"/>
      <c r="AC106" s="12">
        <f>AC95*-1/AC13</f>
        <v/>
      </c>
      <c r="AD106" s="12">
        <f>AD95*-1/AD13</f>
        <v/>
      </c>
      <c r="AE106" s="41" t="n"/>
      <c r="AF106" s="12">
        <f>AF95*-1/AF13</f>
        <v/>
      </c>
      <c r="AG106" s="12">
        <f>AG95*-1/AG13</f>
        <v/>
      </c>
      <c r="AH106" s="41" t="n"/>
      <c r="AI106" s="12">
        <f>AI95*-1/AI13</f>
        <v/>
      </c>
      <c r="AJ106" s="12">
        <f>AJ95*-1/AJ13</f>
        <v/>
      </c>
      <c r="AK106" s="41" t="n"/>
      <c r="AL106" s="15" t="n"/>
      <c r="AM106" s="22">
        <f>AP106-AO106</f>
        <v/>
      </c>
      <c r="AO106" s="44">
        <f>IF($A$1=$B$1,B106,IF($A$1=$E$1,E106,IF($A$1=$H$1,H106,IF($A$1=$K$1,K106,IF($A$1=$N$1,N106,IF($A$1=$Q$1,Q106,IF($A$1=$T$1,T106,IF($A$1=$W$1,W106,IF($A$1=$Z$1,Z106,IF($A$1=$AC$1,AC106,IF($A$1=$AF$1,AF106,IF($A$1=$AI$1,AI106))))))))))))</f>
        <v/>
      </c>
      <c r="AP106" s="44">
        <f>IF($A$1=$B$1,C106,IF($A$1=$E$1,F106,IF($A$1=$H$1,I106,IF($A$1=$K$1,L106,IF($A$1=$N$1,O106,IF($A$1=$Q$1,R106,IF($A$1=$T$1,U106,IF($A$1=$W$1,X106,IF($A$1=$Z$1,AA106,IF($A$1=$AC$1,AD106,IF($A$1=$AF$1,AG106,IF($A$1=$AI$1,AJ106))))))))))))</f>
        <v/>
      </c>
    </row>
    <row r="107" ht="15.5" customFormat="1" customHeight="1" s="13">
      <c r="A107" s="26" t="inlineStr">
        <is>
          <t>Jantaş</t>
        </is>
      </c>
      <c r="B107" s="12">
        <f>B96*-1/B14</f>
        <v/>
      </c>
      <c r="C107" s="12">
        <f>C96*-1/C14</f>
        <v/>
      </c>
      <c r="D107" s="41" t="n"/>
      <c r="E107" s="12">
        <f>E96*-1/E14</f>
        <v/>
      </c>
      <c r="F107" s="12">
        <f>F96*-1/F14</f>
        <v/>
      </c>
      <c r="G107" s="41" t="n"/>
      <c r="H107" s="12">
        <f>H96*-1/H14</f>
        <v/>
      </c>
      <c r="I107" s="12">
        <f>I96*-1/I14</f>
        <v/>
      </c>
      <c r="J107" s="41" t="n"/>
      <c r="K107" s="12">
        <f>K96*-1/K14</f>
        <v/>
      </c>
      <c r="L107" s="12">
        <f>L96*-1/L14</f>
        <v/>
      </c>
      <c r="M107" s="41" t="n"/>
      <c r="N107" s="12">
        <f>N96*-1/N14</f>
        <v/>
      </c>
      <c r="O107" s="12">
        <f>O96*-1/O14</f>
        <v/>
      </c>
      <c r="P107" s="41" t="n"/>
      <c r="Q107" s="12">
        <f>Q96*-1/Q14</f>
        <v/>
      </c>
      <c r="R107" s="12">
        <f>R96*-1/R14</f>
        <v/>
      </c>
      <c r="S107" s="41" t="n"/>
      <c r="T107" s="12">
        <f>T96*-1/T14</f>
        <v/>
      </c>
      <c r="U107" s="12">
        <f>U96*-1/U14</f>
        <v/>
      </c>
      <c r="V107" s="41" t="n"/>
      <c r="W107" s="12">
        <f>W96*-1/W14</f>
        <v/>
      </c>
      <c r="X107" s="12">
        <f>X96*-1/X14</f>
        <v/>
      </c>
      <c r="Y107" s="41" t="n"/>
      <c r="Z107" s="12">
        <f>Z96*-1/Z14</f>
        <v/>
      </c>
      <c r="AA107" s="12">
        <f>AA96*-1/AA14</f>
        <v/>
      </c>
      <c r="AB107" s="41" t="n"/>
      <c r="AC107" s="12">
        <f>AC96*-1/AC14</f>
        <v/>
      </c>
      <c r="AD107" s="12">
        <f>AD96*-1/AD14</f>
        <v/>
      </c>
      <c r="AE107" s="41" t="n"/>
      <c r="AF107" s="12">
        <f>AF96*-1/AF14</f>
        <v/>
      </c>
      <c r="AG107" s="12">
        <f>AG96*-1/AG14</f>
        <v/>
      </c>
      <c r="AH107" s="41" t="n"/>
      <c r="AI107" s="12">
        <f>AI96*-1/AI14</f>
        <v/>
      </c>
      <c r="AJ107" s="12">
        <f>AJ96*-1/AJ14</f>
        <v/>
      </c>
      <c r="AK107" s="41" t="n"/>
      <c r="AL107" s="15" t="n"/>
      <c r="AM107" s="22">
        <f>AP107-AO107</f>
        <v/>
      </c>
      <c r="AO107" s="44">
        <f>IF($A$1=$B$1,B107,IF($A$1=$E$1,E107,IF($A$1=$H$1,H107,IF($A$1=$K$1,K107,IF($A$1=$N$1,N107,IF($A$1=$Q$1,Q107,IF($A$1=$T$1,T107,IF($A$1=$W$1,W107,IF($A$1=$Z$1,Z107,IF($A$1=$AC$1,AC107,IF($A$1=$AF$1,AF107,IF($A$1=$AI$1,AI107))))))))))))</f>
        <v/>
      </c>
      <c r="AP107" s="44">
        <f>IF($A$1=$B$1,C107,IF($A$1=$E$1,F107,IF($A$1=$H$1,I107,IF($A$1=$K$1,L107,IF($A$1=$N$1,O107,IF($A$1=$Q$1,R107,IF($A$1=$T$1,U107,IF($A$1=$W$1,X107,IF($A$1=$Z$1,AA107,IF($A$1=$AC$1,AD107,IF($A$1=$AF$1,AG107,IF($A$1=$AI$1,AJ107))))))))))))</f>
        <v/>
      </c>
    </row>
    <row r="108" ht="15.5" customFormat="1" customHeight="1" s="13">
      <c r="A108" s="26" t="inlineStr">
        <is>
          <t>Çelik</t>
        </is>
      </c>
      <c r="B108" s="12">
        <f>B97*-1/B15</f>
        <v/>
      </c>
      <c r="C108" s="12">
        <f>C97*-1/C15</f>
        <v/>
      </c>
      <c r="D108" s="41" t="n"/>
      <c r="E108" s="12">
        <f>E97*-1/E15</f>
        <v/>
      </c>
      <c r="F108" s="12">
        <f>F97*-1/F15</f>
        <v/>
      </c>
      <c r="G108" s="41" t="n"/>
      <c r="H108" s="12">
        <f>H97*-1/H15</f>
        <v/>
      </c>
      <c r="I108" s="12">
        <f>I97*-1/I15</f>
        <v/>
      </c>
      <c r="J108" s="41" t="n"/>
      <c r="K108" s="12">
        <f>K97*-1/K15</f>
        <v/>
      </c>
      <c r="L108" s="12">
        <f>L97*-1/L15</f>
        <v/>
      </c>
      <c r="M108" s="41" t="n"/>
      <c r="N108" s="12">
        <f>N97*-1/N15</f>
        <v/>
      </c>
      <c r="O108" s="12">
        <f>O97*-1/O15</f>
        <v/>
      </c>
      <c r="P108" s="41" t="n"/>
      <c r="Q108" s="12">
        <f>Q97*-1/Q15</f>
        <v/>
      </c>
      <c r="R108" s="12">
        <f>R97*-1/R15</f>
        <v/>
      </c>
      <c r="S108" s="41" t="n"/>
      <c r="T108" s="12">
        <f>T97*-1/T15</f>
        <v/>
      </c>
      <c r="U108" s="12">
        <f>U97*-1/U15</f>
        <v/>
      </c>
      <c r="V108" s="41" t="n"/>
      <c r="W108" s="12">
        <f>W97*-1/W15</f>
        <v/>
      </c>
      <c r="X108" s="12">
        <f>X97*-1/X15</f>
        <v/>
      </c>
      <c r="Y108" s="41" t="n"/>
      <c r="Z108" s="12">
        <f>Z97*-1/Z15</f>
        <v/>
      </c>
      <c r="AA108" s="12">
        <f>AA97*-1/AA15</f>
        <v/>
      </c>
      <c r="AB108" s="41" t="n"/>
      <c r="AC108" s="12">
        <f>AC97*-1/AC15</f>
        <v/>
      </c>
      <c r="AD108" s="12">
        <f>AD97*-1/AD15</f>
        <v/>
      </c>
      <c r="AE108" s="41" t="n"/>
      <c r="AF108" s="12">
        <f>AF97*-1/AF15</f>
        <v/>
      </c>
      <c r="AG108" s="12">
        <f>AG97*-1/AG15</f>
        <v/>
      </c>
      <c r="AH108" s="41" t="n"/>
      <c r="AI108" s="12">
        <f>AI97*-1/AI15</f>
        <v/>
      </c>
      <c r="AJ108" s="12">
        <f>AJ97*-1/AJ15</f>
        <v/>
      </c>
      <c r="AK108" s="41" t="n"/>
      <c r="AL108" s="15" t="n"/>
      <c r="AM108" s="22">
        <f>AP108-AO108</f>
        <v/>
      </c>
      <c r="AO108" s="44">
        <f>IF($A$1=$B$1,B108,IF($A$1=$E$1,E108,IF($A$1=$H$1,H108,IF($A$1=$K$1,K108,IF($A$1=$N$1,N108,IF($A$1=$Q$1,Q108,IF($A$1=$T$1,T108,IF($A$1=$W$1,W108,IF($A$1=$Z$1,Z108,IF($A$1=$AC$1,AC108,IF($A$1=$AF$1,AF108,IF($A$1=$AI$1,AI108))))))))))))</f>
        <v/>
      </c>
      <c r="AP108" s="44">
        <f>IF($A$1=$B$1,C108,IF($A$1=$E$1,F108,IF($A$1=$H$1,I108,IF($A$1=$K$1,L108,IF($A$1=$N$1,O108,IF($A$1=$Q$1,R108,IF($A$1=$T$1,U108,IF($A$1=$W$1,X108,IF($A$1=$Z$1,AA108,IF($A$1=$AC$1,AD108,IF($A$1=$AF$1,AG108,IF($A$1=$AI$1,AJ108))))))))))))</f>
        <v/>
      </c>
    </row>
    <row r="109" ht="15.5" customFormat="1" customHeight="1" s="13">
      <c r="A109" s="26" t="inlineStr">
        <is>
          <t>Alüminyum</t>
        </is>
      </c>
      <c r="B109" s="12">
        <f>B98*-1/B16</f>
        <v/>
      </c>
      <c r="C109" s="12">
        <f>C98*-1/C16</f>
        <v/>
      </c>
      <c r="D109" s="41" t="n"/>
      <c r="E109" s="12">
        <f>E98*-1/E16</f>
        <v/>
      </c>
      <c r="F109" s="12">
        <f>F98*-1/F16</f>
        <v/>
      </c>
      <c r="G109" s="41" t="n"/>
      <c r="H109" s="12">
        <f>H98*-1/H16</f>
        <v/>
      </c>
      <c r="I109" s="12">
        <f>I98*-1/I16</f>
        <v/>
      </c>
      <c r="J109" s="41" t="n"/>
      <c r="K109" s="12">
        <f>K98*-1/K16</f>
        <v/>
      </c>
      <c r="L109" s="12">
        <f>L98*-1/L16</f>
        <v/>
      </c>
      <c r="M109" s="41" t="n"/>
      <c r="N109" s="12">
        <f>N98*-1/N16</f>
        <v/>
      </c>
      <c r="O109" s="12">
        <f>O98*-1/O16</f>
        <v/>
      </c>
      <c r="P109" s="41" t="n"/>
      <c r="Q109" s="12">
        <f>Q98*-1/Q16</f>
        <v/>
      </c>
      <c r="R109" s="12">
        <f>R98*-1/R16</f>
        <v/>
      </c>
      <c r="S109" s="41" t="n"/>
      <c r="T109" s="12">
        <f>T98*-1/T16</f>
        <v/>
      </c>
      <c r="U109" s="12">
        <f>U98*-1/U16</f>
        <v/>
      </c>
      <c r="V109" s="41" t="n"/>
      <c r="W109" s="12">
        <f>W98*-1/W16</f>
        <v/>
      </c>
      <c r="X109" s="12">
        <f>X98*-1/X16</f>
        <v/>
      </c>
      <c r="Y109" s="41" t="n"/>
      <c r="Z109" s="12">
        <f>Z98*-1/Z16</f>
        <v/>
      </c>
      <c r="AA109" s="12">
        <f>AA98*-1/AA16</f>
        <v/>
      </c>
      <c r="AB109" s="41" t="n"/>
      <c r="AC109" s="12">
        <f>AC98*-1/AC16</f>
        <v/>
      </c>
      <c r="AD109" s="12">
        <f>AD98*-1/AD16</f>
        <v/>
      </c>
      <c r="AE109" s="41" t="n"/>
      <c r="AF109" s="12">
        <f>AF98*-1/AF16</f>
        <v/>
      </c>
      <c r="AG109" s="12">
        <f>AG98*-1/AG16</f>
        <v/>
      </c>
      <c r="AH109" s="41" t="n"/>
      <c r="AI109" s="12">
        <f>AI98*-1/AI16</f>
        <v/>
      </c>
      <c r="AJ109" s="12">
        <f>AJ98*-1/AJ16</f>
        <v/>
      </c>
      <c r="AK109" s="41" t="n"/>
      <c r="AL109" s="15" t="n"/>
      <c r="AM109" s="22">
        <f>AP109-AO109</f>
        <v/>
      </c>
      <c r="AO109" s="44">
        <f>IF($A$1=$B$1,B109,IF($A$1=$E$1,E109,IF($A$1=$H$1,H109,IF($A$1=$K$1,K109,IF($A$1=$N$1,N109,IF($A$1=$Q$1,Q109,IF($A$1=$T$1,T109,IF($A$1=$W$1,W109,IF($A$1=$Z$1,Z109,IF($A$1=$AC$1,AC109,IF($A$1=$AF$1,AF109,IF($A$1=$AI$1,AI109))))))))))))</f>
        <v/>
      </c>
      <c r="AP109" s="44">
        <f>IF($A$1=$B$1,C109,IF($A$1=$E$1,F109,IF($A$1=$H$1,I109,IF($A$1=$K$1,L109,IF($A$1=$N$1,O109,IF($A$1=$Q$1,R109,IF($A$1=$T$1,U109,IF($A$1=$W$1,X109,IF($A$1=$Z$1,AA109,IF($A$1=$AC$1,AD109,IF($A$1=$AF$1,AG109,IF($A$1=$AI$1,AJ109))))))))))))</f>
        <v/>
      </c>
    </row>
    <row r="110" ht="15.5" customFormat="1" customHeight="1" s="13">
      <c r="A110" s="26" t="n"/>
      <c r="B110" s="12" t="n"/>
      <c r="C110" s="30" t="n"/>
      <c r="D110" s="41" t="n"/>
      <c r="E110" s="12" t="n"/>
      <c r="F110" s="30" t="n"/>
      <c r="G110" s="41" t="n"/>
      <c r="H110" s="12" t="n"/>
      <c r="I110" s="30" t="n"/>
      <c r="J110" s="41" t="n"/>
      <c r="K110" s="12" t="n"/>
      <c r="L110" s="30" t="n"/>
      <c r="M110" s="41" t="n"/>
      <c r="N110" s="12" t="n"/>
      <c r="O110" s="30" t="n"/>
      <c r="P110" s="41" t="n"/>
      <c r="Q110" s="12" t="n"/>
      <c r="R110" s="30" t="n"/>
      <c r="S110" s="41" t="n"/>
      <c r="T110" s="12" t="n"/>
      <c r="U110" s="30" t="n"/>
      <c r="V110" s="41" t="n"/>
      <c r="W110" s="12" t="n"/>
      <c r="X110" s="30" t="n"/>
      <c r="Y110" s="41" t="n"/>
      <c r="Z110" s="12" t="n"/>
      <c r="AA110" s="30" t="n"/>
      <c r="AB110" s="41" t="n"/>
      <c r="AC110" s="12" t="n"/>
      <c r="AD110" s="30" t="n"/>
      <c r="AE110" s="41" t="n"/>
      <c r="AF110" s="12" t="n"/>
      <c r="AG110" s="30" t="n"/>
      <c r="AH110" s="41" t="n"/>
      <c r="AI110" s="12" t="n"/>
      <c r="AJ110" s="30" t="n"/>
      <c r="AK110" s="41" t="n"/>
      <c r="AL110" s="15" t="n"/>
      <c r="AM110" s="22" t="n"/>
      <c r="AO110" s="44" t="n"/>
      <c r="AP110" s="44" t="n"/>
    </row>
    <row r="111" ht="15.5" customFormat="1" customHeight="1" s="13">
      <c r="A111" s="26" t="n"/>
      <c r="B111" s="12" t="n"/>
      <c r="C111" s="30" t="n"/>
      <c r="D111" s="41" t="n"/>
      <c r="E111" s="12" t="n"/>
      <c r="F111" s="30" t="n"/>
      <c r="G111" s="41" t="n"/>
      <c r="H111" s="12" t="n"/>
      <c r="I111" s="30" t="n"/>
      <c r="J111" s="41" t="n"/>
      <c r="K111" s="12" t="n"/>
      <c r="L111" s="30" t="n"/>
      <c r="M111" s="41" t="n"/>
      <c r="N111" s="12" t="n"/>
      <c r="O111" s="30" t="n"/>
      <c r="P111" s="41" t="n"/>
      <c r="Q111" s="12" t="n"/>
      <c r="R111" s="30" t="n"/>
      <c r="S111" s="41" t="n"/>
      <c r="T111" s="12" t="n"/>
      <c r="U111" s="30" t="n"/>
      <c r="V111" s="41" t="n"/>
      <c r="W111" s="12" t="n"/>
      <c r="X111" s="30" t="n"/>
      <c r="Y111" s="41" t="n"/>
      <c r="Z111" s="12" t="n"/>
      <c r="AA111" s="30" t="n"/>
      <c r="AB111" s="41" t="n"/>
      <c r="AC111" s="12" t="n"/>
      <c r="AD111" s="30" t="n"/>
      <c r="AE111" s="41" t="n"/>
      <c r="AF111" s="12" t="n"/>
      <c r="AG111" s="30" t="n"/>
      <c r="AH111" s="41" t="n"/>
      <c r="AI111" s="12" t="n"/>
      <c r="AJ111" s="30" t="n"/>
      <c r="AK111" s="41" t="n"/>
      <c r="AL111" s="15" t="n"/>
      <c r="AM111" s="22" t="n"/>
      <c r="AO111" s="44" t="n"/>
      <c r="AP111" s="44" t="n"/>
    </row>
    <row r="112" ht="15.5" customFormat="1" customHeight="1" s="44">
      <c r="A112" s="31" t="inlineStr">
        <is>
          <t>EBİT</t>
        </is>
      </c>
      <c r="B112" s="32">
        <f>'Bütçe aylık-Eur'!$B$59</f>
        <v/>
      </c>
      <c r="C112" s="32">
        <f>'gerç aylık-eur'!$B$59</f>
        <v/>
      </c>
      <c r="D112" s="18" t="n"/>
      <c r="E112" s="32">
        <f>'Bütçe aylık-Eur'!$C$59</f>
        <v/>
      </c>
      <c r="F112" s="32">
        <f>'gerç aylık-eur'!$C$59</f>
        <v/>
      </c>
      <c r="G112" s="18" t="n"/>
      <c r="H112" s="32">
        <f>'Bütçe aylık-Eur'!$D$59</f>
        <v/>
      </c>
      <c r="I112" s="32">
        <f>'gerç aylık-eur'!$D$59</f>
        <v/>
      </c>
      <c r="J112" s="18" t="n"/>
      <c r="K112" s="32">
        <f>'Bütçe aylık-Eur'!$E$59</f>
        <v/>
      </c>
      <c r="L112" s="32">
        <f>'gerç aylık-eur'!$E$59</f>
        <v/>
      </c>
      <c r="M112" s="18" t="n"/>
      <c r="N112" s="32">
        <f>'Bütçe aylık-Eur'!$F$59</f>
        <v/>
      </c>
      <c r="O112" s="32">
        <f>'gerç aylık-eur'!$F$59</f>
        <v/>
      </c>
      <c r="P112" s="18" t="n"/>
      <c r="Q112" s="32">
        <f>'Bütçe aylık-Eur'!$G$59</f>
        <v/>
      </c>
      <c r="R112" s="32">
        <f>'gerç aylık-eur'!$G$59</f>
        <v/>
      </c>
      <c r="S112" s="18" t="n"/>
      <c r="T112" s="32">
        <f>'Bütçe aylık-Eur'!$H$59</f>
        <v/>
      </c>
      <c r="U112" s="32">
        <f>'gerç aylık-eur'!$H$59</f>
        <v/>
      </c>
      <c r="V112" s="18" t="n"/>
      <c r="W112" s="32">
        <f>'Bütçe aylık-Eur'!$I$59</f>
        <v/>
      </c>
      <c r="X112" s="32">
        <f>'gerç aylık-eur'!$I$59</f>
        <v/>
      </c>
      <c r="Y112" s="18" t="n"/>
      <c r="Z112" s="32">
        <f>'Bütçe aylık-Eur'!$J$59</f>
        <v/>
      </c>
      <c r="AA112" s="32">
        <f>'gerç aylık-eur'!$J$59</f>
        <v/>
      </c>
      <c r="AB112" s="18" t="n"/>
      <c r="AC112" s="32">
        <f>'Bütçe aylık-Eur'!$K$59</f>
        <v/>
      </c>
      <c r="AD112" s="32">
        <f>'gerç aylık-eur'!$K$59</f>
        <v/>
      </c>
      <c r="AE112" s="18" t="n"/>
      <c r="AF112" s="32">
        <f>'Bütçe aylık-Eur'!$L$59</f>
        <v/>
      </c>
      <c r="AG112" s="32">
        <f>'gerç aylık-eur'!$L$59</f>
        <v/>
      </c>
      <c r="AH112" s="18" t="n"/>
      <c r="AI112" s="32">
        <f>'Bütçe aylık-Eur'!$M$59</f>
        <v/>
      </c>
      <c r="AJ112" s="32">
        <f>'gerç aylık-eur'!$M$59</f>
        <v/>
      </c>
      <c r="AK112" s="18" t="n"/>
      <c r="AL112" s="33">
        <f>AP112-AO112</f>
        <v/>
      </c>
      <c r="AM112" s="34">
        <f>AP112/AO112-1</f>
        <v/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/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/>
      </c>
    </row>
    <row r="113" ht="15.5" customFormat="1" customHeight="1" s="13">
      <c r="A113" s="27" t="n"/>
      <c r="B113" s="30" t="n"/>
      <c r="C113" s="30" t="n"/>
      <c r="D113" s="41" t="n"/>
      <c r="E113" s="30" t="n"/>
      <c r="F113" s="30" t="n"/>
      <c r="G113" s="41" t="n"/>
      <c r="H113" s="30" t="n"/>
      <c r="I113" s="30" t="n"/>
      <c r="J113" s="41" t="n"/>
      <c r="K113" s="30" t="n"/>
      <c r="L113" s="30" t="n"/>
      <c r="M113" s="41" t="n"/>
      <c r="N113" s="30" t="n"/>
      <c r="O113" s="30" t="n"/>
      <c r="P113" s="41" t="n"/>
      <c r="Q113" s="30" t="n"/>
      <c r="R113" s="30" t="n"/>
      <c r="S113" s="41" t="n"/>
      <c r="T113" s="30" t="n"/>
      <c r="U113" s="30" t="n"/>
      <c r="V113" s="41" t="n"/>
      <c r="W113" s="30" t="n"/>
      <c r="X113" s="30" t="n"/>
      <c r="Y113" s="41" t="n"/>
      <c r="Z113" s="30" t="n"/>
      <c r="AA113" s="30" t="n"/>
      <c r="AB113" s="41" t="n"/>
      <c r="AC113" s="30" t="n"/>
      <c r="AD113" s="30" t="n"/>
      <c r="AE113" s="41" t="n"/>
      <c r="AF113" s="30" t="n"/>
      <c r="AG113" s="30" t="n"/>
      <c r="AH113" s="41" t="n"/>
      <c r="AI113" s="30" t="n"/>
      <c r="AJ113" s="30" t="n"/>
      <c r="AK113" s="41" t="n"/>
      <c r="AL113" s="15" t="n"/>
      <c r="AM113" s="22" t="n"/>
      <c r="AO113" s="44">
        <f>IF($A$1=$B$1,B113,IF($A$1=$E$1,E113,IF($A$1=$H$1,H113,IF($A$1=$K$1,K113,IF($A$1=$N$1,N113,IF($A$1=$Q$1,Q113,IF($A$1=$T$1,T113,IF($A$1=$W$1,W113,IF($A$1=$Z$1,Z113,IF($A$1=$AC$1,AC113,IF($A$1=$AF$1,AF113,IF($A$1=$AI$1,AI113))))))))))))</f>
        <v/>
      </c>
      <c r="AP113" s="44">
        <f>IF($A$1=$B$1,C113,IF($A$1=$E$1,F113,IF($A$1=$H$1,I113,IF($A$1=$K$1,L113,IF($A$1=$N$1,O113,IF($A$1=$Q$1,R113,IF($A$1=$T$1,U113,IF($A$1=$W$1,X113,IF($A$1=$Z$1,AA113,IF($A$1=$AC$1,AD113,IF($A$1=$AF$1,AG113,IF($A$1=$AI$1,AJ113))))))))))))</f>
        <v/>
      </c>
    </row>
    <row r="114" ht="17" customFormat="1" customHeight="1" s="49">
      <c r="A114" s="47" t="inlineStr">
        <is>
          <t>Ebit by channels (100%)</t>
        </is>
      </c>
      <c r="B114" s="413" t="n"/>
      <c r="C114" s="413" t="n"/>
      <c r="D114" s="413" t="n"/>
      <c r="E114" s="413" t="n"/>
      <c r="F114" s="413" t="n"/>
      <c r="G114" s="413" t="n"/>
      <c r="H114" s="413" t="n"/>
      <c r="I114" s="413" t="n"/>
      <c r="J114" s="413" t="n"/>
      <c r="K114" s="413" t="n"/>
      <c r="L114" s="413" t="n"/>
      <c r="M114" s="413" t="n"/>
      <c r="N114" s="413" t="n"/>
      <c r="O114" s="413" t="n"/>
      <c r="P114" s="413" t="n"/>
      <c r="Q114" s="413" t="n"/>
      <c r="R114" s="413" t="n"/>
      <c r="S114" s="413" t="n"/>
      <c r="T114" s="413" t="n"/>
      <c r="U114" s="413" t="n"/>
      <c r="V114" s="413" t="n"/>
      <c r="W114" s="413" t="n"/>
      <c r="X114" s="413" t="n"/>
      <c r="Y114" s="413" t="n"/>
      <c r="Z114" s="413" t="n"/>
      <c r="AA114" s="413" t="n"/>
      <c r="AB114" s="413" t="n"/>
      <c r="AC114" s="413" t="n"/>
      <c r="AD114" s="413" t="n"/>
      <c r="AE114" s="413" t="n"/>
      <c r="AF114" s="413" t="n"/>
      <c r="AG114" s="413" t="n"/>
      <c r="AH114" s="413" t="n"/>
      <c r="AI114" s="413" t="n"/>
      <c r="AJ114" s="413" t="n"/>
      <c r="AK114" s="413" t="n"/>
      <c r="AL114" s="413" t="n"/>
      <c r="AM114" s="48" t="n"/>
    </row>
    <row r="115" ht="15.5" customHeight="1">
      <c r="A115" s="26" t="inlineStr">
        <is>
          <t xml:space="preserve">İnci Holding </t>
        </is>
      </c>
      <c r="B115" s="7">
        <f>'Bütçe aylık-Eur'!$B$60</f>
        <v/>
      </c>
      <c r="C115" s="7">
        <f>'gerç aylık-eur'!$B$60</f>
        <v/>
      </c>
      <c r="D115" s="7" t="n"/>
      <c r="E115" s="7">
        <f>'Bütçe aylık-Eur'!$C$60</f>
        <v/>
      </c>
      <c r="F115" s="7">
        <f>'gerç aylık-eur'!$C$60</f>
        <v/>
      </c>
      <c r="G115" s="7" t="n"/>
      <c r="H115" s="7">
        <f>'Bütçe aylık-Eur'!$D$60</f>
        <v/>
      </c>
      <c r="I115" s="7">
        <f>'gerç aylık-eur'!$D$60</f>
        <v/>
      </c>
      <c r="J115" s="7" t="n"/>
      <c r="K115" s="7">
        <f>'Bütçe aylık-Eur'!$E$60</f>
        <v/>
      </c>
      <c r="L115" s="7">
        <f>'gerç aylık-eur'!$E$60</f>
        <v/>
      </c>
      <c r="M115" s="7" t="n"/>
      <c r="N115" s="7">
        <f>'Bütçe aylık-Eur'!$F$60</f>
        <v/>
      </c>
      <c r="O115" s="7">
        <f>'gerç aylık-eur'!$F$60</f>
        <v/>
      </c>
      <c r="P115" s="7" t="n"/>
      <c r="Q115" s="7">
        <f>'Bütçe aylık-Eur'!$G$60</f>
        <v/>
      </c>
      <c r="R115" s="7">
        <f>'gerç aylık-eur'!$G$60</f>
        <v/>
      </c>
      <c r="S115" s="7" t="n"/>
      <c r="T115" s="7">
        <f>'Bütçe aylık-Eur'!$H$60</f>
        <v/>
      </c>
      <c r="U115" s="7">
        <f>'gerç aylık-eur'!$H$60</f>
        <v/>
      </c>
      <c r="V115" s="7" t="n"/>
      <c r="W115" s="7">
        <f>'Bütçe aylık-Eur'!$I$60</f>
        <v/>
      </c>
      <c r="X115" s="7">
        <f>'gerç aylık-eur'!$I$60</f>
        <v/>
      </c>
      <c r="Y115" s="7" t="n"/>
      <c r="Z115" s="7">
        <f>'Bütçe aylık-Eur'!$J$60</f>
        <v/>
      </c>
      <c r="AA115" s="7">
        <f>'gerç aylık-eur'!$J$60</f>
        <v/>
      </c>
      <c r="AB115" s="7" t="n"/>
      <c r="AC115" s="7">
        <f>'Bütçe aylık-Eur'!$K$60</f>
        <v/>
      </c>
      <c r="AD115" s="7">
        <f>'gerç aylık-eur'!$K$60</f>
        <v/>
      </c>
      <c r="AE115" s="7" t="n"/>
      <c r="AF115" s="7">
        <f>'Bütçe aylık-Eur'!$L$60</f>
        <v/>
      </c>
      <c r="AG115" s="7">
        <f>'gerç aylık-eur'!$L$60</f>
        <v/>
      </c>
      <c r="AH115" s="7" t="n"/>
      <c r="AI115" s="7">
        <f>'Bütçe aylık-Eur'!$M$60</f>
        <v/>
      </c>
      <c r="AJ115" s="7">
        <f>'gerç aylık-eur'!$M$60</f>
        <v/>
      </c>
      <c r="AK115" s="7" t="n"/>
      <c r="AL115" s="21">
        <f>AP115-AO115</f>
        <v/>
      </c>
      <c r="AM115" s="22">
        <f>AP115/AO115-1</f>
        <v/>
      </c>
      <c r="AO115" s="44">
        <f>IF($A$1=$B$1,B115,IF($A$1=$E$1,E115,IF($A$1=$H$1,H115,IF($A$1=$K$1,K115,IF($A$1=$N$1,N115,IF($A$1=$Q$1,Q115,IF($A$1=$T$1,T115,IF($A$1=$W$1,W115,IF($A$1=$Z$1,Z115,IF($A$1=$AC$1,AC115,IF($A$1=$AF$1,AF115,IF($A$1=$AI$1,AI115))))))))))))</f>
        <v/>
      </c>
      <c r="AP115" s="44">
        <f>IF($A$1=$B$1,C115,IF($A$1=$E$1,F115,IF($A$1=$H$1,I115,IF($A$1=$K$1,L115,IF($A$1=$N$1,O115,IF($A$1=$Q$1,R115,IF($A$1=$T$1,U115,IF($A$1=$W$1,X115,IF($A$1=$Z$1,AA115,IF($A$1=$AC$1,AD115,IF($A$1=$AF$1,AG115,IF($A$1=$AI$1,AJ115))))))))))))</f>
        <v/>
      </c>
    </row>
    <row r="116" ht="15.5" customHeight="1">
      <c r="A116" s="26" t="inlineStr">
        <is>
          <t xml:space="preserve">ISM </t>
        </is>
      </c>
      <c r="B116" s="7">
        <f>'Bütçe aylık-Eur'!$B$61</f>
        <v/>
      </c>
      <c r="C116" s="7">
        <f>'gerç aylık-eur'!$B$61</f>
        <v/>
      </c>
      <c r="D116" s="7" t="n"/>
      <c r="E116" s="7">
        <f>'Bütçe aylık-Eur'!$C$61</f>
        <v/>
      </c>
      <c r="F116" s="7">
        <f>'gerç aylık-eur'!$C$61</f>
        <v/>
      </c>
      <c r="G116" s="7" t="n"/>
      <c r="H116" s="7">
        <f>'Bütçe aylık-Eur'!$D$61</f>
        <v/>
      </c>
      <c r="I116" s="7">
        <f>'gerç aylık-eur'!$D$61</f>
        <v/>
      </c>
      <c r="J116" s="7" t="n"/>
      <c r="K116" s="7">
        <f>'Bütçe aylık-Eur'!$E$61</f>
        <v/>
      </c>
      <c r="L116" s="7">
        <f>'gerç aylık-eur'!$E$61</f>
        <v/>
      </c>
      <c r="M116" s="7" t="n"/>
      <c r="N116" s="7">
        <f>'Bütçe aylık-Eur'!$F$61</f>
        <v/>
      </c>
      <c r="O116" s="7">
        <f>'gerç aylık-eur'!$F$61</f>
        <v/>
      </c>
      <c r="P116" s="7" t="n"/>
      <c r="Q116" s="7">
        <f>'Bütçe aylık-Eur'!$G$61</f>
        <v/>
      </c>
      <c r="R116" s="7">
        <f>'gerç aylık-eur'!$G$61</f>
        <v/>
      </c>
      <c r="S116" s="7" t="n"/>
      <c r="T116" s="7">
        <f>'Bütçe aylık-Eur'!$H$61</f>
        <v/>
      </c>
      <c r="U116" s="7">
        <f>'gerç aylık-eur'!$H$61</f>
        <v/>
      </c>
      <c r="V116" s="7" t="n"/>
      <c r="W116" s="7">
        <f>'Bütçe aylık-Eur'!$I$61</f>
        <v/>
      </c>
      <c r="X116" s="7">
        <f>'gerç aylık-eur'!$I$61</f>
        <v/>
      </c>
      <c r="Y116" s="7" t="n"/>
      <c r="Z116" s="7">
        <f>'Bütçe aylık-Eur'!$J$61</f>
        <v/>
      </c>
      <c r="AA116" s="7">
        <f>'gerç aylık-eur'!$J$61</f>
        <v/>
      </c>
      <c r="AB116" s="7" t="n"/>
      <c r="AC116" s="7">
        <f>'Bütçe aylık-Eur'!$K$61</f>
        <v/>
      </c>
      <c r="AD116" s="7">
        <f>'gerç aylık-eur'!$K$61</f>
        <v/>
      </c>
      <c r="AE116" s="7" t="n"/>
      <c r="AF116" s="7">
        <f>'Bütçe aylık-Eur'!$L$61</f>
        <v/>
      </c>
      <c r="AG116" s="7">
        <f>'gerç aylık-eur'!$L$61</f>
        <v/>
      </c>
      <c r="AH116" s="7" t="n"/>
      <c r="AI116" s="7">
        <f>'Bütçe aylık-Eur'!$M$61</f>
        <v/>
      </c>
      <c r="AJ116" s="7">
        <f>'gerç aylık-eur'!$M$61</f>
        <v/>
      </c>
      <c r="AK116" s="7" t="n"/>
      <c r="AL116" s="21">
        <f>AP116-AO116</f>
        <v/>
      </c>
      <c r="AM116" s="22">
        <f>AP116/AO116-1</f>
        <v/>
      </c>
      <c r="AO116" s="44">
        <f>IF($A$1=$B$1,B116,IF($A$1=$E$1,E116,IF($A$1=$H$1,H116,IF($A$1=$K$1,K116,IF($A$1=$N$1,N116,IF($A$1=$Q$1,Q116,IF($A$1=$T$1,T116,IF($A$1=$W$1,W116,IF($A$1=$Z$1,Z116,IF($A$1=$AC$1,AC116,IF($A$1=$AF$1,AF116,IF($A$1=$AI$1,AI116))))))))))))</f>
        <v/>
      </c>
      <c r="AP116" s="44">
        <f>IF($A$1=$B$1,C116,IF($A$1=$E$1,F116,IF($A$1=$H$1,I116,IF($A$1=$K$1,L116,IF($A$1=$N$1,O116,IF($A$1=$Q$1,R116,IF($A$1=$T$1,U116,IF($A$1=$W$1,X116,IF($A$1=$Z$1,AA116,IF($A$1=$AC$1,AD116,IF($A$1=$AF$1,AG116,IF($A$1=$AI$1,AJ116))))))))))))</f>
        <v/>
      </c>
    </row>
    <row r="117" ht="15.5" customHeight="1">
      <c r="A117" s="26" t="inlineStr">
        <is>
          <t>İncitaş</t>
        </is>
      </c>
      <c r="B117" s="7">
        <f>'Bütçe aylık-Eur'!$B$62</f>
        <v/>
      </c>
      <c r="C117" s="7">
        <f>'gerç aylık-eur'!$B$62</f>
        <v/>
      </c>
      <c r="D117" s="7" t="n"/>
      <c r="E117" s="7">
        <f>'Bütçe aylık-Eur'!$C$62</f>
        <v/>
      </c>
      <c r="F117" s="7">
        <f>'gerç aylık-eur'!$C$62</f>
        <v/>
      </c>
      <c r="G117" s="7" t="n"/>
      <c r="H117" s="7">
        <f>'Bütçe aylık-Eur'!$D$62</f>
        <v/>
      </c>
      <c r="I117" s="7">
        <f>'gerç aylık-eur'!$D$62</f>
        <v/>
      </c>
      <c r="J117" s="7" t="n"/>
      <c r="K117" s="7">
        <f>'Bütçe aylık-Eur'!$E$62</f>
        <v/>
      </c>
      <c r="L117" s="7">
        <f>'gerç aylık-eur'!$E$62</f>
        <v/>
      </c>
      <c r="M117" s="7" t="n"/>
      <c r="N117" s="7">
        <f>'Bütçe aylık-Eur'!$F$62</f>
        <v/>
      </c>
      <c r="O117" s="7">
        <f>'gerç aylık-eur'!$F$62</f>
        <v/>
      </c>
      <c r="P117" s="7" t="n"/>
      <c r="Q117" s="7">
        <f>'Bütçe aylık-Eur'!$G$62</f>
        <v/>
      </c>
      <c r="R117" s="7">
        <f>'gerç aylık-eur'!$G$62</f>
        <v/>
      </c>
      <c r="S117" s="7" t="n"/>
      <c r="T117" s="7">
        <f>'Bütçe aylık-Eur'!$H$62</f>
        <v/>
      </c>
      <c r="U117" s="7">
        <f>'gerç aylık-eur'!$H$62</f>
        <v/>
      </c>
      <c r="V117" s="7" t="n"/>
      <c r="W117" s="7">
        <f>'Bütçe aylık-Eur'!$I$62</f>
        <v/>
      </c>
      <c r="X117" s="7">
        <f>'gerç aylık-eur'!$I$62</f>
        <v/>
      </c>
      <c r="Y117" s="7" t="n"/>
      <c r="Z117" s="7">
        <f>'Bütçe aylık-Eur'!$J$62</f>
        <v/>
      </c>
      <c r="AA117" s="7">
        <f>'gerç aylık-eur'!$J$62</f>
        <v/>
      </c>
      <c r="AB117" s="7" t="n"/>
      <c r="AC117" s="7">
        <f>'Bütçe aylık-Eur'!$K$62</f>
        <v/>
      </c>
      <c r="AD117" s="7">
        <f>'gerç aylık-eur'!$K$62</f>
        <v/>
      </c>
      <c r="AE117" s="7" t="n"/>
      <c r="AF117" s="7">
        <f>'Bütçe aylık-Eur'!$L$62</f>
        <v/>
      </c>
      <c r="AG117" s="7">
        <f>'gerç aylık-eur'!$L$62</f>
        <v/>
      </c>
      <c r="AH117" s="7" t="n"/>
      <c r="AI117" s="7">
        <f>'Bütçe aylık-Eur'!$M$62</f>
        <v/>
      </c>
      <c r="AJ117" s="7">
        <f>'gerç aylık-eur'!$M$62</f>
        <v/>
      </c>
      <c r="AK117" s="7" t="n"/>
      <c r="AL117" s="21">
        <f>AP117-AO117</f>
        <v/>
      </c>
      <c r="AM117" s="22">
        <f>AP117/AO117-1</f>
        <v/>
      </c>
      <c r="AO117" s="44">
        <f>IF($A$1=$B$1,B117,IF($A$1=$E$1,E117,IF($A$1=$H$1,H117,IF($A$1=$K$1,K117,IF($A$1=$N$1,N117,IF($A$1=$Q$1,Q117,IF($A$1=$T$1,T117,IF($A$1=$W$1,W117,IF($A$1=$Z$1,Z117,IF($A$1=$AC$1,AC117,IF($A$1=$AF$1,AF117,IF($A$1=$AI$1,AI117))))))))))))</f>
        <v/>
      </c>
      <c r="AP117" s="44">
        <f>IF($A$1=$B$1,C117,IF($A$1=$E$1,F117,IF($A$1=$H$1,I117,IF($A$1=$K$1,L117,IF($A$1=$N$1,O117,IF($A$1=$Q$1,R117,IF($A$1=$T$1,U117,IF($A$1=$W$1,X117,IF($A$1=$Z$1,AA117,IF($A$1=$AC$1,AD117,IF($A$1=$AF$1,AG117,IF($A$1=$AI$1,AJ117))))))))))))</f>
        <v/>
      </c>
    </row>
    <row r="118" ht="15.5" customHeight="1">
      <c r="A118" s="26" t="inlineStr">
        <is>
          <t>İnci GS Yuasa</t>
        </is>
      </c>
      <c r="B118" s="7">
        <f>'Bütçe aylık-Eur'!$B$63</f>
        <v/>
      </c>
      <c r="C118" s="7">
        <f>'gerç aylık-eur'!$B$63</f>
        <v/>
      </c>
      <c r="D118" s="7" t="n"/>
      <c r="E118" s="7">
        <f>'Bütçe aylık-Eur'!$C$63</f>
        <v/>
      </c>
      <c r="F118" s="7">
        <f>'gerç aylık-eur'!$C$63</f>
        <v/>
      </c>
      <c r="G118" s="7" t="n"/>
      <c r="H118" s="7">
        <f>'Bütçe aylık-Eur'!$D$63</f>
        <v/>
      </c>
      <c r="I118" s="7">
        <f>'gerç aylık-eur'!$D$63</f>
        <v/>
      </c>
      <c r="J118" s="7" t="n"/>
      <c r="K118" s="7">
        <f>'Bütçe aylık-Eur'!$E$63</f>
        <v/>
      </c>
      <c r="L118" s="7">
        <f>'gerç aylık-eur'!$E$63</f>
        <v/>
      </c>
      <c r="M118" s="7" t="n"/>
      <c r="N118" s="7">
        <f>'Bütçe aylık-Eur'!$F$63</f>
        <v/>
      </c>
      <c r="O118" s="7">
        <f>'gerç aylık-eur'!$F$63</f>
        <v/>
      </c>
      <c r="P118" s="7" t="n"/>
      <c r="Q118" s="7">
        <f>'Bütçe aylık-Eur'!$G$63</f>
        <v/>
      </c>
      <c r="R118" s="7">
        <f>'gerç aylık-eur'!$G$63</f>
        <v/>
      </c>
      <c r="S118" s="7" t="n"/>
      <c r="T118" s="7">
        <f>'Bütçe aylık-Eur'!$H$63</f>
        <v/>
      </c>
      <c r="U118" s="7">
        <f>'gerç aylık-eur'!$H$63</f>
        <v/>
      </c>
      <c r="V118" s="7" t="n"/>
      <c r="W118" s="7">
        <f>'Bütçe aylık-Eur'!$I$63</f>
        <v/>
      </c>
      <c r="X118" s="7">
        <f>'gerç aylık-eur'!$I$63</f>
        <v/>
      </c>
      <c r="Y118" s="7" t="n"/>
      <c r="Z118" s="7">
        <f>'Bütçe aylık-Eur'!$J$63</f>
        <v/>
      </c>
      <c r="AA118" s="7">
        <f>'gerç aylık-eur'!$J$63</f>
        <v/>
      </c>
      <c r="AB118" s="7" t="n"/>
      <c r="AC118" s="7">
        <f>'Bütçe aylık-Eur'!$K$63</f>
        <v/>
      </c>
      <c r="AD118" s="7">
        <f>'gerç aylık-eur'!$K$63</f>
        <v/>
      </c>
      <c r="AE118" s="7" t="n"/>
      <c r="AF118" s="7">
        <f>'Bütçe aylık-Eur'!$L$63</f>
        <v/>
      </c>
      <c r="AG118" s="7">
        <f>'gerç aylık-eur'!$L$63</f>
        <v/>
      </c>
      <c r="AH118" s="7" t="n"/>
      <c r="AI118" s="7">
        <f>'Bütçe aylık-Eur'!$M$63</f>
        <v/>
      </c>
      <c r="AJ118" s="7">
        <f>'gerç aylık-eur'!$M$63</f>
        <v/>
      </c>
      <c r="AK118" s="7" t="n"/>
      <c r="AL118" s="21">
        <f>AP118-AO118</f>
        <v/>
      </c>
      <c r="AM118" s="22">
        <f>AP118/AO118-1</f>
        <v/>
      </c>
      <c r="AO118" s="44">
        <f>IF($A$1=$B$1,B118,IF($A$1=$E$1,E118,IF($A$1=$H$1,H118,IF($A$1=$K$1,K118,IF($A$1=$N$1,N118,IF($A$1=$Q$1,Q118,IF($A$1=$T$1,T118,IF($A$1=$W$1,W118,IF($A$1=$Z$1,Z118,IF($A$1=$AC$1,AC118,IF($A$1=$AF$1,AF118,IF($A$1=$AI$1,AI118))))))))))))</f>
        <v/>
      </c>
      <c r="AP118" s="44">
        <f>IF($A$1=$B$1,C118,IF($A$1=$E$1,F118,IF($A$1=$H$1,I118,IF($A$1=$K$1,L118,IF($A$1=$N$1,O118,IF($A$1=$Q$1,R118,IF($A$1=$T$1,U118,IF($A$1=$W$1,X118,IF($A$1=$Z$1,AA118,IF($A$1=$AC$1,AD118,IF($A$1=$AF$1,AG118,IF($A$1=$AI$1,AJ118))))))))))))</f>
        <v/>
      </c>
    </row>
    <row r="119" ht="15.5" customFormat="1" customHeight="1" s="1">
      <c r="A119" s="26" t="inlineStr">
        <is>
          <t>Yusen İnci Loj.</t>
        </is>
      </c>
      <c r="B119" s="7">
        <f>'Bütçe aylık-Eur'!$B$64</f>
        <v/>
      </c>
      <c r="C119" s="7">
        <f>'gerç aylık-eur'!$B$64</f>
        <v/>
      </c>
      <c r="D119" s="8" t="n"/>
      <c r="E119" s="7">
        <f>'Bütçe aylık-Eur'!$C$64</f>
        <v/>
      </c>
      <c r="F119" s="7">
        <f>'gerç aylık-eur'!$C$64</f>
        <v/>
      </c>
      <c r="G119" s="8" t="n"/>
      <c r="H119" s="7">
        <f>'Bütçe aylık-Eur'!$D$64</f>
        <v/>
      </c>
      <c r="I119" s="7">
        <f>'gerç aylık-eur'!$D$64</f>
        <v/>
      </c>
      <c r="J119" s="8" t="n"/>
      <c r="K119" s="7">
        <f>'Bütçe aylık-Eur'!$E$64</f>
        <v/>
      </c>
      <c r="L119" s="7">
        <f>'gerç aylık-eur'!$E$64</f>
        <v/>
      </c>
      <c r="M119" s="8" t="n"/>
      <c r="N119" s="7">
        <f>'Bütçe aylık-Eur'!$F$64</f>
        <v/>
      </c>
      <c r="O119" s="7">
        <f>'gerç aylık-eur'!$F$64</f>
        <v/>
      </c>
      <c r="P119" s="8" t="n"/>
      <c r="Q119" s="7">
        <f>'Bütçe aylık-Eur'!$G$64</f>
        <v/>
      </c>
      <c r="R119" s="7">
        <f>'gerç aylık-eur'!$G$64</f>
        <v/>
      </c>
      <c r="S119" s="8" t="n"/>
      <c r="T119" s="7">
        <f>'Bütçe aylık-Eur'!$H$64</f>
        <v/>
      </c>
      <c r="U119" s="7">
        <f>'gerç aylık-eur'!$H$64</f>
        <v/>
      </c>
      <c r="V119" s="8" t="n"/>
      <c r="W119" s="7">
        <f>'Bütçe aylık-Eur'!$I$64</f>
        <v/>
      </c>
      <c r="X119" s="7">
        <f>'gerç aylık-eur'!$I$64</f>
        <v/>
      </c>
      <c r="Y119" s="8" t="n"/>
      <c r="Z119" s="7">
        <f>'Bütçe aylık-Eur'!$J$64</f>
        <v/>
      </c>
      <c r="AA119" s="7">
        <f>'gerç aylık-eur'!$J$64</f>
        <v/>
      </c>
      <c r="AB119" s="8" t="n"/>
      <c r="AC119" s="7">
        <f>'Bütçe aylık-Eur'!$K$64</f>
        <v/>
      </c>
      <c r="AD119" s="7">
        <f>'gerç aylık-eur'!$K$64</f>
        <v/>
      </c>
      <c r="AE119" s="8" t="n"/>
      <c r="AF119" s="7">
        <f>'Bütçe aylık-Eur'!$L$64</f>
        <v/>
      </c>
      <c r="AG119" s="7">
        <f>'gerç aylık-eur'!$L$64</f>
        <v/>
      </c>
      <c r="AH119" s="8" t="n"/>
      <c r="AI119" s="7">
        <f>'Bütçe aylık-Eur'!$M$64</f>
        <v/>
      </c>
      <c r="AJ119" s="7">
        <f>'gerç aylık-eur'!$M$64</f>
        <v/>
      </c>
      <c r="AK119" s="8" t="n"/>
      <c r="AL119" s="21">
        <f>AP119-AO119</f>
        <v/>
      </c>
      <c r="AM119" s="22">
        <f>AP119/AO119-1</f>
        <v/>
      </c>
      <c r="AO119" s="44">
        <f>IF($A$1=$B$1,B119,IF($A$1=$E$1,E119,IF($A$1=$H$1,H119,IF($A$1=$K$1,K119,IF($A$1=$N$1,N119,IF($A$1=$Q$1,Q119,IF($A$1=$T$1,T119,IF($A$1=$W$1,W119,IF($A$1=$Z$1,Z119,IF($A$1=$AC$1,AC119,IF($A$1=$AF$1,AF119,IF($A$1=$AI$1,AI119))))))))))))</f>
        <v/>
      </c>
      <c r="AP119" s="44">
        <f>IF($A$1=$B$1,C119,IF($A$1=$E$1,F119,IF($A$1=$H$1,I119,IF($A$1=$K$1,L119,IF($A$1=$N$1,O119,IF($A$1=$Q$1,R119,IF($A$1=$T$1,U119,IF($A$1=$W$1,X119,IF($A$1=$Z$1,AA119,IF($A$1=$AC$1,AD119,IF($A$1=$AF$1,AG119,IF($A$1=$AI$1,AJ119))))))))))))</f>
        <v/>
      </c>
    </row>
    <row r="120" ht="15.5" customHeight="1">
      <c r="A120" s="26" t="inlineStr">
        <is>
          <t>Jantaş</t>
        </is>
      </c>
      <c r="B120" s="7">
        <f>'Bütçe aylık-Eur'!$B$65</f>
        <v/>
      </c>
      <c r="C120" s="7">
        <f>'gerç aylık-eur'!$B$65</f>
        <v/>
      </c>
      <c r="D120" s="7" t="n"/>
      <c r="E120" s="7">
        <f>'Bütçe aylık-Eur'!$C$65</f>
        <v/>
      </c>
      <c r="F120" s="7">
        <f>'gerç aylık-eur'!$C$65</f>
        <v/>
      </c>
      <c r="G120" s="7" t="n"/>
      <c r="H120" s="7">
        <f>'Bütçe aylık-Eur'!$D$65</f>
        <v/>
      </c>
      <c r="I120" s="7">
        <f>'gerç aylık-eur'!$D$65</f>
        <v/>
      </c>
      <c r="J120" s="7" t="n"/>
      <c r="K120" s="7">
        <f>'Bütçe aylık-Eur'!$E$65</f>
        <v/>
      </c>
      <c r="L120" s="7">
        <f>'gerç aylık-eur'!$E$65</f>
        <v/>
      </c>
      <c r="M120" s="7" t="n"/>
      <c r="N120" s="7">
        <f>'Bütçe aylık-Eur'!$F$65</f>
        <v/>
      </c>
      <c r="O120" s="7">
        <f>'gerç aylık-eur'!$F$65</f>
        <v/>
      </c>
      <c r="P120" s="7" t="n"/>
      <c r="Q120" s="7">
        <f>'Bütçe aylık-Eur'!$G$65</f>
        <v/>
      </c>
      <c r="R120" s="7">
        <f>'gerç aylık-eur'!$G$65</f>
        <v/>
      </c>
      <c r="S120" s="7" t="n"/>
      <c r="T120" s="7">
        <f>'Bütçe aylık-Eur'!$H$65</f>
        <v/>
      </c>
      <c r="U120" s="7">
        <f>'gerç aylık-eur'!$H$65</f>
        <v/>
      </c>
      <c r="V120" s="7" t="n"/>
      <c r="W120" s="7">
        <f>'Bütçe aylık-Eur'!$I$65</f>
        <v/>
      </c>
      <c r="X120" s="7">
        <f>'gerç aylık-eur'!$I$65</f>
        <v/>
      </c>
      <c r="Y120" s="7" t="n"/>
      <c r="Z120" s="7">
        <f>'Bütçe aylık-Eur'!$J$65</f>
        <v/>
      </c>
      <c r="AA120" s="7">
        <f>'gerç aylık-eur'!$J$65</f>
        <v/>
      </c>
      <c r="AB120" s="7" t="n"/>
      <c r="AC120" s="7">
        <f>'Bütçe aylık-Eur'!$K$65</f>
        <v/>
      </c>
      <c r="AD120" s="7">
        <f>'gerç aylık-eur'!$K$65</f>
        <v/>
      </c>
      <c r="AE120" s="7" t="n"/>
      <c r="AF120" s="7">
        <f>'Bütçe aylık-Eur'!$L$65</f>
        <v/>
      </c>
      <c r="AG120" s="7">
        <f>'gerç aylık-eur'!$L$65</f>
        <v/>
      </c>
      <c r="AH120" s="7" t="n"/>
      <c r="AI120" s="7">
        <f>'Bütçe aylık-Eur'!$M$65</f>
        <v/>
      </c>
      <c r="AJ120" s="7">
        <f>'gerç aylık-eur'!$M$65</f>
        <v/>
      </c>
      <c r="AK120" s="7" t="n"/>
      <c r="AL120" s="21">
        <f>AP120-AO120</f>
        <v/>
      </c>
      <c r="AM120" s="22">
        <f>AP120/AO120-1</f>
        <v/>
      </c>
      <c r="AO120" s="44">
        <f>IF($A$1=$B$1,B120,IF($A$1=$E$1,E120,IF($A$1=$H$1,H120,IF($A$1=$K$1,K120,IF($A$1=$N$1,N120,IF($A$1=$Q$1,Q120,IF($A$1=$T$1,T120,IF($A$1=$W$1,W120,IF($A$1=$Z$1,Z120,IF($A$1=$AC$1,AC120,IF($A$1=$AF$1,AF120,IF($A$1=$AI$1,AI120))))))))))))</f>
        <v/>
      </c>
      <c r="AP120" s="44">
        <f>IF($A$1=$B$1,C120,IF($A$1=$E$1,F120,IF($A$1=$H$1,I120,IF($A$1=$K$1,L120,IF($A$1=$N$1,O120,IF($A$1=$Q$1,R120,IF($A$1=$T$1,U120,IF($A$1=$W$1,X120,IF($A$1=$Z$1,AA120,IF($A$1=$AC$1,AD120,IF($A$1=$AF$1,AG120,IF($A$1=$AI$1,AJ120))))))))))))</f>
        <v/>
      </c>
    </row>
    <row r="121" ht="15.5" customHeight="1">
      <c r="A121" s="26" t="inlineStr">
        <is>
          <t>Çelik</t>
        </is>
      </c>
      <c r="B121" s="7">
        <f>'Bütçe aylık-Eur'!$B$66</f>
        <v/>
      </c>
      <c r="C121" s="7">
        <f>'gerç aylık-eur'!$B$66</f>
        <v/>
      </c>
      <c r="D121" s="7" t="n"/>
      <c r="E121" s="7">
        <f>'Bütçe aylık-Eur'!$C$66</f>
        <v/>
      </c>
      <c r="F121" s="7">
        <f>'gerç aylık-eur'!$C$66</f>
        <v/>
      </c>
      <c r="G121" s="7" t="n"/>
      <c r="H121" s="7">
        <f>'Bütçe aylık-Eur'!$D$66</f>
        <v/>
      </c>
      <c r="I121" s="7">
        <f>'gerç aylık-eur'!$D$66</f>
        <v/>
      </c>
      <c r="J121" s="7" t="n"/>
      <c r="K121" s="7">
        <f>'Bütçe aylık-Eur'!$E$66</f>
        <v/>
      </c>
      <c r="L121" s="7">
        <f>'gerç aylık-eur'!$E$66</f>
        <v/>
      </c>
      <c r="M121" s="7" t="n"/>
      <c r="N121" s="7">
        <f>'Bütçe aylık-Eur'!$F$66</f>
        <v/>
      </c>
      <c r="O121" s="7">
        <f>'gerç aylık-eur'!$F$66</f>
        <v/>
      </c>
      <c r="P121" s="7" t="n"/>
      <c r="Q121" s="7">
        <f>'Bütçe aylık-Eur'!$G$66</f>
        <v/>
      </c>
      <c r="R121" s="7">
        <f>'gerç aylık-eur'!$G$66</f>
        <v/>
      </c>
      <c r="S121" s="7" t="n"/>
      <c r="T121" s="7">
        <f>'Bütçe aylık-Eur'!$H$66</f>
        <v/>
      </c>
      <c r="U121" s="7">
        <f>'gerç aylık-eur'!$H$66</f>
        <v/>
      </c>
      <c r="V121" s="7" t="n"/>
      <c r="W121" s="7">
        <f>'Bütçe aylık-Eur'!$I$66</f>
        <v/>
      </c>
      <c r="X121" s="7">
        <f>'gerç aylık-eur'!$I$66</f>
        <v/>
      </c>
      <c r="Y121" s="7" t="n"/>
      <c r="Z121" s="7">
        <f>'Bütçe aylık-Eur'!$J$66</f>
        <v/>
      </c>
      <c r="AA121" s="7">
        <f>'gerç aylık-eur'!$J$66</f>
        <v/>
      </c>
      <c r="AB121" s="7" t="n"/>
      <c r="AC121" s="7">
        <f>'Bütçe aylık-Eur'!$K$66</f>
        <v/>
      </c>
      <c r="AD121" s="7">
        <f>'gerç aylık-eur'!$K$66</f>
        <v/>
      </c>
      <c r="AE121" s="7" t="n"/>
      <c r="AF121" s="7">
        <f>'Bütçe aylık-Eur'!$L$66</f>
        <v/>
      </c>
      <c r="AG121" s="7">
        <f>'gerç aylık-eur'!$L$66</f>
        <v/>
      </c>
      <c r="AH121" s="7" t="n"/>
      <c r="AI121" s="7">
        <f>'Bütçe aylık-Eur'!$M$66</f>
        <v/>
      </c>
      <c r="AJ121" s="7">
        <f>'gerç aylık-eur'!$M$66</f>
        <v/>
      </c>
      <c r="AK121" s="7" t="n"/>
      <c r="AL121" s="21">
        <f>AP121-AO121</f>
        <v/>
      </c>
      <c r="AM121" s="22">
        <f>AP121/AO121-1</f>
        <v/>
      </c>
      <c r="AO121" s="44">
        <f>IF($A$1=$B$1,B121,IF($A$1=$E$1,E121,IF($A$1=$H$1,H121,IF($A$1=$K$1,K121,IF($A$1=$N$1,N121,IF($A$1=$Q$1,Q121,IF($A$1=$T$1,T121,IF($A$1=$W$1,W121,IF($A$1=$Z$1,Z121,IF($A$1=$AC$1,AC121,IF($A$1=$AF$1,AF121,IF($A$1=$AI$1,AI121))))))))))))</f>
        <v/>
      </c>
      <c r="AP121" s="44">
        <f>IF($A$1=$B$1,C121,IF($A$1=$E$1,F121,IF($A$1=$H$1,I121,IF($A$1=$K$1,L121,IF($A$1=$N$1,O121,IF($A$1=$Q$1,R121,IF($A$1=$T$1,U121,IF($A$1=$W$1,X121,IF($A$1=$Z$1,AA121,IF($A$1=$AC$1,AD121,IF($A$1=$AF$1,AG121,IF($A$1=$AI$1,AJ121))))))))))))</f>
        <v/>
      </c>
    </row>
    <row r="122" ht="15.5" customHeight="1">
      <c r="A122" s="26" t="inlineStr">
        <is>
          <t>Alüminyum</t>
        </is>
      </c>
      <c r="B122" s="7">
        <f>'Bütçe aylık-Eur'!$B$67</f>
        <v/>
      </c>
      <c r="C122" s="7">
        <f>'gerç aylık-eur'!$B$67</f>
        <v/>
      </c>
      <c r="D122" s="7" t="n"/>
      <c r="E122" s="7">
        <f>'Bütçe aylık-Eur'!$C$67</f>
        <v/>
      </c>
      <c r="F122" s="7">
        <f>'gerç aylık-eur'!$C$67</f>
        <v/>
      </c>
      <c r="G122" s="7" t="n"/>
      <c r="H122" s="7">
        <f>'Bütçe aylık-Eur'!$D$67</f>
        <v/>
      </c>
      <c r="I122" s="7">
        <f>'gerç aylık-eur'!$D$67</f>
        <v/>
      </c>
      <c r="J122" s="7" t="n"/>
      <c r="K122" s="7">
        <f>'Bütçe aylık-Eur'!$E$67</f>
        <v/>
      </c>
      <c r="L122" s="7">
        <f>'gerç aylık-eur'!$E$67</f>
        <v/>
      </c>
      <c r="M122" s="7" t="n"/>
      <c r="N122" s="7">
        <f>'Bütçe aylık-Eur'!$F$67</f>
        <v/>
      </c>
      <c r="O122" s="7">
        <f>'gerç aylık-eur'!$F$67</f>
        <v/>
      </c>
      <c r="P122" s="7" t="n"/>
      <c r="Q122" s="7">
        <f>'Bütçe aylık-Eur'!$G$67</f>
        <v/>
      </c>
      <c r="R122" s="7">
        <f>'gerç aylık-eur'!$G$67</f>
        <v/>
      </c>
      <c r="S122" s="7" t="n"/>
      <c r="T122" s="7">
        <f>'Bütçe aylık-Eur'!$H$67</f>
        <v/>
      </c>
      <c r="U122" s="7">
        <f>'gerç aylık-eur'!$H$67</f>
        <v/>
      </c>
      <c r="V122" s="7" t="n"/>
      <c r="W122" s="7">
        <f>'Bütçe aylık-Eur'!$I$67</f>
        <v/>
      </c>
      <c r="X122" s="7">
        <f>'gerç aylık-eur'!$I$67</f>
        <v/>
      </c>
      <c r="Y122" s="7" t="n"/>
      <c r="Z122" s="7">
        <f>'Bütçe aylık-Eur'!$J$67</f>
        <v/>
      </c>
      <c r="AA122" s="7">
        <f>'gerç aylık-eur'!$J$67</f>
        <v/>
      </c>
      <c r="AB122" s="7" t="n"/>
      <c r="AC122" s="7">
        <f>'Bütçe aylık-Eur'!$K$67</f>
        <v/>
      </c>
      <c r="AD122" s="7">
        <f>'gerç aylık-eur'!$K$67</f>
        <v/>
      </c>
      <c r="AE122" s="7" t="n"/>
      <c r="AF122" s="7">
        <f>'Bütçe aylık-Eur'!$L$67</f>
        <v/>
      </c>
      <c r="AG122" s="7">
        <f>'gerç aylık-eur'!$L$67</f>
        <v/>
      </c>
      <c r="AH122" s="7" t="n"/>
      <c r="AI122" s="7">
        <f>'Bütçe aylık-Eur'!$M$67</f>
        <v/>
      </c>
      <c r="AJ122" s="7">
        <f>'gerç aylık-eur'!$M$67</f>
        <v/>
      </c>
      <c r="AK122" s="7" t="n"/>
      <c r="AL122" s="21">
        <f>AP122-AO122</f>
        <v/>
      </c>
      <c r="AM122" s="22">
        <f>AP122/AO122-1</f>
        <v/>
      </c>
      <c r="AO122" s="44">
        <f>IF($A$1=$B$1,B122,IF($A$1=$E$1,E122,IF($A$1=$H$1,H122,IF($A$1=$K$1,K122,IF($A$1=$N$1,N122,IF($A$1=$Q$1,Q122,IF($A$1=$T$1,T122,IF($A$1=$W$1,W122,IF($A$1=$Z$1,Z122,IF($A$1=$AC$1,AC122,IF($A$1=$AF$1,AF122,IF($A$1=$AI$1,AI122))))))))))))</f>
        <v/>
      </c>
      <c r="AP122" s="44">
        <f>IF($A$1=$B$1,C122,IF($A$1=$E$1,F122,IF($A$1=$H$1,I122,IF($A$1=$K$1,L122,IF($A$1=$N$1,O122,IF($A$1=$Q$1,R122,IF($A$1=$T$1,U122,IF($A$1=$W$1,X122,IF($A$1=$Z$1,AA122,IF($A$1=$AC$1,AD122,IF($A$1=$AF$1,AG122,IF($A$1=$AI$1,AJ122))))))))))))</f>
        <v/>
      </c>
    </row>
    <row r="123" ht="15.5" customHeight="1">
      <c r="A123" s="26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21" t="n"/>
      <c r="AM123" s="22" t="n"/>
      <c r="AO123" s="44">
        <f>IF($A$1=$B$1,B123,IF($A$1=$E$1,E123,IF($A$1=$H$1,H123,IF($A$1=$K$1,K123,IF($A$1=$N$1,N123,IF($A$1=$Q$1,Q123,IF($A$1=$T$1,T123,IF($A$1=$W$1,W123,IF($A$1=$Z$1,Z123,IF($A$1=$AC$1,AC123,IF($A$1=$AF$1,AF123,IF($A$1=$AI$1,AI123))))))))))))</f>
        <v/>
      </c>
      <c r="AP123" s="44">
        <f>IF($A$1=$B$1,C123,IF($A$1=$E$1,F123,IF($A$1=$H$1,I123,IF($A$1=$K$1,L123,IF($A$1=$N$1,O123,IF($A$1=$Q$1,R123,IF($A$1=$T$1,U123,IF($A$1=$W$1,X123,IF($A$1=$Z$1,AA123,IF($A$1=$AC$1,AD123,IF($A$1=$AF$1,AG123,IF($A$1=$AI$1,AJ123))))))))))))</f>
        <v/>
      </c>
    </row>
    <row r="124">
      <c r="A124" s="2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5" t="n"/>
    </row>
    <row r="125" ht="17" customFormat="1" customHeight="1" s="49">
      <c r="A125" s="47" t="inlineStr">
        <is>
          <t>Ebit Margin</t>
        </is>
      </c>
      <c r="B125" s="413" t="n"/>
      <c r="C125" s="413" t="n"/>
      <c r="D125" s="413" t="n"/>
      <c r="E125" s="413" t="n"/>
      <c r="F125" s="413" t="n"/>
      <c r="G125" s="413" t="n"/>
      <c r="H125" s="413" t="n"/>
      <c r="I125" s="413" t="n"/>
      <c r="J125" s="413" t="n"/>
      <c r="K125" s="413" t="n"/>
      <c r="L125" s="413" t="n"/>
      <c r="M125" s="413" t="n"/>
      <c r="N125" s="413" t="n"/>
      <c r="O125" s="413" t="n"/>
      <c r="P125" s="413" t="n"/>
      <c r="Q125" s="413" t="n"/>
      <c r="R125" s="413" t="n"/>
      <c r="S125" s="413" t="n"/>
      <c r="T125" s="413" t="n"/>
      <c r="U125" s="413" t="n"/>
      <c r="V125" s="413" t="n"/>
      <c r="W125" s="413" t="n"/>
      <c r="X125" s="413" t="n"/>
      <c r="Y125" s="413" t="n"/>
      <c r="Z125" s="413" t="n"/>
      <c r="AA125" s="413" t="n"/>
      <c r="AB125" s="413" t="n"/>
      <c r="AC125" s="413" t="n"/>
      <c r="AD125" s="413" t="n"/>
      <c r="AE125" s="413" t="n"/>
      <c r="AF125" s="413" t="n"/>
      <c r="AG125" s="413" t="n"/>
      <c r="AH125" s="413" t="n"/>
      <c r="AI125" s="413" t="n"/>
      <c r="AJ125" s="413" t="n"/>
      <c r="AK125" s="413" t="n"/>
      <c r="AL125" s="413" t="n"/>
      <c r="AM125" s="48" t="n"/>
    </row>
    <row r="126" ht="15.5" customFormat="1" customHeight="1" s="13">
      <c r="A126" s="26" t="inlineStr">
        <is>
          <t xml:space="preserve">İnci Holding </t>
        </is>
      </c>
      <c r="B126" s="12">
        <f>B115/B9</f>
        <v/>
      </c>
      <c r="C126" s="12">
        <f>C115/C9</f>
        <v/>
      </c>
      <c r="D126" s="41" t="n"/>
      <c r="E126" s="12">
        <f>E115/E9</f>
        <v/>
      </c>
      <c r="F126" s="12">
        <f>F115/F9</f>
        <v/>
      </c>
      <c r="G126" s="41" t="n"/>
      <c r="H126" s="12">
        <f>H115/H9</f>
        <v/>
      </c>
      <c r="I126" s="12">
        <f>I115/I9</f>
        <v/>
      </c>
      <c r="J126" s="41" t="n"/>
      <c r="K126" s="12">
        <f>K115/K9</f>
        <v/>
      </c>
      <c r="L126" s="12">
        <f>L115/L9</f>
        <v/>
      </c>
      <c r="M126" s="41" t="n"/>
      <c r="N126" s="12">
        <f>N115/N9</f>
        <v/>
      </c>
      <c r="O126" s="12">
        <f>O115/O9</f>
        <v/>
      </c>
      <c r="P126" s="41" t="n"/>
      <c r="Q126" s="12">
        <f>Q115/Q9</f>
        <v/>
      </c>
      <c r="R126" s="12">
        <f>R115/R9</f>
        <v/>
      </c>
      <c r="S126" s="41" t="n"/>
      <c r="T126" s="12">
        <f>T115/T9</f>
        <v/>
      </c>
      <c r="U126" s="12">
        <f>U115/U9</f>
        <v/>
      </c>
      <c r="V126" s="41" t="n"/>
      <c r="W126" s="12">
        <f>W115/W9</f>
        <v/>
      </c>
      <c r="X126" s="12">
        <f>X115/X9</f>
        <v/>
      </c>
      <c r="Y126" s="41" t="n"/>
      <c r="Z126" s="12">
        <f>Z115/Z9</f>
        <v/>
      </c>
      <c r="AA126" s="12">
        <f>AA115/AA9</f>
        <v/>
      </c>
      <c r="AB126" s="41" t="n"/>
      <c r="AC126" s="12">
        <f>AC115/AC9</f>
        <v/>
      </c>
      <c r="AD126" s="12">
        <f>AD115/AD9</f>
        <v/>
      </c>
      <c r="AE126" s="41" t="n"/>
      <c r="AF126" s="12">
        <f>AF115/AF9</f>
        <v/>
      </c>
      <c r="AG126" s="12">
        <f>AG115/AG9</f>
        <v/>
      </c>
      <c r="AH126" s="41" t="n"/>
      <c r="AI126" s="12">
        <f>AI115/AI9</f>
        <v/>
      </c>
      <c r="AJ126" s="12">
        <f>AJ115/AJ9</f>
        <v/>
      </c>
      <c r="AK126" s="41" t="n"/>
      <c r="AL126" s="15" t="n"/>
      <c r="AM126" s="22">
        <f>AP126-AO126</f>
        <v/>
      </c>
      <c r="AO126" s="44">
        <f>IF($A$1=$B$1,B126,IF($A$1=$E$1,E126,IF($A$1=$H$1,H126,IF($A$1=$K$1,K126,IF($A$1=$N$1,N126,IF($A$1=$Q$1,Q126,IF($A$1=$T$1,T126,IF($A$1=$W$1,W126,IF($A$1=$Z$1,Z126,IF($A$1=$AC$1,AC126,IF($A$1=$AF$1,AF126,IF($A$1=$AI$1,AI126))))))))))))</f>
        <v/>
      </c>
      <c r="AP126" s="44">
        <f>IF($A$1=$B$1,C126,IF($A$1=$E$1,F126,IF($A$1=$H$1,I126,IF($A$1=$K$1,L126,IF($A$1=$N$1,O126,IF($A$1=$Q$1,R126,IF($A$1=$T$1,U126,IF($A$1=$W$1,X126,IF($A$1=$Z$1,AA126,IF($A$1=$AC$1,AD126,IF($A$1=$AF$1,AG126,IF($A$1=$AI$1,AJ126))))))))))))</f>
        <v/>
      </c>
    </row>
    <row r="127" ht="15.5" customFormat="1" customHeight="1" s="13">
      <c r="A127" s="26" t="inlineStr">
        <is>
          <t xml:space="preserve">ISM </t>
        </is>
      </c>
      <c r="B127" s="12">
        <f>B116/B10</f>
        <v/>
      </c>
      <c r="C127" s="12">
        <f>C116/C10</f>
        <v/>
      </c>
      <c r="D127" s="41" t="n"/>
      <c r="E127" s="12">
        <f>E116/E10</f>
        <v/>
      </c>
      <c r="F127" s="12">
        <f>F116/F10</f>
        <v/>
      </c>
      <c r="G127" s="41" t="n"/>
      <c r="H127" s="12">
        <f>H116/H10</f>
        <v/>
      </c>
      <c r="I127" s="12">
        <f>I116/I10</f>
        <v/>
      </c>
      <c r="J127" s="41" t="n"/>
      <c r="K127" s="12">
        <f>K116/K10</f>
        <v/>
      </c>
      <c r="L127" s="12">
        <f>L116/L10</f>
        <v/>
      </c>
      <c r="M127" s="41" t="n"/>
      <c r="N127" s="12">
        <f>N116/N10</f>
        <v/>
      </c>
      <c r="O127" s="12">
        <f>O116/O10</f>
        <v/>
      </c>
      <c r="P127" s="41" t="n"/>
      <c r="Q127" s="12">
        <f>Q116/Q10</f>
        <v/>
      </c>
      <c r="R127" s="12">
        <f>R116/R10</f>
        <v/>
      </c>
      <c r="S127" s="41" t="n"/>
      <c r="T127" s="12">
        <f>T116/T10</f>
        <v/>
      </c>
      <c r="U127" s="12">
        <f>U116/U10</f>
        <v/>
      </c>
      <c r="V127" s="41" t="n"/>
      <c r="W127" s="12">
        <f>W116/W10</f>
        <v/>
      </c>
      <c r="X127" s="12">
        <f>X116/X10</f>
        <v/>
      </c>
      <c r="Y127" s="41" t="n"/>
      <c r="Z127" s="12">
        <f>Z116/Z10</f>
        <v/>
      </c>
      <c r="AA127" s="12">
        <f>AA116/AA10</f>
        <v/>
      </c>
      <c r="AB127" s="41" t="n"/>
      <c r="AC127" s="12">
        <f>AC116/AC10</f>
        <v/>
      </c>
      <c r="AD127" s="12">
        <f>AD116/AD10</f>
        <v/>
      </c>
      <c r="AE127" s="41" t="n"/>
      <c r="AF127" s="12">
        <f>AF116/AF10</f>
        <v/>
      </c>
      <c r="AG127" s="12">
        <f>AG116/AG10</f>
        <v/>
      </c>
      <c r="AH127" s="41" t="n"/>
      <c r="AI127" s="12">
        <f>AI116/AI10</f>
        <v/>
      </c>
      <c r="AJ127" s="12">
        <f>AJ116/AJ10</f>
        <v/>
      </c>
      <c r="AK127" s="41" t="n"/>
      <c r="AL127" s="15" t="n"/>
      <c r="AM127" s="22">
        <f>AP127-AO127</f>
        <v/>
      </c>
      <c r="AO127" s="44">
        <f>IF($A$1=$B$1,B127,IF($A$1=$E$1,E127,IF($A$1=$H$1,H127,IF($A$1=$K$1,K127,IF($A$1=$N$1,N127,IF($A$1=$Q$1,Q127,IF($A$1=$T$1,T127,IF($A$1=$W$1,W127,IF($A$1=$Z$1,Z127,IF($A$1=$AC$1,AC127,IF($A$1=$AF$1,AF127,IF($A$1=$AI$1,AI127))))))))))))</f>
        <v/>
      </c>
      <c r="AP127" s="44">
        <f>IF($A$1=$B$1,C127,IF($A$1=$E$1,F127,IF($A$1=$H$1,I127,IF($A$1=$K$1,L127,IF($A$1=$N$1,O127,IF($A$1=$Q$1,R127,IF($A$1=$T$1,U127,IF($A$1=$W$1,X127,IF($A$1=$Z$1,AA127,IF($A$1=$AC$1,AD127,IF($A$1=$AF$1,AG127,IF($A$1=$AI$1,AJ127))))))))))))</f>
        <v/>
      </c>
    </row>
    <row r="128" ht="15.5" customFormat="1" customHeight="1" s="13">
      <c r="A128" s="26" t="inlineStr">
        <is>
          <t>İncitaş</t>
        </is>
      </c>
      <c r="B128" s="12">
        <f>B117/B11</f>
        <v/>
      </c>
      <c r="C128" s="12">
        <f>C117/C11</f>
        <v/>
      </c>
      <c r="D128" s="41" t="n"/>
      <c r="E128" s="12">
        <f>E117/E11</f>
        <v/>
      </c>
      <c r="F128" s="12">
        <f>F117/F11</f>
        <v/>
      </c>
      <c r="G128" s="41" t="n"/>
      <c r="H128" s="12">
        <f>H117/H11</f>
        <v/>
      </c>
      <c r="I128" s="12">
        <f>I117/I11</f>
        <v/>
      </c>
      <c r="J128" s="41" t="n"/>
      <c r="K128" s="12">
        <f>K117/K11</f>
        <v/>
      </c>
      <c r="L128" s="12">
        <f>L117/L11</f>
        <v/>
      </c>
      <c r="M128" s="41" t="n"/>
      <c r="N128" s="12">
        <f>N117/N11</f>
        <v/>
      </c>
      <c r="O128" s="12">
        <f>O117/O11</f>
        <v/>
      </c>
      <c r="P128" s="41" t="n"/>
      <c r="Q128" s="12">
        <f>Q117/Q11</f>
        <v/>
      </c>
      <c r="R128" s="12">
        <f>R117/R11</f>
        <v/>
      </c>
      <c r="S128" s="41" t="n"/>
      <c r="T128" s="12">
        <f>T117/T11</f>
        <v/>
      </c>
      <c r="U128" s="12">
        <f>U117/U11</f>
        <v/>
      </c>
      <c r="V128" s="41" t="n"/>
      <c r="W128" s="12">
        <f>W117/W11</f>
        <v/>
      </c>
      <c r="X128" s="12">
        <f>X117/X11</f>
        <v/>
      </c>
      <c r="Y128" s="41" t="n"/>
      <c r="Z128" s="12">
        <f>Z117/Z11</f>
        <v/>
      </c>
      <c r="AA128" s="12">
        <f>AA117/AA11</f>
        <v/>
      </c>
      <c r="AB128" s="41" t="n"/>
      <c r="AC128" s="12">
        <f>AC117/AC11</f>
        <v/>
      </c>
      <c r="AD128" s="12">
        <f>AD117/AD11</f>
        <v/>
      </c>
      <c r="AE128" s="41" t="n"/>
      <c r="AF128" s="12">
        <f>AF117/AF11</f>
        <v/>
      </c>
      <c r="AG128" s="12">
        <f>AG117/AG11</f>
        <v/>
      </c>
      <c r="AH128" s="41" t="n"/>
      <c r="AI128" s="12">
        <f>AI117/AI11</f>
        <v/>
      </c>
      <c r="AJ128" s="12">
        <f>AJ117/AJ11</f>
        <v/>
      </c>
      <c r="AK128" s="41" t="n"/>
      <c r="AL128" s="15" t="n"/>
      <c r="AM128" s="22">
        <f>AP128-AO128</f>
        <v/>
      </c>
      <c r="AO128" s="44">
        <f>IF($A$1=$B$1,B128,IF($A$1=$E$1,E128,IF($A$1=$H$1,H128,IF($A$1=$K$1,K128,IF($A$1=$N$1,N128,IF($A$1=$Q$1,Q128,IF($A$1=$T$1,T128,IF($A$1=$W$1,W128,IF($A$1=$Z$1,Z128,IF($A$1=$AC$1,AC128,IF($A$1=$AF$1,AF128,IF($A$1=$AI$1,AI128))))))))))))</f>
        <v/>
      </c>
      <c r="AP128" s="44">
        <f>IF($A$1=$B$1,C128,IF($A$1=$E$1,F128,IF($A$1=$H$1,I128,IF($A$1=$K$1,L128,IF($A$1=$N$1,O128,IF($A$1=$Q$1,R128,IF($A$1=$T$1,U128,IF($A$1=$W$1,X128,IF($A$1=$Z$1,AA128,IF($A$1=$AC$1,AD128,IF($A$1=$AF$1,AG128,IF($A$1=$AI$1,AJ128))))))))))))</f>
        <v/>
      </c>
    </row>
    <row r="129" ht="15.5" customFormat="1" customHeight="1" s="13">
      <c r="A129" s="26" t="inlineStr">
        <is>
          <t>İnci GS Yuasa</t>
        </is>
      </c>
      <c r="B129" s="12">
        <f>B118/B12</f>
        <v/>
      </c>
      <c r="C129" s="12">
        <f>C118/C12</f>
        <v/>
      </c>
      <c r="D129" s="41" t="n"/>
      <c r="E129" s="12">
        <f>E118/E12</f>
        <v/>
      </c>
      <c r="F129" s="12">
        <f>F118/F12</f>
        <v/>
      </c>
      <c r="G129" s="41" t="n"/>
      <c r="H129" s="12">
        <f>H118/H12</f>
        <v/>
      </c>
      <c r="I129" s="12">
        <f>I118/I12</f>
        <v/>
      </c>
      <c r="J129" s="41" t="n"/>
      <c r="K129" s="12">
        <f>K118/K12</f>
        <v/>
      </c>
      <c r="L129" s="12">
        <f>L118/L12</f>
        <v/>
      </c>
      <c r="M129" s="41" t="n"/>
      <c r="N129" s="12">
        <f>N118/N12</f>
        <v/>
      </c>
      <c r="O129" s="12">
        <f>O118/O12</f>
        <v/>
      </c>
      <c r="P129" s="41" t="n"/>
      <c r="Q129" s="12">
        <f>Q118/Q12</f>
        <v/>
      </c>
      <c r="R129" s="12">
        <f>R118/R12</f>
        <v/>
      </c>
      <c r="S129" s="41" t="n"/>
      <c r="T129" s="12">
        <f>T118/T12</f>
        <v/>
      </c>
      <c r="U129" s="12">
        <f>U118/U12</f>
        <v/>
      </c>
      <c r="V129" s="41" t="n"/>
      <c r="W129" s="12">
        <f>W118/W12</f>
        <v/>
      </c>
      <c r="X129" s="12">
        <f>X118/X12</f>
        <v/>
      </c>
      <c r="Y129" s="41" t="n"/>
      <c r="Z129" s="12">
        <f>Z118/Z12</f>
        <v/>
      </c>
      <c r="AA129" s="12">
        <f>AA118/AA12</f>
        <v/>
      </c>
      <c r="AB129" s="41" t="n"/>
      <c r="AC129" s="12">
        <f>AC118/AC12</f>
        <v/>
      </c>
      <c r="AD129" s="12">
        <f>AD118/AD12</f>
        <v/>
      </c>
      <c r="AE129" s="41" t="n"/>
      <c r="AF129" s="12">
        <f>AF118/AF12</f>
        <v/>
      </c>
      <c r="AG129" s="12">
        <f>AG118/AG12</f>
        <v/>
      </c>
      <c r="AH129" s="41" t="n"/>
      <c r="AI129" s="12">
        <f>AI118/AI12</f>
        <v/>
      </c>
      <c r="AJ129" s="12">
        <f>AJ118/AJ12</f>
        <v/>
      </c>
      <c r="AK129" s="41" t="n"/>
      <c r="AL129" s="15" t="n"/>
      <c r="AM129" s="22">
        <f>AP129-AO129</f>
        <v/>
      </c>
      <c r="AO129" s="44">
        <f>IF($A$1=$B$1,B129,IF($A$1=$E$1,E129,IF($A$1=$H$1,H129,IF($A$1=$K$1,K129,IF($A$1=$N$1,N129,IF($A$1=$Q$1,Q129,IF($A$1=$T$1,T129,IF($A$1=$W$1,W129,IF($A$1=$Z$1,Z129,IF($A$1=$AC$1,AC129,IF($A$1=$AF$1,AF129,IF($A$1=$AI$1,AI129))))))))))))</f>
        <v/>
      </c>
      <c r="AP129" s="44">
        <f>IF($A$1=$B$1,C129,IF($A$1=$E$1,F129,IF($A$1=$H$1,I129,IF($A$1=$K$1,L129,IF($A$1=$N$1,O129,IF($A$1=$Q$1,R129,IF($A$1=$T$1,U129,IF($A$1=$W$1,X129,IF($A$1=$Z$1,AA129,IF($A$1=$AC$1,AD129,IF($A$1=$AF$1,AG129,IF($A$1=$AI$1,AJ129))))))))))))</f>
        <v/>
      </c>
    </row>
    <row r="130" ht="15.5" customFormat="1" customHeight="1" s="13">
      <c r="A130" s="26" t="inlineStr">
        <is>
          <t>Yusen İnci Loj.</t>
        </is>
      </c>
      <c r="B130" s="12">
        <f>B119/B13</f>
        <v/>
      </c>
      <c r="C130" s="12">
        <f>C119/C13</f>
        <v/>
      </c>
      <c r="D130" s="41" t="n"/>
      <c r="E130" s="12">
        <f>E119/E13</f>
        <v/>
      </c>
      <c r="F130" s="12">
        <f>F119/F13</f>
        <v/>
      </c>
      <c r="G130" s="41" t="n"/>
      <c r="H130" s="12">
        <f>H119/H13</f>
        <v/>
      </c>
      <c r="I130" s="12">
        <f>I119/I13</f>
        <v/>
      </c>
      <c r="J130" s="41" t="n"/>
      <c r="K130" s="12">
        <f>K119/K13</f>
        <v/>
      </c>
      <c r="L130" s="12">
        <f>L119/L13</f>
        <v/>
      </c>
      <c r="M130" s="41" t="n"/>
      <c r="N130" s="12">
        <f>N119/N13</f>
        <v/>
      </c>
      <c r="O130" s="12">
        <f>O119/O13</f>
        <v/>
      </c>
      <c r="P130" s="41" t="n"/>
      <c r="Q130" s="12">
        <f>Q119/Q13</f>
        <v/>
      </c>
      <c r="R130" s="12">
        <f>R119/R13</f>
        <v/>
      </c>
      <c r="S130" s="41" t="n"/>
      <c r="T130" s="12">
        <f>T119/T13</f>
        <v/>
      </c>
      <c r="U130" s="12">
        <f>U119/U13</f>
        <v/>
      </c>
      <c r="V130" s="41" t="n"/>
      <c r="W130" s="12">
        <f>W119/W13</f>
        <v/>
      </c>
      <c r="X130" s="12">
        <f>X119/X13</f>
        <v/>
      </c>
      <c r="Y130" s="41" t="n"/>
      <c r="Z130" s="12">
        <f>Z119/Z13</f>
        <v/>
      </c>
      <c r="AA130" s="12">
        <f>AA119/AA13</f>
        <v/>
      </c>
      <c r="AB130" s="41" t="n"/>
      <c r="AC130" s="12">
        <f>AC119/AC13</f>
        <v/>
      </c>
      <c r="AD130" s="12">
        <f>AD119/AD13</f>
        <v/>
      </c>
      <c r="AE130" s="41" t="n"/>
      <c r="AF130" s="12">
        <f>AF119/AF13</f>
        <v/>
      </c>
      <c r="AG130" s="12">
        <f>AG119/AG13</f>
        <v/>
      </c>
      <c r="AH130" s="41" t="n"/>
      <c r="AI130" s="12">
        <f>AI119/AI13</f>
        <v/>
      </c>
      <c r="AJ130" s="12">
        <f>AJ119/AJ13</f>
        <v/>
      </c>
      <c r="AK130" s="41" t="n"/>
      <c r="AL130" s="15" t="n"/>
      <c r="AM130" s="22">
        <f>AP130-AO130</f>
        <v/>
      </c>
      <c r="AO130" s="44">
        <f>IF($A$1=$B$1,B130,IF($A$1=$E$1,E130,IF($A$1=$H$1,H130,IF($A$1=$K$1,K130,IF($A$1=$N$1,N130,IF($A$1=$Q$1,Q130,IF($A$1=$T$1,T130,IF($A$1=$W$1,W130,IF($A$1=$Z$1,Z130,IF($A$1=$AC$1,AC130,IF($A$1=$AF$1,AF130,IF($A$1=$AI$1,AI130))))))))))))</f>
        <v/>
      </c>
      <c r="AP130" s="44">
        <f>IF($A$1=$B$1,C130,IF($A$1=$E$1,F130,IF($A$1=$H$1,I130,IF($A$1=$K$1,L130,IF($A$1=$N$1,O130,IF($A$1=$Q$1,R130,IF($A$1=$T$1,U130,IF($A$1=$W$1,X130,IF($A$1=$Z$1,AA130,IF($A$1=$AC$1,AD130,IF($A$1=$AF$1,AG130,IF($A$1=$AI$1,AJ130))))))))))))</f>
        <v/>
      </c>
    </row>
    <row r="131" ht="15.5" customFormat="1" customHeight="1" s="13">
      <c r="A131" s="26" t="inlineStr">
        <is>
          <t>Jantaş</t>
        </is>
      </c>
      <c r="B131" s="12">
        <f>B120/B14</f>
        <v/>
      </c>
      <c r="C131" s="12">
        <f>C120/C14</f>
        <v/>
      </c>
      <c r="D131" s="41" t="n"/>
      <c r="E131" s="12">
        <f>E120/E14</f>
        <v/>
      </c>
      <c r="F131" s="12">
        <f>F120/F14</f>
        <v/>
      </c>
      <c r="G131" s="41" t="n"/>
      <c r="H131" s="12">
        <f>H120/H14</f>
        <v/>
      </c>
      <c r="I131" s="12">
        <f>I120/I14</f>
        <v/>
      </c>
      <c r="J131" s="41" t="n"/>
      <c r="K131" s="12">
        <f>K120/K14</f>
        <v/>
      </c>
      <c r="L131" s="12">
        <f>L120/L14</f>
        <v/>
      </c>
      <c r="M131" s="41" t="n"/>
      <c r="N131" s="12">
        <f>N120/N14</f>
        <v/>
      </c>
      <c r="O131" s="12">
        <f>O120/O14</f>
        <v/>
      </c>
      <c r="P131" s="41" t="n"/>
      <c r="Q131" s="12">
        <f>Q120/Q14</f>
        <v/>
      </c>
      <c r="R131" s="12">
        <f>R120/R14</f>
        <v/>
      </c>
      <c r="S131" s="41" t="n"/>
      <c r="T131" s="12">
        <f>T120/T14</f>
        <v/>
      </c>
      <c r="U131" s="12">
        <f>U120/U14</f>
        <v/>
      </c>
      <c r="V131" s="41" t="n"/>
      <c r="W131" s="12">
        <f>W120/W14</f>
        <v/>
      </c>
      <c r="X131" s="12">
        <f>X120/X14</f>
        <v/>
      </c>
      <c r="Y131" s="41" t="n"/>
      <c r="Z131" s="12">
        <f>Z120/Z14</f>
        <v/>
      </c>
      <c r="AA131" s="12">
        <f>AA120/AA14</f>
        <v/>
      </c>
      <c r="AB131" s="41" t="n"/>
      <c r="AC131" s="12">
        <f>AC120/AC14</f>
        <v/>
      </c>
      <c r="AD131" s="12">
        <f>AD120/AD14</f>
        <v/>
      </c>
      <c r="AE131" s="41" t="n"/>
      <c r="AF131" s="12">
        <f>AF120/AF14</f>
        <v/>
      </c>
      <c r="AG131" s="12">
        <f>AG120/AG14</f>
        <v/>
      </c>
      <c r="AH131" s="41" t="n"/>
      <c r="AI131" s="12">
        <f>AI120/AI14</f>
        <v/>
      </c>
      <c r="AJ131" s="12">
        <f>AJ120/AJ14</f>
        <v/>
      </c>
      <c r="AK131" s="41" t="n"/>
      <c r="AL131" s="15" t="n"/>
      <c r="AM131" s="22">
        <f>AP131-AO131</f>
        <v/>
      </c>
      <c r="AO131" s="44">
        <f>IF($A$1=$B$1,B131,IF($A$1=$E$1,E131,IF($A$1=$H$1,H131,IF($A$1=$K$1,K131,IF($A$1=$N$1,N131,IF($A$1=$Q$1,Q131,IF($A$1=$T$1,T131,IF($A$1=$W$1,W131,IF($A$1=$Z$1,Z131,IF($A$1=$AC$1,AC131,IF($A$1=$AF$1,AF131,IF($A$1=$AI$1,AI131))))))))))))</f>
        <v/>
      </c>
      <c r="AP131" s="44">
        <f>IF($A$1=$B$1,C131,IF($A$1=$E$1,F131,IF($A$1=$H$1,I131,IF($A$1=$K$1,L131,IF($A$1=$N$1,O131,IF($A$1=$Q$1,R131,IF($A$1=$T$1,U131,IF($A$1=$W$1,X131,IF($A$1=$Z$1,AA131,IF($A$1=$AC$1,AD131,IF($A$1=$AF$1,AG131,IF($A$1=$AI$1,AJ131))))))))))))</f>
        <v/>
      </c>
    </row>
    <row r="132" ht="15.5" customFormat="1" customHeight="1" s="13">
      <c r="A132" s="26" t="inlineStr">
        <is>
          <t>Çelik</t>
        </is>
      </c>
      <c r="B132" s="12">
        <f>B121/B15</f>
        <v/>
      </c>
      <c r="C132" s="12">
        <f>C121/C15</f>
        <v/>
      </c>
      <c r="D132" s="41" t="n"/>
      <c r="E132" s="12">
        <f>E121/E15</f>
        <v/>
      </c>
      <c r="F132" s="12">
        <f>F121/F15</f>
        <v/>
      </c>
      <c r="G132" s="41" t="n"/>
      <c r="H132" s="12">
        <f>H121/H15</f>
        <v/>
      </c>
      <c r="I132" s="12">
        <f>I121/I15</f>
        <v/>
      </c>
      <c r="J132" s="41" t="n"/>
      <c r="K132" s="12">
        <f>K121/K15</f>
        <v/>
      </c>
      <c r="L132" s="12">
        <f>L121/L15</f>
        <v/>
      </c>
      <c r="M132" s="41" t="n"/>
      <c r="N132" s="12">
        <f>N121/N15</f>
        <v/>
      </c>
      <c r="O132" s="12">
        <f>O121/O15</f>
        <v/>
      </c>
      <c r="P132" s="41" t="n"/>
      <c r="Q132" s="12">
        <f>Q121/Q15</f>
        <v/>
      </c>
      <c r="R132" s="12">
        <f>R121/R15</f>
        <v/>
      </c>
      <c r="S132" s="41" t="n"/>
      <c r="T132" s="12">
        <f>T121/T15</f>
        <v/>
      </c>
      <c r="U132" s="12">
        <f>U121/U15</f>
        <v/>
      </c>
      <c r="V132" s="41" t="n"/>
      <c r="W132" s="12">
        <f>W121/W15</f>
        <v/>
      </c>
      <c r="X132" s="12">
        <f>X121/X15</f>
        <v/>
      </c>
      <c r="Y132" s="41" t="n"/>
      <c r="Z132" s="12">
        <f>Z121/Z15</f>
        <v/>
      </c>
      <c r="AA132" s="12">
        <f>AA121/AA15</f>
        <v/>
      </c>
      <c r="AB132" s="41" t="n"/>
      <c r="AC132" s="12">
        <f>AC121/AC15</f>
        <v/>
      </c>
      <c r="AD132" s="12">
        <f>AD121/AD15</f>
        <v/>
      </c>
      <c r="AE132" s="41" t="n"/>
      <c r="AF132" s="12">
        <f>AF121/AF15</f>
        <v/>
      </c>
      <c r="AG132" s="12">
        <f>AG121/AG15</f>
        <v/>
      </c>
      <c r="AH132" s="41" t="n"/>
      <c r="AI132" s="12">
        <f>AI121/AI15</f>
        <v/>
      </c>
      <c r="AJ132" s="12">
        <f>AJ121/AJ15</f>
        <v/>
      </c>
      <c r="AK132" s="41" t="n"/>
      <c r="AL132" s="15" t="n"/>
      <c r="AM132" s="22">
        <f>AP132-AO132</f>
        <v/>
      </c>
      <c r="AO132" s="44">
        <f>IF($A$1=$B$1,B132,IF($A$1=$E$1,E132,IF($A$1=$H$1,H132,IF($A$1=$K$1,K132,IF($A$1=$N$1,N132,IF($A$1=$Q$1,Q132,IF($A$1=$T$1,T132,IF($A$1=$W$1,W132,IF($A$1=$Z$1,Z132,IF($A$1=$AC$1,AC132,IF($A$1=$AF$1,AF132,IF($A$1=$AI$1,AI132))))))))))))</f>
        <v/>
      </c>
      <c r="AP132" s="44">
        <f>IF($A$1=$B$1,C132,IF($A$1=$E$1,F132,IF($A$1=$H$1,I132,IF($A$1=$K$1,L132,IF($A$1=$N$1,O132,IF($A$1=$Q$1,R132,IF($A$1=$T$1,U132,IF($A$1=$W$1,X132,IF($A$1=$Z$1,AA132,IF($A$1=$AC$1,AD132,IF($A$1=$AF$1,AG132,IF($A$1=$AI$1,AJ132))))))))))))</f>
        <v/>
      </c>
    </row>
    <row r="133" ht="15.5" customFormat="1" customHeight="1" s="13">
      <c r="A133" s="26" t="inlineStr">
        <is>
          <t>Alüminyum</t>
        </is>
      </c>
      <c r="B133" s="12">
        <f>B122/B16</f>
        <v/>
      </c>
      <c r="C133" s="12">
        <f>C122/C16</f>
        <v/>
      </c>
      <c r="D133" s="41" t="n"/>
      <c r="E133" s="12">
        <f>E122/E16</f>
        <v/>
      </c>
      <c r="F133" s="12">
        <f>F122/F16</f>
        <v/>
      </c>
      <c r="G133" s="41" t="n"/>
      <c r="H133" s="12">
        <f>H122/H16</f>
        <v/>
      </c>
      <c r="I133" s="12">
        <f>I122/I16</f>
        <v/>
      </c>
      <c r="J133" s="41" t="n"/>
      <c r="K133" s="12">
        <f>K122/K16</f>
        <v/>
      </c>
      <c r="L133" s="12">
        <f>L122/L16</f>
        <v/>
      </c>
      <c r="M133" s="41" t="n"/>
      <c r="N133" s="12">
        <f>N122/N16</f>
        <v/>
      </c>
      <c r="O133" s="12">
        <f>O122/O16</f>
        <v/>
      </c>
      <c r="P133" s="41" t="n"/>
      <c r="Q133" s="12">
        <f>Q122/Q16</f>
        <v/>
      </c>
      <c r="R133" s="12">
        <f>R122/R16</f>
        <v/>
      </c>
      <c r="S133" s="41" t="n"/>
      <c r="T133" s="12">
        <f>T122/T16</f>
        <v/>
      </c>
      <c r="U133" s="12">
        <f>U122/U16</f>
        <v/>
      </c>
      <c r="V133" s="41" t="n"/>
      <c r="W133" s="12">
        <f>W122/W16</f>
        <v/>
      </c>
      <c r="X133" s="12">
        <f>X122/X16</f>
        <v/>
      </c>
      <c r="Y133" s="41" t="n"/>
      <c r="Z133" s="12">
        <f>Z122/Z16</f>
        <v/>
      </c>
      <c r="AA133" s="12">
        <f>AA122/AA16</f>
        <v/>
      </c>
      <c r="AB133" s="41" t="n"/>
      <c r="AC133" s="12">
        <f>AC122/AC16</f>
        <v/>
      </c>
      <c r="AD133" s="12">
        <f>AD122/AD16</f>
        <v/>
      </c>
      <c r="AE133" s="41" t="n"/>
      <c r="AF133" s="12">
        <f>AF122/AF16</f>
        <v/>
      </c>
      <c r="AG133" s="12">
        <f>AG122/AG16</f>
        <v/>
      </c>
      <c r="AH133" s="41" t="n"/>
      <c r="AI133" s="12">
        <f>AI122/AI16</f>
        <v/>
      </c>
      <c r="AJ133" s="12">
        <f>AJ122/AJ16</f>
        <v/>
      </c>
      <c r="AK133" s="41" t="n"/>
      <c r="AL133" s="15" t="n"/>
      <c r="AM133" s="22">
        <f>AP133-AO133</f>
        <v/>
      </c>
      <c r="AO133" s="44">
        <f>IF($A$1=$B$1,B133,IF($A$1=$E$1,E133,IF($A$1=$H$1,H133,IF($A$1=$K$1,K133,IF($A$1=$N$1,N133,IF($A$1=$Q$1,Q133,IF($A$1=$T$1,T133,IF($A$1=$W$1,W133,IF($A$1=$Z$1,Z133,IF($A$1=$AC$1,AC133,IF($A$1=$AF$1,AF133,IF($A$1=$AI$1,AI133))))))))))))</f>
        <v/>
      </c>
      <c r="AP133" s="44">
        <f>IF($A$1=$B$1,C133,IF($A$1=$E$1,F133,IF($A$1=$H$1,I133,IF($A$1=$K$1,L133,IF($A$1=$N$1,O133,IF($A$1=$Q$1,R133,IF($A$1=$T$1,U133,IF($A$1=$W$1,X133,IF($A$1=$Z$1,AA133,IF($A$1=$AC$1,AD133,IF($A$1=$AF$1,AG133,IF($A$1=$AI$1,AJ133))))))))))))</f>
        <v/>
      </c>
    </row>
    <row r="134" ht="15.5" customFormat="1" customHeight="1" s="13">
      <c r="A134" s="26" t="n"/>
      <c r="B134" s="12" t="n"/>
      <c r="C134" s="30" t="n"/>
      <c r="D134" s="41" t="n"/>
      <c r="E134" s="12" t="n"/>
      <c r="F134" s="30" t="n"/>
      <c r="G134" s="41" t="n"/>
      <c r="H134" s="12" t="n"/>
      <c r="I134" s="30" t="n"/>
      <c r="J134" s="41" t="n"/>
      <c r="K134" s="12" t="n"/>
      <c r="L134" s="30" t="n"/>
      <c r="M134" s="41" t="n"/>
      <c r="N134" s="12" t="n"/>
      <c r="O134" s="30" t="n"/>
      <c r="P134" s="41" t="n"/>
      <c r="Q134" s="12" t="n"/>
      <c r="R134" s="30" t="n"/>
      <c r="S134" s="41" t="n"/>
      <c r="T134" s="12" t="n"/>
      <c r="U134" s="30" t="n"/>
      <c r="V134" s="41" t="n"/>
      <c r="W134" s="12" t="n"/>
      <c r="X134" s="30" t="n"/>
      <c r="Y134" s="41" t="n"/>
      <c r="Z134" s="12" t="n"/>
      <c r="AA134" s="30" t="n"/>
      <c r="AB134" s="41" t="n"/>
      <c r="AC134" s="12" t="n"/>
      <c r="AD134" s="30" t="n"/>
      <c r="AE134" s="41" t="n"/>
      <c r="AF134" s="12" t="n"/>
      <c r="AG134" s="30" t="n"/>
      <c r="AH134" s="41" t="n"/>
      <c r="AI134" s="12" t="n"/>
      <c r="AJ134" s="30" t="n"/>
      <c r="AK134" s="41" t="n"/>
      <c r="AL134" s="15" t="n"/>
      <c r="AM134" s="22" t="n"/>
      <c r="AO134" s="44" t="n"/>
      <c r="AP134" s="44" t="n"/>
    </row>
    <row r="135" ht="15.5" customFormat="1" customHeight="1" s="13">
      <c r="A135" s="26" t="n"/>
      <c r="B135" s="12" t="n"/>
      <c r="C135" s="30" t="n"/>
      <c r="D135" s="41" t="n"/>
      <c r="E135" s="12" t="n"/>
      <c r="F135" s="30" t="n"/>
      <c r="G135" s="41" t="n"/>
      <c r="H135" s="12" t="n"/>
      <c r="I135" s="30" t="n"/>
      <c r="J135" s="41" t="n"/>
      <c r="K135" s="12" t="n"/>
      <c r="L135" s="30" t="n"/>
      <c r="M135" s="41" t="n"/>
      <c r="N135" s="12" t="n"/>
      <c r="O135" s="30" t="n"/>
      <c r="P135" s="41" t="n"/>
      <c r="Q135" s="12" t="n"/>
      <c r="R135" s="30" t="n"/>
      <c r="S135" s="41" t="n"/>
      <c r="T135" s="12" t="n"/>
      <c r="U135" s="30" t="n"/>
      <c r="V135" s="41" t="n"/>
      <c r="W135" s="12" t="n"/>
      <c r="X135" s="30" t="n"/>
      <c r="Y135" s="41" t="n"/>
      <c r="Z135" s="12" t="n"/>
      <c r="AA135" s="30" t="n"/>
      <c r="AB135" s="41" t="n"/>
      <c r="AC135" s="12" t="n"/>
      <c r="AD135" s="30" t="n"/>
      <c r="AE135" s="41" t="n"/>
      <c r="AF135" s="12" t="n"/>
      <c r="AG135" s="30" t="n"/>
      <c r="AH135" s="41" t="n"/>
      <c r="AI135" s="12" t="n"/>
      <c r="AJ135" s="30" t="n"/>
      <c r="AK135" s="41" t="n"/>
      <c r="AL135" s="15" t="n"/>
      <c r="AM135" s="22" t="n"/>
      <c r="AO135" s="44" t="n"/>
      <c r="AP135" s="44" t="n"/>
    </row>
    <row r="136" ht="15.5" customFormat="1" customHeight="1" s="44">
      <c r="A136" s="31" t="inlineStr">
        <is>
          <t>EBİTDA</t>
        </is>
      </c>
      <c r="B136" s="32">
        <f>'Bütçe aylık-Eur'!$B$81</f>
        <v/>
      </c>
      <c r="C136" s="32">
        <f>'gerç aylık-eur'!$B$80</f>
        <v/>
      </c>
      <c r="D136" s="18" t="n"/>
      <c r="E136" s="32">
        <f>'Bütçe aylık-Eur'!$C$81</f>
        <v/>
      </c>
      <c r="F136" s="32">
        <f>'gerç aylık-eur'!$C$80</f>
        <v/>
      </c>
      <c r="G136" s="18" t="n"/>
      <c r="H136" s="32">
        <f>'Bütçe aylık-Eur'!$D$81</f>
        <v/>
      </c>
      <c r="I136" s="32">
        <f>'gerç aylık-eur'!$D$80</f>
        <v/>
      </c>
      <c r="J136" s="18" t="n"/>
      <c r="K136" s="32">
        <f>'Bütçe aylık-Eur'!$E$81</f>
        <v/>
      </c>
      <c r="L136" s="32">
        <f>'gerç aylık-eur'!$E$80</f>
        <v/>
      </c>
      <c r="M136" s="18" t="n"/>
      <c r="N136" s="32">
        <f>'Bütçe aylık-Eur'!$F$81</f>
        <v/>
      </c>
      <c r="O136" s="32">
        <f>'gerç aylık-eur'!$F$80</f>
        <v/>
      </c>
      <c r="P136" s="18" t="n"/>
      <c r="Q136" s="32">
        <f>'Bütçe aylık-Eur'!$G$81</f>
        <v/>
      </c>
      <c r="R136" s="32">
        <f>'gerç aylık-eur'!$G$80</f>
        <v/>
      </c>
      <c r="S136" s="18" t="n"/>
      <c r="T136" s="32">
        <f>'Bütçe aylık-Eur'!$H$81</f>
        <v/>
      </c>
      <c r="U136" s="32">
        <f>'gerç aylık-eur'!$H$80</f>
        <v/>
      </c>
      <c r="V136" s="18" t="n"/>
      <c r="W136" s="32">
        <f>'Bütçe aylık-Eur'!$I$81</f>
        <v/>
      </c>
      <c r="X136" s="32">
        <f>'gerç aylık-eur'!$I$80</f>
        <v/>
      </c>
      <c r="Y136" s="18" t="n"/>
      <c r="Z136" s="32">
        <f>'Bütçe aylık-Eur'!$J$81</f>
        <v/>
      </c>
      <c r="AA136" s="32">
        <f>'gerç aylık-eur'!$J$80</f>
        <v/>
      </c>
      <c r="AB136" s="18" t="n"/>
      <c r="AC136" s="32">
        <f>'Bütçe aylık-Eur'!$K$81</f>
        <v/>
      </c>
      <c r="AD136" s="32">
        <f>'gerç aylık-eur'!$K$80</f>
        <v/>
      </c>
      <c r="AE136" s="18" t="n"/>
      <c r="AF136" s="32">
        <f>'Bütçe aylık-Eur'!$L$81</f>
        <v/>
      </c>
      <c r="AG136" s="32">
        <f>'gerç aylık-eur'!$L$80</f>
        <v/>
      </c>
      <c r="AH136" s="18" t="n"/>
      <c r="AI136" s="32">
        <f>'Bütçe aylık-Eur'!$M$81</f>
        <v/>
      </c>
      <c r="AJ136" s="32">
        <f>'gerç aylık-eur'!$M$80</f>
        <v/>
      </c>
      <c r="AK136" s="18" t="n"/>
      <c r="AL136" s="33">
        <f>AP136-AO136</f>
        <v/>
      </c>
      <c r="AM136" s="34">
        <f>AP136/AO136-1</f>
        <v/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/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/>
      </c>
    </row>
    <row r="137" ht="15.5" customFormat="1" customHeight="1" s="13">
      <c r="A137" s="27" t="n"/>
      <c r="B137" s="30" t="n"/>
      <c r="C137" s="30" t="n"/>
      <c r="D137" s="41" t="n"/>
      <c r="E137" s="30" t="n"/>
      <c r="F137" s="30" t="n"/>
      <c r="G137" s="41" t="n"/>
      <c r="H137" s="30" t="n"/>
      <c r="I137" s="30" t="n"/>
      <c r="J137" s="41" t="n"/>
      <c r="K137" s="30" t="n"/>
      <c r="L137" s="30" t="n"/>
      <c r="M137" s="41" t="n"/>
      <c r="N137" s="30" t="n"/>
      <c r="O137" s="30" t="n"/>
      <c r="P137" s="41" t="n"/>
      <c r="Q137" s="30" t="n"/>
      <c r="R137" s="30" t="n"/>
      <c r="S137" s="41" t="n"/>
      <c r="T137" s="30" t="n"/>
      <c r="U137" s="30" t="n"/>
      <c r="V137" s="41" t="n"/>
      <c r="W137" s="30" t="n"/>
      <c r="X137" s="30" t="n"/>
      <c r="Y137" s="41" t="n"/>
      <c r="Z137" s="30" t="n"/>
      <c r="AA137" s="30" t="n"/>
      <c r="AB137" s="41" t="n"/>
      <c r="AC137" s="30" t="n"/>
      <c r="AD137" s="30" t="n"/>
      <c r="AE137" s="41" t="n"/>
      <c r="AF137" s="30" t="n"/>
      <c r="AG137" s="30" t="n"/>
      <c r="AH137" s="41" t="n"/>
      <c r="AI137" s="30" t="n"/>
      <c r="AJ137" s="30" t="n"/>
      <c r="AK137" s="41" t="n"/>
      <c r="AL137" s="15" t="n"/>
      <c r="AM137" s="22" t="n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/>
      </c>
      <c r="AP137" s="44">
        <f>IF($A$1=$B$1,C137,IF($A$1=$E$1,F137,IF($A$1=$H$1,I137,IF($A$1=$K$1,L137,IF($A$1=$N$1,O137,IF($A$1=$Q$1,R137,IF($A$1=$T$1,U137,IF($A$1=$W$1,X137,IF($A$1=$Z$1,AA137,IF($A$1=$AC$1,AD137,IF($A$1=$AF$1,AG137,IF($A$1=$AI$1,AJ137))))))))))))</f>
        <v/>
      </c>
    </row>
    <row r="138" ht="17" customFormat="1" customHeight="1" s="49">
      <c r="A138" s="47" t="inlineStr">
        <is>
          <t>Ebitda by channels (100%)</t>
        </is>
      </c>
      <c r="B138" s="413" t="n"/>
      <c r="C138" s="413" t="n"/>
      <c r="D138" s="413" t="n"/>
      <c r="E138" s="413" t="n"/>
      <c r="F138" s="413" t="n"/>
      <c r="G138" s="413" t="n"/>
      <c r="H138" s="413" t="n"/>
      <c r="I138" s="413" t="n"/>
      <c r="J138" s="413" t="n"/>
      <c r="K138" s="413" t="n"/>
      <c r="L138" s="413" t="n"/>
      <c r="M138" s="413" t="n"/>
      <c r="N138" s="413" t="n"/>
      <c r="O138" s="413" t="n"/>
      <c r="P138" s="413" t="n"/>
      <c r="Q138" s="413" t="n"/>
      <c r="R138" s="413" t="n"/>
      <c r="S138" s="413" t="n"/>
      <c r="T138" s="413" t="n"/>
      <c r="U138" s="413" t="n"/>
      <c r="V138" s="413" t="n"/>
      <c r="W138" s="413" t="n"/>
      <c r="X138" s="413" t="n"/>
      <c r="Y138" s="413" t="n"/>
      <c r="Z138" s="413" t="n"/>
      <c r="AA138" s="413" t="n"/>
      <c r="AB138" s="413" t="n"/>
      <c r="AC138" s="413" t="n"/>
      <c r="AD138" s="413" t="n"/>
      <c r="AE138" s="413" t="n"/>
      <c r="AF138" s="413" t="n"/>
      <c r="AG138" s="413" t="n"/>
      <c r="AH138" s="413" t="n"/>
      <c r="AI138" s="413" t="n"/>
      <c r="AJ138" s="413" t="n"/>
      <c r="AK138" s="413" t="n"/>
      <c r="AL138" s="413" t="n"/>
      <c r="AM138" s="48" t="n"/>
    </row>
    <row r="139" ht="15.5" customHeight="1">
      <c r="A139" s="26" t="inlineStr">
        <is>
          <t xml:space="preserve">İnci Holding </t>
        </is>
      </c>
      <c r="B139" s="7">
        <f>'Bütçe aylık-Eur'!$B$82</f>
        <v/>
      </c>
      <c r="C139" s="7">
        <f>'gerç aylık-eur'!$B$81</f>
        <v/>
      </c>
      <c r="D139" s="7" t="n"/>
      <c r="E139" s="7">
        <f>'Bütçe aylık-Eur'!$C$82</f>
        <v/>
      </c>
      <c r="F139" s="7">
        <f>'gerç aylık-eur'!$C$81</f>
        <v/>
      </c>
      <c r="G139" s="7" t="n"/>
      <c r="H139" s="7">
        <f>'Bütçe aylık-Eur'!$D$82</f>
        <v/>
      </c>
      <c r="I139" s="7">
        <f>'gerç aylık-eur'!$D$81</f>
        <v/>
      </c>
      <c r="J139" s="7" t="n"/>
      <c r="K139" s="7">
        <f>'Bütçe aylık-Eur'!$E$82</f>
        <v/>
      </c>
      <c r="L139" s="7">
        <f>'gerç aylık-eur'!$E$81</f>
        <v/>
      </c>
      <c r="M139" s="7" t="n"/>
      <c r="N139" s="7">
        <f>'Bütçe aylık-Eur'!$F$82</f>
        <v/>
      </c>
      <c r="O139" s="7">
        <f>'gerç aylık-eur'!$F$81</f>
        <v/>
      </c>
      <c r="P139" s="7" t="n"/>
      <c r="Q139" s="7">
        <f>'Bütçe aylık-Eur'!$G$82</f>
        <v/>
      </c>
      <c r="R139" s="7">
        <f>'gerç aylık-eur'!$G$81</f>
        <v/>
      </c>
      <c r="S139" s="7" t="n"/>
      <c r="T139" s="7">
        <f>'Bütçe aylık-Eur'!$H$82</f>
        <v/>
      </c>
      <c r="U139" s="7">
        <f>'gerç aylık-eur'!$H$81</f>
        <v/>
      </c>
      <c r="V139" s="7" t="n"/>
      <c r="W139" s="7">
        <f>'Bütçe aylık-Eur'!$I$82</f>
        <v/>
      </c>
      <c r="X139" s="7">
        <f>'gerç aylık-eur'!$I$81</f>
        <v/>
      </c>
      <c r="Y139" s="7" t="n"/>
      <c r="Z139" s="7">
        <f>'Bütçe aylık-Eur'!$J$82</f>
        <v/>
      </c>
      <c r="AA139" s="7">
        <f>'gerç aylık-eur'!$J$81</f>
        <v/>
      </c>
      <c r="AB139" s="7" t="n"/>
      <c r="AC139" s="7">
        <f>'Bütçe aylık-Eur'!$K$82</f>
        <v/>
      </c>
      <c r="AD139" s="7">
        <f>'gerç aylık-eur'!$K$81</f>
        <v/>
      </c>
      <c r="AE139" s="7" t="n"/>
      <c r="AF139" s="7">
        <f>'Bütçe aylık-Eur'!$L$82</f>
        <v/>
      </c>
      <c r="AG139" s="7">
        <f>'gerç aylık-eur'!$L$81</f>
        <v/>
      </c>
      <c r="AH139" s="7" t="n"/>
      <c r="AI139" s="7">
        <f>'Bütçe aylık-Eur'!$M$82</f>
        <v/>
      </c>
      <c r="AJ139" s="7">
        <f>'gerç aylık-eur'!$M$81</f>
        <v/>
      </c>
      <c r="AK139" s="7" t="n"/>
      <c r="AL139" s="21">
        <f>AP139-AO139</f>
        <v/>
      </c>
      <c r="AM139" s="22">
        <f>AP139/AO139-1</f>
        <v/>
      </c>
      <c r="AO139" s="44">
        <f>IF($A$1=$B$1,B139,IF($A$1=$E$1,E139,IF($A$1=$H$1,H139,IF($A$1=$K$1,K139,IF($A$1=$N$1,N139,IF($A$1=$Q$1,Q139,IF($A$1=$T$1,T139,IF($A$1=$W$1,W139,IF($A$1=$Z$1,Z139,IF($A$1=$AC$1,AC139,IF($A$1=$AF$1,AF139,IF($A$1=$AI$1,AI139))))))))))))</f>
        <v/>
      </c>
      <c r="AP139" s="44">
        <f>IF($A$1=$B$1,C139,IF($A$1=$E$1,F139,IF($A$1=$H$1,I139,IF($A$1=$K$1,L139,IF($A$1=$N$1,O139,IF($A$1=$Q$1,R139,IF($A$1=$T$1,U139,IF($A$1=$W$1,X139,IF($A$1=$Z$1,AA139,IF($A$1=$AC$1,AD139,IF($A$1=$AF$1,AG139,IF($A$1=$AI$1,AJ139))))))))))))</f>
        <v/>
      </c>
    </row>
    <row r="140" ht="15.5" customHeight="1">
      <c r="A140" s="26" t="inlineStr">
        <is>
          <t xml:space="preserve">ISM </t>
        </is>
      </c>
      <c r="B140" s="7">
        <f>'Bütçe aylık-Eur'!$B$83</f>
        <v/>
      </c>
      <c r="C140" s="7">
        <f>'gerç aylık-eur'!$B$82</f>
        <v/>
      </c>
      <c r="D140" s="7" t="n"/>
      <c r="E140" s="7">
        <f>'Bütçe aylık-Eur'!$C$83</f>
        <v/>
      </c>
      <c r="F140" s="7">
        <f>'gerç aylık-eur'!$C$82</f>
        <v/>
      </c>
      <c r="G140" s="7" t="n"/>
      <c r="H140" s="7">
        <f>'Bütçe aylık-Eur'!$D$83</f>
        <v/>
      </c>
      <c r="I140" s="7">
        <f>'gerç aylık-eur'!$D$82</f>
        <v/>
      </c>
      <c r="J140" s="7" t="n"/>
      <c r="K140" s="7">
        <f>'Bütçe aylık-Eur'!$E$83</f>
        <v/>
      </c>
      <c r="L140" s="7">
        <f>'gerç aylık-eur'!$E$82</f>
        <v/>
      </c>
      <c r="M140" s="7" t="n"/>
      <c r="N140" s="7">
        <f>'Bütçe aylık-Eur'!$F$83</f>
        <v/>
      </c>
      <c r="O140" s="7">
        <f>'gerç aylık-eur'!$F$82</f>
        <v/>
      </c>
      <c r="P140" s="7" t="n"/>
      <c r="Q140" s="7">
        <f>'Bütçe aylık-Eur'!$G$83</f>
        <v/>
      </c>
      <c r="R140" s="7">
        <f>'gerç aylık-eur'!$G$82</f>
        <v/>
      </c>
      <c r="S140" s="7" t="n"/>
      <c r="T140" s="7">
        <f>'Bütçe aylık-Eur'!$H$83</f>
        <v/>
      </c>
      <c r="U140" s="7">
        <f>'gerç aylık-eur'!$H$82</f>
        <v/>
      </c>
      <c r="V140" s="7" t="n"/>
      <c r="W140" s="7">
        <f>'Bütçe aylık-Eur'!$I$83</f>
        <v/>
      </c>
      <c r="X140" s="7">
        <f>'gerç aylık-eur'!$I$82</f>
        <v/>
      </c>
      <c r="Y140" s="7" t="n"/>
      <c r="Z140" s="7">
        <f>'Bütçe aylık-Eur'!$J$83</f>
        <v/>
      </c>
      <c r="AA140" s="7">
        <f>'gerç aylık-eur'!$J$82</f>
        <v/>
      </c>
      <c r="AB140" s="7" t="n"/>
      <c r="AC140" s="7">
        <f>'Bütçe aylık-Eur'!$K$83</f>
        <v/>
      </c>
      <c r="AD140" s="7">
        <f>'gerç aylık-eur'!$K$82</f>
        <v/>
      </c>
      <c r="AE140" s="7" t="n"/>
      <c r="AF140" s="7">
        <f>'Bütçe aylık-Eur'!$L$83</f>
        <v/>
      </c>
      <c r="AG140" s="7">
        <f>'gerç aylık-eur'!$L$82</f>
        <v/>
      </c>
      <c r="AH140" s="7" t="n"/>
      <c r="AI140" s="7">
        <f>'Bütçe aylık-Eur'!$M$83</f>
        <v/>
      </c>
      <c r="AJ140" s="7">
        <f>'gerç aylık-eur'!$M$82</f>
        <v/>
      </c>
      <c r="AK140" s="7" t="n"/>
      <c r="AL140" s="21">
        <f>AP140-AO140</f>
        <v/>
      </c>
      <c r="AM140" s="22">
        <f>AP140/AO140-1</f>
        <v/>
      </c>
      <c r="AO140" s="44">
        <f>IF($A$1=$B$1,B140,IF($A$1=$E$1,E140,IF($A$1=$H$1,H140,IF($A$1=$K$1,K140,IF($A$1=$N$1,N140,IF($A$1=$Q$1,Q140,IF($A$1=$T$1,T140,IF($A$1=$W$1,W140,IF($A$1=$Z$1,Z140,IF($A$1=$AC$1,AC140,IF($A$1=$AF$1,AF140,IF($A$1=$AI$1,AI140))))))))))))</f>
        <v/>
      </c>
      <c r="AP140" s="44">
        <f>IF($A$1=$B$1,C140,IF($A$1=$E$1,F140,IF($A$1=$H$1,I140,IF($A$1=$K$1,L140,IF($A$1=$N$1,O140,IF($A$1=$Q$1,R140,IF($A$1=$T$1,U140,IF($A$1=$W$1,X140,IF($A$1=$Z$1,AA140,IF($A$1=$AC$1,AD140,IF($A$1=$AF$1,AG140,IF($A$1=$AI$1,AJ140))))))))))))</f>
        <v/>
      </c>
    </row>
    <row r="141" ht="15.5" customHeight="1">
      <c r="A141" s="26" t="inlineStr">
        <is>
          <t>İncitaş</t>
        </is>
      </c>
      <c r="B141" s="7">
        <f>'Bütçe aylık-Eur'!$B$84</f>
        <v/>
      </c>
      <c r="C141" s="7">
        <f>'gerç aylık-eur'!$B$83</f>
        <v/>
      </c>
      <c r="D141" s="7" t="n"/>
      <c r="E141" s="7">
        <f>'Bütçe aylık-Eur'!$C$84</f>
        <v/>
      </c>
      <c r="F141" s="7">
        <f>'gerç aylık-eur'!$C$83</f>
        <v/>
      </c>
      <c r="G141" s="7" t="n"/>
      <c r="H141" s="7">
        <f>'Bütçe aylık-Eur'!$D$84</f>
        <v/>
      </c>
      <c r="I141" s="7">
        <f>'gerç aylık-eur'!$D$83</f>
        <v/>
      </c>
      <c r="J141" s="7" t="n"/>
      <c r="K141" s="7">
        <f>'Bütçe aylık-Eur'!$E$84</f>
        <v/>
      </c>
      <c r="L141" s="7">
        <f>'gerç aylık-eur'!$E$83</f>
        <v/>
      </c>
      <c r="M141" s="7" t="n"/>
      <c r="N141" s="7">
        <f>'Bütçe aylık-Eur'!$F$84</f>
        <v/>
      </c>
      <c r="O141" s="7">
        <f>'gerç aylık-eur'!$F$83</f>
        <v/>
      </c>
      <c r="P141" s="7" t="n"/>
      <c r="Q141" s="7">
        <f>'Bütçe aylık-Eur'!$G$84</f>
        <v/>
      </c>
      <c r="R141" s="7">
        <f>'gerç aylık-eur'!$G$83</f>
        <v/>
      </c>
      <c r="S141" s="7" t="n"/>
      <c r="T141" s="7">
        <f>'Bütçe aylık-Eur'!$H$84</f>
        <v/>
      </c>
      <c r="U141" s="7">
        <f>'gerç aylık-eur'!$H$83</f>
        <v/>
      </c>
      <c r="V141" s="7" t="n"/>
      <c r="W141" s="7">
        <f>'Bütçe aylık-Eur'!$I$84</f>
        <v/>
      </c>
      <c r="X141" s="7">
        <f>'gerç aylık-eur'!$I$83</f>
        <v/>
      </c>
      <c r="Y141" s="7" t="n"/>
      <c r="Z141" s="7">
        <f>'Bütçe aylık-Eur'!$J$84</f>
        <v/>
      </c>
      <c r="AA141" s="7">
        <f>'gerç aylık-eur'!$J$83</f>
        <v/>
      </c>
      <c r="AB141" s="7" t="n"/>
      <c r="AC141" s="7">
        <f>'Bütçe aylık-Eur'!$K$84</f>
        <v/>
      </c>
      <c r="AD141" s="7">
        <f>'gerç aylık-eur'!$K$83</f>
        <v/>
      </c>
      <c r="AE141" s="7" t="n"/>
      <c r="AF141" s="7">
        <f>'Bütçe aylık-Eur'!$L$84</f>
        <v/>
      </c>
      <c r="AG141" s="7">
        <f>'gerç aylık-eur'!$L$83</f>
        <v/>
      </c>
      <c r="AH141" s="7" t="n"/>
      <c r="AI141" s="7">
        <f>'Bütçe aylık-Eur'!$M$84</f>
        <v/>
      </c>
      <c r="AJ141" s="7">
        <f>'gerç aylık-eur'!$M$83</f>
        <v/>
      </c>
      <c r="AK141" s="7" t="n"/>
      <c r="AL141" s="21">
        <f>AP141-AO141</f>
        <v/>
      </c>
      <c r="AM141" s="22">
        <f>AP141/AO141-1</f>
        <v/>
      </c>
      <c r="AO141" s="44">
        <f>IF($A$1=$B$1,B141,IF($A$1=$E$1,E141,IF($A$1=$H$1,H141,IF($A$1=$K$1,K141,IF($A$1=$N$1,N141,IF($A$1=$Q$1,Q141,IF($A$1=$T$1,T141,IF($A$1=$W$1,W141,IF($A$1=$Z$1,Z141,IF($A$1=$AC$1,AC141,IF($A$1=$AF$1,AF141,IF($A$1=$AI$1,AI141))))))))))))</f>
        <v/>
      </c>
      <c r="AP141" s="44">
        <f>IF($A$1=$B$1,C141,IF($A$1=$E$1,F141,IF($A$1=$H$1,I141,IF($A$1=$K$1,L141,IF($A$1=$N$1,O141,IF($A$1=$Q$1,R141,IF($A$1=$T$1,U141,IF($A$1=$W$1,X141,IF($A$1=$Z$1,AA141,IF($A$1=$AC$1,AD141,IF($A$1=$AF$1,AG141,IF($A$1=$AI$1,AJ141))))))))))))</f>
        <v/>
      </c>
    </row>
    <row r="142" ht="15.5" customHeight="1">
      <c r="A142" s="26" t="inlineStr">
        <is>
          <t>İnci GS Yuasa</t>
        </is>
      </c>
      <c r="B142" s="7">
        <f>'Bütçe aylık-Eur'!$B$85</f>
        <v/>
      </c>
      <c r="C142" s="7">
        <f>'gerç aylık-eur'!$B$84</f>
        <v/>
      </c>
      <c r="D142" s="7" t="n"/>
      <c r="E142" s="7">
        <f>'Bütçe aylık-Eur'!$C$85</f>
        <v/>
      </c>
      <c r="F142" s="7">
        <f>'gerç aylık-eur'!$C$84</f>
        <v/>
      </c>
      <c r="G142" s="7" t="n"/>
      <c r="H142" s="7">
        <f>'Bütçe aylık-Eur'!$D$85</f>
        <v/>
      </c>
      <c r="I142" s="7">
        <f>'gerç aylık-eur'!$D$84</f>
        <v/>
      </c>
      <c r="J142" s="7" t="n"/>
      <c r="K142" s="7">
        <f>'Bütçe aylık-Eur'!$E$85</f>
        <v/>
      </c>
      <c r="L142" s="7">
        <f>'gerç aylık-eur'!$E$84</f>
        <v/>
      </c>
      <c r="M142" s="7" t="n"/>
      <c r="N142" s="7">
        <f>'Bütçe aylık-Eur'!$F$85</f>
        <v/>
      </c>
      <c r="O142" s="7">
        <f>'gerç aylık-eur'!$F$84</f>
        <v/>
      </c>
      <c r="P142" s="7" t="n"/>
      <c r="Q142" s="7">
        <f>'Bütçe aylık-Eur'!$G$85</f>
        <v/>
      </c>
      <c r="R142" s="7">
        <f>'gerç aylık-eur'!$G$84</f>
        <v/>
      </c>
      <c r="S142" s="7" t="n"/>
      <c r="T142" s="7">
        <f>'Bütçe aylık-Eur'!$H$85</f>
        <v/>
      </c>
      <c r="U142" s="7">
        <f>'gerç aylık-eur'!$H$84</f>
        <v/>
      </c>
      <c r="V142" s="7" t="n"/>
      <c r="W142" s="7">
        <f>'Bütçe aylık-Eur'!$I$85</f>
        <v/>
      </c>
      <c r="X142" s="7">
        <f>'gerç aylık-eur'!$I$84</f>
        <v/>
      </c>
      <c r="Y142" s="7" t="n"/>
      <c r="Z142" s="7">
        <f>'Bütçe aylık-Eur'!$J$85</f>
        <v/>
      </c>
      <c r="AA142" s="7">
        <f>'gerç aylık-eur'!$J$84</f>
        <v/>
      </c>
      <c r="AB142" s="7" t="n"/>
      <c r="AC142" s="7">
        <f>'Bütçe aylık-Eur'!$K$85</f>
        <v/>
      </c>
      <c r="AD142" s="7">
        <f>'gerç aylık-eur'!$K$84</f>
        <v/>
      </c>
      <c r="AE142" s="7" t="n"/>
      <c r="AF142" s="7">
        <f>'Bütçe aylık-Eur'!$L$85</f>
        <v/>
      </c>
      <c r="AG142" s="7">
        <f>'gerç aylık-eur'!$L$84</f>
        <v/>
      </c>
      <c r="AH142" s="7" t="n"/>
      <c r="AI142" s="7">
        <f>'Bütçe aylık-Eur'!$M$85</f>
        <v/>
      </c>
      <c r="AJ142" s="7">
        <f>'gerç aylık-eur'!$M$84</f>
        <v/>
      </c>
      <c r="AK142" s="7" t="n"/>
      <c r="AL142" s="21">
        <f>AP142-AO142</f>
        <v/>
      </c>
      <c r="AM142" s="22">
        <f>AP142/AO142-1</f>
        <v/>
      </c>
      <c r="AO142" s="44">
        <f>IF($A$1=$B$1,B142,IF($A$1=$E$1,E142,IF($A$1=$H$1,H142,IF($A$1=$K$1,K142,IF($A$1=$N$1,N142,IF($A$1=$Q$1,Q142,IF($A$1=$T$1,T142,IF($A$1=$W$1,W142,IF($A$1=$Z$1,Z142,IF($A$1=$AC$1,AC142,IF($A$1=$AF$1,AF142,IF($A$1=$AI$1,AI142))))))))))))</f>
        <v/>
      </c>
      <c r="AP142" s="44">
        <f>IF($A$1=$B$1,C142,IF($A$1=$E$1,F142,IF($A$1=$H$1,I142,IF($A$1=$K$1,L142,IF($A$1=$N$1,O142,IF($A$1=$Q$1,R142,IF($A$1=$T$1,U142,IF($A$1=$W$1,X142,IF($A$1=$Z$1,AA142,IF($A$1=$AC$1,AD142,IF($A$1=$AF$1,AG142,IF($A$1=$AI$1,AJ142))))))))))))</f>
        <v/>
      </c>
    </row>
    <row r="143" ht="15.5" customFormat="1" customHeight="1" s="1">
      <c r="A143" s="26" t="inlineStr">
        <is>
          <t>Yusen İnci Loj.</t>
        </is>
      </c>
      <c r="B143" s="7">
        <f>'Bütçe aylık-Eur'!$B$86</f>
        <v/>
      </c>
      <c r="C143" s="7">
        <f>'gerç aylık-eur'!$B$85</f>
        <v/>
      </c>
      <c r="D143" s="8" t="n"/>
      <c r="E143" s="7">
        <f>'Bütçe aylık-Eur'!$C$86</f>
        <v/>
      </c>
      <c r="F143" s="7">
        <f>'gerç aylık-eur'!$C$85</f>
        <v/>
      </c>
      <c r="G143" s="8" t="n"/>
      <c r="H143" s="7">
        <f>'Bütçe aylık-Eur'!$D$86</f>
        <v/>
      </c>
      <c r="I143" s="7">
        <f>'gerç aylık-eur'!$D$85</f>
        <v/>
      </c>
      <c r="J143" s="8" t="n"/>
      <c r="K143" s="7">
        <f>'Bütçe aylık-Eur'!$E$86</f>
        <v/>
      </c>
      <c r="L143" s="7">
        <f>'gerç aylık-eur'!$E$85</f>
        <v/>
      </c>
      <c r="M143" s="8" t="n"/>
      <c r="N143" s="7">
        <f>'Bütçe aylık-Eur'!$F$86</f>
        <v/>
      </c>
      <c r="O143" s="7">
        <f>'gerç aylık-eur'!$F$85</f>
        <v/>
      </c>
      <c r="P143" s="8" t="n"/>
      <c r="Q143" s="7">
        <f>'Bütçe aylık-Eur'!$G$86</f>
        <v/>
      </c>
      <c r="R143" s="7">
        <f>'gerç aylık-eur'!$G$85</f>
        <v/>
      </c>
      <c r="S143" s="8" t="n"/>
      <c r="T143" s="7">
        <f>'Bütçe aylık-Eur'!$H$86</f>
        <v/>
      </c>
      <c r="U143" s="7">
        <f>'gerç aylık-eur'!$H$85</f>
        <v/>
      </c>
      <c r="V143" s="8" t="n"/>
      <c r="W143" s="7">
        <f>'Bütçe aylık-Eur'!$I$86</f>
        <v/>
      </c>
      <c r="X143" s="7">
        <f>'gerç aylık-eur'!$I$85</f>
        <v/>
      </c>
      <c r="Y143" s="8" t="n"/>
      <c r="Z143" s="7">
        <f>'Bütçe aylık-Eur'!$J$86</f>
        <v/>
      </c>
      <c r="AA143" s="7">
        <f>'gerç aylık-eur'!$J$85</f>
        <v/>
      </c>
      <c r="AB143" s="8" t="n"/>
      <c r="AC143" s="7">
        <f>'Bütçe aylık-Eur'!$K$86</f>
        <v/>
      </c>
      <c r="AD143" s="7">
        <f>'gerç aylık-eur'!$K$85</f>
        <v/>
      </c>
      <c r="AE143" s="8" t="n"/>
      <c r="AF143" s="7">
        <f>'Bütçe aylık-Eur'!$L$86</f>
        <v/>
      </c>
      <c r="AG143" s="7">
        <f>'gerç aylık-eur'!$L$85</f>
        <v/>
      </c>
      <c r="AH143" s="8" t="n"/>
      <c r="AI143" s="7">
        <f>'Bütçe aylık-Eur'!$M$86</f>
        <v/>
      </c>
      <c r="AJ143" s="7">
        <f>'gerç aylık-eur'!$M$85</f>
        <v/>
      </c>
      <c r="AK143" s="8" t="n"/>
      <c r="AL143" s="21">
        <f>AP143-AO143</f>
        <v/>
      </c>
      <c r="AM143" s="22">
        <f>AP143/AO143-1</f>
        <v/>
      </c>
      <c r="AO143" s="44">
        <f>IF($A$1=$B$1,B143,IF($A$1=$E$1,E143,IF($A$1=$H$1,H143,IF($A$1=$K$1,K143,IF($A$1=$N$1,N143,IF($A$1=$Q$1,Q143,IF($A$1=$T$1,T143,IF($A$1=$W$1,W143,IF($A$1=$Z$1,Z143,IF($A$1=$AC$1,AC143,IF($A$1=$AF$1,AF143,IF($A$1=$AI$1,AI143))))))))))))</f>
        <v/>
      </c>
      <c r="AP143" s="44">
        <f>IF($A$1=$B$1,C143,IF($A$1=$E$1,F143,IF($A$1=$H$1,I143,IF($A$1=$K$1,L143,IF($A$1=$N$1,O143,IF($A$1=$Q$1,R143,IF($A$1=$T$1,U143,IF($A$1=$W$1,X143,IF($A$1=$Z$1,AA143,IF($A$1=$AC$1,AD143,IF($A$1=$AF$1,AG143,IF($A$1=$AI$1,AJ143))))))))))))</f>
        <v/>
      </c>
    </row>
    <row r="144" ht="15.5" customHeight="1">
      <c r="A144" s="26" t="inlineStr">
        <is>
          <t>Jantaş</t>
        </is>
      </c>
      <c r="B144" s="7">
        <f>'Bütçe aylık-Eur'!$B$87</f>
        <v/>
      </c>
      <c r="C144" s="7">
        <f>'gerç aylık-eur'!$B$86</f>
        <v/>
      </c>
      <c r="D144" s="7" t="n"/>
      <c r="E144" s="7">
        <f>'Bütçe aylık-Eur'!$C$87</f>
        <v/>
      </c>
      <c r="F144" s="7">
        <f>'gerç aylık-eur'!$C$86</f>
        <v/>
      </c>
      <c r="G144" s="7" t="n"/>
      <c r="H144" s="7">
        <f>'Bütçe aylık-Eur'!$D$87</f>
        <v/>
      </c>
      <c r="I144" s="7">
        <f>'gerç aylık-eur'!$D$86</f>
        <v/>
      </c>
      <c r="J144" s="7" t="n"/>
      <c r="K144" s="7">
        <f>'Bütçe aylık-Eur'!$E$87</f>
        <v/>
      </c>
      <c r="L144" s="7">
        <f>'gerç aylık-eur'!$E$86</f>
        <v/>
      </c>
      <c r="M144" s="7" t="n"/>
      <c r="N144" s="7">
        <f>'Bütçe aylık-Eur'!$F$87</f>
        <v/>
      </c>
      <c r="O144" s="7">
        <f>'gerç aylık-eur'!$F$86</f>
        <v/>
      </c>
      <c r="P144" s="7" t="n"/>
      <c r="Q144" s="7">
        <f>'Bütçe aylık-Eur'!$G$87</f>
        <v/>
      </c>
      <c r="R144" s="7">
        <f>'gerç aylık-eur'!$G$86</f>
        <v/>
      </c>
      <c r="S144" s="7" t="n"/>
      <c r="T144" s="7">
        <f>'Bütçe aylık-Eur'!$H$87</f>
        <v/>
      </c>
      <c r="U144" s="7">
        <f>'gerç aylık-eur'!$H$86</f>
        <v/>
      </c>
      <c r="V144" s="7" t="n"/>
      <c r="W144" s="7">
        <f>'Bütçe aylık-Eur'!$I$87</f>
        <v/>
      </c>
      <c r="X144" s="7">
        <f>'gerç aylık-eur'!$I$86</f>
        <v/>
      </c>
      <c r="Y144" s="7" t="n"/>
      <c r="Z144" s="7">
        <f>'Bütçe aylık-Eur'!$J$87</f>
        <v/>
      </c>
      <c r="AA144" s="7">
        <f>'gerç aylık-eur'!$J$86</f>
        <v/>
      </c>
      <c r="AB144" s="7" t="n"/>
      <c r="AC144" s="7">
        <f>'Bütçe aylık-Eur'!$K$87</f>
        <v/>
      </c>
      <c r="AD144" s="7">
        <f>'gerç aylık-eur'!$K$86</f>
        <v/>
      </c>
      <c r="AE144" s="7" t="n"/>
      <c r="AF144" s="7">
        <f>'Bütçe aylık-Eur'!$L$87</f>
        <v/>
      </c>
      <c r="AG144" s="7">
        <f>'gerç aylık-eur'!$L$86</f>
        <v/>
      </c>
      <c r="AH144" s="7" t="n"/>
      <c r="AI144" s="7">
        <f>'Bütçe aylık-Eur'!$M$87</f>
        <v/>
      </c>
      <c r="AJ144" s="7">
        <f>'gerç aylık-eur'!$M$86</f>
        <v/>
      </c>
      <c r="AK144" s="7" t="n"/>
      <c r="AL144" s="21">
        <f>AP144-AO144</f>
        <v/>
      </c>
      <c r="AM144" s="22">
        <f>AP144/AO144-1</f>
        <v/>
      </c>
      <c r="AO144" s="44">
        <f>IF($A$1=$B$1,B144,IF($A$1=$E$1,E144,IF($A$1=$H$1,H144,IF($A$1=$K$1,K144,IF($A$1=$N$1,N144,IF($A$1=$Q$1,Q144,IF($A$1=$T$1,T144,IF($A$1=$W$1,W144,IF($A$1=$Z$1,Z144,IF($A$1=$AC$1,AC144,IF($A$1=$AF$1,AF144,IF($A$1=$AI$1,AI144))))))))))))</f>
        <v/>
      </c>
      <c r="AP144" s="44">
        <f>IF($A$1=$B$1,C144,IF($A$1=$E$1,F144,IF($A$1=$H$1,I144,IF($A$1=$K$1,L144,IF($A$1=$N$1,O144,IF($A$1=$Q$1,R144,IF($A$1=$T$1,U144,IF($A$1=$W$1,X144,IF($A$1=$Z$1,AA144,IF($A$1=$AC$1,AD144,IF($A$1=$AF$1,AG144,IF($A$1=$AI$1,AJ144))))))))))))</f>
        <v/>
      </c>
    </row>
    <row r="145" ht="15.5" customHeight="1">
      <c r="A145" s="26" t="inlineStr">
        <is>
          <t>Çelik</t>
        </is>
      </c>
      <c r="B145" s="7">
        <f>'Bütçe aylık-Eur'!$B$88</f>
        <v/>
      </c>
      <c r="C145" s="7">
        <f>'gerç aylık-eur'!$B$87</f>
        <v/>
      </c>
      <c r="D145" s="7" t="n"/>
      <c r="E145" s="7">
        <f>'Bütçe aylık-Eur'!$C$88</f>
        <v/>
      </c>
      <c r="F145" s="7">
        <f>'gerç aylık-eur'!$C$87</f>
        <v/>
      </c>
      <c r="G145" s="7" t="n"/>
      <c r="H145" s="7">
        <f>'Bütçe aylık-Eur'!$D$88</f>
        <v/>
      </c>
      <c r="I145" s="7">
        <f>'gerç aylık-eur'!$D$87</f>
        <v/>
      </c>
      <c r="J145" s="7" t="n"/>
      <c r="K145" s="7">
        <f>'Bütçe aylık-Eur'!$E$88</f>
        <v/>
      </c>
      <c r="L145" s="7">
        <f>'gerç aylık-eur'!$E$87</f>
        <v/>
      </c>
      <c r="M145" s="7" t="n"/>
      <c r="N145" s="7">
        <f>'Bütçe aylık-Eur'!$F$88</f>
        <v/>
      </c>
      <c r="O145" s="7">
        <f>'gerç aylık-eur'!$F$87</f>
        <v/>
      </c>
      <c r="P145" s="7" t="n"/>
      <c r="Q145" s="7">
        <f>'Bütçe aylık-Eur'!$G$88</f>
        <v/>
      </c>
      <c r="R145" s="7">
        <f>'gerç aylık-eur'!$G$87</f>
        <v/>
      </c>
      <c r="S145" s="7" t="n"/>
      <c r="T145" s="7">
        <f>'Bütçe aylık-Eur'!$H$88</f>
        <v/>
      </c>
      <c r="U145" s="7">
        <f>'gerç aylık-eur'!$H$87</f>
        <v/>
      </c>
      <c r="V145" s="7" t="n"/>
      <c r="W145" s="7">
        <f>'Bütçe aylık-Eur'!$I$88</f>
        <v/>
      </c>
      <c r="X145" s="7">
        <f>'gerç aylık-eur'!$I$87</f>
        <v/>
      </c>
      <c r="Y145" s="7" t="n"/>
      <c r="Z145" s="7">
        <f>'Bütçe aylık-Eur'!$J$88</f>
        <v/>
      </c>
      <c r="AA145" s="7">
        <f>'gerç aylık-eur'!$J$87</f>
        <v/>
      </c>
      <c r="AB145" s="7" t="n"/>
      <c r="AC145" s="7">
        <f>'Bütçe aylık-Eur'!$K$88</f>
        <v/>
      </c>
      <c r="AD145" s="7">
        <f>'gerç aylık-eur'!$K$87</f>
        <v/>
      </c>
      <c r="AE145" s="7" t="n"/>
      <c r="AF145" s="7">
        <f>'Bütçe aylık-Eur'!$L$88</f>
        <v/>
      </c>
      <c r="AG145" s="7">
        <f>'gerç aylık-eur'!$L$87</f>
        <v/>
      </c>
      <c r="AH145" s="7" t="n"/>
      <c r="AI145" s="7">
        <f>'Bütçe aylık-Eur'!$M$88</f>
        <v/>
      </c>
      <c r="AJ145" s="7">
        <f>'gerç aylık-eur'!$M$87</f>
        <v/>
      </c>
      <c r="AK145" s="7" t="n"/>
      <c r="AL145" s="21">
        <f>AP145-AO145</f>
        <v/>
      </c>
      <c r="AM145" s="22">
        <f>AP145/AO145-1</f>
        <v/>
      </c>
      <c r="AO145" s="44">
        <f>IF($A$1=$B$1,B145,IF($A$1=$E$1,E145,IF($A$1=$H$1,H145,IF($A$1=$K$1,K145,IF($A$1=$N$1,N145,IF($A$1=$Q$1,Q145,IF($A$1=$T$1,T145,IF($A$1=$W$1,W145,IF($A$1=$Z$1,Z145,IF($A$1=$AC$1,AC145,IF($A$1=$AF$1,AF145,IF($A$1=$AI$1,AI145))))))))))))</f>
        <v/>
      </c>
      <c r="AP145" s="44">
        <f>IF($A$1=$B$1,C145,IF($A$1=$E$1,F145,IF($A$1=$H$1,I145,IF($A$1=$K$1,L145,IF($A$1=$N$1,O145,IF($A$1=$Q$1,R145,IF($A$1=$T$1,U145,IF($A$1=$W$1,X145,IF($A$1=$Z$1,AA145,IF($A$1=$AC$1,AD145,IF($A$1=$AF$1,AG145,IF($A$1=$AI$1,AJ145))))))))))))</f>
        <v/>
      </c>
    </row>
    <row r="146" ht="15.5" customHeight="1">
      <c r="A146" s="26" t="inlineStr">
        <is>
          <t>Alüminyum</t>
        </is>
      </c>
      <c r="B146" s="7">
        <f>'Bütçe aylık-Eur'!$B$89</f>
        <v/>
      </c>
      <c r="C146" s="7">
        <f>'gerç aylık-eur'!$B$88</f>
        <v/>
      </c>
      <c r="D146" s="7" t="n"/>
      <c r="E146" s="7">
        <f>'Bütçe aylık-Eur'!$C$89</f>
        <v/>
      </c>
      <c r="F146" s="7">
        <f>'gerç aylık-eur'!$C$88</f>
        <v/>
      </c>
      <c r="G146" s="7" t="n"/>
      <c r="H146" s="7">
        <f>'Bütçe aylık-Eur'!$D$89</f>
        <v/>
      </c>
      <c r="I146" s="7">
        <f>'gerç aylık-eur'!$D$88</f>
        <v/>
      </c>
      <c r="J146" s="7" t="n"/>
      <c r="K146" s="7">
        <f>'Bütçe aylık-Eur'!$E$89</f>
        <v/>
      </c>
      <c r="L146" s="7">
        <f>'gerç aylık-eur'!$E$88</f>
        <v/>
      </c>
      <c r="M146" s="7" t="n"/>
      <c r="N146" s="7">
        <f>'Bütçe aylık-Eur'!$F$89</f>
        <v/>
      </c>
      <c r="O146" s="7">
        <f>'gerç aylık-eur'!$F$88</f>
        <v/>
      </c>
      <c r="P146" s="7" t="n"/>
      <c r="Q146" s="7">
        <f>'Bütçe aylık-Eur'!$G$89</f>
        <v/>
      </c>
      <c r="R146" s="7">
        <f>'gerç aylık-eur'!$G$88</f>
        <v/>
      </c>
      <c r="S146" s="7" t="n"/>
      <c r="T146" s="7">
        <f>'Bütçe aylık-Eur'!$H$89</f>
        <v/>
      </c>
      <c r="U146" s="7">
        <f>'gerç aylık-eur'!$H$88</f>
        <v/>
      </c>
      <c r="V146" s="7" t="n"/>
      <c r="W146" s="7">
        <f>'Bütçe aylık-Eur'!$I$89</f>
        <v/>
      </c>
      <c r="X146" s="7">
        <f>'gerç aylık-eur'!$I$88</f>
        <v/>
      </c>
      <c r="Y146" s="7" t="n"/>
      <c r="Z146" s="7">
        <f>'Bütçe aylık-Eur'!$J$89</f>
        <v/>
      </c>
      <c r="AA146" s="7">
        <f>'gerç aylık-eur'!$J$88</f>
        <v/>
      </c>
      <c r="AB146" s="7" t="n"/>
      <c r="AC146" s="7">
        <f>'Bütçe aylık-Eur'!$K$89</f>
        <v/>
      </c>
      <c r="AD146" s="7">
        <f>'gerç aylık-eur'!$K$88</f>
        <v/>
      </c>
      <c r="AE146" s="7" t="n"/>
      <c r="AF146" s="7">
        <f>'Bütçe aylık-Eur'!$L$89</f>
        <v/>
      </c>
      <c r="AG146" s="7">
        <f>'gerç aylık-eur'!$L$88</f>
        <v/>
      </c>
      <c r="AH146" s="7" t="n"/>
      <c r="AI146" s="7">
        <f>'Bütçe aylık-Eur'!$M$89</f>
        <v/>
      </c>
      <c r="AJ146" s="7">
        <f>'gerç aylık-eur'!$M$88</f>
        <v/>
      </c>
      <c r="AK146" s="7" t="n"/>
      <c r="AL146" s="21">
        <f>AP146-AO146</f>
        <v/>
      </c>
      <c r="AM146" s="22">
        <f>AP146/AO146-1</f>
        <v/>
      </c>
      <c r="AO146" s="44">
        <f>IF($A$1=$B$1,B146,IF($A$1=$E$1,E146,IF($A$1=$H$1,H146,IF($A$1=$K$1,K146,IF($A$1=$N$1,N146,IF($A$1=$Q$1,Q146,IF($A$1=$T$1,T146,IF($A$1=$W$1,W146,IF($A$1=$Z$1,Z146,IF($A$1=$AC$1,AC146,IF($A$1=$AF$1,AF146,IF($A$1=$AI$1,AI146))))))))))))</f>
        <v/>
      </c>
      <c r="AP146" s="44">
        <f>IF($A$1=$B$1,C146,IF($A$1=$E$1,F146,IF($A$1=$H$1,I146,IF($A$1=$K$1,L146,IF($A$1=$N$1,O146,IF($A$1=$Q$1,R146,IF($A$1=$T$1,U146,IF($A$1=$W$1,X146,IF($A$1=$Z$1,AA146,IF($A$1=$AC$1,AD146,IF($A$1=$AF$1,AG146,IF($A$1=$AI$1,AJ146))))))))))))</f>
        <v/>
      </c>
    </row>
    <row r="147" ht="15.5" customHeight="1">
      <c r="A147" s="26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21" t="n"/>
      <c r="AM147" s="22" t="n"/>
      <c r="AO147" s="44">
        <f>IF($A$1=$B$1,B147,IF($A$1=$E$1,E147,IF($A$1=$H$1,H147,IF($A$1=$K$1,K147,IF($A$1=$N$1,N147,IF($A$1=$Q$1,Q147,IF($A$1=$T$1,T147,IF($A$1=$W$1,W147,IF($A$1=$Z$1,Z147,IF($A$1=$AC$1,AC147,IF($A$1=$AF$1,AF147,IF($A$1=$AI$1,AI147))))))))))))</f>
        <v/>
      </c>
      <c r="AP147" s="44">
        <f>IF($A$1=$B$1,C147,IF($A$1=$E$1,F147,IF($A$1=$H$1,I147,IF($A$1=$K$1,L147,IF($A$1=$N$1,O147,IF($A$1=$Q$1,R147,IF($A$1=$T$1,U147,IF($A$1=$W$1,X147,IF($A$1=$Z$1,AA147,IF($A$1=$AC$1,AD147,IF($A$1=$AF$1,AG147,IF($A$1=$AI$1,AJ147))))))))))))</f>
        <v/>
      </c>
    </row>
    <row r="148">
      <c r="A148" s="2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5" t="n"/>
    </row>
    <row r="149" ht="17" customFormat="1" customHeight="1" s="49">
      <c r="A149" s="47" t="inlineStr">
        <is>
          <t>Ebitda Margin</t>
        </is>
      </c>
      <c r="B149" s="413" t="n"/>
      <c r="C149" s="413" t="n"/>
      <c r="D149" s="413" t="n"/>
      <c r="E149" s="413" t="n"/>
      <c r="F149" s="413" t="n"/>
      <c r="G149" s="413" t="n"/>
      <c r="H149" s="413" t="n"/>
      <c r="I149" s="413" t="n"/>
      <c r="J149" s="413" t="n"/>
      <c r="K149" s="413" t="n"/>
      <c r="L149" s="413" t="n"/>
      <c r="M149" s="413" t="n"/>
      <c r="N149" s="413" t="n"/>
      <c r="O149" s="413" t="n"/>
      <c r="P149" s="413" t="n"/>
      <c r="Q149" s="413" t="n"/>
      <c r="R149" s="413" t="n"/>
      <c r="S149" s="413" t="n"/>
      <c r="T149" s="413" t="n"/>
      <c r="U149" s="413" t="n"/>
      <c r="V149" s="413" t="n"/>
      <c r="W149" s="413" t="n"/>
      <c r="X149" s="413" t="n"/>
      <c r="Y149" s="413" t="n"/>
      <c r="Z149" s="413" t="n"/>
      <c r="AA149" s="413" t="n"/>
      <c r="AB149" s="413" t="n"/>
      <c r="AC149" s="413" t="n"/>
      <c r="AD149" s="413" t="n"/>
      <c r="AE149" s="413" t="n"/>
      <c r="AF149" s="413" t="n"/>
      <c r="AG149" s="413" t="n"/>
      <c r="AH149" s="413" t="n"/>
      <c r="AI149" s="413" t="n"/>
      <c r="AJ149" s="413" t="n"/>
      <c r="AK149" s="413" t="n"/>
      <c r="AL149" s="413" t="n"/>
      <c r="AM149" s="48" t="n"/>
    </row>
    <row r="150" ht="15.5" customFormat="1" customHeight="1" s="13">
      <c r="A150" s="26" t="inlineStr">
        <is>
          <t xml:space="preserve">İnci Holding </t>
        </is>
      </c>
      <c r="B150" s="468">
        <f>B139/B9</f>
        <v/>
      </c>
      <c r="C150" s="468">
        <f>C139/C9</f>
        <v/>
      </c>
      <c r="D150" s="41" t="n"/>
      <c r="E150" s="12">
        <f>E139/E9</f>
        <v/>
      </c>
      <c r="F150" s="12">
        <f>F139/F9</f>
        <v/>
      </c>
      <c r="G150" s="41" t="n"/>
      <c r="H150" s="12">
        <f>H139/H9</f>
        <v/>
      </c>
      <c r="I150" s="12">
        <f>I139/I9</f>
        <v/>
      </c>
      <c r="J150" s="41" t="n"/>
      <c r="K150" s="12">
        <f>K139/K9</f>
        <v/>
      </c>
      <c r="L150" s="12">
        <f>L139/L9</f>
        <v/>
      </c>
      <c r="M150" s="41" t="n"/>
      <c r="N150" s="12">
        <f>N139/N9</f>
        <v/>
      </c>
      <c r="O150" s="12">
        <f>O139/O9</f>
        <v/>
      </c>
      <c r="P150" s="41" t="n"/>
      <c r="Q150" s="12">
        <f>Q139/Q9</f>
        <v/>
      </c>
      <c r="R150" s="12">
        <f>R139/R9</f>
        <v/>
      </c>
      <c r="S150" s="41" t="n"/>
      <c r="T150" s="12">
        <f>T139/T9</f>
        <v/>
      </c>
      <c r="U150" s="12">
        <f>U139/U9</f>
        <v/>
      </c>
      <c r="V150" s="41" t="n"/>
      <c r="W150" s="12">
        <f>W139/W9</f>
        <v/>
      </c>
      <c r="X150" s="12">
        <f>X139/X9</f>
        <v/>
      </c>
      <c r="Y150" s="41" t="n"/>
      <c r="Z150" s="12">
        <f>Z139/Z9</f>
        <v/>
      </c>
      <c r="AA150" s="12">
        <f>AA139/AA9</f>
        <v/>
      </c>
      <c r="AB150" s="41" t="n"/>
      <c r="AC150" s="12">
        <f>AC139/AC9</f>
        <v/>
      </c>
      <c r="AD150" s="12">
        <f>AD139/AD9</f>
        <v/>
      </c>
      <c r="AE150" s="41" t="n"/>
      <c r="AF150" s="12">
        <f>AF139/AF9</f>
        <v/>
      </c>
      <c r="AG150" s="12">
        <f>AG139/AG9</f>
        <v/>
      </c>
      <c r="AH150" s="41" t="n"/>
      <c r="AI150" s="12">
        <f>AI139/AI9</f>
        <v/>
      </c>
      <c r="AJ150" s="12">
        <f>AJ139/AJ9</f>
        <v/>
      </c>
      <c r="AK150" s="41" t="n"/>
      <c r="AL150" s="15" t="n"/>
      <c r="AM150" s="22">
        <f>AP150-AO150</f>
        <v/>
      </c>
      <c r="AO150" s="44">
        <f>IF($A$1=$B$1,B150,IF($A$1=$E$1,E150,IF($A$1=$H$1,H150,IF($A$1=$K$1,K150,IF($A$1=$N$1,N150,IF($A$1=$Q$1,Q150,IF($A$1=$T$1,T150,IF($A$1=$W$1,W150,IF($A$1=$Z$1,Z150,IF($A$1=$AC$1,AC150,IF($A$1=$AF$1,AF150,IF($A$1=$AI$1,AI150))))))))))))</f>
        <v/>
      </c>
      <c r="AP150" s="44">
        <f>IF($A$1=$B$1,C150,IF($A$1=$E$1,F150,IF($A$1=$H$1,I150,IF($A$1=$K$1,L150,IF($A$1=$N$1,O150,IF($A$1=$Q$1,R150,IF($A$1=$T$1,U150,IF($A$1=$W$1,X150,IF($A$1=$Z$1,AA150,IF($A$1=$AC$1,AD150,IF($A$1=$AF$1,AG150,IF($A$1=$AI$1,AJ150))))))))))))</f>
        <v/>
      </c>
    </row>
    <row r="151" ht="15.5" customFormat="1" customHeight="1" s="13">
      <c r="A151" s="26" t="inlineStr">
        <is>
          <t xml:space="preserve">ISM </t>
        </is>
      </c>
      <c r="B151" s="468">
        <f>B140/B10</f>
        <v/>
      </c>
      <c r="C151" s="468">
        <f>C140/C10</f>
        <v/>
      </c>
      <c r="D151" s="41" t="n"/>
      <c r="E151" s="12">
        <f>E140/E10</f>
        <v/>
      </c>
      <c r="F151" s="12">
        <f>F140/F10</f>
        <v/>
      </c>
      <c r="G151" s="41" t="n"/>
      <c r="H151" s="12">
        <f>H140/H10</f>
        <v/>
      </c>
      <c r="I151" s="12">
        <f>I140/I10</f>
        <v/>
      </c>
      <c r="J151" s="41" t="n"/>
      <c r="K151" s="12">
        <f>K140/K10</f>
        <v/>
      </c>
      <c r="L151" s="12">
        <f>L140/L10</f>
        <v/>
      </c>
      <c r="M151" s="41" t="n"/>
      <c r="N151" s="12">
        <f>N140/N10</f>
        <v/>
      </c>
      <c r="O151" s="12">
        <f>O140/O10</f>
        <v/>
      </c>
      <c r="P151" s="41" t="n"/>
      <c r="Q151" s="12">
        <f>Q140/Q10</f>
        <v/>
      </c>
      <c r="R151" s="12">
        <f>R140/R10</f>
        <v/>
      </c>
      <c r="S151" s="41" t="n"/>
      <c r="T151" s="12">
        <f>T140/T10</f>
        <v/>
      </c>
      <c r="U151" s="12">
        <f>U140/U10</f>
        <v/>
      </c>
      <c r="V151" s="41" t="n"/>
      <c r="W151" s="12">
        <f>W140/W10</f>
        <v/>
      </c>
      <c r="X151" s="12">
        <f>X140/X10</f>
        <v/>
      </c>
      <c r="Y151" s="41" t="n"/>
      <c r="Z151" s="12">
        <f>Z140/Z10</f>
        <v/>
      </c>
      <c r="AA151" s="12">
        <f>AA140/AA10</f>
        <v/>
      </c>
      <c r="AB151" s="41" t="n"/>
      <c r="AC151" s="12">
        <f>AC140/AC10</f>
        <v/>
      </c>
      <c r="AD151" s="12">
        <f>AD140/AD10</f>
        <v/>
      </c>
      <c r="AE151" s="41" t="n"/>
      <c r="AF151" s="12">
        <f>AF140/AF10</f>
        <v/>
      </c>
      <c r="AG151" s="12">
        <f>AG140/AG10</f>
        <v/>
      </c>
      <c r="AH151" s="41" t="n"/>
      <c r="AI151" s="12">
        <f>AI140/AI10</f>
        <v/>
      </c>
      <c r="AJ151" s="12">
        <f>AJ140/AJ10</f>
        <v/>
      </c>
      <c r="AK151" s="41" t="n"/>
      <c r="AL151" s="15" t="n"/>
      <c r="AM151" s="22">
        <f>AP151-AO151</f>
        <v/>
      </c>
      <c r="AO151" s="44">
        <f>IF($A$1=$B$1,B151,IF($A$1=$E$1,E151,IF($A$1=$H$1,H151,IF($A$1=$K$1,K151,IF($A$1=$N$1,N151,IF($A$1=$Q$1,Q151,IF($A$1=$T$1,T151,IF($A$1=$W$1,W151,IF($A$1=$Z$1,Z151,IF($A$1=$AC$1,AC151,IF($A$1=$AF$1,AF151,IF($A$1=$AI$1,AI151))))))))))))</f>
        <v/>
      </c>
      <c r="AP151" s="44">
        <f>IF($A$1=$B$1,C151,IF($A$1=$E$1,F151,IF($A$1=$H$1,I151,IF($A$1=$K$1,L151,IF($A$1=$N$1,O151,IF($A$1=$Q$1,R151,IF($A$1=$T$1,U151,IF($A$1=$W$1,X151,IF($A$1=$Z$1,AA151,IF($A$1=$AC$1,AD151,IF($A$1=$AF$1,AG151,IF($A$1=$AI$1,AJ151))))))))))))</f>
        <v/>
      </c>
    </row>
    <row r="152" ht="15.5" customFormat="1" customHeight="1" s="13">
      <c r="A152" s="26" t="inlineStr">
        <is>
          <t>İncitaş</t>
        </is>
      </c>
      <c r="B152" s="468">
        <f>B141/B11</f>
        <v/>
      </c>
      <c r="C152" s="468">
        <f>C141/C11</f>
        <v/>
      </c>
      <c r="D152" s="41" t="n"/>
      <c r="E152" s="12">
        <f>E141/E11</f>
        <v/>
      </c>
      <c r="F152" s="12">
        <f>F141/F11</f>
        <v/>
      </c>
      <c r="G152" s="41" t="n"/>
      <c r="H152" s="12">
        <f>H141/H11</f>
        <v/>
      </c>
      <c r="I152" s="12">
        <f>I141/I11</f>
        <v/>
      </c>
      <c r="J152" s="41" t="n"/>
      <c r="K152" s="12">
        <f>K141/K11</f>
        <v/>
      </c>
      <c r="L152" s="12">
        <f>L141/L11</f>
        <v/>
      </c>
      <c r="M152" s="41" t="n"/>
      <c r="N152" s="12">
        <f>N141/N11</f>
        <v/>
      </c>
      <c r="O152" s="12">
        <f>O141/O11</f>
        <v/>
      </c>
      <c r="P152" s="41" t="n"/>
      <c r="Q152" s="12">
        <f>Q141/Q11</f>
        <v/>
      </c>
      <c r="R152" s="12">
        <f>R141/R11</f>
        <v/>
      </c>
      <c r="S152" s="41" t="n"/>
      <c r="T152" s="12">
        <f>T141/T11</f>
        <v/>
      </c>
      <c r="U152" s="12">
        <f>U141/U11</f>
        <v/>
      </c>
      <c r="V152" s="41" t="n"/>
      <c r="W152" s="12">
        <f>W141/W11</f>
        <v/>
      </c>
      <c r="X152" s="12">
        <f>X141/X11</f>
        <v/>
      </c>
      <c r="Y152" s="41" t="n"/>
      <c r="Z152" s="12">
        <f>Z141/Z11</f>
        <v/>
      </c>
      <c r="AA152" s="12">
        <f>AA141/AA11</f>
        <v/>
      </c>
      <c r="AB152" s="41" t="n"/>
      <c r="AC152" s="12">
        <f>AC141/AC11</f>
        <v/>
      </c>
      <c r="AD152" s="12">
        <f>AD141/AD11</f>
        <v/>
      </c>
      <c r="AE152" s="41" t="n"/>
      <c r="AF152" s="12">
        <f>AF141/AF11</f>
        <v/>
      </c>
      <c r="AG152" s="12">
        <f>AG141/AG11</f>
        <v/>
      </c>
      <c r="AH152" s="41" t="n"/>
      <c r="AI152" s="12">
        <f>AI141/AI11</f>
        <v/>
      </c>
      <c r="AJ152" s="12">
        <f>AJ141/AJ11</f>
        <v/>
      </c>
      <c r="AK152" s="41" t="n"/>
      <c r="AL152" s="15" t="n"/>
      <c r="AM152" s="22">
        <f>AP152-AO152</f>
        <v/>
      </c>
      <c r="AO152" s="44">
        <f>IF($A$1=$B$1,B152,IF($A$1=$E$1,E152,IF($A$1=$H$1,H152,IF($A$1=$K$1,K152,IF($A$1=$N$1,N152,IF($A$1=$Q$1,Q152,IF($A$1=$T$1,T152,IF($A$1=$W$1,W152,IF($A$1=$Z$1,Z152,IF($A$1=$AC$1,AC152,IF($A$1=$AF$1,AF152,IF($A$1=$AI$1,AI152))))))))))))</f>
        <v/>
      </c>
      <c r="AP152" s="44">
        <f>IF($A$1=$B$1,C152,IF($A$1=$E$1,F152,IF($A$1=$H$1,I152,IF($A$1=$K$1,L152,IF($A$1=$N$1,O152,IF($A$1=$Q$1,R152,IF($A$1=$T$1,U152,IF($A$1=$W$1,X152,IF($A$1=$Z$1,AA152,IF($A$1=$AC$1,AD152,IF($A$1=$AF$1,AG152,IF($A$1=$AI$1,AJ152))))))))))))</f>
        <v/>
      </c>
    </row>
    <row r="153" ht="15.5" customFormat="1" customHeight="1" s="13">
      <c r="A153" s="26" t="inlineStr">
        <is>
          <t>İnci GS Yuasa</t>
        </is>
      </c>
      <c r="B153" s="468">
        <f>B142/B12</f>
        <v/>
      </c>
      <c r="C153" s="468">
        <f>C142/C12</f>
        <v/>
      </c>
      <c r="D153" s="41" t="n"/>
      <c r="E153" s="12">
        <f>E142/E12</f>
        <v/>
      </c>
      <c r="F153" s="12">
        <f>F142/F12</f>
        <v/>
      </c>
      <c r="G153" s="41" t="n"/>
      <c r="H153" s="12">
        <f>H142/H12</f>
        <v/>
      </c>
      <c r="I153" s="12">
        <f>I142/I12</f>
        <v/>
      </c>
      <c r="J153" s="41" t="n"/>
      <c r="K153" s="12">
        <f>K142/K12</f>
        <v/>
      </c>
      <c r="L153" s="12">
        <f>L142/L12</f>
        <v/>
      </c>
      <c r="M153" s="41" t="n"/>
      <c r="N153" s="12">
        <f>N142/N12</f>
        <v/>
      </c>
      <c r="O153" s="12">
        <f>O142/O12</f>
        <v/>
      </c>
      <c r="P153" s="41" t="n"/>
      <c r="Q153" s="12">
        <f>Q142/Q12</f>
        <v/>
      </c>
      <c r="R153" s="12">
        <f>R142/R12</f>
        <v/>
      </c>
      <c r="S153" s="41" t="n"/>
      <c r="T153" s="12">
        <f>T142/T12</f>
        <v/>
      </c>
      <c r="U153" s="12">
        <f>U142/U12</f>
        <v/>
      </c>
      <c r="V153" s="41" t="n"/>
      <c r="W153" s="12">
        <f>W142/W12</f>
        <v/>
      </c>
      <c r="X153" s="12">
        <f>X142/X12</f>
        <v/>
      </c>
      <c r="Y153" s="41" t="n"/>
      <c r="Z153" s="12">
        <f>Z142/Z12</f>
        <v/>
      </c>
      <c r="AA153" s="12">
        <f>AA142/AA12</f>
        <v/>
      </c>
      <c r="AB153" s="41" t="n"/>
      <c r="AC153" s="12">
        <f>AC142/AC12</f>
        <v/>
      </c>
      <c r="AD153" s="12">
        <f>AD142/AD12</f>
        <v/>
      </c>
      <c r="AE153" s="41" t="n"/>
      <c r="AF153" s="12">
        <f>AF142/AF12</f>
        <v/>
      </c>
      <c r="AG153" s="12">
        <f>AG142/AG12</f>
        <v/>
      </c>
      <c r="AH153" s="41" t="n"/>
      <c r="AI153" s="12">
        <f>AI142/AI12</f>
        <v/>
      </c>
      <c r="AJ153" s="12">
        <f>AJ142/AJ12</f>
        <v/>
      </c>
      <c r="AK153" s="41" t="n"/>
      <c r="AL153" s="15" t="n"/>
      <c r="AM153" s="22">
        <f>AP153-AO153</f>
        <v/>
      </c>
      <c r="AO153" s="44">
        <f>IF($A$1=$B$1,B153,IF($A$1=$E$1,E153,IF($A$1=$H$1,H153,IF($A$1=$K$1,K153,IF($A$1=$N$1,N153,IF($A$1=$Q$1,Q153,IF($A$1=$T$1,T153,IF($A$1=$W$1,W153,IF($A$1=$Z$1,Z153,IF($A$1=$AC$1,AC153,IF($A$1=$AF$1,AF153,IF($A$1=$AI$1,AI153))))))))))))</f>
        <v/>
      </c>
      <c r="AP153" s="44">
        <f>IF($A$1=$B$1,C153,IF($A$1=$E$1,F153,IF($A$1=$H$1,I153,IF($A$1=$K$1,L153,IF($A$1=$N$1,O153,IF($A$1=$Q$1,R153,IF($A$1=$T$1,U153,IF($A$1=$W$1,X153,IF($A$1=$Z$1,AA153,IF($A$1=$AC$1,AD153,IF($A$1=$AF$1,AG153,IF($A$1=$AI$1,AJ153))))))))))))</f>
        <v/>
      </c>
    </row>
    <row r="154" ht="15.5" customFormat="1" customHeight="1" s="13">
      <c r="A154" s="26" t="inlineStr">
        <is>
          <t>Yusen İnci Loj.</t>
        </is>
      </c>
      <c r="B154" s="468">
        <f>B143/B13</f>
        <v/>
      </c>
      <c r="C154" s="468">
        <f>C143/C13</f>
        <v/>
      </c>
      <c r="D154" s="41" t="n"/>
      <c r="E154" s="12">
        <f>E143/E13</f>
        <v/>
      </c>
      <c r="F154" s="12">
        <f>F143/F13</f>
        <v/>
      </c>
      <c r="G154" s="41" t="n"/>
      <c r="H154" s="12">
        <f>H143/H13</f>
        <v/>
      </c>
      <c r="I154" s="12">
        <f>I143/I13</f>
        <v/>
      </c>
      <c r="J154" s="41" t="n"/>
      <c r="K154" s="12">
        <f>K143/K13</f>
        <v/>
      </c>
      <c r="L154" s="12">
        <f>L143/L13</f>
        <v/>
      </c>
      <c r="M154" s="41" t="n"/>
      <c r="N154" s="12">
        <f>N143/N13</f>
        <v/>
      </c>
      <c r="O154" s="12">
        <f>O143/O13</f>
        <v/>
      </c>
      <c r="P154" s="41" t="n"/>
      <c r="Q154" s="12">
        <f>Q143/Q13</f>
        <v/>
      </c>
      <c r="R154" s="12">
        <f>R143/R13</f>
        <v/>
      </c>
      <c r="S154" s="41" t="n"/>
      <c r="T154" s="12">
        <f>T143/T13</f>
        <v/>
      </c>
      <c r="U154" s="12">
        <f>U143/U13</f>
        <v/>
      </c>
      <c r="V154" s="41" t="n"/>
      <c r="W154" s="12">
        <f>W143/W13</f>
        <v/>
      </c>
      <c r="X154" s="12">
        <f>X143/X13</f>
        <v/>
      </c>
      <c r="Y154" s="41" t="n"/>
      <c r="Z154" s="12">
        <f>Z143/Z13</f>
        <v/>
      </c>
      <c r="AA154" s="12">
        <f>AA143/AA13</f>
        <v/>
      </c>
      <c r="AB154" s="41" t="n"/>
      <c r="AC154" s="12">
        <f>AC143/AC13</f>
        <v/>
      </c>
      <c r="AD154" s="12">
        <f>AD143/AD13</f>
        <v/>
      </c>
      <c r="AE154" s="41" t="n"/>
      <c r="AF154" s="12">
        <f>AF143/AF13</f>
        <v/>
      </c>
      <c r="AG154" s="12">
        <f>AG143/AG13</f>
        <v/>
      </c>
      <c r="AH154" s="41" t="n"/>
      <c r="AI154" s="12">
        <f>AI143/AI13</f>
        <v/>
      </c>
      <c r="AJ154" s="12">
        <f>AJ143/AJ13</f>
        <v/>
      </c>
      <c r="AK154" s="41" t="n"/>
      <c r="AL154" s="15" t="n"/>
      <c r="AM154" s="22">
        <f>AP154-AO154</f>
        <v/>
      </c>
      <c r="AO154" s="44">
        <f>IF($A$1=$B$1,B154,IF($A$1=$E$1,E154,IF($A$1=$H$1,H154,IF($A$1=$K$1,K154,IF($A$1=$N$1,N154,IF($A$1=$Q$1,Q154,IF($A$1=$T$1,T154,IF($A$1=$W$1,W154,IF($A$1=$Z$1,Z154,IF($A$1=$AC$1,AC154,IF($A$1=$AF$1,AF154,IF($A$1=$AI$1,AI154))))))))))))</f>
        <v/>
      </c>
      <c r="AP154" s="44">
        <f>IF($A$1=$B$1,C154,IF($A$1=$E$1,F154,IF($A$1=$H$1,I154,IF($A$1=$K$1,L154,IF($A$1=$N$1,O154,IF($A$1=$Q$1,R154,IF($A$1=$T$1,U154,IF($A$1=$W$1,X154,IF($A$1=$Z$1,AA154,IF($A$1=$AC$1,AD154,IF($A$1=$AF$1,AG154,IF($A$1=$AI$1,AJ154))))))))))))</f>
        <v/>
      </c>
    </row>
    <row r="155" ht="15.5" customFormat="1" customHeight="1" s="13">
      <c r="A155" s="26" t="inlineStr">
        <is>
          <t>Jantaş</t>
        </is>
      </c>
      <c r="B155" s="468">
        <f>B144/B14</f>
        <v/>
      </c>
      <c r="C155" s="468">
        <f>C144/C14</f>
        <v/>
      </c>
      <c r="D155" s="41" t="n"/>
      <c r="E155" s="12">
        <f>E144/E14</f>
        <v/>
      </c>
      <c r="F155" s="12">
        <f>F144/F14</f>
        <v/>
      </c>
      <c r="G155" s="41" t="n"/>
      <c r="H155" s="12">
        <f>H144/H14</f>
        <v/>
      </c>
      <c r="I155" s="12">
        <f>I144/I14</f>
        <v/>
      </c>
      <c r="J155" s="41" t="n"/>
      <c r="K155" s="12">
        <f>K144/K14</f>
        <v/>
      </c>
      <c r="L155" s="12">
        <f>L144/L14</f>
        <v/>
      </c>
      <c r="M155" s="41" t="n"/>
      <c r="N155" s="12">
        <f>N144/N14</f>
        <v/>
      </c>
      <c r="O155" s="12">
        <f>O144/O14</f>
        <v/>
      </c>
      <c r="P155" s="41" t="n"/>
      <c r="Q155" s="12">
        <f>Q144/Q14</f>
        <v/>
      </c>
      <c r="R155" s="12">
        <f>R144/R14</f>
        <v/>
      </c>
      <c r="S155" s="41" t="n"/>
      <c r="T155" s="12">
        <f>T144/T14</f>
        <v/>
      </c>
      <c r="U155" s="12">
        <f>U144/U14</f>
        <v/>
      </c>
      <c r="V155" s="41" t="n"/>
      <c r="W155" s="12">
        <f>W144/W14</f>
        <v/>
      </c>
      <c r="X155" s="12">
        <f>X144/X14</f>
        <v/>
      </c>
      <c r="Y155" s="41" t="n"/>
      <c r="Z155" s="12">
        <f>Z144/Z14</f>
        <v/>
      </c>
      <c r="AA155" s="12">
        <f>AA144/AA14</f>
        <v/>
      </c>
      <c r="AB155" s="41" t="n"/>
      <c r="AC155" s="12">
        <f>AC144/AC14</f>
        <v/>
      </c>
      <c r="AD155" s="12">
        <f>AD144/AD14</f>
        <v/>
      </c>
      <c r="AE155" s="41" t="n"/>
      <c r="AF155" s="12">
        <f>AF144/AF14</f>
        <v/>
      </c>
      <c r="AG155" s="12">
        <f>AG144/AG14</f>
        <v/>
      </c>
      <c r="AH155" s="41" t="n"/>
      <c r="AI155" s="12">
        <f>AI144/AI14</f>
        <v/>
      </c>
      <c r="AJ155" s="12">
        <f>AJ144/AJ14</f>
        <v/>
      </c>
      <c r="AK155" s="41" t="n"/>
      <c r="AL155" s="15" t="n"/>
      <c r="AM155" s="22">
        <f>AP155-AO155</f>
        <v/>
      </c>
      <c r="AO155" s="44">
        <f>IF($A$1=$B$1,B155,IF($A$1=$E$1,E155,IF($A$1=$H$1,H155,IF($A$1=$K$1,K155,IF($A$1=$N$1,N155,IF($A$1=$Q$1,Q155,IF($A$1=$T$1,T155,IF($A$1=$W$1,W155,IF($A$1=$Z$1,Z155,IF($A$1=$AC$1,AC155,IF($A$1=$AF$1,AF155,IF($A$1=$AI$1,AI155))))))))))))</f>
        <v/>
      </c>
      <c r="AP155" s="44">
        <f>IF($A$1=$B$1,C155,IF($A$1=$E$1,F155,IF($A$1=$H$1,I155,IF($A$1=$K$1,L155,IF($A$1=$N$1,O155,IF($A$1=$Q$1,R155,IF($A$1=$T$1,U155,IF($A$1=$W$1,X155,IF($A$1=$Z$1,AA155,IF($A$1=$AC$1,AD155,IF($A$1=$AF$1,AG155,IF($A$1=$AI$1,AJ155))))))))))))</f>
        <v/>
      </c>
    </row>
    <row r="156" ht="15.5" customFormat="1" customHeight="1" s="13">
      <c r="A156" s="26" t="inlineStr">
        <is>
          <t>Çelik</t>
        </is>
      </c>
      <c r="B156" s="468">
        <f>B145/B15</f>
        <v/>
      </c>
      <c r="C156" s="468">
        <f>C145/C15</f>
        <v/>
      </c>
      <c r="D156" s="41" t="n"/>
      <c r="E156" s="12">
        <f>E145/E15</f>
        <v/>
      </c>
      <c r="F156" s="12">
        <f>F145/F15</f>
        <v/>
      </c>
      <c r="G156" s="41" t="n"/>
      <c r="H156" s="12">
        <f>H145/H15</f>
        <v/>
      </c>
      <c r="I156" s="12">
        <f>I145/I15</f>
        <v/>
      </c>
      <c r="J156" s="41" t="n"/>
      <c r="K156" s="12">
        <f>K145/K15</f>
        <v/>
      </c>
      <c r="L156" s="12">
        <f>L145/L15</f>
        <v/>
      </c>
      <c r="M156" s="41" t="n"/>
      <c r="N156" s="12">
        <f>N145/N15</f>
        <v/>
      </c>
      <c r="O156" s="12">
        <f>O145/O15</f>
        <v/>
      </c>
      <c r="P156" s="41" t="n"/>
      <c r="Q156" s="12">
        <f>Q145/Q15</f>
        <v/>
      </c>
      <c r="R156" s="12">
        <f>R145/R15</f>
        <v/>
      </c>
      <c r="S156" s="41" t="n"/>
      <c r="T156" s="12">
        <f>T145/T15</f>
        <v/>
      </c>
      <c r="U156" s="12">
        <f>U145/U15</f>
        <v/>
      </c>
      <c r="V156" s="41" t="n"/>
      <c r="W156" s="12">
        <f>W145/W15</f>
        <v/>
      </c>
      <c r="X156" s="12">
        <f>X145/X15</f>
        <v/>
      </c>
      <c r="Y156" s="41" t="n"/>
      <c r="Z156" s="12">
        <f>Z145/Z15</f>
        <v/>
      </c>
      <c r="AA156" s="12">
        <f>AA145/AA15</f>
        <v/>
      </c>
      <c r="AB156" s="41" t="n"/>
      <c r="AC156" s="12">
        <f>AC145/AC15</f>
        <v/>
      </c>
      <c r="AD156" s="12">
        <f>AD145/AD15</f>
        <v/>
      </c>
      <c r="AE156" s="41" t="n"/>
      <c r="AF156" s="12">
        <f>AF145/AF15</f>
        <v/>
      </c>
      <c r="AG156" s="12">
        <f>AG145/AG15</f>
        <v/>
      </c>
      <c r="AH156" s="41" t="n"/>
      <c r="AI156" s="12">
        <f>AI145/AI15</f>
        <v/>
      </c>
      <c r="AJ156" s="12">
        <f>AJ145/AJ15</f>
        <v/>
      </c>
      <c r="AK156" s="41" t="n"/>
      <c r="AL156" s="15" t="n"/>
      <c r="AM156" s="22">
        <f>AP156-AO156</f>
        <v/>
      </c>
      <c r="AO156" s="44">
        <f>IF($A$1=$B$1,B156,IF($A$1=$E$1,E156,IF($A$1=$H$1,H156,IF($A$1=$K$1,K156,IF($A$1=$N$1,N156,IF($A$1=$Q$1,Q156,IF($A$1=$T$1,T156,IF($A$1=$W$1,W156,IF($A$1=$Z$1,Z156,IF($A$1=$AC$1,AC156,IF($A$1=$AF$1,AF156,IF($A$1=$AI$1,AI156))))))))))))</f>
        <v/>
      </c>
      <c r="AP156" s="44">
        <f>IF($A$1=$B$1,C156,IF($A$1=$E$1,F156,IF($A$1=$H$1,I156,IF($A$1=$K$1,L156,IF($A$1=$N$1,O156,IF($A$1=$Q$1,R156,IF($A$1=$T$1,U156,IF($A$1=$W$1,X156,IF($A$1=$Z$1,AA156,IF($A$1=$AC$1,AD156,IF($A$1=$AF$1,AG156,IF($A$1=$AI$1,AJ156))))))))))))</f>
        <v/>
      </c>
    </row>
    <row r="157" ht="15.5" customFormat="1" customHeight="1" s="13">
      <c r="A157" s="26" t="inlineStr">
        <is>
          <t>Alüminyum</t>
        </is>
      </c>
      <c r="B157" s="468">
        <f>B146/B16</f>
        <v/>
      </c>
      <c r="C157" s="468">
        <f>C146/C16</f>
        <v/>
      </c>
      <c r="D157" s="41" t="n"/>
      <c r="E157" s="12">
        <f>E146/E16</f>
        <v/>
      </c>
      <c r="F157" s="12">
        <f>F146/F16</f>
        <v/>
      </c>
      <c r="G157" s="41" t="n"/>
      <c r="H157" s="12">
        <f>H146/H16</f>
        <v/>
      </c>
      <c r="I157" s="12">
        <f>I146/I16</f>
        <v/>
      </c>
      <c r="J157" s="41" t="n"/>
      <c r="K157" s="12">
        <f>K146/K16</f>
        <v/>
      </c>
      <c r="L157" s="12">
        <f>L146/L16</f>
        <v/>
      </c>
      <c r="M157" s="41" t="n"/>
      <c r="N157" s="12">
        <f>N146/N16</f>
        <v/>
      </c>
      <c r="O157" s="12">
        <f>O146/O16</f>
        <v/>
      </c>
      <c r="P157" s="41" t="n"/>
      <c r="Q157" s="12">
        <f>Q146/Q16</f>
        <v/>
      </c>
      <c r="R157" s="12">
        <f>R146/R16</f>
        <v/>
      </c>
      <c r="S157" s="41" t="n"/>
      <c r="T157" s="12">
        <f>T146/T16</f>
        <v/>
      </c>
      <c r="U157" s="12">
        <f>U146/U16</f>
        <v/>
      </c>
      <c r="V157" s="41" t="n"/>
      <c r="W157" s="12">
        <f>W146/W16</f>
        <v/>
      </c>
      <c r="X157" s="12">
        <f>X146/X16</f>
        <v/>
      </c>
      <c r="Y157" s="41" t="n"/>
      <c r="Z157" s="12">
        <f>Z146/Z16</f>
        <v/>
      </c>
      <c r="AA157" s="12">
        <f>AA146/AA16</f>
        <v/>
      </c>
      <c r="AB157" s="41" t="n"/>
      <c r="AC157" s="12">
        <f>AC146/AC16</f>
        <v/>
      </c>
      <c r="AD157" s="12">
        <f>AD146/AD16</f>
        <v/>
      </c>
      <c r="AE157" s="41" t="n"/>
      <c r="AF157" s="12">
        <f>AF146/AF16</f>
        <v/>
      </c>
      <c r="AG157" s="12">
        <f>AG146/AG16</f>
        <v/>
      </c>
      <c r="AH157" s="41" t="n"/>
      <c r="AI157" s="12">
        <f>AI146/AI16</f>
        <v/>
      </c>
      <c r="AJ157" s="12">
        <f>AJ146/AJ16</f>
        <v/>
      </c>
      <c r="AK157" s="41" t="n"/>
      <c r="AL157" s="15" t="n"/>
      <c r="AM157" s="22">
        <f>AP157-AO157</f>
        <v/>
      </c>
      <c r="AO157" s="44">
        <f>IF($A$1=$B$1,B157,IF($A$1=$E$1,E157,IF($A$1=$H$1,H157,IF($A$1=$K$1,K157,IF($A$1=$N$1,N157,IF($A$1=$Q$1,Q157,IF($A$1=$T$1,T157,IF($A$1=$W$1,W157,IF($A$1=$Z$1,Z157,IF($A$1=$AC$1,AC157,IF($A$1=$AF$1,AF157,IF($A$1=$AI$1,AI157))))))))))))</f>
        <v/>
      </c>
      <c r="AP157" s="44">
        <f>IF($A$1=$B$1,C157,IF($A$1=$E$1,F157,IF($A$1=$H$1,I157,IF($A$1=$K$1,L157,IF($A$1=$N$1,O157,IF($A$1=$Q$1,R157,IF($A$1=$T$1,U157,IF($A$1=$W$1,X157,IF($A$1=$Z$1,AA157,IF($A$1=$AC$1,AD157,IF($A$1=$AF$1,AG157,IF($A$1=$AI$1,AJ157))))))))))))</f>
        <v/>
      </c>
    </row>
    <row r="158" ht="15.5" customFormat="1" customHeight="1" s="13">
      <c r="A158" s="26" t="n"/>
      <c r="B158" s="12" t="n"/>
      <c r="C158" s="30" t="n"/>
      <c r="D158" s="41" t="n"/>
      <c r="E158" s="12" t="n"/>
      <c r="F158" s="30" t="n"/>
      <c r="G158" s="41" t="n"/>
      <c r="H158" s="12" t="n"/>
      <c r="I158" s="30" t="n"/>
      <c r="J158" s="41" t="n"/>
      <c r="K158" s="12" t="n"/>
      <c r="L158" s="30" t="n"/>
      <c r="M158" s="41" t="n"/>
      <c r="N158" s="12" t="n"/>
      <c r="O158" s="30" t="n"/>
      <c r="P158" s="41" t="n"/>
      <c r="Q158" s="12" t="n"/>
      <c r="R158" s="30" t="n"/>
      <c r="S158" s="41" t="n"/>
      <c r="T158" s="12" t="n"/>
      <c r="U158" s="30" t="n"/>
      <c r="V158" s="41" t="n"/>
      <c r="W158" s="12" t="n"/>
      <c r="X158" s="30" t="n"/>
      <c r="Y158" s="41" t="n"/>
      <c r="Z158" s="12" t="n"/>
      <c r="AA158" s="30" t="n"/>
      <c r="AB158" s="41" t="n"/>
      <c r="AC158" s="12" t="n"/>
      <c r="AD158" s="30" t="n"/>
      <c r="AE158" s="41" t="n"/>
      <c r="AF158" s="12" t="n"/>
      <c r="AG158" s="30" t="n"/>
      <c r="AH158" s="41" t="n"/>
      <c r="AI158" s="12" t="n"/>
      <c r="AJ158" s="30" t="n"/>
      <c r="AK158" s="41" t="n"/>
      <c r="AL158" s="15" t="n"/>
      <c r="AM158" s="22" t="n"/>
      <c r="AO158" s="44" t="n"/>
      <c r="AP158" s="44" t="n"/>
    </row>
    <row r="159" ht="15.5" customFormat="1" customHeight="1" s="13">
      <c r="A159" s="26" t="n"/>
      <c r="B159" s="12" t="n"/>
      <c r="C159" s="30" t="n"/>
      <c r="D159" s="41" t="n"/>
      <c r="E159" s="12" t="n"/>
      <c r="F159" s="30" t="n"/>
      <c r="G159" s="41" t="n"/>
      <c r="H159" s="12" t="n"/>
      <c r="I159" s="30" t="n"/>
      <c r="J159" s="41" t="n"/>
      <c r="K159" s="12" t="n"/>
      <c r="L159" s="30" t="n"/>
      <c r="M159" s="41" t="n"/>
      <c r="N159" s="12" t="n"/>
      <c r="O159" s="30" t="n"/>
      <c r="P159" s="41" t="n"/>
      <c r="Q159" s="12" t="n"/>
      <c r="R159" s="30" t="n"/>
      <c r="S159" s="41" t="n"/>
      <c r="T159" s="12" t="n"/>
      <c r="U159" s="30" t="n"/>
      <c r="V159" s="41" t="n"/>
      <c r="W159" s="12" t="n"/>
      <c r="X159" s="30" t="n"/>
      <c r="Y159" s="41" t="n"/>
      <c r="Z159" s="12" t="n"/>
      <c r="AA159" s="30" t="n"/>
      <c r="AB159" s="41" t="n"/>
      <c r="AC159" s="12" t="n"/>
      <c r="AD159" s="30" t="n"/>
      <c r="AE159" s="41" t="n"/>
      <c r="AF159" s="12" t="n"/>
      <c r="AG159" s="30" t="n"/>
      <c r="AH159" s="41" t="n"/>
      <c r="AI159" s="12" t="n"/>
      <c r="AJ159" s="30" t="n"/>
      <c r="AK159" s="41" t="n"/>
      <c r="AL159" s="15" t="n"/>
      <c r="AM159" s="22" t="n"/>
      <c r="AO159" s="44" t="n"/>
      <c r="AP159" s="44" t="n"/>
    </row>
    <row r="160" ht="15.5" customFormat="1" customHeight="1" s="44">
      <c r="A160" s="31" t="inlineStr">
        <is>
          <t>Finansman Gelir(Gideri)</t>
        </is>
      </c>
      <c r="B160" s="32">
        <f>'Bütçe aylık-Eur'!$B$92</f>
        <v/>
      </c>
      <c r="C160" s="32">
        <f>'gerç aylık-eur'!$B$91</f>
        <v/>
      </c>
      <c r="D160" s="18" t="n"/>
      <c r="E160" s="32">
        <f>'Bütçe aylık-Eur'!$C$92</f>
        <v/>
      </c>
      <c r="F160" s="32">
        <f>'gerç aylık-eur'!$C$91</f>
        <v/>
      </c>
      <c r="G160" s="18" t="n"/>
      <c r="H160" s="32">
        <f>'Bütçe aylık-Eur'!$D$92</f>
        <v/>
      </c>
      <c r="I160" s="32">
        <f>'gerç aylık-eur'!$D$91</f>
        <v/>
      </c>
      <c r="J160" s="18" t="n"/>
      <c r="K160" s="32">
        <f>'Bütçe aylık-Eur'!$E$92</f>
        <v/>
      </c>
      <c r="L160" s="32">
        <f>'gerç aylık-eur'!$E$91</f>
        <v/>
      </c>
      <c r="M160" s="18" t="n"/>
      <c r="N160" s="32">
        <f>'Bütçe aylık-Eur'!$F$92</f>
        <v/>
      </c>
      <c r="O160" s="32">
        <f>'gerç aylık-eur'!$F$91</f>
        <v/>
      </c>
      <c r="P160" s="18" t="n"/>
      <c r="Q160" s="32">
        <f>'Bütçe aylık-Eur'!$G$92</f>
        <v/>
      </c>
      <c r="R160" s="32">
        <f>'gerç aylık-eur'!$G$91</f>
        <v/>
      </c>
      <c r="S160" s="18" t="n"/>
      <c r="T160" s="32">
        <f>'Bütçe aylık-Eur'!$H$92</f>
        <v/>
      </c>
      <c r="U160" s="32">
        <f>'gerç aylık-eur'!$H$91</f>
        <v/>
      </c>
      <c r="V160" s="18" t="n"/>
      <c r="W160" s="32">
        <f>'Bütçe aylık-Eur'!$I$92</f>
        <v/>
      </c>
      <c r="X160" s="32">
        <f>'gerç aylık-eur'!$I$91</f>
        <v/>
      </c>
      <c r="Y160" s="18" t="n"/>
      <c r="Z160" s="32">
        <f>'Bütçe aylık-Eur'!$J$92</f>
        <v/>
      </c>
      <c r="AA160" s="32">
        <f>'gerç aylık-eur'!$J$91</f>
        <v/>
      </c>
      <c r="AB160" s="18" t="n"/>
      <c r="AC160" s="32">
        <f>'Bütçe aylık-Eur'!$K$92</f>
        <v/>
      </c>
      <c r="AD160" s="32">
        <f>'gerç aylık-eur'!$K$91</f>
        <v/>
      </c>
      <c r="AE160" s="18" t="n"/>
      <c r="AF160" s="32">
        <f>'Bütçe aylık-Eur'!$L$92</f>
        <v/>
      </c>
      <c r="AG160" s="32">
        <f>'gerç aylık-eur'!$L$91</f>
        <v/>
      </c>
      <c r="AH160" s="18" t="n"/>
      <c r="AI160" s="32">
        <f>'Bütçe aylık-Eur'!$M$92</f>
        <v/>
      </c>
      <c r="AJ160" s="32">
        <f>'gerç aylık-eur'!$M$91</f>
        <v/>
      </c>
      <c r="AK160" s="18" t="n"/>
      <c r="AL160" s="33">
        <f>AP160-AO160</f>
        <v/>
      </c>
      <c r="AM160" s="34">
        <f>AP160/AO160-1</f>
        <v/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/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/>
      </c>
    </row>
    <row r="161" ht="15.5" customFormat="1" customHeight="1" s="13">
      <c r="A161" s="27" t="n"/>
      <c r="B161" s="30" t="n"/>
      <c r="C161" s="30" t="n"/>
      <c r="D161" s="41" t="n"/>
      <c r="E161" s="30" t="n"/>
      <c r="F161" s="30" t="n"/>
      <c r="G161" s="41" t="n"/>
      <c r="H161" s="30" t="n"/>
      <c r="I161" s="30" t="n"/>
      <c r="J161" s="41" t="n"/>
      <c r="K161" s="30" t="n"/>
      <c r="L161" s="30" t="n"/>
      <c r="M161" s="41" t="n"/>
      <c r="N161" s="30" t="n"/>
      <c r="O161" s="30" t="n"/>
      <c r="P161" s="41" t="n"/>
      <c r="Q161" s="30" t="n"/>
      <c r="R161" s="30" t="n"/>
      <c r="S161" s="41" t="n"/>
      <c r="T161" s="30" t="n"/>
      <c r="U161" s="30" t="n"/>
      <c r="V161" s="41" t="n"/>
      <c r="W161" s="30" t="n"/>
      <c r="X161" s="30" t="n"/>
      <c r="Y161" s="41" t="n"/>
      <c r="Z161" s="30" t="n"/>
      <c r="AA161" s="30" t="n"/>
      <c r="AB161" s="41" t="n"/>
      <c r="AC161" s="30" t="n"/>
      <c r="AD161" s="30" t="n"/>
      <c r="AE161" s="41" t="n"/>
      <c r="AF161" s="30" t="n"/>
      <c r="AG161" s="30" t="n"/>
      <c r="AH161" s="41" t="n"/>
      <c r="AI161" s="30" t="n"/>
      <c r="AJ161" s="30" t="n"/>
      <c r="AK161" s="41" t="n"/>
      <c r="AL161" s="15" t="n"/>
      <c r="AM161" s="22" t="n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/>
      </c>
      <c r="AP161" s="44">
        <f>IF($A$1=$B$1,C161,IF($A$1=$E$1,F161,IF($A$1=$H$1,I161,IF($A$1=$K$1,L161,IF($A$1=$N$1,O161,IF($A$1=$Q$1,R161,IF($A$1=$T$1,U161,IF($A$1=$W$1,X161,IF($A$1=$Z$1,AA161,IF($A$1=$AC$1,AD161,IF($A$1=$AF$1,AG161,IF($A$1=$AI$1,AJ161))))))))))))</f>
        <v/>
      </c>
    </row>
    <row r="162" ht="17" customFormat="1" customHeight="1" s="49">
      <c r="A162" s="47" t="inlineStr">
        <is>
          <t>Finansman Gelir(Gideri) (100%)</t>
        </is>
      </c>
      <c r="B162" s="413" t="n"/>
      <c r="C162" s="413" t="n"/>
      <c r="D162" s="413" t="n"/>
      <c r="E162" s="413" t="n"/>
      <c r="F162" s="413" t="n"/>
      <c r="G162" s="413" t="n"/>
      <c r="H162" s="413" t="n"/>
      <c r="I162" s="413" t="n"/>
      <c r="J162" s="413" t="n"/>
      <c r="K162" s="413" t="n"/>
      <c r="L162" s="413" t="n"/>
      <c r="M162" s="413" t="n"/>
      <c r="N162" s="413" t="n"/>
      <c r="O162" s="413" t="n"/>
      <c r="P162" s="413" t="n"/>
      <c r="Q162" s="413" t="n"/>
      <c r="R162" s="413" t="n"/>
      <c r="S162" s="413" t="n"/>
      <c r="T162" s="413" t="n"/>
      <c r="U162" s="413" t="n"/>
      <c r="V162" s="413" t="n"/>
      <c r="W162" s="413" t="n"/>
      <c r="X162" s="413" t="n"/>
      <c r="Y162" s="413" t="n"/>
      <c r="Z162" s="413" t="n"/>
      <c r="AA162" s="413" t="n"/>
      <c r="AB162" s="413" t="n"/>
      <c r="AC162" s="413" t="n"/>
      <c r="AD162" s="413" t="n"/>
      <c r="AE162" s="413" t="n"/>
      <c r="AF162" s="413" t="n"/>
      <c r="AG162" s="413" t="n"/>
      <c r="AH162" s="413" t="n"/>
      <c r="AI162" s="413" t="n"/>
      <c r="AJ162" s="413" t="n"/>
      <c r="AK162" s="413" t="n"/>
      <c r="AL162" s="413" t="n"/>
      <c r="AM162" s="48" t="n"/>
    </row>
    <row r="163" ht="15.5" customHeight="1">
      <c r="A163" s="26" t="inlineStr">
        <is>
          <t xml:space="preserve">İnci Holding </t>
        </is>
      </c>
      <c r="B163" s="7">
        <f>'Bütçe aylık-Eur'!$B$93</f>
        <v/>
      </c>
      <c r="C163" s="7">
        <f>'gerç aylık-eur'!$B$92</f>
        <v/>
      </c>
      <c r="D163" s="7" t="n"/>
      <c r="E163" s="7">
        <f>'Bütçe aylık-Eur'!$C$93</f>
        <v/>
      </c>
      <c r="F163" s="7">
        <f>'gerç aylık-eur'!$C$92</f>
        <v/>
      </c>
      <c r="G163" s="7" t="n"/>
      <c r="H163" s="7">
        <f>'Bütçe aylık-Eur'!$D$93</f>
        <v/>
      </c>
      <c r="I163" s="7">
        <f>'gerç aylık-eur'!$D$92</f>
        <v/>
      </c>
      <c r="J163" s="7" t="n"/>
      <c r="K163" s="7">
        <f>'Bütçe aylık-Eur'!$E$93</f>
        <v/>
      </c>
      <c r="L163" s="7">
        <f>'gerç aylık-eur'!$E$92</f>
        <v/>
      </c>
      <c r="M163" s="7" t="n"/>
      <c r="N163" s="7">
        <f>'Bütçe aylık-Eur'!$F$93</f>
        <v/>
      </c>
      <c r="O163" s="7">
        <f>'gerç aylık-eur'!$F$92</f>
        <v/>
      </c>
      <c r="P163" s="7" t="n"/>
      <c r="Q163" s="7">
        <f>'Bütçe aylık-Eur'!$G$93</f>
        <v/>
      </c>
      <c r="R163" s="7">
        <f>'gerç aylık-eur'!$G$92</f>
        <v/>
      </c>
      <c r="S163" s="7" t="n"/>
      <c r="T163" s="7">
        <f>'Bütçe aylık-Eur'!$H$93</f>
        <v/>
      </c>
      <c r="U163" s="7">
        <f>'gerç aylık-eur'!$H$92</f>
        <v/>
      </c>
      <c r="V163" s="7" t="n"/>
      <c r="W163" s="7">
        <f>'Bütçe aylık-Eur'!$I$93</f>
        <v/>
      </c>
      <c r="X163" s="7">
        <f>'gerç aylık-eur'!$I$92</f>
        <v/>
      </c>
      <c r="Y163" s="7" t="n"/>
      <c r="Z163" s="7">
        <f>'Bütçe aylık-Eur'!$J$93</f>
        <v/>
      </c>
      <c r="AA163" s="7">
        <f>'gerç aylık-eur'!$J$92</f>
        <v/>
      </c>
      <c r="AB163" s="7" t="n"/>
      <c r="AC163" s="7">
        <f>'Bütçe aylık-Eur'!$K$93</f>
        <v/>
      </c>
      <c r="AD163" s="7">
        <f>'gerç aylık-eur'!$K$92</f>
        <v/>
      </c>
      <c r="AE163" s="7" t="n"/>
      <c r="AF163" s="7">
        <f>'Bütçe aylık-Eur'!$L$93</f>
        <v/>
      </c>
      <c r="AG163" s="7">
        <f>'gerç aylık-eur'!$L$92</f>
        <v/>
      </c>
      <c r="AH163" s="7" t="n"/>
      <c r="AI163" s="7">
        <f>'Bütçe aylık-Eur'!$M$93</f>
        <v/>
      </c>
      <c r="AJ163" s="7">
        <f>'gerç aylık-eur'!$M$92</f>
        <v/>
      </c>
      <c r="AK163" s="7" t="n"/>
      <c r="AL163" s="21">
        <f>AP163-AO163</f>
        <v/>
      </c>
      <c r="AM163" s="22">
        <f>AP163/AO163-1</f>
        <v/>
      </c>
      <c r="AO163" s="44">
        <f>IF($A$1=$B$1,B163,IF($A$1=$E$1,E163,IF($A$1=$H$1,H163,IF($A$1=$K$1,K163,IF($A$1=$N$1,N163,IF($A$1=$Q$1,Q163,IF($A$1=$T$1,T163,IF($A$1=$W$1,W163,IF($A$1=$Z$1,Z163,IF($A$1=$AC$1,AC163,IF($A$1=$AF$1,AF163,IF($A$1=$AI$1,AI163))))))))))))</f>
        <v/>
      </c>
      <c r="AP163" s="44">
        <f>IF($A$1=$B$1,C163,IF($A$1=$E$1,F163,IF($A$1=$H$1,I163,IF($A$1=$K$1,L163,IF($A$1=$N$1,O163,IF($A$1=$Q$1,R163,IF($A$1=$T$1,U163,IF($A$1=$W$1,X163,IF($A$1=$Z$1,AA163,IF($A$1=$AC$1,AD163,IF($A$1=$AF$1,AG163,IF($A$1=$AI$1,AJ163))))))))))))</f>
        <v/>
      </c>
    </row>
    <row r="164" ht="15.5" customHeight="1">
      <c r="A164" s="26" t="inlineStr">
        <is>
          <t xml:space="preserve">ISM </t>
        </is>
      </c>
      <c r="B164" s="7">
        <f>'Bütçe aylık-Eur'!$B$94</f>
        <v/>
      </c>
      <c r="C164" s="7">
        <f>'gerç aylık-eur'!$B$93</f>
        <v/>
      </c>
      <c r="D164" s="7" t="n"/>
      <c r="E164" s="7">
        <f>'Bütçe aylık-Eur'!$C$94</f>
        <v/>
      </c>
      <c r="F164" s="7">
        <f>'gerç aylık-eur'!$C$93</f>
        <v/>
      </c>
      <c r="G164" s="7" t="n"/>
      <c r="H164" s="7">
        <f>'Bütçe aylık-Eur'!$D$94</f>
        <v/>
      </c>
      <c r="I164" s="7">
        <f>'gerç aylık-eur'!$D$93</f>
        <v/>
      </c>
      <c r="J164" s="7" t="n"/>
      <c r="K164" s="7">
        <f>'Bütçe aylık-Eur'!$E$94</f>
        <v/>
      </c>
      <c r="L164" s="7">
        <f>'gerç aylık-eur'!$E$93</f>
        <v/>
      </c>
      <c r="M164" s="7" t="n"/>
      <c r="N164" s="7">
        <f>'Bütçe aylık-Eur'!$F$94</f>
        <v/>
      </c>
      <c r="O164" s="7">
        <f>'gerç aylık-eur'!$F$93</f>
        <v/>
      </c>
      <c r="P164" s="7" t="n"/>
      <c r="Q164" s="7">
        <f>'Bütçe aylık-Eur'!$G$94</f>
        <v/>
      </c>
      <c r="R164" s="7">
        <f>'gerç aylık-eur'!$G$93</f>
        <v/>
      </c>
      <c r="S164" s="7" t="n"/>
      <c r="T164" s="7">
        <f>'Bütçe aylık-Eur'!$H$94</f>
        <v/>
      </c>
      <c r="U164" s="7">
        <f>'gerç aylık-eur'!$H$93</f>
        <v/>
      </c>
      <c r="V164" s="7" t="n"/>
      <c r="W164" s="7">
        <f>'Bütçe aylık-Eur'!$I$94</f>
        <v/>
      </c>
      <c r="X164" s="7">
        <f>'gerç aylık-eur'!$I$93</f>
        <v/>
      </c>
      <c r="Y164" s="7" t="n"/>
      <c r="Z164" s="7">
        <f>'Bütçe aylık-Eur'!$J$94</f>
        <v/>
      </c>
      <c r="AA164" s="7">
        <f>'gerç aylık-eur'!$J$93</f>
        <v/>
      </c>
      <c r="AB164" s="7" t="n"/>
      <c r="AC164" s="7">
        <f>'Bütçe aylık-Eur'!$K$94</f>
        <v/>
      </c>
      <c r="AD164" s="7">
        <f>'gerç aylık-eur'!$K$93</f>
        <v/>
      </c>
      <c r="AE164" s="7" t="n"/>
      <c r="AF164" s="7">
        <f>'Bütçe aylık-Eur'!$L$94</f>
        <v/>
      </c>
      <c r="AG164" s="7">
        <f>'gerç aylık-eur'!$L$93</f>
        <v/>
      </c>
      <c r="AH164" s="7" t="n"/>
      <c r="AI164" s="7">
        <f>'Bütçe aylık-Eur'!$M$94</f>
        <v/>
      </c>
      <c r="AJ164" s="7">
        <f>'gerç aylık-eur'!$M$93</f>
        <v/>
      </c>
      <c r="AK164" s="7" t="n"/>
      <c r="AL164" s="21">
        <f>AP164-AO164</f>
        <v/>
      </c>
      <c r="AM164" s="22">
        <f>AP164/AO164-1</f>
        <v/>
      </c>
      <c r="AO164" s="44">
        <f>IF($A$1=$B$1,B164,IF($A$1=$E$1,E164,IF($A$1=$H$1,H164,IF($A$1=$K$1,K164,IF($A$1=$N$1,N164,IF($A$1=$Q$1,Q164,IF($A$1=$T$1,T164,IF($A$1=$W$1,W164,IF($A$1=$Z$1,Z164,IF($A$1=$AC$1,AC164,IF($A$1=$AF$1,AF164,IF($A$1=$AI$1,AI164))))))))))))</f>
        <v/>
      </c>
      <c r="AP164" s="44">
        <f>IF($A$1=$B$1,C164,IF($A$1=$E$1,F164,IF($A$1=$H$1,I164,IF($A$1=$K$1,L164,IF($A$1=$N$1,O164,IF($A$1=$Q$1,R164,IF($A$1=$T$1,U164,IF($A$1=$W$1,X164,IF($A$1=$Z$1,AA164,IF($A$1=$AC$1,AD164,IF($A$1=$AF$1,AG164,IF($A$1=$AI$1,AJ164))))))))))))</f>
        <v/>
      </c>
    </row>
    <row r="165" ht="15.5" customHeight="1">
      <c r="A165" s="26" t="inlineStr">
        <is>
          <t>İncitaş</t>
        </is>
      </c>
      <c r="B165" s="7">
        <f>'Bütçe aylık-Eur'!$B$95</f>
        <v/>
      </c>
      <c r="C165" s="7">
        <f>'gerç aylık-eur'!$B$94</f>
        <v/>
      </c>
      <c r="D165" s="7" t="n"/>
      <c r="E165" s="7">
        <f>'Bütçe aylık-Eur'!$C$95</f>
        <v/>
      </c>
      <c r="F165" s="7">
        <f>'gerç aylık-eur'!$C$94</f>
        <v/>
      </c>
      <c r="G165" s="7" t="n"/>
      <c r="H165" s="7">
        <f>'Bütçe aylık-Eur'!$D$95</f>
        <v/>
      </c>
      <c r="I165" s="7">
        <f>'gerç aylık-eur'!$D$94</f>
        <v/>
      </c>
      <c r="J165" s="7" t="n"/>
      <c r="K165" s="7">
        <f>'Bütçe aylık-Eur'!$E$95</f>
        <v/>
      </c>
      <c r="L165" s="7">
        <f>'gerç aylık-eur'!$E$94</f>
        <v/>
      </c>
      <c r="M165" s="7" t="n"/>
      <c r="N165" s="7">
        <f>'Bütçe aylık-Eur'!$F$95</f>
        <v/>
      </c>
      <c r="O165" s="7">
        <f>'gerç aylık-eur'!$F$94</f>
        <v/>
      </c>
      <c r="P165" s="7" t="n"/>
      <c r="Q165" s="7">
        <f>'Bütçe aylık-Eur'!$G$95</f>
        <v/>
      </c>
      <c r="R165" s="7">
        <f>'gerç aylık-eur'!$G$94</f>
        <v/>
      </c>
      <c r="S165" s="7" t="n"/>
      <c r="T165" s="7">
        <f>'Bütçe aylık-Eur'!$H$95</f>
        <v/>
      </c>
      <c r="U165" s="7">
        <f>'gerç aylık-eur'!$H$94</f>
        <v/>
      </c>
      <c r="V165" s="7" t="n"/>
      <c r="W165" s="7">
        <f>'Bütçe aylık-Eur'!$I$95</f>
        <v/>
      </c>
      <c r="X165" s="7">
        <f>'gerç aylık-eur'!$I$94</f>
        <v/>
      </c>
      <c r="Y165" s="7" t="n"/>
      <c r="Z165" s="7">
        <f>'Bütçe aylık-Eur'!$J$95</f>
        <v/>
      </c>
      <c r="AA165" s="7">
        <f>'gerç aylık-eur'!$J$94</f>
        <v/>
      </c>
      <c r="AB165" s="7" t="n"/>
      <c r="AC165" s="7">
        <f>'Bütçe aylık-Eur'!$K$95</f>
        <v/>
      </c>
      <c r="AD165" s="7">
        <f>'gerç aylık-eur'!$K$94</f>
        <v/>
      </c>
      <c r="AE165" s="7" t="n"/>
      <c r="AF165" s="7">
        <f>'Bütçe aylık-Eur'!$L$95</f>
        <v/>
      </c>
      <c r="AG165" s="7">
        <f>'gerç aylık-eur'!$L$94</f>
        <v/>
      </c>
      <c r="AH165" s="7" t="n"/>
      <c r="AI165" s="7">
        <f>'Bütçe aylık-Eur'!$M$95</f>
        <v/>
      </c>
      <c r="AJ165" s="7">
        <f>'gerç aylık-eur'!$M$94</f>
        <v/>
      </c>
      <c r="AK165" s="7" t="n"/>
      <c r="AL165" s="21">
        <f>AP165-AO165</f>
        <v/>
      </c>
      <c r="AM165" s="22">
        <f>AP165/AO165-1</f>
        <v/>
      </c>
      <c r="AO165" s="44">
        <f>IF($A$1=$B$1,B165,IF($A$1=$E$1,E165,IF($A$1=$H$1,H165,IF($A$1=$K$1,K165,IF($A$1=$N$1,N165,IF($A$1=$Q$1,Q165,IF($A$1=$T$1,T165,IF($A$1=$W$1,W165,IF($A$1=$Z$1,Z165,IF($A$1=$AC$1,AC165,IF($A$1=$AF$1,AF165,IF($A$1=$AI$1,AI165))))))))))))</f>
        <v/>
      </c>
      <c r="AP165" s="44">
        <f>IF($A$1=$B$1,C165,IF($A$1=$E$1,F165,IF($A$1=$H$1,I165,IF($A$1=$K$1,L165,IF($A$1=$N$1,O165,IF($A$1=$Q$1,R165,IF($A$1=$T$1,U165,IF($A$1=$W$1,X165,IF($A$1=$Z$1,AA165,IF($A$1=$AC$1,AD165,IF($A$1=$AF$1,AG165,IF($A$1=$AI$1,AJ165))))))))))))</f>
        <v/>
      </c>
    </row>
    <row r="166" ht="15.5" customHeight="1">
      <c r="A166" s="26" t="inlineStr">
        <is>
          <t>İnci GS Yuasa</t>
        </is>
      </c>
      <c r="B166" s="7">
        <f>'Bütçe aylık-Eur'!$B$96</f>
        <v/>
      </c>
      <c r="C166" s="7">
        <f>'gerç aylık-eur'!$B$95</f>
        <v/>
      </c>
      <c r="D166" s="7" t="n"/>
      <c r="E166" s="7">
        <f>'Bütçe aylık-Eur'!$C$96</f>
        <v/>
      </c>
      <c r="F166" s="7">
        <f>'gerç aylık-eur'!$C$95</f>
        <v/>
      </c>
      <c r="G166" s="7" t="n"/>
      <c r="H166" s="7">
        <f>'Bütçe aylık-Eur'!$D$96</f>
        <v/>
      </c>
      <c r="I166" s="7">
        <f>'gerç aylık-eur'!$D$95</f>
        <v/>
      </c>
      <c r="J166" s="7" t="n"/>
      <c r="K166" s="7">
        <f>'Bütçe aylık-Eur'!$E$96</f>
        <v/>
      </c>
      <c r="L166" s="7">
        <f>'gerç aylık-eur'!$E$95</f>
        <v/>
      </c>
      <c r="M166" s="7" t="n"/>
      <c r="N166" s="7">
        <f>'Bütçe aylık-Eur'!$F$96</f>
        <v/>
      </c>
      <c r="O166" s="7">
        <f>'gerç aylık-eur'!$F$95</f>
        <v/>
      </c>
      <c r="P166" s="7" t="n"/>
      <c r="Q166" s="7">
        <f>'Bütçe aylık-Eur'!$G$96</f>
        <v/>
      </c>
      <c r="R166" s="7">
        <f>'gerç aylık-eur'!$G$95</f>
        <v/>
      </c>
      <c r="S166" s="7" t="n"/>
      <c r="T166" s="7">
        <f>'Bütçe aylık-Eur'!$H$96</f>
        <v/>
      </c>
      <c r="U166" s="7">
        <f>'gerç aylık-eur'!$H$95</f>
        <v/>
      </c>
      <c r="V166" s="7" t="n"/>
      <c r="W166" s="7">
        <f>'Bütçe aylık-Eur'!$I$96</f>
        <v/>
      </c>
      <c r="X166" s="7">
        <f>'gerç aylık-eur'!$I$95</f>
        <v/>
      </c>
      <c r="Y166" s="7" t="n"/>
      <c r="Z166" s="7">
        <f>'Bütçe aylık-Eur'!$J$96</f>
        <v/>
      </c>
      <c r="AA166" s="7">
        <f>'gerç aylık-eur'!$J$95</f>
        <v/>
      </c>
      <c r="AB166" s="7" t="n"/>
      <c r="AC166" s="7">
        <f>'Bütçe aylık-Eur'!$K$96</f>
        <v/>
      </c>
      <c r="AD166" s="7">
        <f>'gerç aylık-eur'!$K$95</f>
        <v/>
      </c>
      <c r="AE166" s="7" t="n"/>
      <c r="AF166" s="7">
        <f>'Bütçe aylık-Eur'!$L$96</f>
        <v/>
      </c>
      <c r="AG166" s="7">
        <f>'gerç aylık-eur'!$L$95</f>
        <v/>
      </c>
      <c r="AH166" s="7" t="n"/>
      <c r="AI166" s="7">
        <f>'Bütçe aylık-Eur'!$M$96</f>
        <v/>
      </c>
      <c r="AJ166" s="7">
        <f>'gerç aylık-eur'!$M$95</f>
        <v/>
      </c>
      <c r="AK166" s="7" t="n"/>
      <c r="AL166" s="21">
        <f>AP166-AO166</f>
        <v/>
      </c>
      <c r="AM166" s="22">
        <f>AP166/AO166-1</f>
        <v/>
      </c>
      <c r="AO166" s="44">
        <f>IF($A$1=$B$1,B166,IF($A$1=$E$1,E166,IF($A$1=$H$1,H166,IF($A$1=$K$1,K166,IF($A$1=$N$1,N166,IF($A$1=$Q$1,Q166,IF($A$1=$T$1,T166,IF($A$1=$W$1,W166,IF($A$1=$Z$1,Z166,IF($A$1=$AC$1,AC166,IF($A$1=$AF$1,AF166,IF($A$1=$AI$1,AI166))))))))))))</f>
        <v/>
      </c>
      <c r="AP166" s="44">
        <f>IF($A$1=$B$1,C166,IF($A$1=$E$1,F166,IF($A$1=$H$1,I166,IF($A$1=$K$1,L166,IF($A$1=$N$1,O166,IF($A$1=$Q$1,R166,IF($A$1=$T$1,U166,IF($A$1=$W$1,X166,IF($A$1=$Z$1,AA166,IF($A$1=$AC$1,AD166,IF($A$1=$AF$1,AG166,IF($A$1=$AI$1,AJ166))))))))))))</f>
        <v/>
      </c>
    </row>
    <row r="167" ht="15.5" customFormat="1" customHeight="1" s="1">
      <c r="A167" s="26" t="inlineStr">
        <is>
          <t>Yusen İnci Loj.</t>
        </is>
      </c>
      <c r="B167" s="7">
        <f>'Bütçe aylık-Eur'!$B$97</f>
        <v/>
      </c>
      <c r="C167" s="7">
        <f>'gerç aylık-eur'!$B$96</f>
        <v/>
      </c>
      <c r="D167" s="8" t="n"/>
      <c r="E167" s="7">
        <f>'Bütçe aylık-Eur'!$C$97</f>
        <v/>
      </c>
      <c r="F167" s="7">
        <f>'gerç aylık-eur'!$C$96</f>
        <v/>
      </c>
      <c r="G167" s="8" t="n"/>
      <c r="H167" s="7">
        <f>'Bütçe aylık-Eur'!$D$97</f>
        <v/>
      </c>
      <c r="I167" s="7">
        <f>'gerç aylık-eur'!$D$96</f>
        <v/>
      </c>
      <c r="J167" s="8" t="n"/>
      <c r="K167" s="7">
        <f>'Bütçe aylık-Eur'!$E$97</f>
        <v/>
      </c>
      <c r="L167" s="7">
        <f>'gerç aylık-eur'!$E$96</f>
        <v/>
      </c>
      <c r="M167" s="8" t="n"/>
      <c r="N167" s="7">
        <f>'Bütçe aylık-Eur'!$F$97</f>
        <v/>
      </c>
      <c r="O167" s="7">
        <f>'gerç aylık-eur'!$F$96</f>
        <v/>
      </c>
      <c r="P167" s="8" t="n"/>
      <c r="Q167" s="7">
        <f>'Bütçe aylık-Eur'!$G$97</f>
        <v/>
      </c>
      <c r="R167" s="7">
        <f>'gerç aylık-eur'!$G$96</f>
        <v/>
      </c>
      <c r="S167" s="8" t="n"/>
      <c r="T167" s="7">
        <f>'Bütçe aylık-Eur'!$H$97</f>
        <v/>
      </c>
      <c r="U167" s="7">
        <f>'gerç aylık-eur'!$H$96</f>
        <v/>
      </c>
      <c r="V167" s="8" t="n"/>
      <c r="W167" s="7">
        <f>'Bütçe aylık-Eur'!$I$97</f>
        <v/>
      </c>
      <c r="X167" s="7">
        <f>'gerç aylık-eur'!$I$96</f>
        <v/>
      </c>
      <c r="Y167" s="8" t="n"/>
      <c r="Z167" s="7">
        <f>'Bütçe aylık-Eur'!$J$97</f>
        <v/>
      </c>
      <c r="AA167" s="7">
        <f>'gerç aylık-eur'!$J$96</f>
        <v/>
      </c>
      <c r="AB167" s="8" t="n"/>
      <c r="AC167" s="7">
        <f>'Bütçe aylık-Eur'!$K$97</f>
        <v/>
      </c>
      <c r="AD167" s="7">
        <f>'gerç aylık-eur'!$K$96</f>
        <v/>
      </c>
      <c r="AE167" s="8" t="n"/>
      <c r="AF167" s="7">
        <f>'Bütçe aylık-Eur'!$L$97</f>
        <v/>
      </c>
      <c r="AG167" s="7">
        <f>'gerç aylık-eur'!$L$96</f>
        <v/>
      </c>
      <c r="AH167" s="8" t="n"/>
      <c r="AI167" s="7">
        <f>'Bütçe aylık-Eur'!$M$97</f>
        <v/>
      </c>
      <c r="AJ167" s="7">
        <f>'gerç aylık-eur'!$M$96</f>
        <v/>
      </c>
      <c r="AK167" s="8" t="n"/>
      <c r="AL167" s="21">
        <f>AP167-AO167</f>
        <v/>
      </c>
      <c r="AM167" s="22">
        <f>AP167/AO167-1</f>
        <v/>
      </c>
      <c r="AO167" s="44">
        <f>IF($A$1=$B$1,B167,IF($A$1=$E$1,E167,IF($A$1=$H$1,H167,IF($A$1=$K$1,K167,IF($A$1=$N$1,N167,IF($A$1=$Q$1,Q167,IF($A$1=$T$1,T167,IF($A$1=$W$1,W167,IF($A$1=$Z$1,Z167,IF($A$1=$AC$1,AC167,IF($A$1=$AF$1,AF167,IF($A$1=$AI$1,AI167))))))))))))</f>
        <v/>
      </c>
      <c r="AP167" s="44">
        <f>IF($A$1=$B$1,C167,IF($A$1=$E$1,F167,IF($A$1=$H$1,I167,IF($A$1=$K$1,L167,IF($A$1=$N$1,O167,IF($A$1=$Q$1,R167,IF($A$1=$T$1,U167,IF($A$1=$W$1,X167,IF($A$1=$Z$1,AA167,IF($A$1=$AC$1,AD167,IF($A$1=$AF$1,AG167,IF($A$1=$AI$1,AJ167))))))))))))</f>
        <v/>
      </c>
    </row>
    <row r="168" ht="15.5" customHeight="1">
      <c r="A168" s="26" t="inlineStr">
        <is>
          <t>Jantaş</t>
        </is>
      </c>
      <c r="B168" s="7">
        <f>'Bütçe aylık-Eur'!$B$98</f>
        <v/>
      </c>
      <c r="C168" s="7">
        <f>'gerç aylık-eur'!$B$97</f>
        <v/>
      </c>
      <c r="D168" s="7" t="n"/>
      <c r="E168" s="7">
        <f>'Bütçe aylık-Eur'!$C$98</f>
        <v/>
      </c>
      <c r="F168" s="7">
        <f>'gerç aylık-eur'!$C$97</f>
        <v/>
      </c>
      <c r="G168" s="7" t="n"/>
      <c r="H168" s="7">
        <f>'Bütçe aylık-Eur'!$D$98</f>
        <v/>
      </c>
      <c r="I168" s="7">
        <f>'gerç aylık-eur'!$D$97</f>
        <v/>
      </c>
      <c r="J168" s="7" t="n"/>
      <c r="K168" s="7">
        <f>'Bütçe aylık-Eur'!$E$98</f>
        <v/>
      </c>
      <c r="L168" s="7">
        <f>'gerç aylık-eur'!$E$97</f>
        <v/>
      </c>
      <c r="M168" s="7" t="n"/>
      <c r="N168" s="7">
        <f>'Bütçe aylık-Eur'!$F$98</f>
        <v/>
      </c>
      <c r="O168" s="7">
        <f>'gerç aylık-eur'!$F$97</f>
        <v/>
      </c>
      <c r="P168" s="7" t="n"/>
      <c r="Q168" s="7">
        <f>'Bütçe aylık-Eur'!$G$98</f>
        <v/>
      </c>
      <c r="R168" s="7">
        <f>'gerç aylık-eur'!$G$97</f>
        <v/>
      </c>
      <c r="S168" s="7" t="n"/>
      <c r="T168" s="7">
        <f>'Bütçe aylık-Eur'!$H$98</f>
        <v/>
      </c>
      <c r="U168" s="7">
        <f>'gerç aylık-eur'!$H$97</f>
        <v/>
      </c>
      <c r="V168" s="7" t="n"/>
      <c r="W168" s="7">
        <f>'Bütçe aylık-Eur'!$I$98</f>
        <v/>
      </c>
      <c r="X168" s="7">
        <f>'gerç aylık-eur'!$I$97</f>
        <v/>
      </c>
      <c r="Y168" s="7" t="n"/>
      <c r="Z168" s="7">
        <f>'Bütçe aylık-Eur'!$J$98</f>
        <v/>
      </c>
      <c r="AA168" s="7">
        <f>'gerç aylık-eur'!$J$97</f>
        <v/>
      </c>
      <c r="AB168" s="7" t="n"/>
      <c r="AC168" s="7">
        <f>'Bütçe aylık-Eur'!$K$98</f>
        <v/>
      </c>
      <c r="AD168" s="7">
        <f>'gerç aylık-eur'!$K$97</f>
        <v/>
      </c>
      <c r="AE168" s="7" t="n"/>
      <c r="AF168" s="7">
        <f>'Bütçe aylık-Eur'!$L$98</f>
        <v/>
      </c>
      <c r="AG168" s="7">
        <f>'gerç aylık-eur'!$L$97</f>
        <v/>
      </c>
      <c r="AH168" s="7" t="n"/>
      <c r="AI168" s="7">
        <f>'Bütçe aylık-Eur'!$M$98</f>
        <v/>
      </c>
      <c r="AJ168" s="7">
        <f>'gerç aylık-eur'!$M$97</f>
        <v/>
      </c>
      <c r="AK168" s="7" t="n"/>
      <c r="AL168" s="21">
        <f>AP168-AO168</f>
        <v/>
      </c>
      <c r="AM168" s="22">
        <f>AP168/AO168-1</f>
        <v/>
      </c>
      <c r="AO168" s="44">
        <f>IF($A$1=$B$1,B168,IF($A$1=$E$1,E168,IF($A$1=$H$1,H168,IF($A$1=$K$1,K168,IF($A$1=$N$1,N168,IF($A$1=$Q$1,Q168,IF($A$1=$T$1,T168,IF($A$1=$W$1,W168,IF($A$1=$Z$1,Z168,IF($A$1=$AC$1,AC168,IF($A$1=$AF$1,AF168,IF($A$1=$AI$1,AI168))))))))))))</f>
        <v/>
      </c>
      <c r="AP168" s="44">
        <f>IF($A$1=$B$1,C168,IF($A$1=$E$1,F168,IF($A$1=$H$1,I168,IF($A$1=$K$1,L168,IF($A$1=$N$1,O168,IF($A$1=$Q$1,R168,IF($A$1=$T$1,U168,IF($A$1=$W$1,X168,IF($A$1=$Z$1,AA168,IF($A$1=$AC$1,AD168,IF($A$1=$AF$1,AG168,IF($A$1=$AI$1,AJ168))))))))))))</f>
        <v/>
      </c>
    </row>
    <row r="169" ht="15.5" customHeight="1">
      <c r="A169" s="26" t="inlineStr">
        <is>
          <t>Çelik</t>
        </is>
      </c>
      <c r="B169" s="7">
        <f>'Bütçe aylık-Eur'!$B$99</f>
        <v/>
      </c>
      <c r="C169" s="7">
        <f>'gerç aylık-eur'!$B$98</f>
        <v/>
      </c>
      <c r="D169" s="7" t="n"/>
      <c r="E169" s="7">
        <f>'Bütçe aylık-Eur'!$C$99</f>
        <v/>
      </c>
      <c r="F169" s="7">
        <f>'gerç aylık-eur'!$C$98</f>
        <v/>
      </c>
      <c r="G169" s="7" t="n"/>
      <c r="H169" s="7">
        <f>'Bütçe aylık-Eur'!$D$99</f>
        <v/>
      </c>
      <c r="I169" s="7">
        <f>'gerç aylık-eur'!$D$98</f>
        <v/>
      </c>
      <c r="J169" s="7" t="n"/>
      <c r="K169" s="7">
        <f>'Bütçe aylık-Eur'!$E$99</f>
        <v/>
      </c>
      <c r="L169" s="7">
        <f>'gerç aylık-eur'!$E$98</f>
        <v/>
      </c>
      <c r="M169" s="7" t="n"/>
      <c r="N169" s="7">
        <f>'Bütçe aylık-Eur'!$F$99</f>
        <v/>
      </c>
      <c r="O169" s="7">
        <f>'gerç aylık-eur'!$F$98</f>
        <v/>
      </c>
      <c r="P169" s="7" t="n"/>
      <c r="Q169" s="7">
        <f>'Bütçe aylık-Eur'!$G$99</f>
        <v/>
      </c>
      <c r="R169" s="7">
        <f>'gerç aylık-eur'!$G$98</f>
        <v/>
      </c>
      <c r="S169" s="7" t="n"/>
      <c r="T169" s="7">
        <f>'Bütçe aylık-Eur'!$H$99</f>
        <v/>
      </c>
      <c r="U169" s="7">
        <f>'gerç aylık-eur'!$H$98</f>
        <v/>
      </c>
      <c r="V169" s="7" t="n"/>
      <c r="W169" s="7">
        <f>'Bütçe aylık-Eur'!$I$99</f>
        <v/>
      </c>
      <c r="X169" s="7">
        <f>'gerç aylık-eur'!$I$98</f>
        <v/>
      </c>
      <c r="Y169" s="7" t="n"/>
      <c r="Z169" s="7">
        <f>'Bütçe aylık-Eur'!$J$99</f>
        <v/>
      </c>
      <c r="AA169" s="7">
        <f>'gerç aylık-eur'!$J$98</f>
        <v/>
      </c>
      <c r="AB169" s="7" t="n"/>
      <c r="AC169" s="7">
        <f>'Bütçe aylık-Eur'!$K$99</f>
        <v/>
      </c>
      <c r="AD169" s="7">
        <f>'gerç aylık-eur'!$K$98</f>
        <v/>
      </c>
      <c r="AE169" s="7" t="n"/>
      <c r="AF169" s="7">
        <f>'Bütçe aylık-Eur'!$L$99</f>
        <v/>
      </c>
      <c r="AG169" s="7">
        <f>'gerç aylık-eur'!$L$98</f>
        <v/>
      </c>
      <c r="AH169" s="7" t="n"/>
      <c r="AI169" s="7">
        <f>'Bütçe aylık-Eur'!$M$99</f>
        <v/>
      </c>
      <c r="AJ169" s="7">
        <f>'gerç aylık-eur'!$M$98</f>
        <v/>
      </c>
      <c r="AK169" s="7" t="n"/>
      <c r="AL169" s="21">
        <f>AP169-AO169</f>
        <v/>
      </c>
      <c r="AM169" s="22">
        <f>AP169/AO169-1</f>
        <v/>
      </c>
      <c r="AO169" s="44">
        <f>IF($A$1=$B$1,B169,IF($A$1=$E$1,E169,IF($A$1=$H$1,H169,IF($A$1=$K$1,K169,IF($A$1=$N$1,N169,IF($A$1=$Q$1,Q169,IF($A$1=$T$1,T169,IF($A$1=$W$1,W169,IF($A$1=$Z$1,Z169,IF($A$1=$AC$1,AC169,IF($A$1=$AF$1,AF169,IF($A$1=$AI$1,AI169))))))))))))</f>
        <v/>
      </c>
      <c r="AP169" s="44">
        <f>IF($A$1=$B$1,C169,IF($A$1=$E$1,F169,IF($A$1=$H$1,I169,IF($A$1=$K$1,L169,IF($A$1=$N$1,O169,IF($A$1=$Q$1,R169,IF($A$1=$T$1,U169,IF($A$1=$W$1,X169,IF($A$1=$Z$1,AA169,IF($A$1=$AC$1,AD169,IF($A$1=$AF$1,AG169,IF($A$1=$AI$1,AJ169))))))))))))</f>
        <v/>
      </c>
    </row>
    <row r="170" ht="15.5" customHeight="1">
      <c r="A170" s="26" t="inlineStr">
        <is>
          <t>Alüminyum</t>
        </is>
      </c>
      <c r="B170" s="7">
        <f>'Bütçe aylık-Eur'!$B$100</f>
        <v/>
      </c>
      <c r="C170" s="7">
        <f>'gerç aylık-eur'!$B$99</f>
        <v/>
      </c>
      <c r="D170" s="7" t="n"/>
      <c r="E170" s="7">
        <f>'Bütçe aylık-Eur'!$C$100</f>
        <v/>
      </c>
      <c r="F170" s="7">
        <f>'gerç aylık-eur'!$C$99</f>
        <v/>
      </c>
      <c r="G170" s="7" t="n"/>
      <c r="H170" s="7">
        <f>'Bütçe aylık-Eur'!$D$100</f>
        <v/>
      </c>
      <c r="I170" s="7">
        <f>'gerç aylık-eur'!$D$99</f>
        <v/>
      </c>
      <c r="J170" s="7" t="n"/>
      <c r="K170" s="7">
        <f>'Bütçe aylık-Eur'!$E$100</f>
        <v/>
      </c>
      <c r="L170" s="7">
        <f>'gerç aylık-eur'!$E$99</f>
        <v/>
      </c>
      <c r="M170" s="7" t="n"/>
      <c r="N170" s="7">
        <f>'Bütçe aylık-Eur'!$F$100</f>
        <v/>
      </c>
      <c r="O170" s="7">
        <f>'gerç aylık-eur'!$F$99</f>
        <v/>
      </c>
      <c r="P170" s="7" t="n"/>
      <c r="Q170" s="7">
        <f>'Bütçe aylık-Eur'!$G$100</f>
        <v/>
      </c>
      <c r="R170" s="7">
        <f>'gerç aylık-eur'!$G$99</f>
        <v/>
      </c>
      <c r="S170" s="7" t="n"/>
      <c r="T170" s="7">
        <f>'Bütçe aylık-Eur'!$H$100</f>
        <v/>
      </c>
      <c r="U170" s="7">
        <f>'gerç aylık-eur'!$H$99</f>
        <v/>
      </c>
      <c r="V170" s="7" t="n"/>
      <c r="W170" s="7">
        <f>'Bütçe aylık-Eur'!$I$100</f>
        <v/>
      </c>
      <c r="X170" s="7">
        <f>'gerç aylık-eur'!$I$99</f>
        <v/>
      </c>
      <c r="Y170" s="7" t="n"/>
      <c r="Z170" s="7">
        <f>'Bütçe aylık-Eur'!$J$100</f>
        <v/>
      </c>
      <c r="AA170" s="7">
        <f>'gerç aylık-eur'!$J$99</f>
        <v/>
      </c>
      <c r="AB170" s="7" t="n"/>
      <c r="AC170" s="7">
        <f>'Bütçe aylık-Eur'!$K$100</f>
        <v/>
      </c>
      <c r="AD170" s="7">
        <f>'gerç aylık-eur'!$K$99</f>
        <v/>
      </c>
      <c r="AE170" s="7" t="n"/>
      <c r="AF170" s="7">
        <f>'Bütçe aylık-Eur'!$L$100</f>
        <v/>
      </c>
      <c r="AG170" s="7">
        <f>'gerç aylık-eur'!$L$99</f>
        <v/>
      </c>
      <c r="AH170" s="7" t="n"/>
      <c r="AI170" s="7">
        <f>'Bütçe aylık-Eur'!$M$100</f>
        <v/>
      </c>
      <c r="AJ170" s="7">
        <f>'gerç aylık-eur'!$M$99</f>
        <v/>
      </c>
      <c r="AK170" s="7" t="n"/>
      <c r="AL170" s="21">
        <f>AP170-AO170</f>
        <v/>
      </c>
      <c r="AM170" s="22">
        <f>AP170/AO170-1</f>
        <v/>
      </c>
      <c r="AO170" s="44">
        <f>IF($A$1=$B$1,B170,IF($A$1=$E$1,E170,IF($A$1=$H$1,H170,IF($A$1=$K$1,K170,IF($A$1=$N$1,N170,IF($A$1=$Q$1,Q170,IF($A$1=$T$1,T170,IF($A$1=$W$1,W170,IF($A$1=$Z$1,Z170,IF($A$1=$AC$1,AC170,IF($A$1=$AF$1,AF170,IF($A$1=$AI$1,AI170))))))))))))</f>
        <v/>
      </c>
      <c r="AP170" s="44">
        <f>IF($A$1=$B$1,C170,IF($A$1=$E$1,F170,IF($A$1=$H$1,I170,IF($A$1=$K$1,L170,IF($A$1=$N$1,O170,IF($A$1=$Q$1,R170,IF($A$1=$T$1,U170,IF($A$1=$W$1,X170,IF($A$1=$Z$1,AA170,IF($A$1=$AC$1,AD170,IF($A$1=$AF$1,AG170,IF($A$1=$AI$1,AJ170))))))))))))</f>
        <v/>
      </c>
    </row>
    <row r="171" ht="15.5" customFormat="1" customHeight="1" s="13">
      <c r="A171" s="26" t="n"/>
      <c r="B171" s="12" t="n"/>
      <c r="C171" s="30" t="n"/>
      <c r="D171" s="41" t="n"/>
      <c r="E171" s="12" t="n"/>
      <c r="F171" s="30" t="n"/>
      <c r="G171" s="41" t="n"/>
      <c r="H171" s="12" t="n"/>
      <c r="I171" s="30" t="n"/>
      <c r="J171" s="41" t="n"/>
      <c r="K171" s="12" t="n"/>
      <c r="L171" s="30" t="n"/>
      <c r="M171" s="41" t="n"/>
      <c r="N171" s="12" t="n"/>
      <c r="O171" s="30" t="n"/>
      <c r="P171" s="41" t="n"/>
      <c r="Q171" s="12" t="n"/>
      <c r="R171" s="30" t="n"/>
      <c r="S171" s="41" t="n"/>
      <c r="T171" s="12" t="n"/>
      <c r="U171" s="30" t="n"/>
      <c r="V171" s="41" t="n"/>
      <c r="W171" s="12" t="n"/>
      <c r="X171" s="30" t="n"/>
      <c r="Y171" s="41" t="n"/>
      <c r="Z171" s="12" t="n"/>
      <c r="AA171" s="30" t="n"/>
      <c r="AB171" s="41" t="n"/>
      <c r="AC171" s="12" t="n"/>
      <c r="AD171" s="30" t="n"/>
      <c r="AE171" s="41" t="n"/>
      <c r="AF171" s="12" t="n"/>
      <c r="AG171" s="30" t="n"/>
      <c r="AH171" s="41" t="n"/>
      <c r="AI171" s="12" t="n"/>
      <c r="AJ171" s="30" t="n"/>
      <c r="AK171" s="41" t="n"/>
      <c r="AL171" s="15" t="n"/>
      <c r="AM171" s="22" t="n"/>
      <c r="AO171" s="44" t="n"/>
      <c r="AP171" s="44" t="n"/>
    </row>
    <row r="172" ht="15.5" customFormat="1" customHeight="1" s="13">
      <c r="A172" s="26" t="n"/>
      <c r="B172" s="12" t="n"/>
      <c r="C172" s="30" t="n"/>
      <c r="D172" s="41" t="n"/>
      <c r="E172" s="12" t="n"/>
      <c r="F172" s="30" t="n"/>
      <c r="G172" s="41" t="n"/>
      <c r="H172" s="12" t="n"/>
      <c r="I172" s="30" t="n"/>
      <c r="J172" s="41" t="n"/>
      <c r="K172" s="12" t="n"/>
      <c r="L172" s="30" t="n"/>
      <c r="M172" s="41" t="n"/>
      <c r="N172" s="12" t="n"/>
      <c r="O172" s="30" t="n"/>
      <c r="P172" s="41" t="n"/>
      <c r="Q172" s="12" t="n"/>
      <c r="R172" s="30" t="n"/>
      <c r="S172" s="41" t="n"/>
      <c r="T172" s="12" t="n"/>
      <c r="U172" s="30" t="n"/>
      <c r="V172" s="41" t="n"/>
      <c r="W172" s="12" t="n"/>
      <c r="X172" s="30" t="n"/>
      <c r="Y172" s="41" t="n"/>
      <c r="Z172" s="12" t="n"/>
      <c r="AA172" s="30" t="n"/>
      <c r="AB172" s="41" t="n"/>
      <c r="AC172" s="12" t="n"/>
      <c r="AD172" s="30" t="n"/>
      <c r="AE172" s="41" t="n"/>
      <c r="AF172" s="12" t="n"/>
      <c r="AG172" s="30" t="n"/>
      <c r="AH172" s="41" t="n"/>
      <c r="AI172" s="12" t="n"/>
      <c r="AJ172" s="30" t="n"/>
      <c r="AK172" s="41" t="n"/>
      <c r="AL172" s="15" t="n"/>
      <c r="AM172" s="22" t="n"/>
      <c r="AO172" s="44" t="n"/>
      <c r="AP172" s="44" t="n"/>
    </row>
    <row r="173" ht="15.5" customFormat="1" customHeight="1" s="44">
      <c r="A173" s="31" t="inlineStr">
        <is>
          <t>Diğer Gelir(Gider)</t>
        </is>
      </c>
      <c r="B173" s="32">
        <f>'Bütçe aylık-Eur'!$B$103</f>
        <v/>
      </c>
      <c r="C173" s="32">
        <f>'gerç aylık-eur'!$B$102</f>
        <v/>
      </c>
      <c r="D173" s="18" t="n"/>
      <c r="E173" s="32">
        <f>'Bütçe aylık-Eur'!$C$103</f>
        <v/>
      </c>
      <c r="F173" s="32">
        <f>'gerç aylık-eur'!$C$102</f>
        <v/>
      </c>
      <c r="G173" s="18" t="n"/>
      <c r="H173" s="32">
        <f>'Bütçe aylık-Eur'!$D$103</f>
        <v/>
      </c>
      <c r="I173" s="32">
        <f>'gerç aylık-eur'!$D$102</f>
        <v/>
      </c>
      <c r="J173" s="18" t="n"/>
      <c r="K173" s="32">
        <f>'Bütçe aylık-Eur'!$E$103</f>
        <v/>
      </c>
      <c r="L173" s="32">
        <f>'gerç aylık-eur'!$E$102</f>
        <v/>
      </c>
      <c r="M173" s="18" t="n"/>
      <c r="N173" s="32">
        <f>'Bütçe aylık-Eur'!$F$103</f>
        <v/>
      </c>
      <c r="O173" s="32">
        <f>'gerç aylık-eur'!$F$102</f>
        <v/>
      </c>
      <c r="P173" s="18" t="n"/>
      <c r="Q173" s="32">
        <f>'Bütçe aylık-Eur'!$G$103</f>
        <v/>
      </c>
      <c r="R173" s="32">
        <f>'gerç aylık-eur'!$G$102</f>
        <v/>
      </c>
      <c r="S173" s="18" t="n"/>
      <c r="T173" s="32">
        <f>'Bütçe aylık-Eur'!$H$103</f>
        <v/>
      </c>
      <c r="U173" s="32">
        <f>'gerç aylık-eur'!$H$102</f>
        <v/>
      </c>
      <c r="V173" s="18" t="n"/>
      <c r="W173" s="32">
        <f>'Bütçe aylık-Eur'!$I$103</f>
        <v/>
      </c>
      <c r="X173" s="32">
        <f>'gerç aylık-eur'!$I$102</f>
        <v/>
      </c>
      <c r="Y173" s="18" t="n"/>
      <c r="Z173" s="32">
        <f>'Bütçe aylık-Eur'!$J$103</f>
        <v/>
      </c>
      <c r="AA173" s="32">
        <f>'gerç aylık-eur'!$J$102</f>
        <v/>
      </c>
      <c r="AB173" s="18" t="n"/>
      <c r="AC173" s="32">
        <f>'Bütçe aylık-Eur'!$K$103</f>
        <v/>
      </c>
      <c r="AD173" s="32">
        <f>'gerç aylık-eur'!$K$102</f>
        <v/>
      </c>
      <c r="AE173" s="18" t="n"/>
      <c r="AF173" s="32">
        <f>'Bütçe aylık-Eur'!$L$103</f>
        <v/>
      </c>
      <c r="AG173" s="32">
        <f>'gerç aylık-eur'!$L$102</f>
        <v/>
      </c>
      <c r="AH173" s="18" t="n"/>
      <c r="AI173" s="32">
        <f>'Bütçe aylık-Eur'!$M$103</f>
        <v/>
      </c>
      <c r="AJ173" s="32">
        <f>'gerç aylık-eur'!$M$102</f>
        <v/>
      </c>
      <c r="AK173" s="18" t="n"/>
      <c r="AL173" s="33">
        <f>AP173-AO173</f>
        <v/>
      </c>
      <c r="AM173" s="34">
        <f>AP173/AO173-1</f>
        <v/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/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/>
      </c>
    </row>
    <row r="174" ht="15.5" customFormat="1" customHeight="1" s="13">
      <c r="A174" s="27" t="n"/>
      <c r="B174" s="30" t="n"/>
      <c r="C174" s="30" t="n"/>
      <c r="D174" s="41" t="n"/>
      <c r="E174" s="30" t="n"/>
      <c r="F174" s="30" t="n"/>
      <c r="G174" s="41" t="n"/>
      <c r="H174" s="30" t="n"/>
      <c r="I174" s="30" t="n"/>
      <c r="J174" s="41" t="n"/>
      <c r="K174" s="30" t="n"/>
      <c r="L174" s="30" t="n"/>
      <c r="M174" s="41" t="n"/>
      <c r="N174" s="30" t="n"/>
      <c r="O174" s="30" t="n"/>
      <c r="P174" s="41" t="n"/>
      <c r="Q174" s="30" t="n"/>
      <c r="R174" s="30" t="n"/>
      <c r="S174" s="41" t="n"/>
      <c r="T174" s="30" t="n"/>
      <c r="U174" s="30" t="n"/>
      <c r="V174" s="41" t="n"/>
      <c r="W174" s="30" t="n"/>
      <c r="X174" s="30" t="n"/>
      <c r="Y174" s="41" t="n"/>
      <c r="Z174" s="30" t="n"/>
      <c r="AA174" s="30" t="n"/>
      <c r="AB174" s="41" t="n"/>
      <c r="AC174" s="30" t="n"/>
      <c r="AD174" s="30" t="n"/>
      <c r="AE174" s="41" t="n"/>
      <c r="AF174" s="30" t="n"/>
      <c r="AG174" s="30" t="n"/>
      <c r="AH174" s="41" t="n"/>
      <c r="AI174" s="30" t="n"/>
      <c r="AJ174" s="30" t="n"/>
      <c r="AK174" s="41" t="n"/>
      <c r="AL174" s="15" t="n"/>
      <c r="AM174" s="22" t="n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/>
      </c>
      <c r="AP174" s="44">
        <f>IF($A$1=$B$1,C174,IF($A$1=$E$1,F174,IF($A$1=$H$1,I174,IF($A$1=$K$1,L174,IF($A$1=$N$1,O174,IF($A$1=$Q$1,R174,IF($A$1=$T$1,U174,IF($A$1=$W$1,X174,IF($A$1=$Z$1,AA174,IF($A$1=$AC$1,AD174,IF($A$1=$AF$1,AG174,IF($A$1=$AI$1,AJ174))))))))))))</f>
        <v/>
      </c>
    </row>
    <row r="175" ht="17" customFormat="1" customHeight="1" s="49">
      <c r="A175" s="47" t="inlineStr">
        <is>
          <t>Diğer Gelir(Gider) (100%)</t>
        </is>
      </c>
      <c r="B175" s="413" t="n"/>
      <c r="C175" s="413" t="n"/>
      <c r="D175" s="413" t="n"/>
      <c r="E175" s="413" t="n"/>
      <c r="F175" s="413" t="n"/>
      <c r="G175" s="413" t="n"/>
      <c r="H175" s="413" t="n"/>
      <c r="I175" s="413" t="n"/>
      <c r="J175" s="413" t="n"/>
      <c r="K175" s="413" t="n"/>
      <c r="L175" s="413" t="n"/>
      <c r="M175" s="413" t="n"/>
      <c r="N175" s="413" t="n"/>
      <c r="O175" s="413" t="n"/>
      <c r="P175" s="413" t="n"/>
      <c r="Q175" s="413" t="n"/>
      <c r="R175" s="413" t="n"/>
      <c r="S175" s="413" t="n"/>
      <c r="T175" s="413" t="n"/>
      <c r="U175" s="413" t="n"/>
      <c r="V175" s="413" t="n"/>
      <c r="W175" s="413" t="n"/>
      <c r="X175" s="413" t="n"/>
      <c r="Y175" s="413" t="n"/>
      <c r="Z175" s="413" t="n"/>
      <c r="AA175" s="413" t="n"/>
      <c r="AB175" s="413" t="n"/>
      <c r="AC175" s="413" t="n"/>
      <c r="AD175" s="413" t="n"/>
      <c r="AE175" s="413" t="n"/>
      <c r="AF175" s="413" t="n"/>
      <c r="AG175" s="413" t="n"/>
      <c r="AH175" s="413" t="n"/>
      <c r="AI175" s="413" t="n"/>
      <c r="AJ175" s="413" t="n"/>
      <c r="AK175" s="413" t="n"/>
      <c r="AL175" s="413" t="n"/>
      <c r="AM175" s="48" t="n"/>
    </row>
    <row r="176" ht="15.5" customHeight="1">
      <c r="A176" s="26" t="inlineStr">
        <is>
          <t xml:space="preserve">İnci Holding </t>
        </is>
      </c>
      <c r="B176" s="7">
        <f>'Bütçe aylık-Eur'!$B$104</f>
        <v/>
      </c>
      <c r="C176" s="7">
        <f>'gerç aylık-eur'!$B$103</f>
        <v/>
      </c>
      <c r="D176" s="7" t="n"/>
      <c r="E176" s="7">
        <f>'Bütçe aylık-Eur'!$C$104</f>
        <v/>
      </c>
      <c r="F176" s="7">
        <f>'gerç aylık-eur'!$C$103</f>
        <v/>
      </c>
      <c r="G176" s="7" t="n"/>
      <c r="H176" s="7">
        <f>'Bütçe aylık-Eur'!$D$104</f>
        <v/>
      </c>
      <c r="I176" s="7">
        <f>'gerç aylık-eur'!$D$103</f>
        <v/>
      </c>
      <c r="J176" s="7" t="n"/>
      <c r="K176" s="7">
        <f>'Bütçe aylık-Eur'!$E$104</f>
        <v/>
      </c>
      <c r="L176" s="7">
        <f>'gerç aylık-eur'!$E$103</f>
        <v/>
      </c>
      <c r="M176" s="7" t="n"/>
      <c r="N176" s="7">
        <f>'Bütçe aylık-Eur'!$F$104</f>
        <v/>
      </c>
      <c r="O176" s="7">
        <f>'gerç aylık-eur'!$F$103</f>
        <v/>
      </c>
      <c r="P176" s="7" t="n"/>
      <c r="Q176" s="7">
        <f>'Bütçe aylık-Eur'!$G$104</f>
        <v/>
      </c>
      <c r="R176" s="7">
        <f>'gerç aylık-eur'!$G$103</f>
        <v/>
      </c>
      <c r="S176" s="7" t="n"/>
      <c r="T176" s="7">
        <f>'Bütçe aylık-Eur'!$H$104</f>
        <v/>
      </c>
      <c r="U176" s="7">
        <f>'gerç aylık-eur'!$H$103</f>
        <v/>
      </c>
      <c r="V176" s="7" t="n"/>
      <c r="W176" s="7">
        <f>'Bütçe aylık-Eur'!$I$104</f>
        <v/>
      </c>
      <c r="X176" s="7">
        <f>'gerç aylık-eur'!$I$103</f>
        <v/>
      </c>
      <c r="Y176" s="7" t="n"/>
      <c r="Z176" s="7">
        <f>'Bütçe aylık-Eur'!$J$104</f>
        <v/>
      </c>
      <c r="AA176" s="7">
        <f>'gerç aylık-eur'!$J$103</f>
        <v/>
      </c>
      <c r="AB176" s="7" t="n"/>
      <c r="AC176" s="7">
        <f>'Bütçe aylık-Eur'!$K$104</f>
        <v/>
      </c>
      <c r="AD176" s="7">
        <f>'gerç aylık-eur'!$K$103</f>
        <v/>
      </c>
      <c r="AE176" s="7" t="n"/>
      <c r="AF176" s="7">
        <f>'Bütçe aylık-Eur'!$L$104</f>
        <v/>
      </c>
      <c r="AG176" s="7">
        <f>'gerç aylık-eur'!$L$103</f>
        <v/>
      </c>
      <c r="AH176" s="7" t="n"/>
      <c r="AI176" s="7">
        <f>'Bütçe aylık-Eur'!$M$104</f>
        <v/>
      </c>
      <c r="AJ176" s="7">
        <f>'gerç aylık-eur'!$M$103</f>
        <v/>
      </c>
      <c r="AK176" s="7" t="n"/>
      <c r="AL176" s="21">
        <f>AP176-AO176</f>
        <v/>
      </c>
      <c r="AM176" s="22">
        <f>AP176/AO176-1</f>
        <v/>
      </c>
      <c r="AO176" s="44">
        <f>IF($A$1=$B$1,B176,IF($A$1=$E$1,E176,IF($A$1=$H$1,H176,IF($A$1=$K$1,K176,IF($A$1=$N$1,N176,IF($A$1=$Q$1,Q176,IF($A$1=$T$1,T176,IF($A$1=$W$1,W176,IF($A$1=$Z$1,Z176,IF($A$1=$AC$1,AC176,IF($A$1=$AF$1,AF176,IF($A$1=$AI$1,AI176))))))))))))</f>
        <v/>
      </c>
      <c r="AP176" s="44">
        <f>IF($A$1=$B$1,C176,IF($A$1=$E$1,F176,IF($A$1=$H$1,I176,IF($A$1=$K$1,L176,IF($A$1=$N$1,O176,IF($A$1=$Q$1,R176,IF($A$1=$T$1,U176,IF($A$1=$W$1,X176,IF($A$1=$Z$1,AA176,IF($A$1=$AC$1,AD176,IF($A$1=$AF$1,AG176,IF($A$1=$AI$1,AJ176))))))))))))</f>
        <v/>
      </c>
      <c r="AQ176" s="94">
        <f>C176</f>
        <v/>
      </c>
    </row>
    <row r="177" ht="15.5" customHeight="1">
      <c r="A177" s="26" t="inlineStr">
        <is>
          <t xml:space="preserve">ISM </t>
        </is>
      </c>
      <c r="B177" s="7">
        <f>'Bütçe aylık-Eur'!$B$105</f>
        <v/>
      </c>
      <c r="C177" s="7">
        <f>'gerç aylık-eur'!$B$104</f>
        <v/>
      </c>
      <c r="D177" s="7" t="n"/>
      <c r="E177" s="7">
        <f>'Bütçe aylık-Eur'!$C$105</f>
        <v/>
      </c>
      <c r="F177" s="7">
        <f>'gerç aylık-eur'!$C$104</f>
        <v/>
      </c>
      <c r="G177" s="7" t="n"/>
      <c r="H177" s="7">
        <f>'Bütçe aylık-Eur'!$D$105</f>
        <v/>
      </c>
      <c r="I177" s="7">
        <f>'gerç aylık-eur'!$D$104</f>
        <v/>
      </c>
      <c r="J177" s="7" t="n"/>
      <c r="K177" s="7">
        <f>'Bütçe aylık-Eur'!$E$105</f>
        <v/>
      </c>
      <c r="L177" s="7">
        <f>'gerç aylık-eur'!$E$104</f>
        <v/>
      </c>
      <c r="M177" s="7" t="n"/>
      <c r="N177" s="7">
        <f>'Bütçe aylık-Eur'!$F$105</f>
        <v/>
      </c>
      <c r="O177" s="7">
        <f>'gerç aylık-eur'!$F$104</f>
        <v/>
      </c>
      <c r="P177" s="7" t="n"/>
      <c r="Q177" s="7">
        <f>'Bütçe aylık-Eur'!$G$105</f>
        <v/>
      </c>
      <c r="R177" s="7">
        <f>'gerç aylık-eur'!$G$104</f>
        <v/>
      </c>
      <c r="S177" s="7" t="n"/>
      <c r="T177" s="7">
        <f>'Bütçe aylık-Eur'!$H$105</f>
        <v/>
      </c>
      <c r="U177" s="7">
        <f>'gerç aylık-eur'!$H$104</f>
        <v/>
      </c>
      <c r="V177" s="7" t="n"/>
      <c r="W177" s="7">
        <f>'Bütçe aylık-Eur'!$I$105</f>
        <v/>
      </c>
      <c r="X177" s="7">
        <f>'gerç aylık-eur'!$I$104</f>
        <v/>
      </c>
      <c r="Y177" s="7" t="n"/>
      <c r="Z177" s="7">
        <f>'Bütçe aylık-Eur'!$J$105</f>
        <v/>
      </c>
      <c r="AA177" s="7">
        <f>'gerç aylık-eur'!$J$104</f>
        <v/>
      </c>
      <c r="AB177" s="7" t="n"/>
      <c r="AC177" s="7">
        <f>'Bütçe aylık-Eur'!$K$105</f>
        <v/>
      </c>
      <c r="AD177" s="7">
        <f>'gerç aylık-eur'!$K$104</f>
        <v/>
      </c>
      <c r="AE177" s="7" t="n"/>
      <c r="AF177" s="7">
        <f>'Bütçe aylık-Eur'!$L$105</f>
        <v/>
      </c>
      <c r="AG177" s="7">
        <f>'gerç aylık-eur'!$L$104</f>
        <v/>
      </c>
      <c r="AH177" s="7" t="n"/>
      <c r="AI177" s="7">
        <f>'Bütçe aylık-Eur'!$M$105</f>
        <v/>
      </c>
      <c r="AJ177" s="7">
        <f>'gerç aylık-eur'!$M$104</f>
        <v/>
      </c>
      <c r="AK177" s="7" t="n"/>
      <c r="AL177" s="21">
        <f>AP177-AO177</f>
        <v/>
      </c>
      <c r="AM177" s="22">
        <f>AP177/AO177-1</f>
        <v/>
      </c>
      <c r="AO177" s="44">
        <f>IF($A$1=$B$1,B177,IF($A$1=$E$1,E177,IF($A$1=$H$1,H177,IF($A$1=$K$1,K177,IF($A$1=$N$1,N177,IF($A$1=$Q$1,Q177,IF($A$1=$T$1,T177,IF($A$1=$W$1,W177,IF($A$1=$Z$1,Z177,IF($A$1=$AC$1,AC177,IF($A$1=$AF$1,AF177,IF($A$1=$AI$1,AI177))))))))))))</f>
        <v/>
      </c>
      <c r="AP177" s="44">
        <f>IF($A$1=$B$1,C177,IF($A$1=$E$1,F177,IF($A$1=$H$1,I177,IF($A$1=$K$1,L177,IF($A$1=$N$1,O177,IF($A$1=$Q$1,R177,IF($A$1=$T$1,U177,IF($A$1=$W$1,X177,IF($A$1=$Z$1,AA177,IF($A$1=$AC$1,AD177,IF($A$1=$AF$1,AG177,IF($A$1=$AI$1,AJ177))))))))))))</f>
        <v/>
      </c>
      <c r="AQ177" s="94">
        <f>C177</f>
        <v/>
      </c>
    </row>
    <row r="178" ht="15.5" customHeight="1">
      <c r="A178" s="26" t="inlineStr">
        <is>
          <t>İncitaş</t>
        </is>
      </c>
      <c r="B178" s="7">
        <f>'Bütçe aylık-Eur'!$B$106</f>
        <v/>
      </c>
      <c r="C178" s="7">
        <f>'gerç aylık-eur'!$B$105</f>
        <v/>
      </c>
      <c r="D178" s="7" t="n"/>
      <c r="E178" s="7">
        <f>'Bütçe aylık-Eur'!$C$106</f>
        <v/>
      </c>
      <c r="F178" s="7">
        <f>'gerç aylık-eur'!$C$105</f>
        <v/>
      </c>
      <c r="G178" s="7" t="n"/>
      <c r="H178" s="7">
        <f>'Bütçe aylık-Eur'!$D$106</f>
        <v/>
      </c>
      <c r="I178" s="7">
        <f>'gerç aylık-eur'!$D$105</f>
        <v/>
      </c>
      <c r="J178" s="7" t="n"/>
      <c r="K178" s="7">
        <f>'Bütçe aylık-Eur'!$E$106</f>
        <v/>
      </c>
      <c r="L178" s="7">
        <f>'gerç aylık-eur'!$E$105</f>
        <v/>
      </c>
      <c r="M178" s="7" t="n"/>
      <c r="N178" s="7">
        <f>'Bütçe aylık-Eur'!$F$106</f>
        <v/>
      </c>
      <c r="O178" s="7">
        <f>'gerç aylık-eur'!$F$105</f>
        <v/>
      </c>
      <c r="P178" s="7" t="n"/>
      <c r="Q178" s="7">
        <f>'Bütçe aylık-Eur'!$G$106</f>
        <v/>
      </c>
      <c r="R178" s="7">
        <f>'gerç aylık-eur'!$G$105</f>
        <v/>
      </c>
      <c r="S178" s="7" t="n"/>
      <c r="T178" s="7">
        <f>'Bütçe aylık-Eur'!$H$106</f>
        <v/>
      </c>
      <c r="U178" s="7">
        <f>'gerç aylık-eur'!$H$105</f>
        <v/>
      </c>
      <c r="V178" s="7" t="n"/>
      <c r="W178" s="7">
        <f>'Bütçe aylık-Eur'!$I$106</f>
        <v/>
      </c>
      <c r="X178" s="7">
        <f>'gerç aylık-eur'!$I$105</f>
        <v/>
      </c>
      <c r="Y178" s="7" t="n"/>
      <c r="Z178" s="7">
        <f>'Bütçe aylık-Eur'!$J$106</f>
        <v/>
      </c>
      <c r="AA178" s="7">
        <f>'gerç aylık-eur'!$J$105</f>
        <v/>
      </c>
      <c r="AB178" s="7" t="n"/>
      <c r="AC178" s="7">
        <f>'Bütçe aylık-Eur'!$K$106</f>
        <v/>
      </c>
      <c r="AD178" s="7">
        <f>'gerç aylık-eur'!$K$105</f>
        <v/>
      </c>
      <c r="AE178" s="7" t="n"/>
      <c r="AF178" s="7">
        <f>'Bütçe aylık-Eur'!$L$106</f>
        <v/>
      </c>
      <c r="AG178" s="7">
        <f>'gerç aylık-eur'!$L$105</f>
        <v/>
      </c>
      <c r="AH178" s="7" t="n"/>
      <c r="AI178" s="7">
        <f>'Bütçe aylık-Eur'!$M$106</f>
        <v/>
      </c>
      <c r="AJ178" s="7">
        <f>'gerç aylık-eur'!$M$105</f>
        <v/>
      </c>
      <c r="AK178" s="7" t="n"/>
      <c r="AL178" s="21">
        <f>AP178-AO178</f>
        <v/>
      </c>
      <c r="AM178" s="22">
        <f>AP178/AO178-1</f>
        <v/>
      </c>
      <c r="AO178" s="44">
        <f>IF($A$1=$B$1,B178,IF($A$1=$E$1,E178,IF($A$1=$H$1,H178,IF($A$1=$K$1,K178,IF($A$1=$N$1,N178,IF($A$1=$Q$1,Q178,IF($A$1=$T$1,T178,IF($A$1=$W$1,W178,IF($A$1=$Z$1,Z178,IF($A$1=$AC$1,AC178,IF($A$1=$AF$1,AF178,IF($A$1=$AI$1,AI178))))))))))))</f>
        <v/>
      </c>
      <c r="AP178" s="44">
        <f>IF($A$1=$B$1,C178,IF($A$1=$E$1,F178,IF($A$1=$H$1,I178,IF($A$1=$K$1,L178,IF($A$1=$N$1,O178,IF($A$1=$Q$1,R178,IF($A$1=$T$1,U178,IF($A$1=$W$1,X178,IF($A$1=$Z$1,AA178,IF($A$1=$AC$1,AD178,IF($A$1=$AF$1,AG178,IF($A$1=$AI$1,AJ178))))))))))))</f>
        <v/>
      </c>
      <c r="AQ178" s="94">
        <f>C178</f>
        <v/>
      </c>
    </row>
    <row r="179" ht="15.5" customHeight="1">
      <c r="A179" s="26" t="inlineStr">
        <is>
          <t>İnci GS Yuasa</t>
        </is>
      </c>
      <c r="B179" s="7">
        <f>'Bütçe aylık-Eur'!$B$107</f>
        <v/>
      </c>
      <c r="C179" s="7">
        <f>'gerç aylık-eur'!$B$106</f>
        <v/>
      </c>
      <c r="D179" s="7" t="n"/>
      <c r="E179" s="7">
        <f>'Bütçe aylık-Eur'!$C$107</f>
        <v/>
      </c>
      <c r="F179" s="7">
        <f>'gerç aylık-eur'!$C$106</f>
        <v/>
      </c>
      <c r="G179" s="7" t="n"/>
      <c r="H179" s="7">
        <f>'Bütçe aylık-Eur'!$D$107</f>
        <v/>
      </c>
      <c r="I179" s="7">
        <f>'gerç aylık-eur'!$D$106</f>
        <v/>
      </c>
      <c r="J179" s="7" t="n"/>
      <c r="K179" s="7">
        <f>'Bütçe aylık-Eur'!$E$107</f>
        <v/>
      </c>
      <c r="L179" s="7">
        <f>'gerç aylık-eur'!$E$106</f>
        <v/>
      </c>
      <c r="M179" s="7" t="n"/>
      <c r="N179" s="7">
        <f>'Bütçe aylık-Eur'!$F$107</f>
        <v/>
      </c>
      <c r="O179" s="7">
        <f>'gerç aylık-eur'!$F$106</f>
        <v/>
      </c>
      <c r="P179" s="7" t="n"/>
      <c r="Q179" s="7">
        <f>'Bütçe aylık-Eur'!$G$107</f>
        <v/>
      </c>
      <c r="R179" s="7">
        <f>'gerç aylık-eur'!$G$106</f>
        <v/>
      </c>
      <c r="S179" s="7" t="n"/>
      <c r="T179" s="7">
        <f>'Bütçe aylık-Eur'!$H$107</f>
        <v/>
      </c>
      <c r="U179" s="7">
        <f>'gerç aylık-eur'!$H$106</f>
        <v/>
      </c>
      <c r="V179" s="7" t="n"/>
      <c r="W179" s="7">
        <f>'Bütçe aylık-Eur'!$I$107</f>
        <v/>
      </c>
      <c r="X179" s="7">
        <f>'gerç aylık-eur'!$I$106</f>
        <v/>
      </c>
      <c r="Y179" s="7" t="n"/>
      <c r="Z179" s="7">
        <f>'Bütçe aylık-Eur'!$J$107</f>
        <v/>
      </c>
      <c r="AA179" s="7">
        <f>'gerç aylık-eur'!$J$106</f>
        <v/>
      </c>
      <c r="AB179" s="7" t="n"/>
      <c r="AC179" s="7">
        <f>'Bütçe aylık-Eur'!$K$107</f>
        <v/>
      </c>
      <c r="AD179" s="7">
        <f>'gerç aylık-eur'!$K$106</f>
        <v/>
      </c>
      <c r="AE179" s="7" t="n"/>
      <c r="AF179" s="7">
        <f>'Bütçe aylık-Eur'!$L$107</f>
        <v/>
      </c>
      <c r="AG179" s="7">
        <f>'gerç aylık-eur'!$L$106</f>
        <v/>
      </c>
      <c r="AH179" s="7" t="n"/>
      <c r="AI179" s="7">
        <f>'Bütçe aylık-Eur'!$M$107</f>
        <v/>
      </c>
      <c r="AJ179" s="7">
        <f>'gerç aylık-eur'!$M$106</f>
        <v/>
      </c>
      <c r="AK179" s="7" t="n"/>
      <c r="AL179" s="21">
        <f>AP179-AO179</f>
        <v/>
      </c>
      <c r="AM179" s="22">
        <f>AP179/AO179-1</f>
        <v/>
      </c>
      <c r="AO179" s="44">
        <f>IF($A$1=$B$1,B179,IF($A$1=$E$1,E179,IF($A$1=$H$1,H179,IF($A$1=$K$1,K179,IF($A$1=$N$1,N179,IF($A$1=$Q$1,Q179,IF($A$1=$T$1,T179,IF($A$1=$W$1,W179,IF($A$1=$Z$1,Z179,IF($A$1=$AC$1,AC179,IF($A$1=$AF$1,AF179,IF($A$1=$AI$1,AI179))))))))))))</f>
        <v/>
      </c>
      <c r="AP179" s="44">
        <f>IF($A$1=$B$1,C179,IF($A$1=$E$1,F179,IF($A$1=$H$1,I179,IF($A$1=$K$1,L179,IF($A$1=$N$1,O179,IF($A$1=$Q$1,R179,IF($A$1=$T$1,U179,IF($A$1=$W$1,X179,IF($A$1=$Z$1,AA179,IF($A$1=$AC$1,AD179,IF($A$1=$AF$1,AG179,IF($A$1=$AI$1,AJ179))))))))))))</f>
        <v/>
      </c>
      <c r="AQ179" s="94">
        <f>C179*0.4</f>
        <v/>
      </c>
    </row>
    <row r="180" ht="15.5" customFormat="1" customHeight="1" s="1">
      <c r="A180" s="26" t="inlineStr">
        <is>
          <t>Yusen İnci Loj.</t>
        </is>
      </c>
      <c r="B180" s="7">
        <f>'Bütçe aylık-Eur'!$B$108</f>
        <v/>
      </c>
      <c r="C180" s="7">
        <f>'gerç aylık-eur'!$B$107</f>
        <v/>
      </c>
      <c r="D180" s="8" t="n"/>
      <c r="E180" s="7">
        <f>'Bütçe aylık-Eur'!$C$108</f>
        <v/>
      </c>
      <c r="F180" s="7">
        <f>'gerç aylık-eur'!$C$107</f>
        <v/>
      </c>
      <c r="G180" s="8" t="n"/>
      <c r="H180" s="7">
        <f>'Bütçe aylık-Eur'!$D$108</f>
        <v/>
      </c>
      <c r="I180" s="7">
        <f>'gerç aylık-eur'!$D$107</f>
        <v/>
      </c>
      <c r="J180" s="8" t="n"/>
      <c r="K180" s="7">
        <f>'Bütçe aylık-Eur'!$E$108</f>
        <v/>
      </c>
      <c r="L180" s="7">
        <f>'gerç aylık-eur'!$E$107</f>
        <v/>
      </c>
      <c r="M180" s="8" t="n"/>
      <c r="N180" s="7">
        <f>'Bütçe aylık-Eur'!$F$108</f>
        <v/>
      </c>
      <c r="O180" s="7">
        <f>'gerç aylık-eur'!$F$107</f>
        <v/>
      </c>
      <c r="P180" s="8" t="n"/>
      <c r="Q180" s="7">
        <f>'Bütçe aylık-Eur'!$G$108</f>
        <v/>
      </c>
      <c r="R180" s="7">
        <f>'gerç aylık-eur'!$G$107</f>
        <v/>
      </c>
      <c r="S180" s="8" t="n"/>
      <c r="T180" s="7">
        <f>'Bütçe aylık-Eur'!$H$108</f>
        <v/>
      </c>
      <c r="U180" s="7">
        <f>'gerç aylık-eur'!$H$107</f>
        <v/>
      </c>
      <c r="V180" s="8" t="n"/>
      <c r="W180" s="7">
        <f>'Bütçe aylık-Eur'!$I$108</f>
        <v/>
      </c>
      <c r="X180" s="7">
        <f>'gerç aylık-eur'!$I$107</f>
        <v/>
      </c>
      <c r="Y180" s="8" t="n"/>
      <c r="Z180" s="7">
        <f>'Bütçe aylık-Eur'!$J$108</f>
        <v/>
      </c>
      <c r="AA180" s="7">
        <f>'gerç aylık-eur'!$J$107</f>
        <v/>
      </c>
      <c r="AB180" s="8" t="n"/>
      <c r="AC180" s="7">
        <f>'Bütçe aylık-Eur'!$K$108</f>
        <v/>
      </c>
      <c r="AD180" s="7">
        <f>'gerç aylık-eur'!$K$107</f>
        <v/>
      </c>
      <c r="AE180" s="8" t="n"/>
      <c r="AF180" s="7">
        <f>'Bütçe aylık-Eur'!$L$108</f>
        <v/>
      </c>
      <c r="AG180" s="7">
        <f>'gerç aylık-eur'!$L$107</f>
        <v/>
      </c>
      <c r="AH180" s="8" t="n"/>
      <c r="AI180" s="7">
        <f>'Bütçe aylık-Eur'!$M$108</f>
        <v/>
      </c>
      <c r="AJ180" s="7">
        <f>'gerç aylık-eur'!$M$107</f>
        <v/>
      </c>
      <c r="AK180" s="8" t="n"/>
      <c r="AL180" s="21">
        <f>AP180-AO180</f>
        <v/>
      </c>
      <c r="AM180" s="22">
        <f>AP180/AO180-1</f>
        <v/>
      </c>
      <c r="AO180" s="44">
        <f>IF($A$1=$B$1,B180,IF($A$1=$E$1,E180,IF($A$1=$H$1,H180,IF($A$1=$K$1,K180,IF($A$1=$N$1,N180,IF($A$1=$Q$1,Q180,IF($A$1=$T$1,T180,IF($A$1=$W$1,W180,IF($A$1=$Z$1,Z180,IF($A$1=$AC$1,AC180,IF($A$1=$AF$1,AF180,IF($A$1=$AI$1,AI180))))))))))))</f>
        <v/>
      </c>
      <c r="AP180" s="44">
        <f>IF($A$1=$B$1,C180,IF($A$1=$E$1,F180,IF($A$1=$H$1,I180,IF($A$1=$K$1,L180,IF($A$1=$N$1,O180,IF($A$1=$Q$1,R180,IF($A$1=$T$1,U180,IF($A$1=$W$1,X180,IF($A$1=$Z$1,AA180,IF($A$1=$AC$1,AD180,IF($A$1=$AF$1,AG180,IF($A$1=$AI$1,AJ180))))))))))))</f>
        <v/>
      </c>
      <c r="AQ180" s="94">
        <f>C180*0.4</f>
        <v/>
      </c>
    </row>
    <row r="181" ht="15.5" customHeight="1">
      <c r="A181" s="26" t="inlineStr">
        <is>
          <t>Jantaş</t>
        </is>
      </c>
      <c r="B181" s="7">
        <f>'Bütçe aylık-Eur'!$B$109</f>
        <v/>
      </c>
      <c r="C181" s="7">
        <f>'gerç aylık-eur'!$B$108</f>
        <v/>
      </c>
      <c r="D181" s="7" t="n"/>
      <c r="E181" s="7">
        <f>'Bütçe aylık-Eur'!$C$109</f>
        <v/>
      </c>
      <c r="F181" s="7">
        <f>'gerç aylık-eur'!$C$108</f>
        <v/>
      </c>
      <c r="G181" s="7" t="n"/>
      <c r="H181" s="7">
        <f>'Bütçe aylık-Eur'!$D$109</f>
        <v/>
      </c>
      <c r="I181" s="7">
        <f>'gerç aylık-eur'!$D$108</f>
        <v/>
      </c>
      <c r="J181" s="7" t="n"/>
      <c r="K181" s="7">
        <f>'Bütçe aylık-Eur'!$E$109</f>
        <v/>
      </c>
      <c r="L181" s="7">
        <f>'gerç aylık-eur'!$E$108</f>
        <v/>
      </c>
      <c r="M181" s="7" t="n"/>
      <c r="N181" s="7">
        <f>'Bütçe aylık-Eur'!$F$109</f>
        <v/>
      </c>
      <c r="O181" s="7">
        <f>'gerç aylık-eur'!$F$108</f>
        <v/>
      </c>
      <c r="P181" s="7" t="n"/>
      <c r="Q181" s="7">
        <f>'Bütçe aylık-Eur'!$G$109</f>
        <v/>
      </c>
      <c r="R181" s="7">
        <f>'gerç aylık-eur'!$G$108</f>
        <v/>
      </c>
      <c r="S181" s="7" t="n"/>
      <c r="T181" s="7">
        <f>'Bütçe aylık-Eur'!$H$109</f>
        <v/>
      </c>
      <c r="U181" s="7">
        <f>'gerç aylık-eur'!$H$108</f>
        <v/>
      </c>
      <c r="V181" s="7" t="n"/>
      <c r="W181" s="7">
        <f>'Bütçe aylık-Eur'!$I$109</f>
        <v/>
      </c>
      <c r="X181" s="7">
        <f>'gerç aylık-eur'!$I$108</f>
        <v/>
      </c>
      <c r="Y181" s="7" t="n"/>
      <c r="Z181" s="7">
        <f>'Bütçe aylık-Eur'!$J$109</f>
        <v/>
      </c>
      <c r="AA181" s="7">
        <f>'gerç aylık-eur'!$J$108</f>
        <v/>
      </c>
      <c r="AB181" s="7" t="n"/>
      <c r="AC181" s="7">
        <f>'Bütçe aylık-Eur'!$K$109</f>
        <v/>
      </c>
      <c r="AD181" s="7">
        <f>'gerç aylık-eur'!$K$108</f>
        <v/>
      </c>
      <c r="AE181" s="7" t="n"/>
      <c r="AF181" s="7">
        <f>'Bütçe aylık-Eur'!$L$109</f>
        <v/>
      </c>
      <c r="AG181" s="7">
        <f>'gerç aylık-eur'!$L$108</f>
        <v/>
      </c>
      <c r="AH181" s="7" t="n"/>
      <c r="AI181" s="7">
        <f>'Bütçe aylık-Eur'!$M$109</f>
        <v/>
      </c>
      <c r="AJ181" s="7">
        <f>'gerç aylık-eur'!$M$108</f>
        <v/>
      </c>
      <c r="AK181" s="7" t="n"/>
      <c r="AL181" s="21">
        <f>AP181-AO181</f>
        <v/>
      </c>
      <c r="AM181" s="22">
        <f>AP181/AO181-1</f>
        <v/>
      </c>
      <c r="AO181" s="44">
        <f>IF($A$1=$B$1,B181,IF($A$1=$E$1,E181,IF($A$1=$H$1,H181,IF($A$1=$K$1,K181,IF($A$1=$N$1,N181,IF($A$1=$Q$1,Q181,IF($A$1=$T$1,T181,IF($A$1=$W$1,W181,IF($A$1=$Z$1,Z181,IF($A$1=$AC$1,AC181,IF($A$1=$AF$1,AF181,IF($A$1=$AI$1,AI181))))))))))))</f>
        <v/>
      </c>
      <c r="AP181" s="44">
        <f>IF($A$1=$B$1,C181,IF($A$1=$E$1,F181,IF($A$1=$H$1,I181,IF($A$1=$K$1,L181,IF($A$1=$N$1,O181,IF($A$1=$Q$1,R181,IF($A$1=$T$1,U181,IF($A$1=$W$1,X181,IF($A$1=$Z$1,AA181,IF($A$1=$AC$1,AD181,IF($A$1=$AF$1,AG181,IF($A$1=$AI$1,AJ181))))))))))))</f>
        <v/>
      </c>
      <c r="AQ181" s="94">
        <f>C181*0.4</f>
        <v/>
      </c>
    </row>
    <row r="182" ht="15.5" customHeight="1">
      <c r="A182" s="26" t="inlineStr">
        <is>
          <t>Çelik</t>
        </is>
      </c>
      <c r="B182" s="7">
        <f>'Bütçe aylık-Eur'!$B$110</f>
        <v/>
      </c>
      <c r="C182" s="7">
        <f>'gerç aylık-eur'!$B$109</f>
        <v/>
      </c>
      <c r="D182" s="7" t="n"/>
      <c r="E182" s="7">
        <f>'Bütçe aylık-Eur'!$C$110</f>
        <v/>
      </c>
      <c r="F182" s="7">
        <f>'gerç aylık-eur'!$C$109</f>
        <v/>
      </c>
      <c r="G182" s="7" t="n"/>
      <c r="H182" s="7">
        <f>'Bütçe aylık-Eur'!$D$110</f>
        <v/>
      </c>
      <c r="I182" s="7">
        <f>'gerç aylık-eur'!$D$109</f>
        <v/>
      </c>
      <c r="J182" s="7" t="n"/>
      <c r="K182" s="7">
        <f>'Bütçe aylık-Eur'!$E$110</f>
        <v/>
      </c>
      <c r="L182" s="7">
        <f>'gerç aylık-eur'!$E$109</f>
        <v/>
      </c>
      <c r="M182" s="7" t="n"/>
      <c r="N182" s="7">
        <f>'Bütçe aylık-Eur'!$F$110</f>
        <v/>
      </c>
      <c r="O182" s="7">
        <f>'gerç aylık-eur'!$F$109</f>
        <v/>
      </c>
      <c r="P182" s="7" t="n"/>
      <c r="Q182" s="7">
        <f>'Bütçe aylık-Eur'!$G$110</f>
        <v/>
      </c>
      <c r="R182" s="7">
        <f>'gerç aylık-eur'!$G$109</f>
        <v/>
      </c>
      <c r="S182" s="7" t="n"/>
      <c r="T182" s="7">
        <f>'Bütçe aylık-Eur'!$H$110</f>
        <v/>
      </c>
      <c r="U182" s="7">
        <f>'gerç aylık-eur'!$H$109</f>
        <v/>
      </c>
      <c r="V182" s="7" t="n"/>
      <c r="W182" s="7">
        <f>'Bütçe aylık-Eur'!$I$110</f>
        <v/>
      </c>
      <c r="X182" s="7">
        <f>'gerç aylık-eur'!$I$109</f>
        <v/>
      </c>
      <c r="Y182" s="7" t="n"/>
      <c r="Z182" s="7">
        <f>'Bütçe aylık-Eur'!$J$110</f>
        <v/>
      </c>
      <c r="AA182" s="7">
        <f>'gerç aylık-eur'!$J$109</f>
        <v/>
      </c>
      <c r="AB182" s="7" t="n"/>
      <c r="AC182" s="7">
        <f>'Bütçe aylık-Eur'!$K$110</f>
        <v/>
      </c>
      <c r="AD182" s="7">
        <f>'gerç aylık-eur'!$K$109</f>
        <v/>
      </c>
      <c r="AE182" s="7" t="n"/>
      <c r="AF182" s="7">
        <f>'Bütçe aylık-Eur'!$L$110</f>
        <v/>
      </c>
      <c r="AG182" s="7">
        <f>'gerç aylık-eur'!$L$109</f>
        <v/>
      </c>
      <c r="AH182" s="7" t="n"/>
      <c r="AI182" s="7">
        <f>'Bütçe aylık-Eur'!$M$110</f>
        <v/>
      </c>
      <c r="AJ182" s="7">
        <f>'gerç aylık-eur'!$M$109</f>
        <v/>
      </c>
      <c r="AK182" s="7" t="n"/>
      <c r="AL182" s="21">
        <f>AP182-AO182</f>
        <v/>
      </c>
      <c r="AM182" s="22">
        <f>AP182/AO182-1</f>
        <v/>
      </c>
      <c r="AO182" s="44">
        <f>IF($A$1=$B$1,B182,IF($A$1=$E$1,E182,IF($A$1=$H$1,H182,IF($A$1=$K$1,K182,IF($A$1=$N$1,N182,IF($A$1=$Q$1,Q182,IF($A$1=$T$1,T182,IF($A$1=$W$1,W182,IF($A$1=$Z$1,Z182,IF($A$1=$AC$1,AC182,IF($A$1=$AF$1,AF182,IF($A$1=$AI$1,AI182))))))))))))</f>
        <v/>
      </c>
      <c r="AP182" s="44">
        <f>IF($A$1=$B$1,C182,IF($A$1=$E$1,F182,IF($A$1=$H$1,I182,IF($A$1=$K$1,L182,IF($A$1=$N$1,O182,IF($A$1=$Q$1,R182,IF($A$1=$T$1,U182,IF($A$1=$W$1,X182,IF($A$1=$Z$1,AA182,IF($A$1=$AC$1,AD182,IF($A$1=$AF$1,AG182,IF($A$1=$AI$1,AJ182))))))))))))</f>
        <v/>
      </c>
      <c r="AQ182" s="94">
        <f>C182*0.4</f>
        <v/>
      </c>
    </row>
    <row r="183" ht="15.5" customHeight="1">
      <c r="A183" s="26" t="inlineStr">
        <is>
          <t>Alüminyum</t>
        </is>
      </c>
      <c r="B183" s="7">
        <f>'Bütçe aylık-Eur'!$B$111</f>
        <v/>
      </c>
      <c r="C183" s="7">
        <f>'gerç aylık-eur'!$B$110</f>
        <v/>
      </c>
      <c r="D183" s="7" t="n"/>
      <c r="E183" s="7">
        <f>'Bütçe aylık-Eur'!$C$111</f>
        <v/>
      </c>
      <c r="F183" s="7">
        <f>'gerç aylık-eur'!$C$110</f>
        <v/>
      </c>
      <c r="G183" s="7" t="n"/>
      <c r="H183" s="7">
        <f>'Bütçe aylık-Eur'!$D$111</f>
        <v/>
      </c>
      <c r="I183" s="7">
        <f>'gerç aylık-eur'!$D$110</f>
        <v/>
      </c>
      <c r="J183" s="7" t="n"/>
      <c r="K183" s="7">
        <f>'Bütçe aylık-Eur'!$E$111</f>
        <v/>
      </c>
      <c r="L183" s="7">
        <f>'gerç aylık-eur'!$E$110</f>
        <v/>
      </c>
      <c r="M183" s="7" t="n"/>
      <c r="N183" s="7">
        <f>'Bütçe aylık-Eur'!$F$111</f>
        <v/>
      </c>
      <c r="O183" s="7">
        <f>'gerç aylık-eur'!$F$110</f>
        <v/>
      </c>
      <c r="P183" s="7" t="n"/>
      <c r="Q183" s="7">
        <f>'Bütçe aylık-Eur'!$G$111</f>
        <v/>
      </c>
      <c r="R183" s="7">
        <f>'gerç aylık-eur'!$G$110</f>
        <v/>
      </c>
      <c r="S183" s="7" t="n"/>
      <c r="T183" s="7">
        <f>'Bütçe aylık-Eur'!$H$111</f>
        <v/>
      </c>
      <c r="U183" s="7">
        <f>'gerç aylık-eur'!$H$110</f>
        <v/>
      </c>
      <c r="V183" s="7" t="n"/>
      <c r="W183" s="7">
        <f>'Bütçe aylık-Eur'!$I$111</f>
        <v/>
      </c>
      <c r="X183" s="7">
        <f>'gerç aylık-eur'!$I$110</f>
        <v/>
      </c>
      <c r="Y183" s="7" t="n"/>
      <c r="Z183" s="7">
        <f>'Bütçe aylık-Eur'!$J$111</f>
        <v/>
      </c>
      <c r="AA183" s="7">
        <f>'gerç aylık-eur'!$J$110</f>
        <v/>
      </c>
      <c r="AB183" s="7" t="n"/>
      <c r="AC183" s="7">
        <f>'Bütçe aylık-Eur'!$K$111</f>
        <v/>
      </c>
      <c r="AD183" s="7">
        <f>'gerç aylık-eur'!$K$110</f>
        <v/>
      </c>
      <c r="AE183" s="7" t="n"/>
      <c r="AF183" s="7">
        <f>'Bütçe aylık-Eur'!$L$111</f>
        <v/>
      </c>
      <c r="AG183" s="7">
        <f>'gerç aylık-eur'!$L$110</f>
        <v/>
      </c>
      <c r="AH183" s="7" t="n"/>
      <c r="AI183" s="7">
        <f>'Bütçe aylık-Eur'!$M$111</f>
        <v/>
      </c>
      <c r="AJ183" s="7">
        <f>'gerç aylık-eur'!$M$110</f>
        <v/>
      </c>
      <c r="AK183" s="7" t="n"/>
      <c r="AL183" s="21">
        <f>AP183-AO183</f>
        <v/>
      </c>
      <c r="AM183" s="22">
        <f>AP183/AO183-1</f>
        <v/>
      </c>
      <c r="AO183" s="44">
        <f>IF($A$1=$B$1,B183,IF($A$1=$E$1,E183,IF($A$1=$H$1,H183,IF($A$1=$K$1,K183,IF($A$1=$N$1,N183,IF($A$1=$Q$1,Q183,IF($A$1=$T$1,T183,IF($A$1=$W$1,W183,IF($A$1=$Z$1,Z183,IF($A$1=$AC$1,AC183,IF($A$1=$AF$1,AF183,IF($A$1=$AI$1,AI183))))))))))))</f>
        <v/>
      </c>
      <c r="AP183" s="44">
        <f>IF($A$1=$B$1,C183,IF($A$1=$E$1,F183,IF($A$1=$H$1,I183,IF($A$1=$K$1,L183,IF($A$1=$N$1,O183,IF($A$1=$Q$1,R183,IF($A$1=$T$1,U183,IF($A$1=$W$1,X183,IF($A$1=$Z$1,AA183,IF($A$1=$AC$1,AD183,IF($A$1=$AF$1,AG183,IF($A$1=$AI$1,AJ183))))))))))))</f>
        <v/>
      </c>
      <c r="AQ183" s="94">
        <f>C183*0.4</f>
        <v/>
      </c>
    </row>
    <row r="184" ht="15.5" customFormat="1" customHeight="1" s="13">
      <c r="A184" s="26" t="n"/>
      <c r="B184" s="12" t="n"/>
      <c r="C184" s="30" t="n"/>
      <c r="D184" s="41" t="n"/>
      <c r="E184" s="12" t="n"/>
      <c r="F184" s="30" t="n"/>
      <c r="G184" s="41" t="n"/>
      <c r="H184" s="12" t="n"/>
      <c r="I184" s="30" t="n"/>
      <c r="J184" s="41" t="n"/>
      <c r="K184" s="12" t="n"/>
      <c r="L184" s="30" t="n"/>
      <c r="M184" s="41" t="n"/>
      <c r="N184" s="12" t="n"/>
      <c r="O184" s="30" t="n"/>
      <c r="P184" s="41" t="n"/>
      <c r="Q184" s="12" t="n"/>
      <c r="R184" s="30" t="n"/>
      <c r="S184" s="41" t="n"/>
      <c r="T184" s="12" t="n"/>
      <c r="U184" s="30" t="n"/>
      <c r="V184" s="41" t="n"/>
      <c r="W184" s="12" t="n"/>
      <c r="X184" s="30" t="n"/>
      <c r="Y184" s="41" t="n"/>
      <c r="Z184" s="12" t="n"/>
      <c r="AA184" s="30" t="n"/>
      <c r="AB184" s="41" t="n"/>
      <c r="AC184" s="12" t="n"/>
      <c r="AD184" s="30" t="n"/>
      <c r="AE184" s="41" t="n"/>
      <c r="AF184" s="12" t="n"/>
      <c r="AG184" s="30" t="n"/>
      <c r="AH184" s="41" t="n"/>
      <c r="AI184" s="12" t="n"/>
      <c r="AJ184" s="30" t="n"/>
      <c r="AK184" s="41" t="n"/>
      <c r="AL184" s="15" t="n"/>
      <c r="AM184" s="22" t="n"/>
      <c r="AO184" s="44" t="n"/>
      <c r="AP184" s="44" t="n"/>
    </row>
    <row r="185" ht="15.5" customFormat="1" customHeight="1" s="13">
      <c r="A185" s="26" t="n"/>
      <c r="B185" s="12" t="n"/>
      <c r="C185" s="30" t="n"/>
      <c r="D185" s="41" t="n"/>
      <c r="E185" s="12" t="n"/>
      <c r="F185" s="30" t="n"/>
      <c r="G185" s="41" t="n"/>
      <c r="H185" s="12" t="n"/>
      <c r="I185" s="30" t="n"/>
      <c r="J185" s="41" t="n"/>
      <c r="K185" s="12" t="n"/>
      <c r="L185" s="30" t="n"/>
      <c r="M185" s="41" t="n"/>
      <c r="N185" s="12" t="n"/>
      <c r="O185" s="30" t="n"/>
      <c r="P185" s="41" t="n"/>
      <c r="Q185" s="12" t="n"/>
      <c r="R185" s="30" t="n"/>
      <c r="S185" s="41" t="n"/>
      <c r="T185" s="12" t="n"/>
      <c r="U185" s="30" t="n"/>
      <c r="V185" s="41" t="n"/>
      <c r="W185" s="12" t="n"/>
      <c r="X185" s="30" t="n"/>
      <c r="Y185" s="41" t="n"/>
      <c r="Z185" s="12" t="n"/>
      <c r="AA185" s="30" t="n"/>
      <c r="AB185" s="41" t="n"/>
      <c r="AC185" s="12" t="n"/>
      <c r="AD185" s="30" t="n"/>
      <c r="AE185" s="41" t="n"/>
      <c r="AF185" s="12" t="n"/>
      <c r="AG185" s="30" t="n"/>
      <c r="AH185" s="41" t="n"/>
      <c r="AI185" s="12" t="n"/>
      <c r="AJ185" s="30" t="n"/>
      <c r="AK185" s="41" t="n"/>
      <c r="AL185" s="15" t="n"/>
      <c r="AM185" s="22" t="n"/>
      <c r="AO185" s="44" t="n"/>
      <c r="AP185" s="44" t="n"/>
    </row>
    <row r="186" ht="15.5" customFormat="1" customHeight="1" s="44">
      <c r="A186" s="31" t="inlineStr">
        <is>
          <t>VÖK</t>
        </is>
      </c>
      <c r="B186" s="32">
        <f>'Bütçe aylık-Eur'!$B$114</f>
        <v/>
      </c>
      <c r="C186" s="32">
        <f>'gerç aylık-eur'!$B$113</f>
        <v/>
      </c>
      <c r="D186" s="18" t="n"/>
      <c r="E186" s="32">
        <f>'Bütçe aylık-Eur'!$C$114</f>
        <v/>
      </c>
      <c r="F186" s="32">
        <f>'gerç aylık-eur'!$C$113</f>
        <v/>
      </c>
      <c r="G186" s="18" t="n"/>
      <c r="H186" s="32">
        <f>'Bütçe aylık-Eur'!$D$114</f>
        <v/>
      </c>
      <c r="I186" s="32">
        <f>'gerç aylık-eur'!$D$113</f>
        <v/>
      </c>
      <c r="J186" s="18" t="n"/>
      <c r="K186" s="32">
        <f>'Bütçe aylık-Eur'!$E$114</f>
        <v/>
      </c>
      <c r="L186" s="32">
        <f>'gerç aylık-eur'!$E$113</f>
        <v/>
      </c>
      <c r="M186" s="18" t="n"/>
      <c r="N186" s="32">
        <f>'Bütçe aylık-Eur'!$F$114</f>
        <v/>
      </c>
      <c r="O186" s="32">
        <f>'gerç aylık-eur'!$F$113</f>
        <v/>
      </c>
      <c r="P186" s="18" t="n"/>
      <c r="Q186" s="32">
        <f>'Bütçe aylık-Eur'!$G$114</f>
        <v/>
      </c>
      <c r="R186" s="32">
        <f>'gerç aylık-eur'!$G$113</f>
        <v/>
      </c>
      <c r="S186" s="18" t="n"/>
      <c r="T186" s="32">
        <f>'Bütçe aylık-Eur'!$H$114</f>
        <v/>
      </c>
      <c r="U186" s="32">
        <f>'gerç aylık-eur'!$H$113</f>
        <v/>
      </c>
      <c r="V186" s="18" t="n"/>
      <c r="W186" s="32">
        <f>'Bütçe aylık-Eur'!$I$114</f>
        <v/>
      </c>
      <c r="X186" s="32">
        <f>'gerç aylık-eur'!$I$113</f>
        <v/>
      </c>
      <c r="Y186" s="18" t="n"/>
      <c r="Z186" s="32">
        <f>'Bütçe aylık-Eur'!$J$114</f>
        <v/>
      </c>
      <c r="AA186" s="32">
        <f>'gerç aylık-eur'!$J$113</f>
        <v/>
      </c>
      <c r="AB186" s="18" t="n"/>
      <c r="AC186" s="32">
        <f>'Bütçe aylık-Eur'!$K$114</f>
        <v/>
      </c>
      <c r="AD186" s="32">
        <f>'gerç aylık-eur'!$K$113</f>
        <v/>
      </c>
      <c r="AE186" s="18" t="n"/>
      <c r="AF186" s="32">
        <f>'Bütçe aylık-Eur'!$L$114</f>
        <v/>
      </c>
      <c r="AG186" s="32">
        <f>'gerç aylık-eur'!$L$113</f>
        <v/>
      </c>
      <c r="AH186" s="18" t="n"/>
      <c r="AI186" s="32">
        <f>'Bütçe aylık-Eur'!$M$114</f>
        <v/>
      </c>
      <c r="AJ186" s="32">
        <f>'gerç aylık-eur'!$M$113</f>
        <v/>
      </c>
      <c r="AK186" s="18" t="n"/>
      <c r="AL186" s="33">
        <f>AP186-AO186</f>
        <v/>
      </c>
      <c r="AM186" s="34">
        <f>AP186/AO186-1</f>
        <v/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/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/>
      </c>
    </row>
    <row r="187" ht="15.5" customFormat="1" customHeight="1" s="13">
      <c r="A187" s="27" t="n"/>
      <c r="B187" s="30" t="n"/>
      <c r="C187" s="30" t="n"/>
      <c r="D187" s="41" t="n"/>
      <c r="E187" s="30" t="n"/>
      <c r="F187" s="30" t="n"/>
      <c r="G187" s="41" t="n"/>
      <c r="H187" s="30" t="n"/>
      <c r="I187" s="30" t="n"/>
      <c r="J187" s="41" t="n"/>
      <c r="K187" s="30" t="n"/>
      <c r="L187" s="30" t="n"/>
      <c r="M187" s="41" t="n"/>
      <c r="N187" s="30" t="n"/>
      <c r="O187" s="30" t="n"/>
      <c r="P187" s="41" t="n"/>
      <c r="Q187" s="30" t="n"/>
      <c r="R187" s="30" t="n"/>
      <c r="S187" s="41" t="n"/>
      <c r="T187" s="30" t="n"/>
      <c r="U187" s="30" t="n"/>
      <c r="V187" s="41" t="n"/>
      <c r="W187" s="30" t="n"/>
      <c r="X187" s="30" t="n"/>
      <c r="Y187" s="41" t="n"/>
      <c r="Z187" s="30" t="n"/>
      <c r="AA187" s="30" t="n"/>
      <c r="AB187" s="41" t="n"/>
      <c r="AC187" s="30" t="n"/>
      <c r="AD187" s="30" t="n"/>
      <c r="AE187" s="41" t="n"/>
      <c r="AF187" s="30" t="n"/>
      <c r="AG187" s="30" t="n"/>
      <c r="AH187" s="41" t="n"/>
      <c r="AI187" s="30" t="n"/>
      <c r="AJ187" s="30" t="n"/>
      <c r="AK187" s="41" t="n"/>
      <c r="AL187" s="15" t="n"/>
      <c r="AM187" s="22" t="n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/>
      </c>
      <c r="AP187" s="44">
        <f>IF($A$1=$B$1,C187,IF($A$1=$E$1,F187,IF($A$1=$H$1,I187,IF($A$1=$K$1,L187,IF($A$1=$N$1,O187,IF($A$1=$Q$1,R187,IF($A$1=$T$1,U187,IF($A$1=$W$1,X187,IF($A$1=$Z$1,AA187,IF($A$1=$AC$1,AD187,IF($A$1=$AF$1,AG187,IF($A$1=$AI$1,AJ187))))))))))))</f>
        <v/>
      </c>
    </row>
    <row r="188" ht="17" customFormat="1" customHeight="1" s="49">
      <c r="A188" s="47" t="inlineStr">
        <is>
          <t>VÖK (100%)</t>
        </is>
      </c>
      <c r="B188" s="413" t="n"/>
      <c r="C188" s="413" t="n"/>
      <c r="D188" s="413" t="n"/>
      <c r="E188" s="413" t="n"/>
      <c r="F188" s="413" t="n"/>
      <c r="G188" s="413" t="n"/>
      <c r="H188" s="413" t="n"/>
      <c r="I188" s="413" t="n"/>
      <c r="J188" s="413" t="n"/>
      <c r="K188" s="413" t="n"/>
      <c r="L188" s="413" t="n"/>
      <c r="M188" s="413" t="n"/>
      <c r="N188" s="413" t="n"/>
      <c r="O188" s="413" t="n"/>
      <c r="P188" s="413" t="n"/>
      <c r="Q188" s="413" t="n"/>
      <c r="R188" s="413" t="n"/>
      <c r="S188" s="413" t="n"/>
      <c r="T188" s="413" t="n"/>
      <c r="U188" s="413" t="n"/>
      <c r="V188" s="413" t="n"/>
      <c r="W188" s="413" t="n"/>
      <c r="X188" s="413" t="n"/>
      <c r="Y188" s="413" t="n"/>
      <c r="Z188" s="413" t="n"/>
      <c r="AA188" s="413" t="n"/>
      <c r="AB188" s="413" t="n"/>
      <c r="AC188" s="413" t="n"/>
      <c r="AD188" s="413" t="n"/>
      <c r="AE188" s="413" t="n"/>
      <c r="AF188" s="413" t="n"/>
      <c r="AG188" s="413" t="n"/>
      <c r="AH188" s="413" t="n"/>
      <c r="AI188" s="413" t="n"/>
      <c r="AJ188" s="413" t="n"/>
      <c r="AK188" s="413" t="n"/>
      <c r="AL188" s="413" t="n"/>
      <c r="AM188" s="48" t="n"/>
    </row>
    <row r="189" ht="15.5" customHeight="1">
      <c r="A189" s="26" t="inlineStr">
        <is>
          <t xml:space="preserve">İnci Holding </t>
        </is>
      </c>
      <c r="B189" s="7">
        <f>'Bütçe aylık-Eur'!$B$115</f>
        <v/>
      </c>
      <c r="C189" s="7">
        <f>'gerç aylık-eur'!$B$114</f>
        <v/>
      </c>
      <c r="D189" s="7" t="n"/>
      <c r="E189" s="7">
        <f>'Bütçe aylık-Eur'!$C$115</f>
        <v/>
      </c>
      <c r="F189" s="7">
        <f>'gerç aylık-eur'!$C$114</f>
        <v/>
      </c>
      <c r="G189" s="7" t="n"/>
      <c r="H189" s="7">
        <f>'Bütçe aylık-Eur'!$D$115</f>
        <v/>
      </c>
      <c r="I189" s="7">
        <f>'gerç aylık-eur'!$D$114</f>
        <v/>
      </c>
      <c r="J189" s="7" t="n"/>
      <c r="K189" s="7">
        <f>'Bütçe aylık-Eur'!$E$115</f>
        <v/>
      </c>
      <c r="L189" s="7">
        <f>'gerç aylık-eur'!$E$114</f>
        <v/>
      </c>
      <c r="M189" s="7" t="n"/>
      <c r="N189" s="7">
        <f>'Bütçe aylık-Eur'!$F$115</f>
        <v/>
      </c>
      <c r="O189" s="7">
        <f>'gerç aylık-eur'!$F$114</f>
        <v/>
      </c>
      <c r="P189" s="7" t="n"/>
      <c r="Q189" s="7">
        <f>'Bütçe aylık-Eur'!$G$115</f>
        <v/>
      </c>
      <c r="R189" s="7">
        <f>'gerç aylık-eur'!$G$114</f>
        <v/>
      </c>
      <c r="S189" s="7" t="n"/>
      <c r="T189" s="7">
        <f>'Bütçe aylık-Eur'!$H$115</f>
        <v/>
      </c>
      <c r="U189" s="7">
        <f>'gerç aylık-eur'!$H$114</f>
        <v/>
      </c>
      <c r="V189" s="7" t="n"/>
      <c r="W189" s="7">
        <f>'Bütçe aylık-Eur'!$I$115</f>
        <v/>
      </c>
      <c r="X189" s="7">
        <f>'gerç aylık-eur'!$I$114</f>
        <v/>
      </c>
      <c r="Y189" s="7" t="n"/>
      <c r="Z189" s="7">
        <f>'Bütçe aylık-Eur'!$J$115</f>
        <v/>
      </c>
      <c r="AA189" s="7">
        <f>'gerç aylık-eur'!$J$114</f>
        <v/>
      </c>
      <c r="AB189" s="7" t="n"/>
      <c r="AC189" s="7">
        <f>'Bütçe aylık-Eur'!$K$115</f>
        <v/>
      </c>
      <c r="AD189" s="7">
        <f>'gerç aylık-eur'!$K$114</f>
        <v/>
      </c>
      <c r="AE189" s="7" t="n"/>
      <c r="AF189" s="7">
        <f>'Bütçe aylık-Eur'!$L$115</f>
        <v/>
      </c>
      <c r="AG189" s="7">
        <f>'gerç aylık-eur'!$L$114</f>
        <v/>
      </c>
      <c r="AH189" s="7" t="n"/>
      <c r="AI189" s="7">
        <f>'Bütçe aylık-Eur'!$M$115</f>
        <v/>
      </c>
      <c r="AJ189" s="7">
        <f>'gerç aylık-eur'!$M$114</f>
        <v/>
      </c>
      <c r="AK189" s="7" t="n"/>
      <c r="AL189" s="21">
        <f>AP189-AO189</f>
        <v/>
      </c>
      <c r="AM189" s="22">
        <f>AP189/AO189-1</f>
        <v/>
      </c>
      <c r="AO189" s="44">
        <f>IF($A$1=$B$1,B189,IF($A$1=$E$1,E189,IF($A$1=$H$1,H189,IF($A$1=$K$1,K189,IF($A$1=$N$1,N189,IF($A$1=$Q$1,Q189,IF($A$1=$T$1,T189,IF($A$1=$W$1,W189,IF($A$1=$Z$1,Z189,IF($A$1=$AC$1,AC189,IF($A$1=$AF$1,AF189,IF($A$1=$AI$1,AI189))))))))))))</f>
        <v/>
      </c>
      <c r="AP189" s="44">
        <f>IF($A$1=$B$1,C189,IF($A$1=$E$1,F189,IF($A$1=$H$1,I189,IF($A$1=$K$1,L189,IF($A$1=$N$1,O189,IF($A$1=$Q$1,R189,IF($A$1=$T$1,U189,IF($A$1=$W$1,X189,IF($A$1=$Z$1,AA189,IF($A$1=$AC$1,AD189,IF($A$1=$AF$1,AG189,IF($A$1=$AI$1,AJ189))))))))))))</f>
        <v/>
      </c>
    </row>
    <row r="190" ht="15.5" customHeight="1">
      <c r="A190" s="26" t="inlineStr">
        <is>
          <t xml:space="preserve">ISM </t>
        </is>
      </c>
      <c r="B190" s="7">
        <f>'Bütçe aylık-Eur'!$B$116</f>
        <v/>
      </c>
      <c r="C190" s="7">
        <f>'gerç aylık-eur'!$B$115</f>
        <v/>
      </c>
      <c r="D190" s="7" t="n"/>
      <c r="E190" s="7">
        <f>'Bütçe aylık-Eur'!$C$116</f>
        <v/>
      </c>
      <c r="F190" s="7">
        <f>'gerç aylık-eur'!$C$115</f>
        <v/>
      </c>
      <c r="G190" s="7" t="n"/>
      <c r="H190" s="7">
        <f>'Bütçe aylık-Eur'!$D$116</f>
        <v/>
      </c>
      <c r="I190" s="7">
        <f>'gerç aylık-eur'!$D$115</f>
        <v/>
      </c>
      <c r="J190" s="7" t="n"/>
      <c r="K190" s="7">
        <f>'Bütçe aylık-Eur'!$E$116</f>
        <v/>
      </c>
      <c r="L190" s="7">
        <f>'gerç aylık-eur'!$E$115</f>
        <v/>
      </c>
      <c r="M190" s="7" t="n"/>
      <c r="N190" s="7">
        <f>'Bütçe aylık-Eur'!$F$116</f>
        <v/>
      </c>
      <c r="O190" s="7">
        <f>'gerç aylık-eur'!$F$115</f>
        <v/>
      </c>
      <c r="P190" s="7" t="n"/>
      <c r="Q190" s="7">
        <f>'Bütçe aylık-Eur'!$G$116</f>
        <v/>
      </c>
      <c r="R190" s="7">
        <f>'gerç aylık-eur'!$G$115</f>
        <v/>
      </c>
      <c r="S190" s="7" t="n"/>
      <c r="T190" s="7">
        <f>'Bütçe aylık-Eur'!$H$116</f>
        <v/>
      </c>
      <c r="U190" s="7">
        <f>'gerç aylık-eur'!$H$115</f>
        <v/>
      </c>
      <c r="V190" s="7" t="n"/>
      <c r="W190" s="7">
        <f>'Bütçe aylık-Eur'!$I$116</f>
        <v/>
      </c>
      <c r="X190" s="7">
        <f>'gerç aylık-eur'!$I$115</f>
        <v/>
      </c>
      <c r="Y190" s="7" t="n"/>
      <c r="Z190" s="7">
        <f>'Bütçe aylık-Eur'!$J$116</f>
        <v/>
      </c>
      <c r="AA190" s="7">
        <f>'gerç aylık-eur'!$J$115</f>
        <v/>
      </c>
      <c r="AB190" s="7" t="n"/>
      <c r="AC190" s="7">
        <f>'Bütçe aylık-Eur'!$K$116</f>
        <v/>
      </c>
      <c r="AD190" s="7">
        <f>'gerç aylık-eur'!$K$115</f>
        <v/>
      </c>
      <c r="AE190" s="7" t="n"/>
      <c r="AF190" s="7">
        <f>'Bütçe aylık-Eur'!$L$116</f>
        <v/>
      </c>
      <c r="AG190" s="7">
        <f>'gerç aylık-eur'!$L$115</f>
        <v/>
      </c>
      <c r="AH190" s="7" t="n"/>
      <c r="AI190" s="7">
        <f>'Bütçe aylık-Eur'!$M$116</f>
        <v/>
      </c>
      <c r="AJ190" s="7">
        <f>'gerç aylık-eur'!$M$115</f>
        <v/>
      </c>
      <c r="AK190" s="7" t="n"/>
      <c r="AL190" s="21">
        <f>AP190-AO190</f>
        <v/>
      </c>
      <c r="AM190" s="22">
        <f>AP190/AO190-1</f>
        <v/>
      </c>
      <c r="AO190" s="44">
        <f>IF($A$1=$B$1,B190,IF($A$1=$E$1,E190,IF($A$1=$H$1,H190,IF($A$1=$K$1,K190,IF($A$1=$N$1,N190,IF($A$1=$Q$1,Q190,IF($A$1=$T$1,T190,IF($A$1=$W$1,W190,IF($A$1=$Z$1,Z190,IF($A$1=$AC$1,AC190,IF($A$1=$AF$1,AF190,IF($A$1=$AI$1,AI190))))))))))))</f>
        <v/>
      </c>
      <c r="AP190" s="44">
        <f>IF($A$1=$B$1,C190,IF($A$1=$E$1,F190,IF($A$1=$H$1,I190,IF($A$1=$K$1,L190,IF($A$1=$N$1,O190,IF($A$1=$Q$1,R190,IF($A$1=$T$1,U190,IF($A$1=$W$1,X190,IF($A$1=$Z$1,AA190,IF($A$1=$AC$1,AD190,IF($A$1=$AF$1,AG190,IF($A$1=$AI$1,AJ190))))))))))))</f>
        <v/>
      </c>
    </row>
    <row r="191" ht="15.5" customHeight="1">
      <c r="A191" s="26" t="inlineStr">
        <is>
          <t>İncitaş</t>
        </is>
      </c>
      <c r="B191" s="7">
        <f>'Bütçe aylık-Eur'!$B$117</f>
        <v/>
      </c>
      <c r="C191" s="7">
        <f>'gerç aylık-eur'!$B$116</f>
        <v/>
      </c>
      <c r="D191" s="7" t="n"/>
      <c r="E191" s="7">
        <f>'Bütçe aylık-Eur'!$C$117</f>
        <v/>
      </c>
      <c r="F191" s="7">
        <f>'gerç aylık-eur'!$C$116</f>
        <v/>
      </c>
      <c r="G191" s="7" t="n"/>
      <c r="H191" s="7">
        <f>'Bütçe aylık-Eur'!$D$117</f>
        <v/>
      </c>
      <c r="I191" s="7">
        <f>'gerç aylık-eur'!$D$116</f>
        <v/>
      </c>
      <c r="J191" s="7" t="n"/>
      <c r="K191" s="7">
        <f>'Bütçe aylık-Eur'!$E$117</f>
        <v/>
      </c>
      <c r="L191" s="7">
        <f>'gerç aylık-eur'!$E$116</f>
        <v/>
      </c>
      <c r="M191" s="7" t="n"/>
      <c r="N191" s="7">
        <f>'Bütçe aylık-Eur'!$F$117</f>
        <v/>
      </c>
      <c r="O191" s="7">
        <f>'gerç aylık-eur'!$F$116</f>
        <v/>
      </c>
      <c r="P191" s="7" t="n"/>
      <c r="Q191" s="7">
        <f>'Bütçe aylık-Eur'!$G$117</f>
        <v/>
      </c>
      <c r="R191" s="7">
        <f>'gerç aylık-eur'!$G$116</f>
        <v/>
      </c>
      <c r="S191" s="7" t="n"/>
      <c r="T191" s="7">
        <f>'Bütçe aylık-Eur'!$H$117</f>
        <v/>
      </c>
      <c r="U191" s="7">
        <f>'gerç aylık-eur'!$H$116</f>
        <v/>
      </c>
      <c r="V191" s="7" t="n"/>
      <c r="W191" s="7">
        <f>'Bütçe aylık-Eur'!$I$117</f>
        <v/>
      </c>
      <c r="X191" s="7">
        <f>'gerç aylık-eur'!$I$116</f>
        <v/>
      </c>
      <c r="Y191" s="7" t="n"/>
      <c r="Z191" s="7">
        <f>'Bütçe aylık-Eur'!$J$117</f>
        <v/>
      </c>
      <c r="AA191" s="7">
        <f>'gerç aylık-eur'!$J$116</f>
        <v/>
      </c>
      <c r="AB191" s="7" t="n"/>
      <c r="AC191" s="7">
        <f>'Bütçe aylık-Eur'!$K$117</f>
        <v/>
      </c>
      <c r="AD191" s="7">
        <f>'gerç aylık-eur'!$K$116</f>
        <v/>
      </c>
      <c r="AE191" s="7" t="n"/>
      <c r="AF191" s="7">
        <f>'Bütçe aylık-Eur'!$L$117</f>
        <v/>
      </c>
      <c r="AG191" s="7">
        <f>'gerç aylık-eur'!$L$116</f>
        <v/>
      </c>
      <c r="AH191" s="7" t="n"/>
      <c r="AI191" s="7">
        <f>'Bütçe aylık-Eur'!$M$117</f>
        <v/>
      </c>
      <c r="AJ191" s="7">
        <f>'gerç aylık-eur'!$M$116</f>
        <v/>
      </c>
      <c r="AK191" s="7" t="n"/>
      <c r="AL191" s="21">
        <f>AP191-AO191</f>
        <v/>
      </c>
      <c r="AM191" s="22">
        <f>AP191/AO191-1</f>
        <v/>
      </c>
      <c r="AO191" s="44">
        <f>IF($A$1=$B$1,B191,IF($A$1=$E$1,E191,IF($A$1=$H$1,H191,IF($A$1=$K$1,K191,IF($A$1=$N$1,N191,IF($A$1=$Q$1,Q191,IF($A$1=$T$1,T191,IF($A$1=$W$1,W191,IF($A$1=$Z$1,Z191,IF($A$1=$AC$1,AC191,IF($A$1=$AF$1,AF191,IF($A$1=$AI$1,AI191))))))))))))</f>
        <v/>
      </c>
      <c r="AP191" s="44">
        <f>IF($A$1=$B$1,C191,IF($A$1=$E$1,F191,IF($A$1=$H$1,I191,IF($A$1=$K$1,L191,IF($A$1=$N$1,O191,IF($A$1=$Q$1,R191,IF($A$1=$T$1,U191,IF($A$1=$W$1,X191,IF($A$1=$Z$1,AA191,IF($A$1=$AC$1,AD191,IF($A$1=$AF$1,AG191,IF($A$1=$AI$1,AJ191))))))))))))</f>
        <v/>
      </c>
    </row>
    <row r="192" ht="15.5" customHeight="1">
      <c r="A192" s="26" t="inlineStr">
        <is>
          <t>İnci GS Yuasa</t>
        </is>
      </c>
      <c r="B192" s="7">
        <f>'Bütçe aylık-Eur'!$B$118</f>
        <v/>
      </c>
      <c r="C192" s="7">
        <f>'gerç aylık-eur'!$B$117</f>
        <v/>
      </c>
      <c r="D192" s="7" t="n"/>
      <c r="E192" s="7">
        <f>'Bütçe aylık-Eur'!$C$118</f>
        <v/>
      </c>
      <c r="F192" s="7">
        <f>'gerç aylık-eur'!$C$117</f>
        <v/>
      </c>
      <c r="G192" s="7" t="n"/>
      <c r="H192" s="7">
        <f>'Bütçe aylık-Eur'!$D$118</f>
        <v/>
      </c>
      <c r="I192" s="7">
        <f>'gerç aylık-eur'!$D$117</f>
        <v/>
      </c>
      <c r="J192" s="7" t="n"/>
      <c r="K192" s="7">
        <f>'Bütçe aylık-Eur'!$E$118</f>
        <v/>
      </c>
      <c r="L192" s="7">
        <f>'gerç aylık-eur'!$E$117</f>
        <v/>
      </c>
      <c r="M192" s="7" t="n"/>
      <c r="N192" s="7">
        <f>'Bütçe aylık-Eur'!$F$118</f>
        <v/>
      </c>
      <c r="O192" s="7">
        <f>'gerç aylık-eur'!$F$117</f>
        <v/>
      </c>
      <c r="P192" s="7" t="n"/>
      <c r="Q192" s="7">
        <f>'Bütçe aylık-Eur'!$G$118</f>
        <v/>
      </c>
      <c r="R192" s="7">
        <f>'gerç aylık-eur'!$G$117</f>
        <v/>
      </c>
      <c r="S192" s="7" t="n"/>
      <c r="T192" s="7">
        <f>'Bütçe aylık-Eur'!$H$118</f>
        <v/>
      </c>
      <c r="U192" s="7">
        <f>'gerç aylık-eur'!$H$117</f>
        <v/>
      </c>
      <c r="V192" s="7" t="n"/>
      <c r="W192" s="7">
        <f>'Bütçe aylık-Eur'!$I$118</f>
        <v/>
      </c>
      <c r="X192" s="7">
        <f>'gerç aylık-eur'!$I$117</f>
        <v/>
      </c>
      <c r="Y192" s="7" t="n"/>
      <c r="Z192" s="7">
        <f>'Bütçe aylık-Eur'!$J$118</f>
        <v/>
      </c>
      <c r="AA192" s="7">
        <f>'gerç aylık-eur'!$J$117</f>
        <v/>
      </c>
      <c r="AB192" s="7" t="n"/>
      <c r="AC192" s="7">
        <f>'Bütçe aylık-Eur'!$K$118</f>
        <v/>
      </c>
      <c r="AD192" s="7">
        <f>'gerç aylık-eur'!$K$117</f>
        <v/>
      </c>
      <c r="AE192" s="7" t="n"/>
      <c r="AF192" s="7">
        <f>'Bütçe aylık-Eur'!$L$118</f>
        <v/>
      </c>
      <c r="AG192" s="7">
        <f>'gerç aylık-eur'!$L$117</f>
        <v/>
      </c>
      <c r="AH192" s="7" t="n"/>
      <c r="AI192" s="7">
        <f>'Bütçe aylık-Eur'!$M$118</f>
        <v/>
      </c>
      <c r="AJ192" s="7">
        <f>'gerç aylık-eur'!$M$117</f>
        <v/>
      </c>
      <c r="AK192" s="7" t="n"/>
      <c r="AL192" s="21">
        <f>AP192-AO192</f>
        <v/>
      </c>
      <c r="AM192" s="22">
        <f>AP192/AO192-1</f>
        <v/>
      </c>
      <c r="AO192" s="44">
        <f>IF($A$1=$B$1,B192,IF($A$1=$E$1,E192,IF($A$1=$H$1,H192,IF($A$1=$K$1,K192,IF($A$1=$N$1,N192,IF($A$1=$Q$1,Q192,IF($A$1=$T$1,T192,IF($A$1=$W$1,W192,IF($A$1=$Z$1,Z192,IF($A$1=$AC$1,AC192,IF($A$1=$AF$1,AF192,IF($A$1=$AI$1,AI192))))))))))))</f>
        <v/>
      </c>
      <c r="AP192" s="44">
        <f>IF($A$1=$B$1,C192,IF($A$1=$E$1,F192,IF($A$1=$H$1,I192,IF($A$1=$K$1,L192,IF($A$1=$N$1,O192,IF($A$1=$Q$1,R192,IF($A$1=$T$1,U192,IF($A$1=$W$1,X192,IF($A$1=$Z$1,AA192,IF($A$1=$AC$1,AD192,IF($A$1=$AF$1,AG192,IF($A$1=$AI$1,AJ192))))))))))))</f>
        <v/>
      </c>
    </row>
    <row r="193" ht="15.5" customFormat="1" customHeight="1" s="1">
      <c r="A193" s="26" t="inlineStr">
        <is>
          <t>Yusen İnci Loj.</t>
        </is>
      </c>
      <c r="B193" s="7">
        <f>'Bütçe aylık-Eur'!$B$119</f>
        <v/>
      </c>
      <c r="C193" s="7">
        <f>'gerç aylık-eur'!$B$118</f>
        <v/>
      </c>
      <c r="D193" s="8" t="n"/>
      <c r="E193" s="7">
        <f>'Bütçe aylık-Eur'!$C$119</f>
        <v/>
      </c>
      <c r="F193" s="7">
        <f>'gerç aylık-eur'!$C$118</f>
        <v/>
      </c>
      <c r="G193" s="8" t="n"/>
      <c r="H193" s="7">
        <f>'Bütçe aylık-Eur'!$D$119</f>
        <v/>
      </c>
      <c r="I193" s="7">
        <f>'gerç aylık-eur'!$D$118</f>
        <v/>
      </c>
      <c r="J193" s="8" t="n"/>
      <c r="K193" s="7">
        <f>'Bütçe aylık-Eur'!$E$119</f>
        <v/>
      </c>
      <c r="L193" s="7">
        <f>'gerç aylık-eur'!$E$118</f>
        <v/>
      </c>
      <c r="M193" s="8" t="n"/>
      <c r="N193" s="7">
        <f>'Bütçe aylık-Eur'!$F$119</f>
        <v/>
      </c>
      <c r="O193" s="7">
        <f>'gerç aylık-eur'!$F$118</f>
        <v/>
      </c>
      <c r="P193" s="8" t="n"/>
      <c r="Q193" s="7">
        <f>'Bütçe aylık-Eur'!$G$119</f>
        <v/>
      </c>
      <c r="R193" s="7">
        <f>'gerç aylık-eur'!$G$118</f>
        <v/>
      </c>
      <c r="S193" s="8" t="n"/>
      <c r="T193" s="7">
        <f>'Bütçe aylık-Eur'!$H$119</f>
        <v/>
      </c>
      <c r="U193" s="7">
        <f>'gerç aylık-eur'!$H$118</f>
        <v/>
      </c>
      <c r="V193" s="8" t="n"/>
      <c r="W193" s="7">
        <f>'Bütçe aylık-Eur'!$I$119</f>
        <v/>
      </c>
      <c r="X193" s="7">
        <f>'gerç aylık-eur'!$I$118</f>
        <v/>
      </c>
      <c r="Y193" s="8" t="n"/>
      <c r="Z193" s="7">
        <f>'Bütçe aylık-Eur'!$J$119</f>
        <v/>
      </c>
      <c r="AA193" s="7">
        <f>'gerç aylık-eur'!$J$118</f>
        <v/>
      </c>
      <c r="AB193" s="8" t="n"/>
      <c r="AC193" s="7">
        <f>'Bütçe aylık-Eur'!$K$119</f>
        <v/>
      </c>
      <c r="AD193" s="7">
        <f>'gerç aylık-eur'!$K$118</f>
        <v/>
      </c>
      <c r="AE193" s="8" t="n"/>
      <c r="AF193" s="7">
        <f>'Bütçe aylık-Eur'!$L$119</f>
        <v/>
      </c>
      <c r="AG193" s="7">
        <f>'gerç aylık-eur'!$L$118</f>
        <v/>
      </c>
      <c r="AH193" s="8" t="n"/>
      <c r="AI193" s="7">
        <f>'Bütçe aylık-Eur'!$M$119</f>
        <v/>
      </c>
      <c r="AJ193" s="7">
        <f>'gerç aylık-eur'!$M$118</f>
        <v/>
      </c>
      <c r="AK193" s="8" t="n"/>
      <c r="AL193" s="21">
        <f>AP193-AO193</f>
        <v/>
      </c>
      <c r="AM193" s="22">
        <f>AP193/AO193-1</f>
        <v/>
      </c>
      <c r="AO193" s="44">
        <f>IF($A$1=$B$1,B193,IF($A$1=$E$1,E193,IF($A$1=$H$1,H193,IF($A$1=$K$1,K193,IF($A$1=$N$1,N193,IF($A$1=$Q$1,Q193,IF($A$1=$T$1,T193,IF($A$1=$W$1,W193,IF($A$1=$Z$1,Z193,IF($A$1=$AC$1,AC193,IF($A$1=$AF$1,AF193,IF($A$1=$AI$1,AI193))))))))))))</f>
        <v/>
      </c>
      <c r="AP193" s="44">
        <f>IF($A$1=$B$1,C193,IF($A$1=$E$1,F193,IF($A$1=$H$1,I193,IF($A$1=$K$1,L193,IF($A$1=$N$1,O193,IF($A$1=$Q$1,R193,IF($A$1=$T$1,U193,IF($A$1=$W$1,X193,IF($A$1=$Z$1,AA193,IF($A$1=$AC$1,AD193,IF($A$1=$AF$1,AG193,IF($A$1=$AI$1,AJ193))))))))))))</f>
        <v/>
      </c>
    </row>
    <row r="194" ht="15.5" customHeight="1">
      <c r="A194" s="26" t="inlineStr">
        <is>
          <t>Jantaş</t>
        </is>
      </c>
      <c r="B194" s="7">
        <f>'Bütçe aylık-Eur'!$B$120</f>
        <v/>
      </c>
      <c r="C194" s="7">
        <f>'gerç aylık-eur'!$B$119</f>
        <v/>
      </c>
      <c r="D194" s="7" t="n"/>
      <c r="E194" s="7">
        <f>'Bütçe aylık-Eur'!$C$120</f>
        <v/>
      </c>
      <c r="F194" s="7">
        <f>'gerç aylık-eur'!$C$119</f>
        <v/>
      </c>
      <c r="G194" s="7" t="n"/>
      <c r="H194" s="7">
        <f>'Bütçe aylık-Eur'!$D$120</f>
        <v/>
      </c>
      <c r="I194" s="7">
        <f>'gerç aylık-eur'!$D$119</f>
        <v/>
      </c>
      <c r="J194" s="7" t="n"/>
      <c r="K194" s="7">
        <f>'Bütçe aylık-Eur'!$E$120</f>
        <v/>
      </c>
      <c r="L194" s="7">
        <f>'gerç aylık-eur'!$E$119</f>
        <v/>
      </c>
      <c r="M194" s="7" t="n"/>
      <c r="N194" s="7">
        <f>'Bütçe aylık-Eur'!$F$120</f>
        <v/>
      </c>
      <c r="O194" s="7">
        <f>'gerç aylık-eur'!$F$119</f>
        <v/>
      </c>
      <c r="P194" s="7" t="n"/>
      <c r="Q194" s="7">
        <f>'Bütçe aylık-Eur'!$G$120</f>
        <v/>
      </c>
      <c r="R194" s="7">
        <f>'gerç aylık-eur'!$G$119</f>
        <v/>
      </c>
      <c r="S194" s="7" t="n"/>
      <c r="T194" s="7">
        <f>'Bütçe aylık-Eur'!$H$120</f>
        <v/>
      </c>
      <c r="U194" s="7">
        <f>'gerç aylık-eur'!$H$119</f>
        <v/>
      </c>
      <c r="V194" s="7" t="n"/>
      <c r="W194" s="7">
        <f>'Bütçe aylık-Eur'!$I$120</f>
        <v/>
      </c>
      <c r="X194" s="7">
        <f>'gerç aylık-eur'!$I$119</f>
        <v/>
      </c>
      <c r="Y194" s="7" t="n"/>
      <c r="Z194" s="7">
        <f>'Bütçe aylık-Eur'!$J$120</f>
        <v/>
      </c>
      <c r="AA194" s="7">
        <f>'gerç aylık-eur'!$J$119</f>
        <v/>
      </c>
      <c r="AB194" s="7" t="n"/>
      <c r="AC194" s="7">
        <f>'Bütçe aylık-Eur'!$K$120</f>
        <v/>
      </c>
      <c r="AD194" s="7">
        <f>'gerç aylık-eur'!$K$119</f>
        <v/>
      </c>
      <c r="AE194" s="7" t="n"/>
      <c r="AF194" s="7">
        <f>'Bütçe aylık-Eur'!$L$120</f>
        <v/>
      </c>
      <c r="AG194" s="7">
        <f>'gerç aylık-eur'!$L$119</f>
        <v/>
      </c>
      <c r="AH194" s="7" t="n"/>
      <c r="AI194" s="7">
        <f>'Bütçe aylık-Eur'!$M$120</f>
        <v/>
      </c>
      <c r="AJ194" s="7">
        <f>'gerç aylık-eur'!$M$119</f>
        <v/>
      </c>
      <c r="AK194" s="7" t="n"/>
      <c r="AL194" s="21">
        <f>AP194-AO194</f>
        <v/>
      </c>
      <c r="AM194" s="22">
        <f>AP194/AO194-1</f>
        <v/>
      </c>
      <c r="AO194" s="44">
        <f>IF($A$1=$B$1,B194,IF($A$1=$E$1,E194,IF($A$1=$H$1,H194,IF($A$1=$K$1,K194,IF($A$1=$N$1,N194,IF($A$1=$Q$1,Q194,IF($A$1=$T$1,T194,IF($A$1=$W$1,W194,IF($A$1=$Z$1,Z194,IF($A$1=$AC$1,AC194,IF($A$1=$AF$1,AF194,IF($A$1=$AI$1,AI194))))))))))))</f>
        <v/>
      </c>
      <c r="AP194" s="44">
        <f>IF($A$1=$B$1,C194,IF($A$1=$E$1,F194,IF($A$1=$H$1,I194,IF($A$1=$K$1,L194,IF($A$1=$N$1,O194,IF($A$1=$Q$1,R194,IF($A$1=$T$1,U194,IF($A$1=$W$1,X194,IF($A$1=$Z$1,AA194,IF($A$1=$AC$1,AD194,IF($A$1=$AF$1,AG194,IF($A$1=$AI$1,AJ194))))))))))))</f>
        <v/>
      </c>
    </row>
    <row r="195" ht="15.5" customFormat="1" customHeight="1" s="1">
      <c r="A195" s="26" t="inlineStr">
        <is>
          <t>Çelik</t>
        </is>
      </c>
      <c r="B195" s="7">
        <f>'Bütçe aylık-Eur'!$B$121</f>
        <v/>
      </c>
      <c r="C195" s="7">
        <f>'gerç aylık-eur'!$B$120</f>
        <v/>
      </c>
      <c r="D195" s="8" t="n"/>
      <c r="E195" s="7">
        <f>'Bütçe aylık-Eur'!$C$121</f>
        <v/>
      </c>
      <c r="F195" s="7">
        <f>'gerç aylık-eur'!$C$120</f>
        <v/>
      </c>
      <c r="G195" s="8" t="n"/>
      <c r="H195" s="7">
        <f>'Bütçe aylık-Eur'!$D$121</f>
        <v/>
      </c>
      <c r="I195" s="7">
        <f>'gerç aylık-eur'!$D$120</f>
        <v/>
      </c>
      <c r="J195" s="8" t="n"/>
      <c r="K195" s="7">
        <f>'Bütçe aylık-Eur'!$E$121</f>
        <v/>
      </c>
      <c r="L195" s="7">
        <f>'gerç aylık-eur'!$E$120</f>
        <v/>
      </c>
      <c r="M195" s="8" t="n"/>
      <c r="N195" s="7">
        <f>'Bütçe aylık-Eur'!$F$121</f>
        <v/>
      </c>
      <c r="O195" s="7">
        <f>'gerç aylık-eur'!$F$120</f>
        <v/>
      </c>
      <c r="P195" s="8" t="n"/>
      <c r="Q195" s="7">
        <f>'Bütçe aylık-Eur'!$G$121</f>
        <v/>
      </c>
      <c r="R195" s="7">
        <f>'gerç aylık-eur'!$G$120</f>
        <v/>
      </c>
      <c r="S195" s="8" t="n"/>
      <c r="T195" s="7">
        <f>'Bütçe aylık-Eur'!$H$121</f>
        <v/>
      </c>
      <c r="U195" s="7">
        <f>'gerç aylık-eur'!$H$120</f>
        <v/>
      </c>
      <c r="V195" s="8" t="n"/>
      <c r="W195" s="7">
        <f>'Bütçe aylık-Eur'!$I$121</f>
        <v/>
      </c>
      <c r="X195" s="7">
        <f>'gerç aylık-eur'!$I$120</f>
        <v/>
      </c>
      <c r="Y195" s="8" t="n"/>
      <c r="Z195" s="7">
        <f>'Bütçe aylık-Eur'!$J$121</f>
        <v/>
      </c>
      <c r="AA195" s="7">
        <f>'gerç aylık-eur'!$J$120</f>
        <v/>
      </c>
      <c r="AB195" s="8" t="n"/>
      <c r="AC195" s="7">
        <f>'Bütçe aylık-Eur'!$K$121</f>
        <v/>
      </c>
      <c r="AD195" s="7">
        <f>'gerç aylık-eur'!$K$120</f>
        <v/>
      </c>
      <c r="AE195" s="8" t="n"/>
      <c r="AF195" s="7">
        <f>'Bütçe aylık-Eur'!$L$121</f>
        <v/>
      </c>
      <c r="AG195" s="7">
        <f>'gerç aylık-eur'!$L$120</f>
        <v/>
      </c>
      <c r="AH195" s="8" t="n"/>
      <c r="AI195" s="7">
        <f>'Bütçe aylık-Eur'!$M$121</f>
        <v/>
      </c>
      <c r="AJ195" s="7">
        <f>'gerç aylık-eur'!$M$120</f>
        <v/>
      </c>
      <c r="AK195" s="8" t="n"/>
      <c r="AL195" s="21">
        <f>AP195-AO195</f>
        <v/>
      </c>
      <c r="AM195" s="22">
        <f>AP195/AO195-1</f>
        <v/>
      </c>
      <c r="AO195" s="44">
        <f>IF($A$1=$B$1,B195,IF($A$1=$E$1,E195,IF($A$1=$H$1,H195,IF($A$1=$K$1,K195,IF($A$1=$N$1,N195,IF($A$1=$Q$1,Q195,IF($A$1=$T$1,T195,IF($A$1=$W$1,W195,IF($A$1=$Z$1,Z195,IF($A$1=$AC$1,AC195,IF($A$1=$AF$1,AF195,IF($A$1=$AI$1,AI195))))))))))))</f>
        <v/>
      </c>
      <c r="AP195" s="44">
        <f>IF($A$1=$B$1,C195,IF($A$1=$E$1,F195,IF($A$1=$H$1,I195,IF($A$1=$K$1,L195,IF($A$1=$N$1,O195,IF($A$1=$Q$1,R195,IF($A$1=$T$1,U195,IF($A$1=$W$1,X195,IF($A$1=$Z$1,AA195,IF($A$1=$AC$1,AD195,IF($A$1=$AF$1,AG195,IF($A$1=$AI$1,AJ195))))))))))))</f>
        <v/>
      </c>
    </row>
    <row r="196" ht="15.5" customFormat="1" customHeight="1" s="1">
      <c r="A196" s="26" t="inlineStr">
        <is>
          <t>Alüminyum</t>
        </is>
      </c>
      <c r="B196" s="7">
        <f>'Bütçe aylık-Eur'!$B$122</f>
        <v/>
      </c>
      <c r="C196" s="7">
        <f>'gerç aylık-eur'!$B$121</f>
        <v/>
      </c>
      <c r="D196" s="8" t="n"/>
      <c r="E196" s="7">
        <f>'Bütçe aylık-Eur'!$C$122</f>
        <v/>
      </c>
      <c r="F196" s="7">
        <f>'gerç aylık-eur'!$C$121</f>
        <v/>
      </c>
      <c r="G196" s="8" t="n"/>
      <c r="H196" s="7">
        <f>'Bütçe aylık-Eur'!$D$122</f>
        <v/>
      </c>
      <c r="I196" s="7">
        <f>'gerç aylık-eur'!$D$121</f>
        <v/>
      </c>
      <c r="J196" s="8" t="n"/>
      <c r="K196" s="7">
        <f>'Bütçe aylık-Eur'!$E$122</f>
        <v/>
      </c>
      <c r="L196" s="7">
        <f>'gerç aylık-eur'!$E$121</f>
        <v/>
      </c>
      <c r="M196" s="8" t="n"/>
      <c r="N196" s="7">
        <f>'Bütçe aylık-Eur'!$F$122</f>
        <v/>
      </c>
      <c r="O196" s="7">
        <f>'gerç aylık-eur'!$F$121</f>
        <v/>
      </c>
      <c r="P196" s="8" t="n"/>
      <c r="Q196" s="7">
        <f>'Bütçe aylık-Eur'!$G$122</f>
        <v/>
      </c>
      <c r="R196" s="7">
        <f>'gerç aylık-eur'!$G$121</f>
        <v/>
      </c>
      <c r="S196" s="8" t="n"/>
      <c r="T196" s="7">
        <f>'Bütçe aylık-Eur'!$H$122</f>
        <v/>
      </c>
      <c r="U196" s="7">
        <f>'gerç aylık-eur'!$H$121</f>
        <v/>
      </c>
      <c r="V196" s="8" t="n"/>
      <c r="W196" s="7">
        <f>'Bütçe aylık-Eur'!$I$122</f>
        <v/>
      </c>
      <c r="X196" s="7">
        <f>'gerç aylık-eur'!$I$121</f>
        <v/>
      </c>
      <c r="Y196" s="8" t="n"/>
      <c r="Z196" s="7">
        <f>'Bütçe aylık-Eur'!$J$122</f>
        <v/>
      </c>
      <c r="AA196" s="7">
        <f>'gerç aylık-eur'!$J$121</f>
        <v/>
      </c>
      <c r="AB196" s="8" t="n"/>
      <c r="AC196" s="7">
        <f>'Bütçe aylık-Eur'!$K$122</f>
        <v/>
      </c>
      <c r="AD196" s="7">
        <f>'gerç aylık-eur'!$K$121</f>
        <v/>
      </c>
      <c r="AE196" s="8" t="n"/>
      <c r="AF196" s="7">
        <f>'Bütçe aylık-Eur'!$L$122</f>
        <v/>
      </c>
      <c r="AG196" s="7">
        <f>'gerç aylık-eur'!$L$121</f>
        <v/>
      </c>
      <c r="AH196" s="8" t="n"/>
      <c r="AI196" s="7">
        <f>'Bütçe aylık-Eur'!$M$122</f>
        <v/>
      </c>
      <c r="AJ196" s="7">
        <f>'gerç aylık-eur'!$M$121</f>
        <v/>
      </c>
      <c r="AK196" s="8" t="n"/>
      <c r="AL196" s="21">
        <f>AP196-AO196</f>
        <v/>
      </c>
      <c r="AM196" s="22">
        <f>AP196/AO196-1</f>
        <v/>
      </c>
      <c r="AO196" s="44">
        <f>IF($A$1=$B$1,B196,IF($A$1=$E$1,E196,IF($A$1=$H$1,H196,IF($A$1=$K$1,K196,IF($A$1=$N$1,N196,IF($A$1=$Q$1,Q196,IF($A$1=$T$1,T196,IF($A$1=$W$1,W196,IF($A$1=$Z$1,Z196,IF($A$1=$AC$1,AC196,IF($A$1=$AF$1,AF196,IF($A$1=$AI$1,AI196))))))))))))</f>
        <v/>
      </c>
      <c r="AP196" s="44">
        <f>IF($A$1=$B$1,C196,IF($A$1=$E$1,F196,IF($A$1=$H$1,I196,IF($A$1=$K$1,L196,IF($A$1=$N$1,O196,IF($A$1=$Q$1,R196,IF($A$1=$T$1,U196,IF($A$1=$W$1,X196,IF($A$1=$Z$1,AA196,IF($A$1=$AC$1,AD196,IF($A$1=$AF$1,AG196,IF($A$1=$AI$1,AJ196))))))))))))</f>
        <v/>
      </c>
    </row>
    <row r="197" ht="15.5" customFormat="1" customHeight="1" s="1">
      <c r="A197" s="26" t="n"/>
      <c r="B197" s="7" t="n"/>
      <c r="C197" s="8" t="n"/>
      <c r="D197" s="8" t="n"/>
      <c r="E197" s="7" t="n"/>
      <c r="F197" s="8" t="n"/>
      <c r="G197" s="8" t="n"/>
      <c r="H197" s="7" t="n"/>
      <c r="I197" s="8" t="n"/>
      <c r="J197" s="8" t="n"/>
      <c r="K197" s="7" t="n"/>
      <c r="L197" s="8" t="n"/>
      <c r="M197" s="8" t="n"/>
      <c r="N197" s="7" t="n"/>
      <c r="O197" s="8" t="n"/>
      <c r="P197" s="8" t="n"/>
      <c r="Q197" s="7" t="n"/>
      <c r="R197" s="8" t="n"/>
      <c r="S197" s="8" t="n"/>
      <c r="T197" s="7" t="n"/>
      <c r="U197" s="8" t="n"/>
      <c r="V197" s="8" t="n"/>
      <c r="W197" s="7" t="n"/>
      <c r="X197" s="8" t="n"/>
      <c r="Y197" s="8" t="n"/>
      <c r="Z197" s="7" t="n"/>
      <c r="AA197" s="8" t="n"/>
      <c r="AB197" s="8" t="n"/>
      <c r="AC197" s="7" t="n"/>
      <c r="AD197" s="8" t="n"/>
      <c r="AE197" s="8" t="n"/>
      <c r="AF197" s="7" t="n"/>
      <c r="AG197" s="8" t="n"/>
      <c r="AH197" s="8" t="n"/>
      <c r="AI197" s="7" t="n"/>
      <c r="AJ197" s="8" t="n"/>
      <c r="AK197" s="8" t="n"/>
      <c r="AL197" s="15" t="n"/>
      <c r="AM197" s="16" t="n"/>
      <c r="AO197" s="44" t="n"/>
      <c r="AP197" s="44" t="n"/>
    </row>
    <row r="198" ht="15.5" customFormat="1" customHeight="1" s="1">
      <c r="A198" s="26" t="n"/>
      <c r="B198" s="7" t="n"/>
      <c r="C198" s="8" t="n"/>
      <c r="D198" s="8" t="n"/>
      <c r="E198" s="7" t="n"/>
      <c r="F198" s="8" t="n"/>
      <c r="G198" s="8" t="n"/>
      <c r="H198" s="7" t="n"/>
      <c r="I198" s="8" t="n"/>
      <c r="J198" s="8" t="n"/>
      <c r="K198" s="7" t="n"/>
      <c r="L198" s="8" t="n"/>
      <c r="M198" s="8" t="n"/>
      <c r="N198" s="7" t="n"/>
      <c r="O198" s="8" t="n"/>
      <c r="P198" s="8" t="n"/>
      <c r="Q198" s="7" t="n"/>
      <c r="R198" s="8" t="n"/>
      <c r="S198" s="8" t="n"/>
      <c r="T198" s="7" t="n"/>
      <c r="U198" s="8" t="n"/>
      <c r="V198" s="8" t="n"/>
      <c r="W198" s="7" t="n"/>
      <c r="X198" s="8" t="n"/>
      <c r="Y198" s="8" t="n"/>
      <c r="Z198" s="7" t="n"/>
      <c r="AA198" s="8" t="n"/>
      <c r="AB198" s="8" t="n"/>
      <c r="AC198" s="7" t="n"/>
      <c r="AD198" s="8" t="n"/>
      <c r="AE198" s="8" t="n"/>
      <c r="AF198" s="7" t="n"/>
      <c r="AG198" s="8" t="n"/>
      <c r="AH198" s="8" t="n"/>
      <c r="AI198" s="7" t="n"/>
      <c r="AJ198" s="8" t="n"/>
      <c r="AK198" s="8" t="n"/>
      <c r="AL198" s="15" t="n"/>
      <c r="AM198" s="16" t="n"/>
      <c r="AO198" s="44" t="n"/>
      <c r="AP198" s="44" t="n"/>
    </row>
    <row r="199" ht="15.5" customFormat="1" customHeight="1" s="44">
      <c r="A199" s="31" t="inlineStr">
        <is>
          <t>Vergi</t>
        </is>
      </c>
      <c r="B199" s="32">
        <f>'Bütçe aylık-Eur'!$B$125</f>
        <v/>
      </c>
      <c r="C199" s="32">
        <f>'gerç aylık-eur'!$B$124</f>
        <v/>
      </c>
      <c r="D199" s="18" t="n"/>
      <c r="E199" s="32">
        <f>'Bütçe aylık-Eur'!$C$125</f>
        <v/>
      </c>
      <c r="F199" s="32">
        <f>'gerç aylık-eur'!$C$124</f>
        <v/>
      </c>
      <c r="G199" s="18" t="n"/>
      <c r="H199" s="32">
        <f>'Bütçe aylık-Eur'!$D$125</f>
        <v/>
      </c>
      <c r="I199" s="32">
        <f>'gerç aylık-eur'!$D$124</f>
        <v/>
      </c>
      <c r="J199" s="18" t="n"/>
      <c r="K199" s="32">
        <f>'Bütçe aylık-Eur'!$E$125</f>
        <v/>
      </c>
      <c r="L199" s="32">
        <f>'gerç aylık-eur'!$E$124</f>
        <v/>
      </c>
      <c r="M199" s="18" t="n"/>
      <c r="N199" s="32">
        <f>'Bütçe aylık-Eur'!$F$125</f>
        <v/>
      </c>
      <c r="O199" s="32">
        <f>'gerç aylık-eur'!$F$124</f>
        <v/>
      </c>
      <c r="P199" s="18" t="n"/>
      <c r="Q199" s="32">
        <f>'Bütçe aylık-Eur'!$G$125</f>
        <v/>
      </c>
      <c r="R199" s="32">
        <f>'gerç aylık-eur'!$G$124</f>
        <v/>
      </c>
      <c r="S199" s="18" t="n"/>
      <c r="T199" s="32">
        <f>'Bütçe aylık-Eur'!$H$125</f>
        <v/>
      </c>
      <c r="U199" s="32">
        <f>'gerç aylık-eur'!$H$124</f>
        <v/>
      </c>
      <c r="V199" s="18" t="n"/>
      <c r="W199" s="32">
        <f>'Bütçe aylık-Eur'!$I$125</f>
        <v/>
      </c>
      <c r="X199" s="32">
        <f>'gerç aylık-eur'!$I$124</f>
        <v/>
      </c>
      <c r="Y199" s="18" t="n"/>
      <c r="Z199" s="32">
        <f>'Bütçe aylık-Eur'!$J$125</f>
        <v/>
      </c>
      <c r="AA199" s="32">
        <f>'gerç aylık-eur'!$J$124</f>
        <v/>
      </c>
      <c r="AB199" s="18" t="n"/>
      <c r="AC199" s="32">
        <f>'Bütçe aylık-Eur'!$K$125</f>
        <v/>
      </c>
      <c r="AD199" s="32">
        <f>'gerç aylık-eur'!$K$124</f>
        <v/>
      </c>
      <c r="AE199" s="18" t="n"/>
      <c r="AF199" s="32">
        <f>'Bütçe aylık-Eur'!$L$125</f>
        <v/>
      </c>
      <c r="AG199" s="32">
        <f>'gerç aylık-eur'!$L$124</f>
        <v/>
      </c>
      <c r="AH199" s="18" t="n"/>
      <c r="AI199" s="32">
        <f>'Bütçe aylık-Eur'!$M$125</f>
        <v/>
      </c>
      <c r="AJ199" s="32">
        <f>'gerç aylık-eur'!$M$124</f>
        <v/>
      </c>
      <c r="AK199" s="18" t="n"/>
      <c r="AL199" s="33">
        <f>AP199-AO199</f>
        <v/>
      </c>
      <c r="AM199" s="34">
        <f>AP199/AO199-1</f>
        <v/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/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/>
      </c>
    </row>
    <row r="200" ht="15.5" customFormat="1" customHeight="1" s="13">
      <c r="A200" s="27" t="n"/>
      <c r="B200" s="30" t="n"/>
      <c r="C200" s="30" t="n"/>
      <c r="D200" s="41" t="n"/>
      <c r="E200" s="30" t="n"/>
      <c r="F200" s="30" t="n"/>
      <c r="G200" s="41" t="n"/>
      <c r="H200" s="30" t="n"/>
      <c r="I200" s="30" t="n"/>
      <c r="J200" s="41" t="n"/>
      <c r="K200" s="30" t="n"/>
      <c r="L200" s="30" t="n"/>
      <c r="M200" s="41" t="n"/>
      <c r="N200" s="30" t="n"/>
      <c r="O200" s="30" t="n"/>
      <c r="P200" s="41" t="n"/>
      <c r="Q200" s="30" t="n"/>
      <c r="R200" s="30" t="n"/>
      <c r="S200" s="41" t="n"/>
      <c r="T200" s="30" t="n"/>
      <c r="U200" s="30" t="n"/>
      <c r="V200" s="41" t="n"/>
      <c r="W200" s="30" t="n"/>
      <c r="X200" s="30" t="n"/>
      <c r="Y200" s="41" t="n"/>
      <c r="Z200" s="30" t="n"/>
      <c r="AA200" s="30" t="n"/>
      <c r="AB200" s="41" t="n"/>
      <c r="AC200" s="30" t="n"/>
      <c r="AD200" s="30" t="n"/>
      <c r="AE200" s="41" t="n"/>
      <c r="AF200" s="30" t="n"/>
      <c r="AG200" s="30" t="n"/>
      <c r="AH200" s="41" t="n"/>
      <c r="AI200" s="30" t="n"/>
      <c r="AJ200" s="30" t="n"/>
      <c r="AK200" s="41" t="n"/>
      <c r="AL200" s="15" t="n"/>
      <c r="AM200" s="22" t="n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/>
      </c>
      <c r="AP200" s="44">
        <f>IF($A$1=$B$1,C200,IF($A$1=$E$1,F200,IF($A$1=$H$1,I200,IF($A$1=$K$1,L200,IF($A$1=$N$1,O200,IF($A$1=$Q$1,R200,IF($A$1=$T$1,U200,IF($A$1=$W$1,X200,IF($A$1=$Z$1,AA200,IF($A$1=$AC$1,AD200,IF($A$1=$AF$1,AG200,IF($A$1=$AI$1,AJ200))))))))))))</f>
        <v/>
      </c>
    </row>
    <row r="201" ht="17" customFormat="1" customHeight="1" s="49">
      <c r="A201" s="47" t="inlineStr">
        <is>
          <t>Vergi (100%)</t>
        </is>
      </c>
      <c r="B201" s="413" t="n"/>
      <c r="C201" s="413" t="n"/>
      <c r="D201" s="413" t="n"/>
      <c r="E201" s="413" t="n"/>
      <c r="F201" s="413" t="n"/>
      <c r="G201" s="413" t="n"/>
      <c r="H201" s="413" t="n"/>
      <c r="I201" s="413" t="n"/>
      <c r="J201" s="413" t="n"/>
      <c r="K201" s="413" t="n"/>
      <c r="L201" s="413" t="n"/>
      <c r="M201" s="413" t="n"/>
      <c r="N201" s="413" t="n"/>
      <c r="O201" s="413" t="n"/>
      <c r="P201" s="413" t="n"/>
      <c r="Q201" s="413" t="n"/>
      <c r="R201" s="413" t="n"/>
      <c r="S201" s="413" t="n"/>
      <c r="T201" s="413" t="n"/>
      <c r="U201" s="413" t="n"/>
      <c r="V201" s="413" t="n"/>
      <c r="W201" s="413" t="n"/>
      <c r="X201" s="413" t="n"/>
      <c r="Y201" s="413" t="n"/>
      <c r="Z201" s="413" t="n"/>
      <c r="AA201" s="413" t="n"/>
      <c r="AB201" s="413" t="n"/>
      <c r="AC201" s="413" t="n"/>
      <c r="AD201" s="413" t="n"/>
      <c r="AE201" s="413" t="n"/>
      <c r="AF201" s="413" t="n"/>
      <c r="AG201" s="413" t="n"/>
      <c r="AH201" s="413" t="n"/>
      <c r="AI201" s="413" t="n"/>
      <c r="AJ201" s="413" t="n"/>
      <c r="AK201" s="413" t="n"/>
      <c r="AL201" s="413" t="n"/>
      <c r="AM201" s="48" t="n"/>
    </row>
    <row r="202" ht="15.5" customHeight="1">
      <c r="A202" s="26" t="inlineStr">
        <is>
          <t xml:space="preserve">İnci Holding </t>
        </is>
      </c>
      <c r="B202" s="7">
        <f>'Bütçe aylık-Eur'!$B$126</f>
        <v/>
      </c>
      <c r="C202" s="7">
        <f>'gerç aylık-eur'!$B$125</f>
        <v/>
      </c>
      <c r="D202" s="7" t="n"/>
      <c r="E202" s="7">
        <f>'Bütçe aylık-Eur'!$C$126</f>
        <v/>
      </c>
      <c r="F202" s="7">
        <f>'gerç aylık-eur'!$C$125</f>
        <v/>
      </c>
      <c r="G202" s="7" t="n"/>
      <c r="H202" s="7">
        <f>'Bütçe aylık-Eur'!$D$126</f>
        <v/>
      </c>
      <c r="I202" s="7">
        <f>'gerç aylık-eur'!$D$125</f>
        <v/>
      </c>
      <c r="J202" s="7" t="n"/>
      <c r="K202" s="7">
        <f>'Bütçe aylık-Eur'!$E$126</f>
        <v/>
      </c>
      <c r="L202" s="7">
        <f>'gerç aylık-eur'!$E$125</f>
        <v/>
      </c>
      <c r="M202" s="7" t="n"/>
      <c r="N202" s="7">
        <f>'Bütçe aylık-Eur'!$F$126</f>
        <v/>
      </c>
      <c r="O202" s="7">
        <f>'gerç aylık-eur'!$F$125</f>
        <v/>
      </c>
      <c r="P202" s="7" t="n"/>
      <c r="Q202" s="7">
        <f>'Bütçe aylık-Eur'!$G$126</f>
        <v/>
      </c>
      <c r="R202" s="7">
        <f>'gerç aylık-eur'!$G$125</f>
        <v/>
      </c>
      <c r="S202" s="7" t="n"/>
      <c r="T202" s="7">
        <f>'Bütçe aylık-Eur'!$H$126</f>
        <v/>
      </c>
      <c r="U202" s="7">
        <f>'gerç aylık-eur'!$H$125</f>
        <v/>
      </c>
      <c r="V202" s="7" t="n"/>
      <c r="W202" s="7">
        <f>'Bütçe aylık-Eur'!$I$126</f>
        <v/>
      </c>
      <c r="X202" s="7">
        <f>'gerç aylık-eur'!$I$125</f>
        <v/>
      </c>
      <c r="Y202" s="7" t="n"/>
      <c r="Z202" s="7">
        <f>'Bütçe aylık-Eur'!$J$126</f>
        <v/>
      </c>
      <c r="AA202" s="7">
        <f>'gerç aylık-eur'!$J$125</f>
        <v/>
      </c>
      <c r="AB202" s="7" t="n"/>
      <c r="AC202" s="7">
        <f>'Bütçe aylık-Eur'!$K$126</f>
        <v/>
      </c>
      <c r="AD202" s="7">
        <f>'gerç aylık-eur'!$K$125</f>
        <v/>
      </c>
      <c r="AE202" s="7" t="n"/>
      <c r="AF202" s="7">
        <f>'Bütçe aylık-Eur'!$L$126</f>
        <v/>
      </c>
      <c r="AG202" s="7">
        <f>'gerç aylık-eur'!$L$125</f>
        <v/>
      </c>
      <c r="AH202" s="7" t="n"/>
      <c r="AI202" s="7">
        <f>'Bütçe aylık-Eur'!$M$126</f>
        <v/>
      </c>
      <c r="AJ202" s="7">
        <f>'gerç aylık-eur'!$M$125</f>
        <v/>
      </c>
      <c r="AK202" s="7" t="n"/>
      <c r="AL202" s="21">
        <f>AP202-AO202</f>
        <v/>
      </c>
      <c r="AM202" s="22">
        <f>AP202/AO202-1</f>
        <v/>
      </c>
      <c r="AO202" s="44">
        <f>IF($A$1=$B$1,B202,IF($A$1=$E$1,E202,IF($A$1=$H$1,H202,IF($A$1=$K$1,K202,IF($A$1=$N$1,N202,IF($A$1=$Q$1,Q202,IF($A$1=$T$1,T202,IF($A$1=$W$1,W202,IF($A$1=$Z$1,Z202,IF($A$1=$AC$1,AC202,IF($A$1=$AF$1,AF202,IF($A$1=$AI$1,AI202))))))))))))</f>
        <v/>
      </c>
      <c r="AP202" s="44">
        <f>IF($A$1=$B$1,C202,IF($A$1=$E$1,F202,IF($A$1=$H$1,I202,IF($A$1=$K$1,L202,IF($A$1=$N$1,O202,IF($A$1=$Q$1,R202,IF($A$1=$T$1,U202,IF($A$1=$W$1,X202,IF($A$1=$Z$1,AA202,IF($A$1=$AC$1,AD202,IF($A$1=$AF$1,AG202,IF($A$1=$AI$1,AJ202))))))))))))</f>
        <v/>
      </c>
    </row>
    <row r="203" ht="15.5" customHeight="1">
      <c r="A203" s="26" t="inlineStr">
        <is>
          <t xml:space="preserve">ISM </t>
        </is>
      </c>
      <c r="B203" s="7">
        <f>'Bütçe aylık-Eur'!$B$127</f>
        <v/>
      </c>
      <c r="C203" s="7">
        <f>'gerç aylık-eur'!$B$126</f>
        <v/>
      </c>
      <c r="D203" s="7" t="n"/>
      <c r="E203" s="7">
        <f>'Bütçe aylık-Eur'!$C$127</f>
        <v/>
      </c>
      <c r="F203" s="7">
        <f>'gerç aylık-eur'!$C$126</f>
        <v/>
      </c>
      <c r="G203" s="7" t="n"/>
      <c r="H203" s="7">
        <f>'Bütçe aylık-Eur'!$D$127</f>
        <v/>
      </c>
      <c r="I203" s="7">
        <f>'gerç aylık-eur'!$D$126</f>
        <v/>
      </c>
      <c r="J203" s="7" t="n"/>
      <c r="K203" s="7">
        <f>'Bütçe aylık-Eur'!$E$127</f>
        <v/>
      </c>
      <c r="L203" s="7">
        <f>'gerç aylık-eur'!$E$126</f>
        <v/>
      </c>
      <c r="M203" s="7" t="n"/>
      <c r="N203" s="7">
        <f>'Bütçe aylık-Eur'!$F$127</f>
        <v/>
      </c>
      <c r="O203" s="7">
        <f>'gerç aylık-eur'!$F$126</f>
        <v/>
      </c>
      <c r="P203" s="7" t="n"/>
      <c r="Q203" s="7">
        <f>'Bütçe aylık-Eur'!$G$127</f>
        <v/>
      </c>
      <c r="R203" s="7">
        <f>'gerç aylık-eur'!$G$126</f>
        <v/>
      </c>
      <c r="S203" s="7" t="n"/>
      <c r="T203" s="7">
        <f>'Bütçe aylık-Eur'!$H$127</f>
        <v/>
      </c>
      <c r="U203" s="7">
        <f>'gerç aylık-eur'!$H$126</f>
        <v/>
      </c>
      <c r="V203" s="7" t="n"/>
      <c r="W203" s="7">
        <f>'Bütçe aylık-Eur'!$I$127</f>
        <v/>
      </c>
      <c r="X203" s="7">
        <f>'gerç aylık-eur'!$I$126</f>
        <v/>
      </c>
      <c r="Y203" s="7" t="n"/>
      <c r="Z203" s="7">
        <f>'Bütçe aylık-Eur'!$J$127</f>
        <v/>
      </c>
      <c r="AA203" s="7">
        <f>'gerç aylık-eur'!$J$126</f>
        <v/>
      </c>
      <c r="AB203" s="7" t="n"/>
      <c r="AC203" s="7">
        <f>'Bütçe aylık-Eur'!$K$127</f>
        <v/>
      </c>
      <c r="AD203" s="7">
        <f>'gerç aylık-eur'!$K$126</f>
        <v/>
      </c>
      <c r="AE203" s="7" t="n"/>
      <c r="AF203" s="7">
        <f>'Bütçe aylık-Eur'!$L$127</f>
        <v/>
      </c>
      <c r="AG203" s="7">
        <f>'gerç aylık-eur'!$L$126</f>
        <v/>
      </c>
      <c r="AH203" s="7" t="n"/>
      <c r="AI203" s="7">
        <f>'Bütçe aylık-Eur'!$M$127</f>
        <v/>
      </c>
      <c r="AJ203" s="7">
        <f>'gerç aylık-eur'!$M$126</f>
        <v/>
      </c>
      <c r="AK203" s="7" t="n"/>
      <c r="AL203" s="21">
        <f>AP203-AO203</f>
        <v/>
      </c>
      <c r="AM203" s="22">
        <f>AP203/AO203-1</f>
        <v/>
      </c>
      <c r="AO203" s="44">
        <f>IF($A$1=$B$1,B203,IF($A$1=$E$1,E203,IF($A$1=$H$1,H203,IF($A$1=$K$1,K203,IF($A$1=$N$1,N203,IF($A$1=$Q$1,Q203,IF($A$1=$T$1,T203,IF($A$1=$W$1,W203,IF($A$1=$Z$1,Z203,IF($A$1=$AC$1,AC203,IF($A$1=$AF$1,AF203,IF($A$1=$AI$1,AI203))))))))))))</f>
        <v/>
      </c>
      <c r="AP203" s="44">
        <f>IF($A$1=$B$1,C203,IF($A$1=$E$1,F203,IF($A$1=$H$1,I203,IF($A$1=$K$1,L203,IF($A$1=$N$1,O203,IF($A$1=$Q$1,R203,IF($A$1=$T$1,U203,IF($A$1=$W$1,X203,IF($A$1=$Z$1,AA203,IF($A$1=$AC$1,AD203,IF($A$1=$AF$1,AG203,IF($A$1=$AI$1,AJ203))))))))))))</f>
        <v/>
      </c>
    </row>
    <row r="204" ht="15.5" customHeight="1">
      <c r="A204" s="26" t="inlineStr">
        <is>
          <t>İncitaş</t>
        </is>
      </c>
      <c r="B204" s="7">
        <f>'Bütçe aylık-Eur'!$B$128</f>
        <v/>
      </c>
      <c r="C204" s="7">
        <f>'gerç aylık-eur'!$B$127</f>
        <v/>
      </c>
      <c r="D204" s="7" t="n"/>
      <c r="E204" s="7">
        <f>'Bütçe aylık-Eur'!$C$128</f>
        <v/>
      </c>
      <c r="F204" s="7">
        <f>'gerç aylık-eur'!$C$127</f>
        <v/>
      </c>
      <c r="G204" s="7" t="n"/>
      <c r="H204" s="7">
        <f>'Bütçe aylık-Eur'!$D$128</f>
        <v/>
      </c>
      <c r="I204" s="7">
        <f>'gerç aylık-eur'!$D$127</f>
        <v/>
      </c>
      <c r="J204" s="7" t="n"/>
      <c r="K204" s="7">
        <f>'Bütçe aylık-Eur'!$E$128</f>
        <v/>
      </c>
      <c r="L204" s="7">
        <f>'gerç aylık-eur'!$E$127</f>
        <v/>
      </c>
      <c r="M204" s="7" t="n"/>
      <c r="N204" s="7">
        <f>'Bütçe aylık-Eur'!$F$128</f>
        <v/>
      </c>
      <c r="O204" s="7">
        <f>'gerç aylık-eur'!$F$127</f>
        <v/>
      </c>
      <c r="P204" s="7" t="n"/>
      <c r="Q204" s="7">
        <f>'Bütçe aylık-Eur'!$G$128</f>
        <v/>
      </c>
      <c r="R204" s="7">
        <f>'gerç aylık-eur'!$G$127</f>
        <v/>
      </c>
      <c r="S204" s="7" t="n"/>
      <c r="T204" s="7">
        <f>'Bütçe aylık-Eur'!$H$128</f>
        <v/>
      </c>
      <c r="U204" s="7">
        <f>'gerç aylık-eur'!$H$127</f>
        <v/>
      </c>
      <c r="V204" s="7" t="n"/>
      <c r="W204" s="7">
        <f>'Bütçe aylık-Eur'!$I$128</f>
        <v/>
      </c>
      <c r="X204" s="7">
        <f>'gerç aylık-eur'!$I$127</f>
        <v/>
      </c>
      <c r="Y204" s="7" t="n"/>
      <c r="Z204" s="7">
        <f>'Bütçe aylık-Eur'!$J$128</f>
        <v/>
      </c>
      <c r="AA204" s="7">
        <f>'gerç aylık-eur'!$J$127</f>
        <v/>
      </c>
      <c r="AB204" s="7" t="n"/>
      <c r="AC204" s="7">
        <f>'Bütçe aylık-Eur'!$K$128</f>
        <v/>
      </c>
      <c r="AD204" s="7">
        <f>'gerç aylık-eur'!$K$127</f>
        <v/>
      </c>
      <c r="AE204" s="7" t="n"/>
      <c r="AF204" s="7">
        <f>'Bütçe aylık-Eur'!$L$128</f>
        <v/>
      </c>
      <c r="AG204" s="7">
        <f>'gerç aylık-eur'!$L$127</f>
        <v/>
      </c>
      <c r="AH204" s="7" t="n"/>
      <c r="AI204" s="7">
        <f>'Bütçe aylık-Eur'!$M$128</f>
        <v/>
      </c>
      <c r="AJ204" s="7">
        <f>'gerç aylık-eur'!$M$127</f>
        <v/>
      </c>
      <c r="AK204" s="7" t="n"/>
      <c r="AL204" s="21">
        <f>AP204-AO204</f>
        <v/>
      </c>
      <c r="AM204" s="22">
        <f>AP204/AO204-1</f>
        <v/>
      </c>
      <c r="AO204" s="44">
        <f>IF($A$1=$B$1,B204,IF($A$1=$E$1,E204,IF($A$1=$H$1,H204,IF($A$1=$K$1,K204,IF($A$1=$N$1,N204,IF($A$1=$Q$1,Q204,IF($A$1=$T$1,T204,IF($A$1=$W$1,W204,IF($A$1=$Z$1,Z204,IF($A$1=$AC$1,AC204,IF($A$1=$AF$1,AF204,IF($A$1=$AI$1,AI204))))))))))))</f>
        <v/>
      </c>
      <c r="AP204" s="44">
        <f>IF($A$1=$B$1,C204,IF($A$1=$E$1,F204,IF($A$1=$H$1,I204,IF($A$1=$K$1,L204,IF($A$1=$N$1,O204,IF($A$1=$Q$1,R204,IF($A$1=$T$1,U204,IF($A$1=$W$1,X204,IF($A$1=$Z$1,AA204,IF($A$1=$AC$1,AD204,IF($A$1=$AF$1,AG204,IF($A$1=$AI$1,AJ204))))))))))))</f>
        <v/>
      </c>
    </row>
    <row r="205" ht="15.5" customHeight="1">
      <c r="A205" s="26" t="inlineStr">
        <is>
          <t>İnci GS Yuasa</t>
        </is>
      </c>
      <c r="B205" s="7">
        <f>'Bütçe aylık-Eur'!$B$129</f>
        <v/>
      </c>
      <c r="C205" s="7">
        <f>'gerç aylık-eur'!$B$128</f>
        <v/>
      </c>
      <c r="D205" s="7" t="n"/>
      <c r="E205" s="7">
        <f>'Bütçe aylık-Eur'!$C$129</f>
        <v/>
      </c>
      <c r="F205" s="7">
        <f>'gerç aylık-eur'!$C$128</f>
        <v/>
      </c>
      <c r="G205" s="7" t="n"/>
      <c r="H205" s="7">
        <f>'Bütçe aylık-Eur'!$D$129</f>
        <v/>
      </c>
      <c r="I205" s="7">
        <f>'gerç aylık-eur'!$D$128</f>
        <v/>
      </c>
      <c r="J205" s="7" t="n"/>
      <c r="K205" s="7">
        <f>'Bütçe aylık-Eur'!$E$129</f>
        <v/>
      </c>
      <c r="L205" s="7">
        <f>'gerç aylık-eur'!$E$128</f>
        <v/>
      </c>
      <c r="M205" s="7" t="n"/>
      <c r="N205" s="7">
        <f>'Bütçe aylık-Eur'!$F$129</f>
        <v/>
      </c>
      <c r="O205" s="7">
        <f>'gerç aylık-eur'!$F$128</f>
        <v/>
      </c>
      <c r="P205" s="7" t="n"/>
      <c r="Q205" s="7">
        <f>'Bütçe aylık-Eur'!$G$129</f>
        <v/>
      </c>
      <c r="R205" s="7">
        <f>'gerç aylık-eur'!$G$128</f>
        <v/>
      </c>
      <c r="S205" s="7" t="n"/>
      <c r="T205" s="7">
        <f>'Bütçe aylık-Eur'!$H$129</f>
        <v/>
      </c>
      <c r="U205" s="7">
        <f>'gerç aylık-eur'!$H$128</f>
        <v/>
      </c>
      <c r="V205" s="7" t="n"/>
      <c r="W205" s="7">
        <f>'Bütçe aylık-Eur'!$I$129</f>
        <v/>
      </c>
      <c r="X205" s="7">
        <f>'gerç aylık-eur'!$I$128</f>
        <v/>
      </c>
      <c r="Y205" s="7" t="n"/>
      <c r="Z205" s="7">
        <f>'Bütçe aylık-Eur'!$J$129</f>
        <v/>
      </c>
      <c r="AA205" s="7">
        <f>'gerç aylık-eur'!$J$128</f>
        <v/>
      </c>
      <c r="AB205" s="7" t="n"/>
      <c r="AC205" s="7">
        <f>'Bütçe aylık-Eur'!$K$129</f>
        <v/>
      </c>
      <c r="AD205" s="7">
        <f>'gerç aylık-eur'!$K$128</f>
        <v/>
      </c>
      <c r="AE205" s="7" t="n"/>
      <c r="AF205" s="7">
        <f>'Bütçe aylık-Eur'!$L$129</f>
        <v/>
      </c>
      <c r="AG205" s="7">
        <f>'gerç aylık-eur'!$L$128</f>
        <v/>
      </c>
      <c r="AH205" s="7" t="n"/>
      <c r="AI205" s="7">
        <f>'Bütçe aylık-Eur'!$M$129</f>
        <v/>
      </c>
      <c r="AJ205" s="7">
        <f>'gerç aylık-eur'!$M$128</f>
        <v/>
      </c>
      <c r="AK205" s="7" t="n"/>
      <c r="AL205" s="21">
        <f>AP205-AO205</f>
        <v/>
      </c>
      <c r="AM205" s="22">
        <f>AP205/AO205-1</f>
        <v/>
      </c>
      <c r="AO205" s="44">
        <f>IF($A$1=$B$1,B205,IF($A$1=$E$1,E205,IF($A$1=$H$1,H205,IF($A$1=$K$1,K205,IF($A$1=$N$1,N205,IF($A$1=$Q$1,Q205,IF($A$1=$T$1,T205,IF($A$1=$W$1,W205,IF($A$1=$Z$1,Z205,IF($A$1=$AC$1,AC205,IF($A$1=$AF$1,AF205,IF($A$1=$AI$1,AI205))))))))))))</f>
        <v/>
      </c>
      <c r="AP205" s="44">
        <f>IF($A$1=$B$1,C205,IF($A$1=$E$1,F205,IF($A$1=$H$1,I205,IF($A$1=$K$1,L205,IF($A$1=$N$1,O205,IF($A$1=$Q$1,R205,IF($A$1=$T$1,U205,IF($A$1=$W$1,X205,IF($A$1=$Z$1,AA205,IF($A$1=$AC$1,AD205,IF($A$1=$AF$1,AG205,IF($A$1=$AI$1,AJ205))))))))))))</f>
        <v/>
      </c>
    </row>
    <row r="206" ht="15.5" customFormat="1" customHeight="1" s="1">
      <c r="A206" s="26" t="inlineStr">
        <is>
          <t>Yusen İnci Loj.</t>
        </is>
      </c>
      <c r="B206" s="7">
        <f>'Bütçe aylık-Eur'!$B$130</f>
        <v/>
      </c>
      <c r="C206" s="7">
        <f>'gerç aylık-eur'!$B$129</f>
        <v/>
      </c>
      <c r="D206" s="8" t="n"/>
      <c r="E206" s="7">
        <f>'Bütçe aylık-Eur'!$C$130</f>
        <v/>
      </c>
      <c r="F206" s="7">
        <f>'gerç aylık-eur'!$C$129</f>
        <v/>
      </c>
      <c r="G206" s="8" t="n"/>
      <c r="H206" s="7">
        <f>'Bütçe aylık-Eur'!$D$130</f>
        <v/>
      </c>
      <c r="I206" s="7">
        <f>'gerç aylık-eur'!$D$129</f>
        <v/>
      </c>
      <c r="J206" s="8" t="n"/>
      <c r="K206" s="7">
        <f>'Bütçe aylık-Eur'!$E$130</f>
        <v/>
      </c>
      <c r="L206" s="7">
        <f>'gerç aylık-eur'!$E$129</f>
        <v/>
      </c>
      <c r="M206" s="8" t="n"/>
      <c r="N206" s="7">
        <f>'Bütçe aylık-Eur'!$F$130</f>
        <v/>
      </c>
      <c r="O206" s="7">
        <f>'gerç aylık-eur'!$F$129</f>
        <v/>
      </c>
      <c r="P206" s="8" t="n"/>
      <c r="Q206" s="7">
        <f>'Bütçe aylık-Eur'!$G$130</f>
        <v/>
      </c>
      <c r="R206" s="7">
        <f>'gerç aylık-eur'!$G$129</f>
        <v/>
      </c>
      <c r="S206" s="8" t="n"/>
      <c r="T206" s="7">
        <f>'Bütçe aylık-Eur'!$H$130</f>
        <v/>
      </c>
      <c r="U206" s="7">
        <f>'gerç aylık-eur'!$H$129</f>
        <v/>
      </c>
      <c r="V206" s="8" t="n"/>
      <c r="W206" s="7">
        <f>'Bütçe aylık-Eur'!$I$130</f>
        <v/>
      </c>
      <c r="X206" s="7">
        <f>'gerç aylık-eur'!$I$129</f>
        <v/>
      </c>
      <c r="Y206" s="8" t="n"/>
      <c r="Z206" s="7">
        <f>'Bütçe aylık-Eur'!$J$130</f>
        <v/>
      </c>
      <c r="AA206" s="7">
        <f>'gerç aylık-eur'!$J$129</f>
        <v/>
      </c>
      <c r="AB206" s="8" t="n"/>
      <c r="AC206" s="7">
        <f>'Bütçe aylık-Eur'!$K$130</f>
        <v/>
      </c>
      <c r="AD206" s="7">
        <f>'gerç aylık-eur'!$K$129</f>
        <v/>
      </c>
      <c r="AE206" s="8" t="n"/>
      <c r="AF206" s="7">
        <f>'Bütçe aylık-Eur'!$L$130</f>
        <v/>
      </c>
      <c r="AG206" s="7">
        <f>'gerç aylık-eur'!$L$129</f>
        <v/>
      </c>
      <c r="AH206" s="8" t="n"/>
      <c r="AI206" s="7">
        <f>'Bütçe aylık-Eur'!$M$130</f>
        <v/>
      </c>
      <c r="AJ206" s="7">
        <f>'gerç aylık-eur'!$M$129</f>
        <v/>
      </c>
      <c r="AK206" s="8" t="n"/>
      <c r="AL206" s="21">
        <f>AP206-AO206</f>
        <v/>
      </c>
      <c r="AM206" s="22">
        <f>AP206/AO206-1</f>
        <v/>
      </c>
      <c r="AO206" s="44">
        <f>IF($A$1=$B$1,B206,IF($A$1=$E$1,E206,IF($A$1=$H$1,H206,IF($A$1=$K$1,K206,IF($A$1=$N$1,N206,IF($A$1=$Q$1,Q206,IF($A$1=$T$1,T206,IF($A$1=$W$1,W206,IF($A$1=$Z$1,Z206,IF($A$1=$AC$1,AC206,IF($A$1=$AF$1,AF206,IF($A$1=$AI$1,AI206))))))))))))</f>
        <v/>
      </c>
      <c r="AP206" s="44">
        <f>IF($A$1=$B$1,C206,IF($A$1=$E$1,F206,IF($A$1=$H$1,I206,IF($A$1=$K$1,L206,IF($A$1=$N$1,O206,IF($A$1=$Q$1,R206,IF($A$1=$T$1,U206,IF($A$1=$W$1,X206,IF($A$1=$Z$1,AA206,IF($A$1=$AC$1,AD206,IF($A$1=$AF$1,AG206,IF($A$1=$AI$1,AJ206))))))))))))</f>
        <v/>
      </c>
    </row>
    <row r="207" ht="15.5" customHeight="1">
      <c r="A207" s="26" t="inlineStr">
        <is>
          <t>Jantaş</t>
        </is>
      </c>
      <c r="B207" s="7">
        <f>'Bütçe aylık-Eur'!$B$131</f>
        <v/>
      </c>
      <c r="C207" s="7">
        <f>'gerç aylık-eur'!$B$130</f>
        <v/>
      </c>
      <c r="D207" s="7" t="n"/>
      <c r="E207" s="7">
        <f>'Bütçe aylık-Eur'!$C$131</f>
        <v/>
      </c>
      <c r="F207" s="7">
        <f>'gerç aylık-eur'!$C$130</f>
        <v/>
      </c>
      <c r="G207" s="7" t="n"/>
      <c r="H207" s="7">
        <f>'Bütçe aylık-Eur'!$D$131</f>
        <v/>
      </c>
      <c r="I207" s="7">
        <f>'gerç aylık-eur'!$D$130</f>
        <v/>
      </c>
      <c r="J207" s="7" t="n"/>
      <c r="K207" s="7">
        <f>'Bütçe aylık-Eur'!$E$131</f>
        <v/>
      </c>
      <c r="L207" s="7">
        <f>'gerç aylık-eur'!$E$130</f>
        <v/>
      </c>
      <c r="M207" s="7" t="n"/>
      <c r="N207" s="7">
        <f>'Bütçe aylık-Eur'!$F$131</f>
        <v/>
      </c>
      <c r="O207" s="7">
        <f>'gerç aylık-eur'!$F$130</f>
        <v/>
      </c>
      <c r="P207" s="7" t="n"/>
      <c r="Q207" s="7">
        <f>'Bütçe aylık-Eur'!$G$131</f>
        <v/>
      </c>
      <c r="R207" s="7">
        <f>'gerç aylık-eur'!$G$130</f>
        <v/>
      </c>
      <c r="S207" s="7" t="n"/>
      <c r="T207" s="7">
        <f>'Bütçe aylık-Eur'!$H$131</f>
        <v/>
      </c>
      <c r="U207" s="7">
        <f>'gerç aylık-eur'!$H$130</f>
        <v/>
      </c>
      <c r="V207" s="7" t="n"/>
      <c r="W207" s="7">
        <f>'Bütçe aylık-Eur'!$I$131</f>
        <v/>
      </c>
      <c r="X207" s="7">
        <f>'gerç aylık-eur'!$I$130</f>
        <v/>
      </c>
      <c r="Y207" s="7" t="n"/>
      <c r="Z207" s="7">
        <f>'Bütçe aylık-Eur'!$J$131</f>
        <v/>
      </c>
      <c r="AA207" s="7">
        <f>'gerç aylık-eur'!$J$130</f>
        <v/>
      </c>
      <c r="AB207" s="7" t="n"/>
      <c r="AC207" s="7">
        <f>'Bütçe aylık-Eur'!$K$131</f>
        <v/>
      </c>
      <c r="AD207" s="7">
        <f>'gerç aylık-eur'!$K$130</f>
        <v/>
      </c>
      <c r="AE207" s="7" t="n"/>
      <c r="AF207" s="7">
        <f>'Bütçe aylık-Eur'!$L$131</f>
        <v/>
      </c>
      <c r="AG207" s="7">
        <f>'gerç aylık-eur'!$L$130</f>
        <v/>
      </c>
      <c r="AH207" s="7" t="n"/>
      <c r="AI207" s="7">
        <f>'Bütçe aylık-Eur'!$M$131</f>
        <v/>
      </c>
      <c r="AJ207" s="7">
        <f>'gerç aylık-eur'!$M$130</f>
        <v/>
      </c>
      <c r="AK207" s="7" t="n"/>
      <c r="AL207" s="21">
        <f>AP207-AO207</f>
        <v/>
      </c>
      <c r="AM207" s="22">
        <f>AP207/AO207-1</f>
        <v/>
      </c>
      <c r="AO207" s="44">
        <f>IF($A$1=$B$1,B207,IF($A$1=$E$1,E207,IF($A$1=$H$1,H207,IF($A$1=$K$1,K207,IF($A$1=$N$1,N207,IF($A$1=$Q$1,Q207,IF($A$1=$T$1,T207,IF($A$1=$W$1,W207,IF($A$1=$Z$1,Z207,IF($A$1=$AC$1,AC207,IF($A$1=$AF$1,AF207,IF($A$1=$AI$1,AI207))))))))))))</f>
        <v/>
      </c>
      <c r="AP207" s="44">
        <f>IF($A$1=$B$1,C207,IF($A$1=$E$1,F207,IF($A$1=$H$1,I207,IF($A$1=$K$1,L207,IF($A$1=$N$1,O207,IF($A$1=$Q$1,R207,IF($A$1=$T$1,U207,IF($A$1=$W$1,X207,IF($A$1=$Z$1,AA207,IF($A$1=$AC$1,AD207,IF($A$1=$AF$1,AG207,IF($A$1=$AI$1,AJ207))))))))))))</f>
        <v/>
      </c>
    </row>
    <row r="208" ht="15.5" customFormat="1" customHeight="1" s="1">
      <c r="A208" s="26" t="inlineStr">
        <is>
          <t>Çelik</t>
        </is>
      </c>
      <c r="B208" s="7">
        <f>'Bütçe aylık-Eur'!$B$132</f>
        <v/>
      </c>
      <c r="C208" s="7">
        <f>'gerç aylık-eur'!$B$131</f>
        <v/>
      </c>
      <c r="D208" s="8" t="n"/>
      <c r="E208" s="7">
        <f>'Bütçe aylık-Eur'!$C$132</f>
        <v/>
      </c>
      <c r="F208" s="7">
        <f>'gerç aylık-eur'!$C$131</f>
        <v/>
      </c>
      <c r="G208" s="8" t="n"/>
      <c r="H208" s="7">
        <f>'Bütçe aylık-Eur'!$D$132</f>
        <v/>
      </c>
      <c r="I208" s="7">
        <f>'gerç aylık-eur'!$D$131</f>
        <v/>
      </c>
      <c r="J208" s="8" t="n"/>
      <c r="K208" s="7">
        <f>'Bütçe aylık-Eur'!$E$132</f>
        <v/>
      </c>
      <c r="L208" s="7">
        <f>'gerç aylık-eur'!$E$131</f>
        <v/>
      </c>
      <c r="M208" s="8" t="n"/>
      <c r="N208" s="7">
        <f>'Bütçe aylık-Eur'!$F$132</f>
        <v/>
      </c>
      <c r="O208" s="7">
        <f>'gerç aylık-eur'!$F$131</f>
        <v/>
      </c>
      <c r="P208" s="8" t="n"/>
      <c r="Q208" s="7">
        <f>'Bütçe aylık-Eur'!$G$132</f>
        <v/>
      </c>
      <c r="R208" s="7">
        <f>'gerç aylık-eur'!$G$131</f>
        <v/>
      </c>
      <c r="S208" s="8" t="n"/>
      <c r="T208" s="7">
        <f>'Bütçe aylık-Eur'!$H$132</f>
        <v/>
      </c>
      <c r="U208" s="7">
        <f>'gerç aylık-eur'!$H$131</f>
        <v/>
      </c>
      <c r="V208" s="8" t="n"/>
      <c r="W208" s="7">
        <f>'Bütçe aylık-Eur'!$I$132</f>
        <v/>
      </c>
      <c r="X208" s="7">
        <f>'gerç aylık-eur'!$I$131</f>
        <v/>
      </c>
      <c r="Y208" s="8" t="n"/>
      <c r="Z208" s="7">
        <f>'Bütçe aylık-Eur'!$J$132</f>
        <v/>
      </c>
      <c r="AA208" s="7">
        <f>'gerç aylık-eur'!$J$131</f>
        <v/>
      </c>
      <c r="AB208" s="8" t="n"/>
      <c r="AC208" s="7">
        <f>'Bütçe aylık-Eur'!$K$132</f>
        <v/>
      </c>
      <c r="AD208" s="7">
        <f>'gerç aylık-eur'!$K$131</f>
        <v/>
      </c>
      <c r="AE208" s="8" t="n"/>
      <c r="AF208" s="7">
        <f>'Bütçe aylık-Eur'!$L$132</f>
        <v/>
      </c>
      <c r="AG208" s="7">
        <f>'gerç aylık-eur'!$L$131</f>
        <v/>
      </c>
      <c r="AH208" s="8" t="n"/>
      <c r="AI208" s="7">
        <f>'Bütçe aylık-Eur'!$M$132</f>
        <v/>
      </c>
      <c r="AJ208" s="7">
        <f>'gerç aylık-eur'!$M$131</f>
        <v/>
      </c>
      <c r="AK208" s="8" t="n"/>
      <c r="AL208" s="21">
        <f>AP208-AO208</f>
        <v/>
      </c>
      <c r="AM208" s="22">
        <f>AP208/AO208-1</f>
        <v/>
      </c>
      <c r="AO208" s="44">
        <f>IF($A$1=$B$1,B208,IF($A$1=$E$1,E208,IF($A$1=$H$1,H208,IF($A$1=$K$1,K208,IF($A$1=$N$1,N208,IF($A$1=$Q$1,Q208,IF($A$1=$T$1,T208,IF($A$1=$W$1,W208,IF($A$1=$Z$1,Z208,IF($A$1=$AC$1,AC208,IF($A$1=$AF$1,AF208,IF($A$1=$AI$1,AI208))))))))))))</f>
        <v/>
      </c>
      <c r="AP208" s="44">
        <f>IF($A$1=$B$1,C208,IF($A$1=$E$1,F208,IF($A$1=$H$1,I208,IF($A$1=$K$1,L208,IF($A$1=$N$1,O208,IF($A$1=$Q$1,R208,IF($A$1=$T$1,U208,IF($A$1=$W$1,X208,IF($A$1=$Z$1,AA208,IF($A$1=$AC$1,AD208,IF($A$1=$AF$1,AG208,IF($A$1=$AI$1,AJ208))))))))))))</f>
        <v/>
      </c>
    </row>
    <row r="209" ht="15.5" customFormat="1" customHeight="1" s="1">
      <c r="A209" s="26" t="inlineStr">
        <is>
          <t>Alüminyum</t>
        </is>
      </c>
      <c r="B209" s="7">
        <f>'Bütçe aylık-Eur'!$B$133</f>
        <v/>
      </c>
      <c r="C209" s="7">
        <f>'gerç aylık-eur'!$B$132</f>
        <v/>
      </c>
      <c r="D209" s="8" t="n"/>
      <c r="E209" s="7">
        <f>'Bütçe aylık-Eur'!$C$133</f>
        <v/>
      </c>
      <c r="F209" s="7">
        <f>'gerç aylık-eur'!$C$132</f>
        <v/>
      </c>
      <c r="G209" s="8" t="n"/>
      <c r="H209" s="7">
        <f>'Bütçe aylık-Eur'!$D$133</f>
        <v/>
      </c>
      <c r="I209" s="7">
        <f>'gerç aylık-eur'!$D$132</f>
        <v/>
      </c>
      <c r="J209" s="8" t="n"/>
      <c r="K209" s="7">
        <f>'Bütçe aylık-Eur'!$E$133</f>
        <v/>
      </c>
      <c r="L209" s="7">
        <f>'gerç aylık-eur'!$E$132</f>
        <v/>
      </c>
      <c r="M209" s="8" t="n"/>
      <c r="N209" s="7">
        <f>'Bütçe aylık-Eur'!$F$133</f>
        <v/>
      </c>
      <c r="O209" s="7">
        <f>'gerç aylık-eur'!$F$132</f>
        <v/>
      </c>
      <c r="P209" s="8" t="n"/>
      <c r="Q209" s="7">
        <f>'Bütçe aylık-Eur'!$G$133</f>
        <v/>
      </c>
      <c r="R209" s="7">
        <f>'gerç aylık-eur'!$G$132</f>
        <v/>
      </c>
      <c r="S209" s="8" t="n"/>
      <c r="T209" s="7">
        <f>'Bütçe aylık-Eur'!$H$133</f>
        <v/>
      </c>
      <c r="U209" s="7">
        <f>'gerç aylık-eur'!$H$132</f>
        <v/>
      </c>
      <c r="V209" s="8" t="n"/>
      <c r="W209" s="7">
        <f>'Bütçe aylık-Eur'!$I$133</f>
        <v/>
      </c>
      <c r="X209" s="7">
        <f>'gerç aylık-eur'!$I$132</f>
        <v/>
      </c>
      <c r="Y209" s="8" t="n"/>
      <c r="Z209" s="7">
        <f>'Bütçe aylık-Eur'!$J$133</f>
        <v/>
      </c>
      <c r="AA209" s="7">
        <f>'gerç aylık-eur'!$J$132</f>
        <v/>
      </c>
      <c r="AB209" s="8" t="n"/>
      <c r="AC209" s="7">
        <f>'Bütçe aylık-Eur'!$K$133</f>
        <v/>
      </c>
      <c r="AD209" s="7">
        <f>'gerç aylık-eur'!$K$132</f>
        <v/>
      </c>
      <c r="AE209" s="8" t="n"/>
      <c r="AF209" s="7">
        <f>'Bütçe aylık-Eur'!$L$133</f>
        <v/>
      </c>
      <c r="AG209" s="7">
        <f>'gerç aylık-eur'!$L$132</f>
        <v/>
      </c>
      <c r="AH209" s="8" t="n"/>
      <c r="AI209" s="7">
        <f>'Bütçe aylık-Eur'!$M$133</f>
        <v/>
      </c>
      <c r="AJ209" s="7">
        <f>'gerç aylık-eur'!$M$132</f>
        <v/>
      </c>
      <c r="AK209" s="8" t="n"/>
      <c r="AL209" s="21">
        <f>AP209-AO209</f>
        <v/>
      </c>
      <c r="AM209" s="22">
        <f>AP209/AO209-1</f>
        <v/>
      </c>
      <c r="AO209" s="44">
        <f>IF($A$1=$B$1,B209,IF($A$1=$E$1,E209,IF($A$1=$H$1,H209,IF($A$1=$K$1,K209,IF($A$1=$N$1,N209,IF($A$1=$Q$1,Q209,IF($A$1=$T$1,T209,IF($A$1=$W$1,W209,IF($A$1=$Z$1,Z209,IF($A$1=$AC$1,AC209,IF($A$1=$AF$1,AF209,IF($A$1=$AI$1,AI209))))))))))))</f>
        <v/>
      </c>
      <c r="AP209" s="44">
        <f>IF($A$1=$B$1,C209,IF($A$1=$E$1,F209,IF($A$1=$H$1,I209,IF($A$1=$K$1,L209,IF($A$1=$N$1,O209,IF($A$1=$Q$1,R209,IF($A$1=$T$1,U209,IF($A$1=$W$1,X209,IF($A$1=$Z$1,AA209,IF($A$1=$AC$1,AD209,IF($A$1=$AF$1,AG209,IF($A$1=$AI$1,AJ209))))))))))))</f>
        <v/>
      </c>
    </row>
    <row r="210" ht="15.5" customFormat="1" customHeight="1" s="1">
      <c r="A210" s="26" t="n"/>
      <c r="B210" s="7" t="n"/>
      <c r="C210" s="8" t="n"/>
      <c r="D210" s="8" t="n"/>
      <c r="E210" s="7" t="n"/>
      <c r="F210" s="8" t="n"/>
      <c r="G210" s="8" t="n"/>
      <c r="H210" s="7" t="n"/>
      <c r="I210" s="8" t="n"/>
      <c r="J210" s="8" t="n"/>
      <c r="K210" s="7" t="n"/>
      <c r="L210" s="8" t="n"/>
      <c r="M210" s="8" t="n"/>
      <c r="N210" s="7" t="n"/>
      <c r="O210" s="8" t="n"/>
      <c r="P210" s="8" t="n"/>
      <c r="Q210" s="7" t="n"/>
      <c r="R210" s="8" t="n"/>
      <c r="S210" s="8" t="n"/>
      <c r="T210" s="7" t="n"/>
      <c r="U210" s="8" t="n"/>
      <c r="V210" s="8" t="n"/>
      <c r="W210" s="7" t="n"/>
      <c r="X210" s="8" t="n"/>
      <c r="Y210" s="8" t="n"/>
      <c r="Z210" s="7" t="n"/>
      <c r="AA210" s="8" t="n"/>
      <c r="AB210" s="8" t="n"/>
      <c r="AC210" s="7" t="n"/>
      <c r="AD210" s="8" t="n"/>
      <c r="AE210" s="8" t="n"/>
      <c r="AF210" s="7" t="n"/>
      <c r="AG210" s="8" t="n"/>
      <c r="AH210" s="8" t="n"/>
      <c r="AI210" s="7" t="n"/>
      <c r="AJ210" s="8" t="n"/>
      <c r="AK210" s="8" t="n"/>
      <c r="AL210" s="15" t="n"/>
      <c r="AM210" s="16" t="n"/>
      <c r="AO210" s="44" t="n"/>
      <c r="AP210" s="44" t="n"/>
    </row>
    <row r="211" ht="15.5" customFormat="1" customHeight="1" s="1">
      <c r="A211" s="26" t="n"/>
      <c r="B211" s="7" t="n"/>
      <c r="C211" s="8" t="n"/>
      <c r="D211" s="8" t="n"/>
      <c r="E211" s="7" t="n"/>
      <c r="F211" s="8" t="n"/>
      <c r="G211" s="8" t="n"/>
      <c r="H211" s="7" t="n"/>
      <c r="I211" s="8" t="n"/>
      <c r="J211" s="8" t="n"/>
      <c r="K211" s="7" t="n"/>
      <c r="L211" s="8" t="n"/>
      <c r="M211" s="8" t="n"/>
      <c r="N211" s="7" t="n"/>
      <c r="O211" s="8" t="n"/>
      <c r="P211" s="8" t="n"/>
      <c r="Q211" s="7" t="n"/>
      <c r="R211" s="8" t="n"/>
      <c r="S211" s="8" t="n"/>
      <c r="T211" s="7" t="n"/>
      <c r="U211" s="8" t="n"/>
      <c r="V211" s="8" t="n"/>
      <c r="W211" s="7" t="n"/>
      <c r="X211" s="8" t="n"/>
      <c r="Y211" s="8" t="n"/>
      <c r="Z211" s="7" t="n"/>
      <c r="AA211" s="8" t="n"/>
      <c r="AB211" s="8" t="n"/>
      <c r="AC211" s="7" t="n"/>
      <c r="AD211" s="8" t="n"/>
      <c r="AE211" s="8" t="n"/>
      <c r="AF211" s="7" t="n"/>
      <c r="AG211" s="8" t="n"/>
      <c r="AH211" s="8" t="n"/>
      <c r="AI211" s="7" t="n"/>
      <c r="AJ211" s="8" t="n"/>
      <c r="AK211" s="8" t="n"/>
      <c r="AL211" s="15" t="n"/>
      <c r="AM211" s="16" t="n"/>
      <c r="AO211" s="44" t="n"/>
      <c r="AP211" s="44" t="n"/>
    </row>
    <row r="212" ht="15.5" customFormat="1" customHeight="1" s="44">
      <c r="A212" s="31" t="inlineStr">
        <is>
          <t>Net Kar</t>
        </is>
      </c>
      <c r="B212" s="32">
        <f>'Bütçe aylık-Eur'!$B$136</f>
        <v/>
      </c>
      <c r="C212" s="32">
        <f>'gerç aylık-eur'!$B$135</f>
        <v/>
      </c>
      <c r="D212" s="18" t="n"/>
      <c r="E212" s="32">
        <f>'Bütçe aylık-Eur'!$C$136</f>
        <v/>
      </c>
      <c r="F212" s="32">
        <f>'gerç aylık-eur'!$C$135</f>
        <v/>
      </c>
      <c r="G212" s="18" t="n"/>
      <c r="H212" s="32">
        <f>'Bütçe aylık-Eur'!$D$136</f>
        <v/>
      </c>
      <c r="I212" s="32">
        <f>'gerç aylık-eur'!$D$135</f>
        <v/>
      </c>
      <c r="J212" s="18" t="n"/>
      <c r="K212" s="32">
        <f>'Bütçe aylık-Eur'!$E$136</f>
        <v/>
      </c>
      <c r="L212" s="32">
        <f>'gerç aylık-eur'!$E$135</f>
        <v/>
      </c>
      <c r="M212" s="18" t="n"/>
      <c r="N212" s="32">
        <f>'Bütçe aylık-Eur'!$F$136</f>
        <v/>
      </c>
      <c r="O212" s="32">
        <f>'gerç aylık-eur'!$F$135</f>
        <v/>
      </c>
      <c r="P212" s="18" t="n"/>
      <c r="Q212" s="32">
        <f>'Bütçe aylık-Eur'!$G$136</f>
        <v/>
      </c>
      <c r="R212" s="32">
        <f>'gerç aylık-eur'!$G$135</f>
        <v/>
      </c>
      <c r="S212" s="18" t="n"/>
      <c r="T212" s="32">
        <f>'Bütçe aylık-Eur'!$H$136</f>
        <v/>
      </c>
      <c r="U212" s="32">
        <f>'gerç aylık-eur'!$H$135</f>
        <v/>
      </c>
      <c r="V212" s="18" t="n"/>
      <c r="W212" s="32">
        <f>'Bütçe aylık-Eur'!$I$136</f>
        <v/>
      </c>
      <c r="X212" s="32">
        <f>'gerç aylık-eur'!$I$135</f>
        <v/>
      </c>
      <c r="Y212" s="18" t="n"/>
      <c r="Z212" s="32">
        <f>'Bütçe aylık-Eur'!$J$136</f>
        <v/>
      </c>
      <c r="AA212" s="32">
        <f>'gerç aylık-eur'!$J$135</f>
        <v/>
      </c>
      <c r="AB212" s="18" t="n"/>
      <c r="AC212" s="32">
        <f>'Bütçe aylık-Eur'!$K$136</f>
        <v/>
      </c>
      <c r="AD212" s="32">
        <f>'gerç aylık-eur'!$K$135</f>
        <v/>
      </c>
      <c r="AE212" s="18" t="n"/>
      <c r="AF212" s="32">
        <f>'Bütçe aylık-Eur'!$L$136</f>
        <v/>
      </c>
      <c r="AG212" s="32">
        <f>'gerç aylık-eur'!$L$135</f>
        <v/>
      </c>
      <c r="AH212" s="18" t="n"/>
      <c r="AI212" s="32">
        <f>'Bütçe aylık-Eur'!$M$136</f>
        <v/>
      </c>
      <c r="AJ212" s="32">
        <f>'gerç aylık-eur'!$M$135</f>
        <v/>
      </c>
      <c r="AK212" s="18" t="n"/>
      <c r="AL212" s="33">
        <f>AP212-AO212</f>
        <v/>
      </c>
      <c r="AM212" s="34">
        <f>AP212/AO212-1</f>
        <v/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/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/>
      </c>
    </row>
    <row r="213" ht="15.5" customFormat="1" customHeight="1" s="13">
      <c r="A213" s="27" t="n"/>
      <c r="B213" s="30" t="n"/>
      <c r="C213" s="30" t="n"/>
      <c r="D213" s="41" t="n"/>
      <c r="E213" s="30" t="n"/>
      <c r="F213" s="30" t="n"/>
      <c r="G213" s="41" t="n"/>
      <c r="H213" s="30" t="n"/>
      <c r="I213" s="30" t="n"/>
      <c r="J213" s="41" t="n"/>
      <c r="K213" s="30" t="n"/>
      <c r="L213" s="30" t="n"/>
      <c r="M213" s="41" t="n"/>
      <c r="N213" s="30" t="n"/>
      <c r="O213" s="30" t="n"/>
      <c r="P213" s="41" t="n"/>
      <c r="Q213" s="30" t="n"/>
      <c r="R213" s="30" t="n"/>
      <c r="S213" s="41" t="n"/>
      <c r="T213" s="30" t="n"/>
      <c r="U213" s="30" t="n"/>
      <c r="V213" s="41" t="n"/>
      <c r="W213" s="30" t="n"/>
      <c r="X213" s="30" t="n"/>
      <c r="Y213" s="41" t="n"/>
      <c r="Z213" s="30" t="n"/>
      <c r="AA213" s="30" t="n"/>
      <c r="AB213" s="41" t="n"/>
      <c r="AC213" s="30" t="n"/>
      <c r="AD213" s="30" t="n"/>
      <c r="AE213" s="41" t="n"/>
      <c r="AF213" s="30" t="n"/>
      <c r="AG213" s="30" t="n"/>
      <c r="AH213" s="41" t="n"/>
      <c r="AI213" s="30" t="n"/>
      <c r="AJ213" s="30" t="n"/>
      <c r="AK213" s="41" t="n"/>
      <c r="AL213" s="15" t="n"/>
      <c r="AM213" s="22" t="n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/>
      </c>
      <c r="AP213" s="44">
        <f>IF($A$1=$B$1,C213,IF($A$1=$E$1,F213,IF($A$1=$H$1,I213,IF($A$1=$K$1,L213,IF($A$1=$N$1,O213,IF($A$1=$Q$1,R213,IF($A$1=$T$1,U213,IF($A$1=$W$1,X213,IF($A$1=$Z$1,AA213,IF($A$1=$AC$1,AD213,IF($A$1=$AF$1,AG213,IF($A$1=$AI$1,AJ213))))))))))))</f>
        <v/>
      </c>
    </row>
    <row r="214" ht="17" customFormat="1" customHeight="1" s="49">
      <c r="A214" s="47" t="inlineStr">
        <is>
          <t>Net Kar (100%)</t>
        </is>
      </c>
      <c r="B214" s="413" t="n"/>
      <c r="C214" s="413" t="n"/>
      <c r="D214" s="413" t="n"/>
      <c r="E214" s="413" t="n"/>
      <c r="F214" s="413" t="n"/>
      <c r="G214" s="413" t="n"/>
      <c r="H214" s="413" t="n"/>
      <c r="I214" s="413" t="n"/>
      <c r="J214" s="413" t="n"/>
      <c r="K214" s="413" t="n"/>
      <c r="L214" s="413" t="n"/>
      <c r="M214" s="413" t="n"/>
      <c r="N214" s="413" t="n"/>
      <c r="O214" s="413" t="n"/>
      <c r="P214" s="413" t="n"/>
      <c r="Q214" s="413" t="n"/>
      <c r="R214" s="413" t="n"/>
      <c r="S214" s="413" t="n"/>
      <c r="T214" s="413" t="n"/>
      <c r="U214" s="413" t="n"/>
      <c r="V214" s="413" t="n"/>
      <c r="W214" s="413" t="n"/>
      <c r="X214" s="413" t="n"/>
      <c r="Y214" s="413" t="n"/>
      <c r="Z214" s="413" t="n"/>
      <c r="AA214" s="413" t="n"/>
      <c r="AB214" s="413" t="n"/>
      <c r="AC214" s="413" t="n"/>
      <c r="AD214" s="413" t="n"/>
      <c r="AE214" s="413" t="n"/>
      <c r="AF214" s="413" t="n"/>
      <c r="AG214" s="413" t="n"/>
      <c r="AH214" s="413" t="n"/>
      <c r="AI214" s="413" t="n"/>
      <c r="AJ214" s="413" t="n"/>
      <c r="AK214" s="413" t="n"/>
      <c r="AL214" s="413" t="n"/>
      <c r="AM214" s="48" t="n"/>
    </row>
    <row r="215" ht="15.5" customHeight="1">
      <c r="A215" s="26" t="inlineStr">
        <is>
          <t xml:space="preserve">İnci Holding </t>
        </is>
      </c>
      <c r="B215" s="7">
        <f>'Bütçe aylık-Eur'!$B$137</f>
        <v/>
      </c>
      <c r="C215" s="7">
        <f>'gerç aylık-eur'!$B$136</f>
        <v/>
      </c>
      <c r="D215" s="7" t="n"/>
      <c r="E215" s="7">
        <f>'Bütçe aylık-Eur'!$C$137</f>
        <v/>
      </c>
      <c r="F215" s="7">
        <f>'gerç aylık-eur'!$C$136</f>
        <v/>
      </c>
      <c r="G215" s="7" t="n"/>
      <c r="H215" s="7">
        <f>'Bütçe aylık-Eur'!$D$137</f>
        <v/>
      </c>
      <c r="I215" s="7">
        <f>'gerç aylık-eur'!$D$136</f>
        <v/>
      </c>
      <c r="J215" s="7" t="n"/>
      <c r="K215" s="7">
        <f>'Bütçe aylık-Eur'!$E$137</f>
        <v/>
      </c>
      <c r="L215" s="7">
        <f>'gerç aylık-eur'!$E$136</f>
        <v/>
      </c>
      <c r="M215" s="7" t="n"/>
      <c r="N215" s="7">
        <f>'Bütçe aylık-Eur'!$F$137</f>
        <v/>
      </c>
      <c r="O215" s="7">
        <f>'gerç aylık-eur'!$F$136</f>
        <v/>
      </c>
      <c r="P215" s="7" t="n"/>
      <c r="Q215" s="7">
        <f>'Bütçe aylık-Eur'!$G$137</f>
        <v/>
      </c>
      <c r="R215" s="7">
        <f>'gerç aylık-eur'!$G$136</f>
        <v/>
      </c>
      <c r="S215" s="7" t="n"/>
      <c r="T215" s="7">
        <f>'Bütçe aylık-Eur'!$H$137</f>
        <v/>
      </c>
      <c r="U215" s="7">
        <f>'gerç aylık-eur'!$H$136</f>
        <v/>
      </c>
      <c r="V215" s="7" t="n"/>
      <c r="W215" s="7">
        <f>'Bütçe aylık-Eur'!$I$137</f>
        <v/>
      </c>
      <c r="X215" s="7">
        <f>'gerç aylık-eur'!$I$136</f>
        <v/>
      </c>
      <c r="Y215" s="7" t="n"/>
      <c r="Z215" s="7">
        <f>'Bütçe aylık-Eur'!$J$137</f>
        <v/>
      </c>
      <c r="AA215" s="7">
        <f>'gerç aylık-eur'!$J$136</f>
        <v/>
      </c>
      <c r="AB215" s="7" t="n"/>
      <c r="AC215" s="7">
        <f>'Bütçe aylık-Eur'!$K$137</f>
        <v/>
      </c>
      <c r="AD215" s="7">
        <f>'gerç aylık-eur'!$K$136</f>
        <v/>
      </c>
      <c r="AE215" s="7" t="n"/>
      <c r="AF215" s="7">
        <f>'Bütçe aylık-Eur'!$L$137</f>
        <v/>
      </c>
      <c r="AG215" s="7">
        <f>'gerç aylık-eur'!$L$136</f>
        <v/>
      </c>
      <c r="AH215" s="7" t="n"/>
      <c r="AI215" s="7">
        <f>'Bütçe aylık-Eur'!$M$137</f>
        <v/>
      </c>
      <c r="AJ215" s="7">
        <f>'gerç aylık-eur'!$M$136</f>
        <v/>
      </c>
      <c r="AK215" s="7" t="n"/>
      <c r="AL215" s="21">
        <f>AP215-AO215</f>
        <v/>
      </c>
      <c r="AM215" s="22">
        <f>AP215/AO215-1</f>
        <v/>
      </c>
      <c r="AO215" s="44">
        <f>IF($A$1=$B$1,B215,IF($A$1=$E$1,E215,IF($A$1=$H$1,H215,IF($A$1=$K$1,K215,IF($A$1=$N$1,N215,IF($A$1=$Q$1,Q215,IF($A$1=$T$1,T215,IF($A$1=$W$1,W215,IF($A$1=$Z$1,Z215,IF($A$1=$AC$1,AC215,IF($A$1=$AF$1,AF215,IF($A$1=$AI$1,AI215))))))))))))</f>
        <v/>
      </c>
      <c r="AP215" s="44">
        <f>IF($A$1=$B$1,C215,IF($A$1=$E$1,F215,IF($A$1=$H$1,I215,IF($A$1=$K$1,L215,IF($A$1=$N$1,O215,IF($A$1=$Q$1,R215,IF($A$1=$T$1,U215,IF($A$1=$W$1,X215,IF($A$1=$Z$1,AA215,IF($A$1=$AC$1,AD215,IF($A$1=$AF$1,AG215,IF($A$1=$AI$1,AJ215))))))))))))</f>
        <v/>
      </c>
    </row>
    <row r="216" ht="15.5" customHeight="1">
      <c r="A216" s="26" t="inlineStr">
        <is>
          <t xml:space="preserve">ISM </t>
        </is>
      </c>
      <c r="B216" s="7">
        <f>'Bütçe aylık-Eur'!$B$138</f>
        <v/>
      </c>
      <c r="C216" s="7">
        <f>'gerç aylık-eur'!$B$137</f>
        <v/>
      </c>
      <c r="D216" s="7" t="n"/>
      <c r="E216" s="7">
        <f>'Bütçe aylık-Eur'!$C$138</f>
        <v/>
      </c>
      <c r="F216" s="7">
        <f>'gerç aylık-eur'!$C$137</f>
        <v/>
      </c>
      <c r="G216" s="7" t="n"/>
      <c r="H216" s="7">
        <f>'Bütçe aylık-Eur'!$D$138</f>
        <v/>
      </c>
      <c r="I216" s="7">
        <f>'gerç aylık-eur'!$D$137</f>
        <v/>
      </c>
      <c r="J216" s="7" t="n"/>
      <c r="K216" s="7">
        <f>'Bütçe aylık-Eur'!$E$138</f>
        <v/>
      </c>
      <c r="L216" s="7">
        <f>'gerç aylık-eur'!$E$137</f>
        <v/>
      </c>
      <c r="M216" s="7" t="n"/>
      <c r="N216" s="7">
        <f>'Bütçe aylık-Eur'!$F$138</f>
        <v/>
      </c>
      <c r="O216" s="7">
        <f>'gerç aylık-eur'!$F$137</f>
        <v/>
      </c>
      <c r="P216" s="7" t="n"/>
      <c r="Q216" s="7">
        <f>'Bütçe aylık-Eur'!$G$138</f>
        <v/>
      </c>
      <c r="R216" s="7">
        <f>'gerç aylık-eur'!$G$137</f>
        <v/>
      </c>
      <c r="S216" s="7" t="n"/>
      <c r="T216" s="7">
        <f>'Bütçe aylık-Eur'!$H$138</f>
        <v/>
      </c>
      <c r="U216" s="7">
        <f>'gerç aylık-eur'!$H$137</f>
        <v/>
      </c>
      <c r="V216" s="7" t="n"/>
      <c r="W216" s="7">
        <f>'Bütçe aylık-Eur'!$I$138</f>
        <v/>
      </c>
      <c r="X216" s="7">
        <f>'gerç aylık-eur'!$I$137</f>
        <v/>
      </c>
      <c r="Y216" s="7" t="n"/>
      <c r="Z216" s="7">
        <f>'Bütçe aylık-Eur'!$J$138</f>
        <v/>
      </c>
      <c r="AA216" s="7">
        <f>'gerç aylık-eur'!$J$137</f>
        <v/>
      </c>
      <c r="AB216" s="7" t="n"/>
      <c r="AC216" s="7">
        <f>'Bütçe aylık-Eur'!$K$138</f>
        <v/>
      </c>
      <c r="AD216" s="7">
        <f>'gerç aylık-eur'!$K$137</f>
        <v/>
      </c>
      <c r="AE216" s="7" t="n"/>
      <c r="AF216" s="7">
        <f>'Bütçe aylık-Eur'!$L$138</f>
        <v/>
      </c>
      <c r="AG216" s="7">
        <f>'gerç aylık-eur'!$L$137</f>
        <v/>
      </c>
      <c r="AH216" s="7" t="n"/>
      <c r="AI216" s="7">
        <f>'Bütçe aylık-Eur'!$M$138</f>
        <v/>
      </c>
      <c r="AJ216" s="7">
        <f>'gerç aylık-eur'!$M$137</f>
        <v/>
      </c>
      <c r="AK216" s="7" t="n"/>
      <c r="AL216" s="21">
        <f>AP216-AO216</f>
        <v/>
      </c>
      <c r="AM216" s="22">
        <f>AP216/AO216-1</f>
        <v/>
      </c>
      <c r="AO216" s="44">
        <f>IF($A$1=$B$1,B216,IF($A$1=$E$1,E216,IF($A$1=$H$1,H216,IF($A$1=$K$1,K216,IF($A$1=$N$1,N216,IF($A$1=$Q$1,Q216,IF($A$1=$T$1,T216,IF($A$1=$W$1,W216,IF($A$1=$Z$1,Z216,IF($A$1=$AC$1,AC216,IF($A$1=$AF$1,AF216,IF($A$1=$AI$1,AI216))))))))))))</f>
        <v/>
      </c>
      <c r="AP216" s="44">
        <f>IF($A$1=$B$1,C216,IF($A$1=$E$1,F216,IF($A$1=$H$1,I216,IF($A$1=$K$1,L216,IF($A$1=$N$1,O216,IF($A$1=$Q$1,R216,IF($A$1=$T$1,U216,IF($A$1=$W$1,X216,IF($A$1=$Z$1,AA216,IF($A$1=$AC$1,AD216,IF($A$1=$AF$1,AG216,IF($A$1=$AI$1,AJ216))))))))))))</f>
        <v/>
      </c>
    </row>
    <row r="217" ht="15.5" customHeight="1">
      <c r="A217" s="26" t="inlineStr">
        <is>
          <t>İncitaş</t>
        </is>
      </c>
      <c r="B217" s="7">
        <f>'Bütçe aylık-Eur'!$B$139</f>
        <v/>
      </c>
      <c r="C217" s="7">
        <f>'gerç aylık-eur'!$B$138</f>
        <v/>
      </c>
      <c r="D217" s="7" t="n"/>
      <c r="E217" s="7">
        <f>'Bütçe aylık-Eur'!$C$139</f>
        <v/>
      </c>
      <c r="F217" s="7">
        <f>'gerç aylık-eur'!$C$138</f>
        <v/>
      </c>
      <c r="G217" s="7" t="n"/>
      <c r="H217" s="7">
        <f>'Bütçe aylık-Eur'!$D$139</f>
        <v/>
      </c>
      <c r="I217" s="7">
        <f>'gerç aylık-eur'!$D$138</f>
        <v/>
      </c>
      <c r="J217" s="7" t="n"/>
      <c r="K217" s="7">
        <f>'Bütçe aylık-Eur'!$E$139</f>
        <v/>
      </c>
      <c r="L217" s="7">
        <f>'gerç aylık-eur'!$E$138</f>
        <v/>
      </c>
      <c r="M217" s="7" t="n"/>
      <c r="N217" s="7">
        <f>'Bütçe aylık-Eur'!$F$139</f>
        <v/>
      </c>
      <c r="O217" s="7">
        <f>'gerç aylık-eur'!$F$138</f>
        <v/>
      </c>
      <c r="P217" s="7" t="n"/>
      <c r="Q217" s="7">
        <f>'Bütçe aylık-Eur'!$G$139</f>
        <v/>
      </c>
      <c r="R217" s="7">
        <f>'gerç aylık-eur'!$G$138</f>
        <v/>
      </c>
      <c r="S217" s="7" t="n"/>
      <c r="T217" s="7">
        <f>'Bütçe aylık-Eur'!$H$139</f>
        <v/>
      </c>
      <c r="U217" s="7">
        <f>'gerç aylık-eur'!$H$138</f>
        <v/>
      </c>
      <c r="V217" s="7" t="n"/>
      <c r="W217" s="7">
        <f>'Bütçe aylık-Eur'!$I$139</f>
        <v/>
      </c>
      <c r="X217" s="7">
        <f>'gerç aylık-eur'!$I$138</f>
        <v/>
      </c>
      <c r="Y217" s="7" t="n"/>
      <c r="Z217" s="7">
        <f>'Bütçe aylık-Eur'!$J$139</f>
        <v/>
      </c>
      <c r="AA217" s="7">
        <f>'gerç aylık-eur'!$J$138</f>
        <v/>
      </c>
      <c r="AB217" s="7" t="n"/>
      <c r="AC217" s="7">
        <f>'Bütçe aylık-Eur'!$K$139</f>
        <v/>
      </c>
      <c r="AD217" s="7">
        <f>'gerç aylık-eur'!$K$138</f>
        <v/>
      </c>
      <c r="AE217" s="7" t="n"/>
      <c r="AF217" s="7">
        <f>'Bütçe aylık-Eur'!$L$139</f>
        <v/>
      </c>
      <c r="AG217" s="7">
        <f>'gerç aylık-eur'!$L$138</f>
        <v/>
      </c>
      <c r="AH217" s="7" t="n"/>
      <c r="AI217" s="7">
        <f>'Bütçe aylık-Eur'!$M$139</f>
        <v/>
      </c>
      <c r="AJ217" s="7">
        <f>'gerç aylık-eur'!$M$138</f>
        <v/>
      </c>
      <c r="AK217" s="7" t="n"/>
      <c r="AL217" s="21">
        <f>AP217-AO217</f>
        <v/>
      </c>
      <c r="AM217" s="22">
        <f>AP217/AO217-1</f>
        <v/>
      </c>
      <c r="AO217" s="44">
        <f>IF($A$1=$B$1,B217,IF($A$1=$E$1,E217,IF($A$1=$H$1,H217,IF($A$1=$K$1,K217,IF($A$1=$N$1,N217,IF($A$1=$Q$1,Q217,IF($A$1=$T$1,T217,IF($A$1=$W$1,W217,IF($A$1=$Z$1,Z217,IF($A$1=$AC$1,AC217,IF($A$1=$AF$1,AF217,IF($A$1=$AI$1,AI217))))))))))))</f>
        <v/>
      </c>
      <c r="AP217" s="44">
        <f>IF($A$1=$B$1,C217,IF($A$1=$E$1,F217,IF($A$1=$H$1,I217,IF($A$1=$K$1,L217,IF($A$1=$N$1,O217,IF($A$1=$Q$1,R217,IF($A$1=$T$1,U217,IF($A$1=$W$1,X217,IF($A$1=$Z$1,AA217,IF($A$1=$AC$1,AD217,IF($A$1=$AF$1,AG217,IF($A$1=$AI$1,AJ217))))))))))))</f>
        <v/>
      </c>
    </row>
    <row r="218" ht="15.5" customHeight="1">
      <c r="A218" s="26" t="inlineStr">
        <is>
          <t>İnci GS Yuasa</t>
        </is>
      </c>
      <c r="B218" s="7">
        <f>'Bütçe aylık-Eur'!$B$140</f>
        <v/>
      </c>
      <c r="C218" s="7">
        <f>'gerç aylık-eur'!$B$139</f>
        <v/>
      </c>
      <c r="D218" s="7" t="n"/>
      <c r="E218" s="7">
        <f>'Bütçe aylık-Eur'!$C$140</f>
        <v/>
      </c>
      <c r="F218" s="7">
        <f>'gerç aylık-eur'!$C$139</f>
        <v/>
      </c>
      <c r="G218" s="7" t="n"/>
      <c r="H218" s="7">
        <f>'Bütçe aylık-Eur'!$D$140</f>
        <v/>
      </c>
      <c r="I218" s="7">
        <f>'gerç aylık-eur'!$D$139</f>
        <v/>
      </c>
      <c r="J218" s="7" t="n"/>
      <c r="K218" s="7">
        <f>'Bütçe aylık-Eur'!$E$140</f>
        <v/>
      </c>
      <c r="L218" s="7">
        <f>'gerç aylık-eur'!$E$139</f>
        <v/>
      </c>
      <c r="M218" s="7" t="n"/>
      <c r="N218" s="7">
        <f>'Bütçe aylık-Eur'!$F$140</f>
        <v/>
      </c>
      <c r="O218" s="7">
        <f>'gerç aylık-eur'!$F$139</f>
        <v/>
      </c>
      <c r="P218" s="7" t="n"/>
      <c r="Q218" s="7">
        <f>'Bütçe aylık-Eur'!$G$140</f>
        <v/>
      </c>
      <c r="R218" s="7">
        <f>'gerç aylık-eur'!$G$139</f>
        <v/>
      </c>
      <c r="S218" s="7" t="n"/>
      <c r="T218" s="7">
        <f>'Bütçe aylık-Eur'!$H$140</f>
        <v/>
      </c>
      <c r="U218" s="7">
        <f>'gerç aylık-eur'!$H$139</f>
        <v/>
      </c>
      <c r="V218" s="7" t="n"/>
      <c r="W218" s="7">
        <f>'Bütçe aylık-Eur'!$I$140</f>
        <v/>
      </c>
      <c r="X218" s="7">
        <f>'gerç aylık-eur'!$I$139</f>
        <v/>
      </c>
      <c r="Y218" s="7" t="n"/>
      <c r="Z218" s="7">
        <f>'Bütçe aylık-Eur'!$J$140</f>
        <v/>
      </c>
      <c r="AA218" s="7">
        <f>'gerç aylık-eur'!$J$139</f>
        <v/>
      </c>
      <c r="AB218" s="7" t="n"/>
      <c r="AC218" s="7">
        <f>'Bütçe aylık-Eur'!$K$140</f>
        <v/>
      </c>
      <c r="AD218" s="7">
        <f>'gerç aylık-eur'!$K$139</f>
        <v/>
      </c>
      <c r="AE218" s="7" t="n"/>
      <c r="AF218" s="7">
        <f>'Bütçe aylık-Eur'!$L$140</f>
        <v/>
      </c>
      <c r="AG218" s="7">
        <f>'gerç aylık-eur'!$L$139</f>
        <v/>
      </c>
      <c r="AH218" s="7" t="n"/>
      <c r="AI218" s="7">
        <f>'Bütçe aylık-Eur'!$M$140</f>
        <v/>
      </c>
      <c r="AJ218" s="7">
        <f>'gerç aylık-eur'!$M$139</f>
        <v/>
      </c>
      <c r="AK218" s="7" t="n"/>
      <c r="AL218" s="21">
        <f>AP218-AO218</f>
        <v/>
      </c>
      <c r="AM218" s="22">
        <f>AP218/AO218-1</f>
        <v/>
      </c>
      <c r="AO218" s="44">
        <f>IF($A$1=$B$1,B218,IF($A$1=$E$1,E218,IF($A$1=$H$1,H218,IF($A$1=$K$1,K218,IF($A$1=$N$1,N218,IF($A$1=$Q$1,Q218,IF($A$1=$T$1,T218,IF($A$1=$W$1,W218,IF($A$1=$Z$1,Z218,IF($A$1=$AC$1,AC218,IF($A$1=$AF$1,AF218,IF($A$1=$AI$1,AI218))))))))))))</f>
        <v/>
      </c>
      <c r="AP218" s="44">
        <f>IF($A$1=$B$1,C218,IF($A$1=$E$1,F218,IF($A$1=$H$1,I218,IF($A$1=$K$1,L218,IF($A$1=$N$1,O218,IF($A$1=$Q$1,R218,IF($A$1=$T$1,U218,IF($A$1=$W$1,X218,IF($A$1=$Z$1,AA218,IF($A$1=$AC$1,AD218,IF($A$1=$AF$1,AG218,IF($A$1=$AI$1,AJ218))))))))))))</f>
        <v/>
      </c>
    </row>
    <row r="219" ht="15.5" customFormat="1" customHeight="1" s="1">
      <c r="A219" s="26" t="inlineStr">
        <is>
          <t>Yusen İnci Loj.</t>
        </is>
      </c>
      <c r="B219" s="7">
        <f>'Bütçe aylık-Eur'!$B$141</f>
        <v/>
      </c>
      <c r="C219" s="7">
        <f>'gerç aylık-eur'!$B$140</f>
        <v/>
      </c>
      <c r="D219" s="8" t="n"/>
      <c r="E219" s="7">
        <f>'Bütçe aylık-Eur'!$C$141</f>
        <v/>
      </c>
      <c r="F219" s="7">
        <f>'gerç aylık-eur'!$C$140</f>
        <v/>
      </c>
      <c r="G219" s="8" t="n"/>
      <c r="H219" s="7">
        <f>'Bütçe aylık-Eur'!$D$141</f>
        <v/>
      </c>
      <c r="I219" s="7">
        <f>'gerç aylık-eur'!$D$140</f>
        <v/>
      </c>
      <c r="J219" s="8" t="n"/>
      <c r="K219" s="7">
        <f>'Bütçe aylık-Eur'!$E$141</f>
        <v/>
      </c>
      <c r="L219" s="7">
        <f>'gerç aylık-eur'!$E$140</f>
        <v/>
      </c>
      <c r="M219" s="8" t="n"/>
      <c r="N219" s="7">
        <f>'Bütçe aylık-Eur'!$F$141</f>
        <v/>
      </c>
      <c r="O219" s="7">
        <f>'gerç aylık-eur'!$F$140</f>
        <v/>
      </c>
      <c r="P219" s="8" t="n"/>
      <c r="Q219" s="7">
        <f>'Bütçe aylık-Eur'!$G$141</f>
        <v/>
      </c>
      <c r="R219" s="7">
        <f>'gerç aylık-eur'!$G$140</f>
        <v/>
      </c>
      <c r="S219" s="8" t="n"/>
      <c r="T219" s="7">
        <f>'Bütçe aylık-Eur'!$H$141</f>
        <v/>
      </c>
      <c r="U219" s="7">
        <f>'gerç aylık-eur'!$H$140</f>
        <v/>
      </c>
      <c r="V219" s="8" t="n"/>
      <c r="W219" s="7">
        <f>'Bütçe aylık-Eur'!$I$141</f>
        <v/>
      </c>
      <c r="X219" s="7">
        <f>'gerç aylık-eur'!$I$140</f>
        <v/>
      </c>
      <c r="Y219" s="8" t="n"/>
      <c r="Z219" s="7">
        <f>'Bütçe aylık-Eur'!$J$141</f>
        <v/>
      </c>
      <c r="AA219" s="7">
        <f>'gerç aylık-eur'!$J$140</f>
        <v/>
      </c>
      <c r="AB219" s="8" t="n"/>
      <c r="AC219" s="7">
        <f>'Bütçe aylık-Eur'!$K$141</f>
        <v/>
      </c>
      <c r="AD219" s="7">
        <f>'gerç aylık-eur'!$K$140</f>
        <v/>
      </c>
      <c r="AE219" s="8" t="n"/>
      <c r="AF219" s="7">
        <f>'Bütçe aylık-Eur'!$L$141</f>
        <v/>
      </c>
      <c r="AG219" s="7">
        <f>'gerç aylık-eur'!$L$140</f>
        <v/>
      </c>
      <c r="AH219" s="8" t="n"/>
      <c r="AI219" s="7">
        <f>'Bütçe aylık-Eur'!$M$141</f>
        <v/>
      </c>
      <c r="AJ219" s="7">
        <f>'gerç aylık-eur'!$M$140</f>
        <v/>
      </c>
      <c r="AK219" s="8" t="n"/>
      <c r="AL219" s="21">
        <f>AP219-AO219</f>
        <v/>
      </c>
      <c r="AM219" s="22">
        <f>AP219/AO219-1</f>
        <v/>
      </c>
      <c r="AO219" s="44">
        <f>IF($A$1=$B$1,B219,IF($A$1=$E$1,E219,IF($A$1=$H$1,H219,IF($A$1=$K$1,K219,IF($A$1=$N$1,N219,IF($A$1=$Q$1,Q219,IF($A$1=$T$1,T219,IF($A$1=$W$1,W219,IF($A$1=$Z$1,Z219,IF($A$1=$AC$1,AC219,IF($A$1=$AF$1,AF219,IF($A$1=$AI$1,AI219))))))))))))</f>
        <v/>
      </c>
      <c r="AP219" s="44">
        <f>IF($A$1=$B$1,C219,IF($A$1=$E$1,F219,IF($A$1=$H$1,I219,IF($A$1=$K$1,L219,IF($A$1=$N$1,O219,IF($A$1=$Q$1,R219,IF($A$1=$T$1,U219,IF($A$1=$W$1,X219,IF($A$1=$Z$1,AA219,IF($A$1=$AC$1,AD219,IF($A$1=$AF$1,AG219,IF($A$1=$AI$1,AJ219))))))))))))</f>
        <v/>
      </c>
    </row>
    <row r="220" ht="15.5" customHeight="1">
      <c r="A220" s="26" t="inlineStr">
        <is>
          <t>Jantaş</t>
        </is>
      </c>
      <c r="B220" s="7">
        <f>'Bütçe aylık-Eur'!$B$142</f>
        <v/>
      </c>
      <c r="C220" s="7">
        <f>'gerç aylık-eur'!$B$141</f>
        <v/>
      </c>
      <c r="D220" s="7" t="n"/>
      <c r="E220" s="7">
        <f>'Bütçe aylık-Eur'!$C$142</f>
        <v/>
      </c>
      <c r="F220" s="7">
        <f>'gerç aylık-eur'!$C$141</f>
        <v/>
      </c>
      <c r="G220" s="7" t="n"/>
      <c r="H220" s="7">
        <f>'Bütçe aylık-Eur'!$D$142</f>
        <v/>
      </c>
      <c r="I220" s="7">
        <f>'gerç aylık-eur'!$D$141</f>
        <v/>
      </c>
      <c r="J220" s="7" t="n"/>
      <c r="K220" s="7">
        <f>'Bütçe aylık-Eur'!$E$142</f>
        <v/>
      </c>
      <c r="L220" s="7">
        <f>'gerç aylık-eur'!$E$141</f>
        <v/>
      </c>
      <c r="M220" s="7" t="n"/>
      <c r="N220" s="7">
        <f>'Bütçe aylık-Eur'!$F$142</f>
        <v/>
      </c>
      <c r="O220" s="7">
        <f>'gerç aylık-eur'!$F$141</f>
        <v/>
      </c>
      <c r="P220" s="7" t="n"/>
      <c r="Q220" s="7">
        <f>'Bütçe aylık-Eur'!$G$142</f>
        <v/>
      </c>
      <c r="R220" s="7">
        <f>'gerç aylık-eur'!$G$141</f>
        <v/>
      </c>
      <c r="S220" s="7" t="n"/>
      <c r="T220" s="7">
        <f>'Bütçe aylık-Eur'!$H$142</f>
        <v/>
      </c>
      <c r="U220" s="7">
        <f>'gerç aylık-eur'!$H$141</f>
        <v/>
      </c>
      <c r="V220" s="7" t="n"/>
      <c r="W220" s="7">
        <f>'Bütçe aylık-Eur'!$I$142</f>
        <v/>
      </c>
      <c r="X220" s="7">
        <f>'gerç aylık-eur'!$I$141</f>
        <v/>
      </c>
      <c r="Y220" s="7" t="n"/>
      <c r="Z220" s="7">
        <f>'Bütçe aylık-Eur'!$J$142</f>
        <v/>
      </c>
      <c r="AA220" s="7">
        <f>'gerç aylık-eur'!$J$141</f>
        <v/>
      </c>
      <c r="AB220" s="7" t="n"/>
      <c r="AC220" s="7">
        <f>'Bütçe aylık-Eur'!$K$142</f>
        <v/>
      </c>
      <c r="AD220" s="7">
        <f>'gerç aylık-eur'!$K$141</f>
        <v/>
      </c>
      <c r="AE220" s="7" t="n"/>
      <c r="AF220" s="7">
        <f>'Bütçe aylık-Eur'!$L$142</f>
        <v/>
      </c>
      <c r="AG220" s="7">
        <f>'gerç aylık-eur'!$L$141</f>
        <v/>
      </c>
      <c r="AH220" s="7" t="n"/>
      <c r="AI220" s="7">
        <f>'Bütçe aylık-Eur'!$M$142</f>
        <v/>
      </c>
      <c r="AJ220" s="7">
        <f>'gerç aylık-eur'!$M$141</f>
        <v/>
      </c>
      <c r="AK220" s="7" t="n"/>
      <c r="AL220" s="21">
        <f>AP220-AO220</f>
        <v/>
      </c>
      <c r="AM220" s="22">
        <f>AP220/AO220-1</f>
        <v/>
      </c>
      <c r="AO220" s="44">
        <f>IF($A$1=$B$1,B220,IF($A$1=$E$1,E220,IF($A$1=$H$1,H220,IF($A$1=$K$1,K220,IF($A$1=$N$1,N220,IF($A$1=$Q$1,Q220,IF($A$1=$T$1,T220,IF($A$1=$W$1,W220,IF($A$1=$Z$1,Z220,IF($A$1=$AC$1,AC220,IF($A$1=$AF$1,AF220,IF($A$1=$AI$1,AI220))))))))))))</f>
        <v/>
      </c>
      <c r="AP220" s="44">
        <f>IF($A$1=$B$1,C220,IF($A$1=$E$1,F220,IF($A$1=$H$1,I220,IF($A$1=$K$1,L220,IF($A$1=$N$1,O220,IF($A$1=$Q$1,R220,IF($A$1=$T$1,U220,IF($A$1=$W$1,X220,IF($A$1=$Z$1,AA220,IF($A$1=$AC$1,AD220,IF($A$1=$AF$1,AG220,IF($A$1=$AI$1,AJ220))))))))))))</f>
        <v/>
      </c>
    </row>
    <row r="221" ht="15.5" customFormat="1" customHeight="1" s="1">
      <c r="A221" s="26" t="inlineStr">
        <is>
          <t>Çelik</t>
        </is>
      </c>
      <c r="B221" s="7">
        <f>'Bütçe aylık-Eur'!$B$143</f>
        <v/>
      </c>
      <c r="C221" s="7">
        <f>'gerç aylık-eur'!$B$142</f>
        <v/>
      </c>
      <c r="D221" s="8" t="n"/>
      <c r="E221" s="7">
        <f>'Bütçe aylık-Eur'!$C$143</f>
        <v/>
      </c>
      <c r="F221" s="7">
        <f>'gerç aylık-eur'!$C$142</f>
        <v/>
      </c>
      <c r="G221" s="8" t="n"/>
      <c r="H221" s="7">
        <f>'Bütçe aylık-Eur'!$D$143</f>
        <v/>
      </c>
      <c r="I221" s="7">
        <f>'gerç aylık-eur'!$D$142</f>
        <v/>
      </c>
      <c r="J221" s="8" t="n"/>
      <c r="K221" s="7">
        <f>'Bütçe aylık-Eur'!$E$143</f>
        <v/>
      </c>
      <c r="L221" s="7">
        <f>'gerç aylık-eur'!$E$142</f>
        <v/>
      </c>
      <c r="M221" s="8" t="n"/>
      <c r="N221" s="7">
        <f>'Bütçe aylık-Eur'!$F$143</f>
        <v/>
      </c>
      <c r="O221" s="7">
        <f>'gerç aylık-eur'!$F$142</f>
        <v/>
      </c>
      <c r="P221" s="8" t="n"/>
      <c r="Q221" s="7">
        <f>'Bütçe aylık-Eur'!$G$143</f>
        <v/>
      </c>
      <c r="R221" s="7">
        <f>'gerç aylık-eur'!$G$142</f>
        <v/>
      </c>
      <c r="S221" s="8" t="n"/>
      <c r="T221" s="7">
        <f>'Bütçe aylık-Eur'!$H$143</f>
        <v/>
      </c>
      <c r="U221" s="7">
        <f>'gerç aylık-eur'!$H$142</f>
        <v/>
      </c>
      <c r="V221" s="8" t="n"/>
      <c r="W221" s="7">
        <f>'Bütçe aylık-Eur'!$I$143</f>
        <v/>
      </c>
      <c r="X221" s="7">
        <f>'gerç aylık-eur'!$I$142</f>
        <v/>
      </c>
      <c r="Y221" s="8" t="n"/>
      <c r="Z221" s="7">
        <f>'Bütçe aylık-Eur'!$J$143</f>
        <v/>
      </c>
      <c r="AA221" s="7">
        <f>'gerç aylık-eur'!$J$142</f>
        <v/>
      </c>
      <c r="AB221" s="8" t="n"/>
      <c r="AC221" s="7">
        <f>'Bütçe aylık-Eur'!$K$143</f>
        <v/>
      </c>
      <c r="AD221" s="7">
        <f>'gerç aylık-eur'!$K$142</f>
        <v/>
      </c>
      <c r="AE221" s="8" t="n"/>
      <c r="AF221" s="7">
        <f>'Bütçe aylık-Eur'!$L$143</f>
        <v/>
      </c>
      <c r="AG221" s="7">
        <f>'gerç aylık-eur'!$L$142</f>
        <v/>
      </c>
      <c r="AH221" s="8" t="n"/>
      <c r="AI221" s="7">
        <f>'Bütçe aylık-Eur'!$M$143</f>
        <v/>
      </c>
      <c r="AJ221" s="7">
        <f>'gerç aylık-eur'!$M$142</f>
        <v/>
      </c>
      <c r="AK221" s="8" t="n"/>
      <c r="AL221" s="21">
        <f>AP221-AO221</f>
        <v/>
      </c>
      <c r="AM221" s="22">
        <f>AP221/AO221-1</f>
        <v/>
      </c>
      <c r="AO221" s="44">
        <f>IF($A$1=$B$1,B221,IF($A$1=$E$1,E221,IF($A$1=$H$1,H221,IF($A$1=$K$1,K221,IF($A$1=$N$1,N221,IF($A$1=$Q$1,Q221,IF($A$1=$T$1,T221,IF($A$1=$W$1,W221,IF($A$1=$Z$1,Z221,IF($A$1=$AC$1,AC221,IF($A$1=$AF$1,AF221,IF($A$1=$AI$1,AI221))))))))))))</f>
        <v/>
      </c>
      <c r="AP221" s="44">
        <f>IF($A$1=$B$1,C221,IF($A$1=$E$1,F221,IF($A$1=$H$1,I221,IF($A$1=$K$1,L221,IF($A$1=$N$1,O221,IF($A$1=$Q$1,R221,IF($A$1=$T$1,U221,IF($A$1=$W$1,X221,IF($A$1=$Z$1,AA221,IF($A$1=$AC$1,AD221,IF($A$1=$AF$1,AG221,IF($A$1=$AI$1,AJ221))))))))))))</f>
        <v/>
      </c>
    </row>
    <row r="222" ht="15.5" customFormat="1" customHeight="1" s="1">
      <c r="A222" s="26" t="inlineStr">
        <is>
          <t>Alüminyum</t>
        </is>
      </c>
      <c r="B222" s="7">
        <f>'Bütçe aylık-Eur'!$B$144</f>
        <v/>
      </c>
      <c r="C222" s="7">
        <f>'gerç aylık-eur'!$B$143</f>
        <v/>
      </c>
      <c r="D222" s="8" t="n"/>
      <c r="E222" s="7">
        <f>'Bütçe aylık-Eur'!$C$144</f>
        <v/>
      </c>
      <c r="F222" s="7">
        <f>'gerç aylık-eur'!$C$143</f>
        <v/>
      </c>
      <c r="G222" s="8" t="n"/>
      <c r="H222" s="7">
        <f>'Bütçe aylık-Eur'!$D$144</f>
        <v/>
      </c>
      <c r="I222" s="7">
        <f>'gerç aylık-eur'!$D$143</f>
        <v/>
      </c>
      <c r="J222" s="8" t="n"/>
      <c r="K222" s="7">
        <f>'Bütçe aylık-Eur'!$E$144</f>
        <v/>
      </c>
      <c r="L222" s="7">
        <f>'gerç aylık-eur'!$E$143</f>
        <v/>
      </c>
      <c r="M222" s="8" t="n"/>
      <c r="N222" s="7">
        <f>'Bütçe aylık-Eur'!$F$144</f>
        <v/>
      </c>
      <c r="O222" s="7">
        <f>'gerç aylık-eur'!$F$143</f>
        <v/>
      </c>
      <c r="P222" s="8" t="n"/>
      <c r="Q222" s="7">
        <f>'Bütçe aylık-Eur'!$G$144</f>
        <v/>
      </c>
      <c r="R222" s="7">
        <f>'gerç aylık-eur'!$G$143</f>
        <v/>
      </c>
      <c r="S222" s="8" t="n"/>
      <c r="T222" s="7">
        <f>'Bütçe aylık-Eur'!$H$144</f>
        <v/>
      </c>
      <c r="U222" s="7">
        <f>'gerç aylık-eur'!$H$143</f>
        <v/>
      </c>
      <c r="V222" s="8" t="n"/>
      <c r="W222" s="7">
        <f>'Bütçe aylık-Eur'!$I$144</f>
        <v/>
      </c>
      <c r="X222" s="7">
        <f>'gerç aylık-eur'!$I$143</f>
        <v/>
      </c>
      <c r="Y222" s="8" t="n"/>
      <c r="Z222" s="7">
        <f>'Bütçe aylık-Eur'!$J$144</f>
        <v/>
      </c>
      <c r="AA222" s="7">
        <f>'gerç aylık-eur'!$J$143</f>
        <v/>
      </c>
      <c r="AB222" s="8" t="n"/>
      <c r="AC222" s="7">
        <f>'Bütçe aylık-Eur'!$K$144</f>
        <v/>
      </c>
      <c r="AD222" s="7">
        <f>'gerç aylık-eur'!$K$143</f>
        <v/>
      </c>
      <c r="AE222" s="8" t="n"/>
      <c r="AF222" s="7">
        <f>'Bütçe aylık-Eur'!$L$144</f>
        <v/>
      </c>
      <c r="AG222" s="7">
        <f>'gerç aylık-eur'!$L$143</f>
        <v/>
      </c>
      <c r="AH222" s="8" t="n"/>
      <c r="AI222" s="7">
        <f>'Bütçe aylık-Eur'!$M$144</f>
        <v/>
      </c>
      <c r="AJ222" s="7">
        <f>'gerç aylık-eur'!$M$143</f>
        <v/>
      </c>
      <c r="AK222" s="8" t="n"/>
      <c r="AL222" s="21">
        <f>AP222-AO222</f>
        <v/>
      </c>
      <c r="AM222" s="22">
        <f>AP222/AO222-1</f>
        <v/>
      </c>
      <c r="AO222" s="44">
        <f>IF($A$1=$B$1,B222,IF($A$1=$E$1,E222,IF($A$1=$H$1,H222,IF($A$1=$K$1,K222,IF($A$1=$N$1,N222,IF($A$1=$Q$1,Q222,IF($A$1=$T$1,T222,IF($A$1=$W$1,W222,IF($A$1=$Z$1,Z222,IF($A$1=$AC$1,AC222,IF($A$1=$AF$1,AF222,IF($A$1=$AI$1,AI222))))))))))))</f>
        <v/>
      </c>
      <c r="AP222" s="44">
        <f>IF($A$1=$B$1,C222,IF($A$1=$E$1,F222,IF($A$1=$H$1,I222,IF($A$1=$K$1,L222,IF($A$1=$N$1,O222,IF($A$1=$Q$1,R222,IF($A$1=$T$1,U222,IF($A$1=$W$1,X222,IF($A$1=$Z$1,AA222,IF($A$1=$AC$1,AD222,IF($A$1=$AF$1,AG222,IF($A$1=$AI$1,AJ222))))))))))))</f>
        <v/>
      </c>
    </row>
    <row r="223" ht="15.5" customFormat="1" customHeight="1" s="1">
      <c r="A223" s="26" t="n"/>
      <c r="B223" s="7" t="n"/>
      <c r="C223" s="8" t="n"/>
      <c r="D223" s="8" t="n"/>
      <c r="E223" s="7" t="n"/>
      <c r="F223" s="8" t="n"/>
      <c r="G223" s="8" t="n"/>
      <c r="H223" s="7" t="n"/>
      <c r="I223" s="8" t="n"/>
      <c r="J223" s="8" t="n"/>
      <c r="K223" s="7" t="n"/>
      <c r="L223" s="8" t="n"/>
      <c r="M223" s="8" t="n"/>
      <c r="N223" s="7" t="n"/>
      <c r="O223" s="8" t="n"/>
      <c r="P223" s="8" t="n"/>
      <c r="Q223" s="7" t="n"/>
      <c r="R223" s="8" t="n"/>
      <c r="S223" s="8" t="n"/>
      <c r="T223" s="7" t="n"/>
      <c r="U223" s="8" t="n"/>
      <c r="V223" s="8" t="n"/>
      <c r="W223" s="7" t="n"/>
      <c r="X223" s="8" t="n"/>
      <c r="Y223" s="8" t="n"/>
      <c r="Z223" s="7" t="n"/>
      <c r="AA223" s="8" t="n"/>
      <c r="AB223" s="8" t="n"/>
      <c r="AC223" s="7" t="n"/>
      <c r="AD223" s="8" t="n"/>
      <c r="AE223" s="8" t="n"/>
      <c r="AF223" s="7" t="n"/>
      <c r="AG223" s="8" t="n"/>
      <c r="AH223" s="8" t="n"/>
      <c r="AI223" s="7" t="n"/>
      <c r="AJ223" s="8" t="n"/>
      <c r="AK223" s="8" t="n"/>
      <c r="AL223" s="15" t="n"/>
      <c r="AM223" s="16" t="n"/>
      <c r="AO223" s="44" t="n"/>
      <c r="AP223" s="44" t="n"/>
    </row>
    <row r="224" ht="15.5" customFormat="1" customHeight="1" s="1">
      <c r="A224" s="26" t="n"/>
      <c r="B224" s="7" t="n"/>
      <c r="C224" s="8" t="n"/>
      <c r="D224" s="8" t="n"/>
      <c r="E224" s="7" t="n"/>
      <c r="F224" s="8" t="n"/>
      <c r="G224" s="8" t="n"/>
      <c r="H224" s="7" t="n"/>
      <c r="I224" s="8" t="n"/>
      <c r="J224" s="8" t="n"/>
      <c r="K224" s="7" t="n"/>
      <c r="L224" s="8" t="n"/>
      <c r="M224" s="8" t="n"/>
      <c r="N224" s="7" t="n"/>
      <c r="O224" s="8" t="n"/>
      <c r="P224" s="8" t="n"/>
      <c r="Q224" s="7" t="n"/>
      <c r="R224" s="8" t="n"/>
      <c r="S224" s="8" t="n"/>
      <c r="T224" s="7" t="n"/>
      <c r="U224" s="8" t="n"/>
      <c r="V224" s="8" t="n"/>
      <c r="W224" s="7" t="n"/>
      <c r="X224" s="8" t="n"/>
      <c r="Y224" s="8" t="n"/>
      <c r="Z224" s="7" t="n"/>
      <c r="AA224" s="8" t="n"/>
      <c r="AB224" s="8" t="n"/>
      <c r="AC224" s="7" t="n"/>
      <c r="AD224" s="8" t="n"/>
      <c r="AE224" s="8" t="n"/>
      <c r="AF224" s="7" t="n"/>
      <c r="AG224" s="8" t="n"/>
      <c r="AH224" s="8" t="n"/>
      <c r="AI224" s="7" t="n"/>
      <c r="AJ224" s="8" t="n"/>
      <c r="AK224" s="8" t="n"/>
      <c r="AL224" s="15" t="n"/>
      <c r="AM224" s="16" t="n"/>
      <c r="AO224" s="44" t="n"/>
      <c r="AP224" s="44" t="n"/>
    </row>
    <row r="225" ht="17" customFormat="1" customHeight="1" s="49">
      <c r="A225" s="47" t="inlineStr">
        <is>
          <t>Net Kar Marjı</t>
        </is>
      </c>
      <c r="B225" s="413" t="n"/>
      <c r="C225" s="413" t="n"/>
      <c r="D225" s="413" t="n"/>
      <c r="E225" s="413" t="n"/>
      <c r="F225" s="413" t="n"/>
      <c r="G225" s="413" t="n"/>
      <c r="H225" s="413" t="n"/>
      <c r="I225" s="413" t="n"/>
      <c r="J225" s="413" t="n"/>
      <c r="K225" s="413" t="n"/>
      <c r="L225" s="413" t="n"/>
      <c r="M225" s="413" t="n"/>
      <c r="N225" s="413" t="n"/>
      <c r="O225" s="413" t="n"/>
      <c r="P225" s="413" t="n"/>
      <c r="Q225" s="413" t="n"/>
      <c r="R225" s="413" t="n"/>
      <c r="S225" s="413" t="n"/>
      <c r="T225" s="413" t="n"/>
      <c r="U225" s="413" t="n"/>
      <c r="V225" s="413" t="n"/>
      <c r="W225" s="413" t="n"/>
      <c r="X225" s="413" t="n"/>
      <c r="Y225" s="413" t="n"/>
      <c r="Z225" s="413" t="n"/>
      <c r="AA225" s="413" t="n"/>
      <c r="AB225" s="413" t="n"/>
      <c r="AC225" s="413" t="n"/>
      <c r="AD225" s="413" t="n"/>
      <c r="AE225" s="413" t="n"/>
      <c r="AF225" s="413" t="n"/>
      <c r="AG225" s="413" t="n"/>
      <c r="AH225" s="413" t="n"/>
      <c r="AI225" s="413" t="n"/>
      <c r="AJ225" s="413" t="n"/>
      <c r="AK225" s="413" t="n"/>
      <c r="AL225" s="413" t="n"/>
      <c r="AM225" s="48" t="n"/>
    </row>
    <row r="226" ht="15.5" customHeight="1">
      <c r="A226" s="26" t="inlineStr">
        <is>
          <t xml:space="preserve">İnci Holding </t>
        </is>
      </c>
      <c r="B226" s="5">
        <f>B215/B9</f>
        <v/>
      </c>
      <c r="C226" s="5">
        <f>C215/C9</f>
        <v/>
      </c>
      <c r="D226" s="7" t="n"/>
      <c r="E226" s="5">
        <f>E215/E9</f>
        <v/>
      </c>
      <c r="F226" s="5">
        <f>F215/F9</f>
        <v/>
      </c>
      <c r="G226" s="7" t="n"/>
      <c r="H226" s="5">
        <f>H215/H9</f>
        <v/>
      </c>
      <c r="I226" s="5">
        <f>I215/I9</f>
        <v/>
      </c>
      <c r="J226" s="7" t="n"/>
      <c r="K226" s="5">
        <f>K215/K9</f>
        <v/>
      </c>
      <c r="L226" s="5">
        <f>L215/L9</f>
        <v/>
      </c>
      <c r="M226" s="7" t="n"/>
      <c r="N226" s="5">
        <f>N215/N9</f>
        <v/>
      </c>
      <c r="O226" s="5">
        <f>O215/O9</f>
        <v/>
      </c>
      <c r="P226" s="7" t="n"/>
      <c r="Q226" s="5">
        <f>Q215/Q9</f>
        <v/>
      </c>
      <c r="R226" s="5">
        <f>R215/R9</f>
        <v/>
      </c>
      <c r="S226" s="7" t="n"/>
      <c r="T226" s="5">
        <f>T215/T9</f>
        <v/>
      </c>
      <c r="U226" s="5">
        <f>U215/U9</f>
        <v/>
      </c>
      <c r="V226" s="7" t="n"/>
      <c r="W226" s="5">
        <f>W215/W9</f>
        <v/>
      </c>
      <c r="X226" s="5">
        <f>X215/X9</f>
        <v/>
      </c>
      <c r="Y226" s="7" t="n"/>
      <c r="Z226" s="5">
        <f>Z215/Z9</f>
        <v/>
      </c>
      <c r="AA226" s="5">
        <f>AA215/AA9</f>
        <v/>
      </c>
      <c r="AB226" s="7" t="n"/>
      <c r="AC226" s="5">
        <f>AC215/AC9</f>
        <v/>
      </c>
      <c r="AD226" s="5">
        <f>AD215/AD9</f>
        <v/>
      </c>
      <c r="AE226" s="7" t="n"/>
      <c r="AF226" s="5">
        <f>AF215/AF9</f>
        <v/>
      </c>
      <c r="AG226" s="5">
        <f>AG215/AG9</f>
        <v/>
      </c>
      <c r="AH226" s="7" t="n"/>
      <c r="AI226" s="5">
        <f>AI215/AI9</f>
        <v/>
      </c>
      <c r="AJ226" s="5">
        <f>AJ215/AJ9</f>
        <v/>
      </c>
      <c r="AK226" s="7" t="n"/>
      <c r="AL226" s="21" t="n"/>
      <c r="AM226" s="22">
        <f>AP226-AO226</f>
        <v/>
      </c>
      <c r="AO226" s="44">
        <f>IF($A$1=$B$1,B226,IF($A$1=$E$1,E226,IF($A$1=$H$1,H226,IF($A$1=$K$1,K226,IF($A$1=$N$1,N226,IF($A$1=$Q$1,Q226,IF($A$1=$T$1,T226,IF($A$1=$W$1,W226,IF($A$1=$Z$1,Z226,IF($A$1=$AC$1,AC226,IF($A$1=$AF$1,AF226,IF($A$1=$AI$1,AI226))))))))))))</f>
        <v/>
      </c>
      <c r="AP226" s="44">
        <f>IF($A$1=$B$1,C226,IF($A$1=$E$1,F226,IF($A$1=$H$1,I226,IF($A$1=$K$1,L226,IF($A$1=$N$1,O226,IF($A$1=$Q$1,R226,IF($A$1=$T$1,U226,IF($A$1=$W$1,X226,IF($A$1=$Z$1,AA226,IF($A$1=$AC$1,AD226,IF($A$1=$AF$1,AG226,IF($A$1=$AI$1,AJ226))))))))))))</f>
        <v/>
      </c>
    </row>
    <row r="227" ht="15.5" customHeight="1">
      <c r="A227" s="26" t="inlineStr">
        <is>
          <t xml:space="preserve">ISM </t>
        </is>
      </c>
      <c r="B227" s="5">
        <f>B216/B10</f>
        <v/>
      </c>
      <c r="C227" s="5">
        <f>C216/C10</f>
        <v/>
      </c>
      <c r="D227" s="7" t="n"/>
      <c r="E227" s="5">
        <f>E216/E10</f>
        <v/>
      </c>
      <c r="F227" s="5">
        <f>F216/F10</f>
        <v/>
      </c>
      <c r="G227" s="7" t="n"/>
      <c r="H227" s="5">
        <f>H216/H10</f>
        <v/>
      </c>
      <c r="I227" s="5">
        <f>I216/I10</f>
        <v/>
      </c>
      <c r="J227" s="7" t="n"/>
      <c r="K227" s="5">
        <f>K216/K10</f>
        <v/>
      </c>
      <c r="L227" s="5">
        <f>L216/L10</f>
        <v/>
      </c>
      <c r="M227" s="7" t="n"/>
      <c r="N227" s="5">
        <f>N216/N10</f>
        <v/>
      </c>
      <c r="O227" s="5">
        <f>O216/O10</f>
        <v/>
      </c>
      <c r="P227" s="7" t="n"/>
      <c r="Q227" s="5">
        <f>Q216/Q10</f>
        <v/>
      </c>
      <c r="R227" s="5">
        <f>R216/R10</f>
        <v/>
      </c>
      <c r="S227" s="7" t="n"/>
      <c r="T227" s="5">
        <f>T216/T10</f>
        <v/>
      </c>
      <c r="U227" s="5">
        <f>U216/U10</f>
        <v/>
      </c>
      <c r="V227" s="7" t="n"/>
      <c r="W227" s="5">
        <f>W216/W10</f>
        <v/>
      </c>
      <c r="X227" s="5">
        <f>X216/X10</f>
        <v/>
      </c>
      <c r="Y227" s="7" t="n"/>
      <c r="Z227" s="5">
        <f>Z216/Z10</f>
        <v/>
      </c>
      <c r="AA227" s="5">
        <f>AA216/AA10</f>
        <v/>
      </c>
      <c r="AB227" s="7" t="n"/>
      <c r="AC227" s="5">
        <f>AC216/AC10</f>
        <v/>
      </c>
      <c r="AD227" s="5">
        <f>AD216/AD10</f>
        <v/>
      </c>
      <c r="AE227" s="7" t="n"/>
      <c r="AF227" s="5">
        <f>AF216/AF10</f>
        <v/>
      </c>
      <c r="AG227" s="5">
        <f>AG216/AG10</f>
        <v/>
      </c>
      <c r="AH227" s="7" t="n"/>
      <c r="AI227" s="5">
        <f>AI216/AI10</f>
        <v/>
      </c>
      <c r="AJ227" s="5">
        <f>AJ216/AJ10</f>
        <v/>
      </c>
      <c r="AK227" s="7" t="n"/>
      <c r="AL227" s="21" t="n"/>
      <c r="AM227" s="22">
        <f>AP227-AO227</f>
        <v/>
      </c>
      <c r="AO227" s="44">
        <f>IF($A$1=$B$1,B227,IF($A$1=$E$1,E227,IF($A$1=$H$1,H227,IF($A$1=$K$1,K227,IF($A$1=$N$1,N227,IF($A$1=$Q$1,Q227,IF($A$1=$T$1,T227,IF($A$1=$W$1,W227,IF($A$1=$Z$1,Z227,IF($A$1=$AC$1,AC227,IF($A$1=$AF$1,AF227,IF($A$1=$AI$1,AI227))))))))))))</f>
        <v/>
      </c>
      <c r="AP227" s="44">
        <f>IF($A$1=$B$1,C227,IF($A$1=$E$1,F227,IF($A$1=$H$1,I227,IF($A$1=$K$1,L227,IF($A$1=$N$1,O227,IF($A$1=$Q$1,R227,IF($A$1=$T$1,U227,IF($A$1=$W$1,X227,IF($A$1=$Z$1,AA227,IF($A$1=$AC$1,AD227,IF($A$1=$AF$1,AG227,IF($A$1=$AI$1,AJ227))))))))))))</f>
        <v/>
      </c>
    </row>
    <row r="228" ht="15.5" customHeight="1">
      <c r="A228" s="26" t="inlineStr">
        <is>
          <t>İncitaş</t>
        </is>
      </c>
      <c r="B228" s="5">
        <f>B217/B11</f>
        <v/>
      </c>
      <c r="C228" s="5">
        <f>C217/C11</f>
        <v/>
      </c>
      <c r="D228" s="7" t="n"/>
      <c r="E228" s="5">
        <f>E217/E11</f>
        <v/>
      </c>
      <c r="F228" s="5">
        <f>F217/F11</f>
        <v/>
      </c>
      <c r="G228" s="7" t="n"/>
      <c r="H228" s="5">
        <f>H217/H11</f>
        <v/>
      </c>
      <c r="I228" s="5">
        <f>I217/I11</f>
        <v/>
      </c>
      <c r="J228" s="7" t="n"/>
      <c r="K228" s="5">
        <f>K217/K11</f>
        <v/>
      </c>
      <c r="L228" s="5">
        <f>L217/L11</f>
        <v/>
      </c>
      <c r="M228" s="7" t="n"/>
      <c r="N228" s="5">
        <f>N217/N11</f>
        <v/>
      </c>
      <c r="O228" s="5">
        <f>O217/O11</f>
        <v/>
      </c>
      <c r="P228" s="7" t="n"/>
      <c r="Q228" s="5">
        <f>Q217/Q11</f>
        <v/>
      </c>
      <c r="R228" s="5">
        <f>R217/R11</f>
        <v/>
      </c>
      <c r="S228" s="7" t="n"/>
      <c r="T228" s="5">
        <f>T217/T11</f>
        <v/>
      </c>
      <c r="U228" s="5">
        <f>U217/U11</f>
        <v/>
      </c>
      <c r="V228" s="7" t="n"/>
      <c r="W228" s="5">
        <f>W217/W11</f>
        <v/>
      </c>
      <c r="X228" s="5">
        <f>X217/X11</f>
        <v/>
      </c>
      <c r="Y228" s="7" t="n"/>
      <c r="Z228" s="5">
        <f>Z217/Z11</f>
        <v/>
      </c>
      <c r="AA228" s="5">
        <f>AA217/AA11</f>
        <v/>
      </c>
      <c r="AB228" s="7" t="n"/>
      <c r="AC228" s="5">
        <f>AC217/AC11</f>
        <v/>
      </c>
      <c r="AD228" s="5">
        <f>AD217/AD11</f>
        <v/>
      </c>
      <c r="AE228" s="7" t="n"/>
      <c r="AF228" s="5">
        <f>AF217/AF11</f>
        <v/>
      </c>
      <c r="AG228" s="5">
        <f>AG217/AG11</f>
        <v/>
      </c>
      <c r="AH228" s="7" t="n"/>
      <c r="AI228" s="5">
        <f>AI217/AI11</f>
        <v/>
      </c>
      <c r="AJ228" s="5">
        <f>AJ217/AJ11</f>
        <v/>
      </c>
      <c r="AK228" s="7" t="n"/>
      <c r="AL228" s="21" t="n"/>
      <c r="AM228" s="22">
        <f>AP228-AO228</f>
        <v/>
      </c>
      <c r="AO228" s="44">
        <f>IF($A$1=$B$1,B228,IF($A$1=$E$1,E228,IF($A$1=$H$1,H228,IF($A$1=$K$1,K228,IF($A$1=$N$1,N228,IF($A$1=$Q$1,Q228,IF($A$1=$T$1,T228,IF($A$1=$W$1,W228,IF($A$1=$Z$1,Z228,IF($A$1=$AC$1,AC228,IF($A$1=$AF$1,AF228,IF($A$1=$AI$1,AI228))))))))))))</f>
        <v/>
      </c>
      <c r="AP228" s="44">
        <f>IF($A$1=$B$1,C228,IF($A$1=$E$1,F228,IF($A$1=$H$1,I228,IF($A$1=$K$1,L228,IF($A$1=$N$1,O228,IF($A$1=$Q$1,R228,IF($A$1=$T$1,U228,IF($A$1=$W$1,X228,IF($A$1=$Z$1,AA228,IF($A$1=$AC$1,AD228,IF($A$1=$AF$1,AG228,IF($A$1=$AI$1,AJ228))))))))))))</f>
        <v/>
      </c>
    </row>
    <row r="229" ht="15.5" customHeight="1">
      <c r="A229" s="26" t="inlineStr">
        <is>
          <t>İnci GS Yuasa</t>
        </is>
      </c>
      <c r="B229" s="5">
        <f>B218/B12</f>
        <v/>
      </c>
      <c r="C229" s="5">
        <f>C218/C12</f>
        <v/>
      </c>
      <c r="D229" s="7" t="n"/>
      <c r="E229" s="5">
        <f>E218/E12</f>
        <v/>
      </c>
      <c r="F229" s="5">
        <f>F218/F12</f>
        <v/>
      </c>
      <c r="G229" s="7" t="n"/>
      <c r="H229" s="5">
        <f>H218/H12</f>
        <v/>
      </c>
      <c r="I229" s="5">
        <f>I218/I12</f>
        <v/>
      </c>
      <c r="J229" s="7" t="n"/>
      <c r="K229" s="5">
        <f>K218/K12</f>
        <v/>
      </c>
      <c r="L229" s="5">
        <f>L218/L12</f>
        <v/>
      </c>
      <c r="M229" s="7" t="n"/>
      <c r="N229" s="5">
        <f>N218/N12</f>
        <v/>
      </c>
      <c r="O229" s="5">
        <f>O218/O12</f>
        <v/>
      </c>
      <c r="P229" s="7" t="n"/>
      <c r="Q229" s="5">
        <f>Q218/Q12</f>
        <v/>
      </c>
      <c r="R229" s="5">
        <f>R218/R12</f>
        <v/>
      </c>
      <c r="S229" s="7" t="n"/>
      <c r="T229" s="5">
        <f>T218/T12</f>
        <v/>
      </c>
      <c r="U229" s="5">
        <f>U218/U12</f>
        <v/>
      </c>
      <c r="V229" s="7" t="n"/>
      <c r="W229" s="5">
        <f>W218/W12</f>
        <v/>
      </c>
      <c r="X229" s="5">
        <f>X218/X12</f>
        <v/>
      </c>
      <c r="Y229" s="7" t="n"/>
      <c r="Z229" s="5">
        <f>Z218/Z12</f>
        <v/>
      </c>
      <c r="AA229" s="5">
        <f>AA218/AA12</f>
        <v/>
      </c>
      <c r="AB229" s="7" t="n"/>
      <c r="AC229" s="5">
        <f>AC218/AC12</f>
        <v/>
      </c>
      <c r="AD229" s="5">
        <f>AD218/AD12</f>
        <v/>
      </c>
      <c r="AE229" s="7" t="n"/>
      <c r="AF229" s="5">
        <f>AF218/AF12</f>
        <v/>
      </c>
      <c r="AG229" s="5">
        <f>AG218/AG12</f>
        <v/>
      </c>
      <c r="AH229" s="7" t="n"/>
      <c r="AI229" s="5">
        <f>AI218/AI12</f>
        <v/>
      </c>
      <c r="AJ229" s="5">
        <f>AJ218/AJ12</f>
        <v/>
      </c>
      <c r="AK229" s="7" t="n"/>
      <c r="AL229" s="21" t="n"/>
      <c r="AM229" s="22">
        <f>AP229-AO229</f>
        <v/>
      </c>
      <c r="AO229" s="44">
        <f>IF($A$1=$B$1,B229,IF($A$1=$E$1,E229,IF($A$1=$H$1,H229,IF($A$1=$K$1,K229,IF($A$1=$N$1,N229,IF($A$1=$Q$1,Q229,IF($A$1=$T$1,T229,IF($A$1=$W$1,W229,IF($A$1=$Z$1,Z229,IF($A$1=$AC$1,AC229,IF($A$1=$AF$1,AF229,IF($A$1=$AI$1,AI229))))))))))))</f>
        <v/>
      </c>
      <c r="AP229" s="44">
        <f>IF($A$1=$B$1,C229,IF($A$1=$E$1,F229,IF($A$1=$H$1,I229,IF($A$1=$K$1,L229,IF($A$1=$N$1,O229,IF($A$1=$Q$1,R229,IF($A$1=$T$1,U229,IF($A$1=$W$1,X229,IF($A$1=$Z$1,AA229,IF($A$1=$AC$1,AD229,IF($A$1=$AF$1,AG229,IF($A$1=$AI$1,AJ229))))))))))))</f>
        <v/>
      </c>
    </row>
    <row r="230" ht="15.5" customFormat="1" customHeight="1" s="1">
      <c r="A230" s="26" t="inlineStr">
        <is>
          <t>Yusen İnci Loj.</t>
        </is>
      </c>
      <c r="B230" s="5">
        <f>B219/B13</f>
        <v/>
      </c>
      <c r="C230" s="5">
        <f>C219/C13</f>
        <v/>
      </c>
      <c r="D230" s="8" t="n"/>
      <c r="E230" s="5">
        <f>E219/E13</f>
        <v/>
      </c>
      <c r="F230" s="5">
        <f>F219/F13</f>
        <v/>
      </c>
      <c r="G230" s="8" t="n"/>
      <c r="H230" s="5">
        <f>H219/H13</f>
        <v/>
      </c>
      <c r="I230" s="5">
        <f>I219/I13</f>
        <v/>
      </c>
      <c r="J230" s="8" t="n"/>
      <c r="K230" s="5">
        <f>K219/K13</f>
        <v/>
      </c>
      <c r="L230" s="5">
        <f>L219/L13</f>
        <v/>
      </c>
      <c r="M230" s="8" t="n"/>
      <c r="N230" s="5">
        <f>N219/N13</f>
        <v/>
      </c>
      <c r="O230" s="5">
        <f>O219/O13</f>
        <v/>
      </c>
      <c r="P230" s="8" t="n"/>
      <c r="Q230" s="5">
        <f>Q219/Q13</f>
        <v/>
      </c>
      <c r="R230" s="5">
        <f>R219/R13</f>
        <v/>
      </c>
      <c r="S230" s="8" t="n"/>
      <c r="T230" s="5">
        <f>T219/T13</f>
        <v/>
      </c>
      <c r="U230" s="5">
        <f>U219/U13</f>
        <v/>
      </c>
      <c r="V230" s="8" t="n"/>
      <c r="W230" s="5">
        <f>W219/W13</f>
        <v/>
      </c>
      <c r="X230" s="5">
        <f>X219/X13</f>
        <v/>
      </c>
      <c r="Y230" s="8" t="n"/>
      <c r="Z230" s="5">
        <f>Z219/Z13</f>
        <v/>
      </c>
      <c r="AA230" s="5">
        <f>AA219/AA13</f>
        <v/>
      </c>
      <c r="AB230" s="8" t="n"/>
      <c r="AC230" s="5">
        <f>AC219/AC13</f>
        <v/>
      </c>
      <c r="AD230" s="5">
        <f>AD219/AD13</f>
        <v/>
      </c>
      <c r="AE230" s="8" t="n"/>
      <c r="AF230" s="5">
        <f>AF219/AF13</f>
        <v/>
      </c>
      <c r="AG230" s="5">
        <f>AG219/AG13</f>
        <v/>
      </c>
      <c r="AH230" s="8" t="n"/>
      <c r="AI230" s="5">
        <f>AI219/AI13</f>
        <v/>
      </c>
      <c r="AJ230" s="5">
        <f>AJ219/AJ13</f>
        <v/>
      </c>
      <c r="AK230" s="8" t="n"/>
      <c r="AL230" s="15" t="n"/>
      <c r="AM230" s="22">
        <f>AP230-AO230</f>
        <v/>
      </c>
      <c r="AO230" s="44">
        <f>IF($A$1=$B$1,B230,IF($A$1=$E$1,E230,IF($A$1=$H$1,H230,IF($A$1=$K$1,K230,IF($A$1=$N$1,N230,IF($A$1=$Q$1,Q230,IF($A$1=$T$1,T230,IF($A$1=$W$1,W230,IF($A$1=$Z$1,Z230,IF($A$1=$AC$1,AC230,IF($A$1=$AF$1,AF230,IF($A$1=$AI$1,AI230))))))))))))</f>
        <v/>
      </c>
      <c r="AP230" s="44">
        <f>IF($A$1=$B$1,C230,IF($A$1=$E$1,F230,IF($A$1=$H$1,I230,IF($A$1=$K$1,L230,IF($A$1=$N$1,O230,IF($A$1=$Q$1,R230,IF($A$1=$T$1,U230,IF($A$1=$W$1,X230,IF($A$1=$Z$1,AA230,IF($A$1=$AC$1,AD230,IF($A$1=$AF$1,AG230,IF($A$1=$AI$1,AJ230))))))))))))</f>
        <v/>
      </c>
    </row>
    <row r="231" ht="15.5" customHeight="1">
      <c r="A231" s="26" t="inlineStr">
        <is>
          <t>Jantaş</t>
        </is>
      </c>
      <c r="B231" s="5">
        <f>B220/B14</f>
        <v/>
      </c>
      <c r="C231" s="5">
        <f>C220/C14</f>
        <v/>
      </c>
      <c r="D231" s="7" t="n"/>
      <c r="E231" s="5">
        <f>E220/E14</f>
        <v/>
      </c>
      <c r="F231" s="5">
        <f>F220/F14</f>
        <v/>
      </c>
      <c r="G231" s="7" t="n"/>
      <c r="H231" s="5">
        <f>H220/H14</f>
        <v/>
      </c>
      <c r="I231" s="5">
        <f>I220/I14</f>
        <v/>
      </c>
      <c r="J231" s="7" t="n"/>
      <c r="K231" s="5">
        <f>K220/K14</f>
        <v/>
      </c>
      <c r="L231" s="5">
        <f>L220/L14</f>
        <v/>
      </c>
      <c r="M231" s="7" t="n"/>
      <c r="N231" s="5">
        <f>N220/N14</f>
        <v/>
      </c>
      <c r="O231" s="5">
        <f>O220/O14</f>
        <v/>
      </c>
      <c r="P231" s="7" t="n"/>
      <c r="Q231" s="5">
        <f>Q220/Q14</f>
        <v/>
      </c>
      <c r="R231" s="5">
        <f>R220/R14</f>
        <v/>
      </c>
      <c r="S231" s="7" t="n"/>
      <c r="T231" s="5">
        <f>T220/T14</f>
        <v/>
      </c>
      <c r="U231" s="5">
        <f>U220/U14</f>
        <v/>
      </c>
      <c r="V231" s="7" t="n"/>
      <c r="W231" s="5">
        <f>W220/W14</f>
        <v/>
      </c>
      <c r="X231" s="5">
        <f>X220/X14</f>
        <v/>
      </c>
      <c r="Y231" s="7" t="n"/>
      <c r="Z231" s="5">
        <f>Z220/Z14</f>
        <v/>
      </c>
      <c r="AA231" s="5">
        <f>AA220/AA14</f>
        <v/>
      </c>
      <c r="AB231" s="7" t="n"/>
      <c r="AC231" s="5">
        <f>AC220/AC14</f>
        <v/>
      </c>
      <c r="AD231" s="5">
        <f>AD220/AD14</f>
        <v/>
      </c>
      <c r="AE231" s="7" t="n"/>
      <c r="AF231" s="5">
        <f>AF220/AF14</f>
        <v/>
      </c>
      <c r="AG231" s="5">
        <f>AG220/AG14</f>
        <v/>
      </c>
      <c r="AH231" s="7" t="n"/>
      <c r="AI231" s="5">
        <f>AI220/AI14</f>
        <v/>
      </c>
      <c r="AJ231" s="5">
        <f>AJ220/AJ14</f>
        <v/>
      </c>
      <c r="AK231" s="7" t="n"/>
      <c r="AL231" s="21" t="n"/>
      <c r="AM231" s="22">
        <f>AP231-AO231</f>
        <v/>
      </c>
      <c r="AO231" s="44">
        <f>IF($A$1=$B$1,B231,IF($A$1=$E$1,E231,IF($A$1=$H$1,H231,IF($A$1=$K$1,K231,IF($A$1=$N$1,N231,IF($A$1=$Q$1,Q231,IF($A$1=$T$1,T231,IF($A$1=$W$1,W231,IF($A$1=$Z$1,Z231,IF($A$1=$AC$1,AC231,IF($A$1=$AF$1,AF231,IF($A$1=$AI$1,AI231))))))))))))</f>
        <v/>
      </c>
      <c r="AP231" s="44">
        <f>IF($A$1=$B$1,C231,IF($A$1=$E$1,F231,IF($A$1=$H$1,I231,IF($A$1=$K$1,L231,IF($A$1=$N$1,O231,IF($A$1=$Q$1,R231,IF($A$1=$T$1,U231,IF($A$1=$W$1,X231,IF($A$1=$Z$1,AA231,IF($A$1=$AC$1,AD231,IF($A$1=$AF$1,AG231,IF($A$1=$AI$1,AJ231))))))))))))</f>
        <v/>
      </c>
    </row>
    <row r="232" ht="15.5" customFormat="1" customHeight="1" s="1">
      <c r="A232" s="26" t="inlineStr">
        <is>
          <t>Çelik</t>
        </is>
      </c>
      <c r="B232" s="5">
        <f>B221/B15</f>
        <v/>
      </c>
      <c r="C232" s="5">
        <f>C221/C15</f>
        <v/>
      </c>
      <c r="D232" s="8" t="n"/>
      <c r="E232" s="5">
        <f>E221/E15</f>
        <v/>
      </c>
      <c r="F232" s="5">
        <f>F221/F15</f>
        <v/>
      </c>
      <c r="G232" s="8" t="n"/>
      <c r="H232" s="5">
        <f>H221/H15</f>
        <v/>
      </c>
      <c r="I232" s="5">
        <f>I221/I15</f>
        <v/>
      </c>
      <c r="J232" s="8" t="n"/>
      <c r="K232" s="5">
        <f>K221/K15</f>
        <v/>
      </c>
      <c r="L232" s="5">
        <f>L221/L15</f>
        <v/>
      </c>
      <c r="M232" s="8" t="n"/>
      <c r="N232" s="5">
        <f>N221/N15</f>
        <v/>
      </c>
      <c r="O232" s="5">
        <f>O221/O15</f>
        <v/>
      </c>
      <c r="P232" s="8" t="n"/>
      <c r="Q232" s="5">
        <f>Q221/Q15</f>
        <v/>
      </c>
      <c r="R232" s="5">
        <f>R221/R15</f>
        <v/>
      </c>
      <c r="S232" s="8" t="n"/>
      <c r="T232" s="5">
        <f>T221/T15</f>
        <v/>
      </c>
      <c r="U232" s="5">
        <f>U221/U15</f>
        <v/>
      </c>
      <c r="V232" s="8" t="n"/>
      <c r="W232" s="5">
        <f>W221/W15</f>
        <v/>
      </c>
      <c r="X232" s="5">
        <f>X221/X15</f>
        <v/>
      </c>
      <c r="Y232" s="8" t="n"/>
      <c r="Z232" s="5">
        <f>Z221/Z15</f>
        <v/>
      </c>
      <c r="AA232" s="5">
        <f>AA221/AA15</f>
        <v/>
      </c>
      <c r="AB232" s="8" t="n"/>
      <c r="AC232" s="5">
        <f>AC221/AC15</f>
        <v/>
      </c>
      <c r="AD232" s="5">
        <f>AD221/AD15</f>
        <v/>
      </c>
      <c r="AE232" s="8" t="n"/>
      <c r="AF232" s="5">
        <f>AF221/AF15</f>
        <v/>
      </c>
      <c r="AG232" s="5">
        <f>AG221/AG15</f>
        <v/>
      </c>
      <c r="AH232" s="8" t="n"/>
      <c r="AI232" s="5">
        <f>AI221/AI15</f>
        <v/>
      </c>
      <c r="AJ232" s="5">
        <f>AJ221/AJ15</f>
        <v/>
      </c>
      <c r="AK232" s="8" t="n"/>
      <c r="AL232" s="15" t="n"/>
      <c r="AM232" s="22">
        <f>AP232-AO232</f>
        <v/>
      </c>
      <c r="AO232" s="44">
        <f>IF($A$1=$B$1,B232,IF($A$1=$E$1,E232,IF($A$1=$H$1,H232,IF($A$1=$K$1,K232,IF($A$1=$N$1,N232,IF($A$1=$Q$1,Q232,IF($A$1=$T$1,T232,IF($A$1=$W$1,W232,IF($A$1=$Z$1,Z232,IF($A$1=$AC$1,AC232,IF($A$1=$AF$1,AF232,IF($A$1=$AI$1,AI232))))))))))))</f>
        <v/>
      </c>
      <c r="AP232" s="44">
        <f>IF($A$1=$B$1,C232,IF($A$1=$E$1,F232,IF($A$1=$H$1,I232,IF($A$1=$K$1,L232,IF($A$1=$N$1,O232,IF($A$1=$Q$1,R232,IF($A$1=$T$1,U232,IF($A$1=$W$1,X232,IF($A$1=$Z$1,AA232,IF($A$1=$AC$1,AD232,IF($A$1=$AF$1,AG232,IF($A$1=$AI$1,AJ232))))))))))))</f>
        <v/>
      </c>
    </row>
    <row r="233" ht="15.5" customFormat="1" customHeight="1" s="1">
      <c r="A233" s="26" t="inlineStr">
        <is>
          <t>Alüminyum</t>
        </is>
      </c>
      <c r="B233" s="5">
        <f>B222/B16</f>
        <v/>
      </c>
      <c r="C233" s="5">
        <f>C222/C16</f>
        <v/>
      </c>
      <c r="D233" s="8" t="n"/>
      <c r="E233" s="5">
        <f>E222/E16</f>
        <v/>
      </c>
      <c r="F233" s="5">
        <f>F222/F16</f>
        <v/>
      </c>
      <c r="G233" s="8" t="n"/>
      <c r="H233" s="5">
        <f>H222/H16</f>
        <v/>
      </c>
      <c r="I233" s="5">
        <f>I222/I16</f>
        <v/>
      </c>
      <c r="J233" s="8" t="n"/>
      <c r="K233" s="5">
        <f>K222/K16</f>
        <v/>
      </c>
      <c r="L233" s="5">
        <f>L222/L16</f>
        <v/>
      </c>
      <c r="M233" s="8" t="n"/>
      <c r="N233" s="5">
        <f>N222/N16</f>
        <v/>
      </c>
      <c r="O233" s="5">
        <f>O222/O16</f>
        <v/>
      </c>
      <c r="P233" s="8" t="n"/>
      <c r="Q233" s="5">
        <f>Q222/Q16</f>
        <v/>
      </c>
      <c r="R233" s="5">
        <f>R222/R16</f>
        <v/>
      </c>
      <c r="S233" s="8" t="n"/>
      <c r="T233" s="5">
        <f>T222/T16</f>
        <v/>
      </c>
      <c r="U233" s="5">
        <f>U222/U16</f>
        <v/>
      </c>
      <c r="V233" s="8" t="n"/>
      <c r="W233" s="5">
        <f>W222/W16</f>
        <v/>
      </c>
      <c r="X233" s="5">
        <f>X222/X16</f>
        <v/>
      </c>
      <c r="Y233" s="8" t="n"/>
      <c r="Z233" s="5">
        <f>Z222/Z16</f>
        <v/>
      </c>
      <c r="AA233" s="5">
        <f>AA222/AA16</f>
        <v/>
      </c>
      <c r="AB233" s="8" t="n"/>
      <c r="AC233" s="5">
        <f>AC222/AC16</f>
        <v/>
      </c>
      <c r="AD233" s="5">
        <f>AD222/AD16</f>
        <v/>
      </c>
      <c r="AE233" s="8" t="n"/>
      <c r="AF233" s="5">
        <f>AF222/AF16</f>
        <v/>
      </c>
      <c r="AG233" s="5">
        <f>AG222/AG16</f>
        <v/>
      </c>
      <c r="AH233" s="8" t="n"/>
      <c r="AI233" s="5">
        <f>AI222/AI16</f>
        <v/>
      </c>
      <c r="AJ233" s="5">
        <f>AJ222/AJ16</f>
        <v/>
      </c>
      <c r="AK233" s="8" t="n"/>
      <c r="AL233" s="15" t="n"/>
      <c r="AM233" s="22">
        <f>AP233-AO233</f>
        <v/>
      </c>
      <c r="AO233" s="44">
        <f>IF($A$1=$B$1,B233,IF($A$1=$E$1,E233,IF($A$1=$H$1,H233,IF($A$1=$K$1,K233,IF($A$1=$N$1,N233,IF($A$1=$Q$1,Q233,IF($A$1=$T$1,T233,IF($A$1=$W$1,W233,IF($A$1=$Z$1,Z233,IF($A$1=$AC$1,AC233,IF($A$1=$AF$1,AF233,IF($A$1=$AI$1,AI233))))))))))))</f>
        <v/>
      </c>
      <c r="AP233" s="44">
        <f>IF($A$1=$B$1,C233,IF($A$1=$E$1,F233,IF($A$1=$H$1,I233,IF($A$1=$K$1,L233,IF($A$1=$N$1,O233,IF($A$1=$Q$1,R233,IF($A$1=$T$1,U233,IF($A$1=$W$1,X233,IF($A$1=$Z$1,AA233,IF($A$1=$AC$1,AD233,IF($A$1=$AF$1,AG233,IF($A$1=$AI$1,AJ233))))))))))))</f>
        <v/>
      </c>
    </row>
    <row r="234" ht="15.5" customFormat="1" customHeight="1" s="1">
      <c r="A234" s="26" t="n"/>
      <c r="B234" s="7" t="n"/>
      <c r="C234" s="8" t="n"/>
      <c r="D234" s="8" t="n"/>
      <c r="E234" s="7" t="n"/>
      <c r="F234" s="8" t="n"/>
      <c r="G234" s="8" t="n"/>
      <c r="H234" s="7" t="n"/>
      <c r="I234" s="8" t="n"/>
      <c r="J234" s="8" t="n"/>
      <c r="K234" s="7" t="n"/>
      <c r="L234" s="8" t="n"/>
      <c r="M234" s="8" t="n"/>
      <c r="N234" s="7" t="n"/>
      <c r="O234" s="8" t="n"/>
      <c r="P234" s="8" t="n"/>
      <c r="Q234" s="7" t="n"/>
      <c r="R234" s="8" t="n"/>
      <c r="S234" s="8" t="n"/>
      <c r="T234" s="7" t="n"/>
      <c r="U234" s="8" t="n"/>
      <c r="V234" s="8" t="n"/>
      <c r="W234" s="7" t="n"/>
      <c r="X234" s="8" t="n"/>
      <c r="Y234" s="8" t="n"/>
      <c r="Z234" s="7" t="n"/>
      <c r="AA234" s="8" t="n"/>
      <c r="AB234" s="8" t="n"/>
      <c r="AC234" s="7" t="n"/>
      <c r="AD234" s="8" t="n"/>
      <c r="AE234" s="8" t="n"/>
      <c r="AF234" s="7" t="n"/>
      <c r="AG234" s="8" t="n"/>
      <c r="AH234" s="8" t="n"/>
      <c r="AI234" s="7" t="n"/>
      <c r="AJ234" s="8" t="n"/>
      <c r="AK234" s="8" t="n"/>
      <c r="AL234" s="15" t="n"/>
      <c r="AM234" s="16" t="n"/>
      <c r="AO234" s="44" t="n"/>
      <c r="AP234" s="44" t="n"/>
    </row>
    <row r="235" ht="15.5" customFormat="1" customHeight="1" s="1">
      <c r="A235" s="26" t="n"/>
      <c r="B235" s="7" t="n"/>
      <c r="C235" s="8" t="n"/>
      <c r="D235" s="8" t="n"/>
      <c r="E235" s="7" t="n"/>
      <c r="F235" s="8" t="n"/>
      <c r="G235" s="8" t="n"/>
      <c r="H235" s="7" t="n"/>
      <c r="I235" s="8" t="n"/>
      <c r="J235" s="8" t="n"/>
      <c r="K235" s="7" t="n"/>
      <c r="L235" s="8" t="n"/>
      <c r="M235" s="8" t="n"/>
      <c r="N235" s="7" t="n"/>
      <c r="O235" s="8" t="n"/>
      <c r="P235" s="8" t="n"/>
      <c r="Q235" s="7" t="n"/>
      <c r="R235" s="8" t="n"/>
      <c r="S235" s="8" t="n"/>
      <c r="T235" s="7" t="n"/>
      <c r="U235" s="8" t="n"/>
      <c r="V235" s="8" t="n"/>
      <c r="W235" s="7" t="n"/>
      <c r="X235" s="8" t="n"/>
      <c r="Y235" s="8" t="n"/>
      <c r="Z235" s="7" t="n"/>
      <c r="AA235" s="8" t="n"/>
      <c r="AB235" s="8" t="n"/>
      <c r="AC235" s="7" t="n"/>
      <c r="AD235" s="8" t="n"/>
      <c r="AE235" s="8" t="n"/>
      <c r="AF235" s="7" t="n"/>
      <c r="AG235" s="8" t="n"/>
      <c r="AH235" s="8" t="n"/>
      <c r="AI235" s="7" t="n"/>
      <c r="AJ235" s="8" t="n"/>
      <c r="AK235" s="8" t="n"/>
      <c r="AL235" s="15" t="n"/>
      <c r="AM235" s="16" t="n"/>
      <c r="AO235" s="44" t="n"/>
      <c r="AP235" s="44" t="n"/>
    </row>
    <row r="236" ht="15.5" customFormat="1" customHeight="1" s="44">
      <c r="A236" s="31" t="inlineStr">
        <is>
          <t>Kredi</t>
        </is>
      </c>
      <c r="B236" s="32">
        <f>'Bütçe aylık-Eur'!$B$147</f>
        <v/>
      </c>
      <c r="C236" s="32">
        <f>'gerç aylık-eur'!$B$146</f>
        <v/>
      </c>
      <c r="D236" s="18" t="n"/>
      <c r="E236" s="32">
        <f>'Bütçe aylık-Eur'!$C$147</f>
        <v/>
      </c>
      <c r="F236" s="32">
        <f>'gerç aylık-eur'!$C$146</f>
        <v/>
      </c>
      <c r="G236" s="18" t="n"/>
      <c r="H236" s="32">
        <f>'Bütçe aylık-Eur'!$D$147</f>
        <v/>
      </c>
      <c r="I236" s="32">
        <f>'gerç aylık-eur'!$D$146</f>
        <v/>
      </c>
      <c r="J236" s="18" t="n"/>
      <c r="K236" s="32">
        <f>'Bütçe aylık-Eur'!$E$147</f>
        <v/>
      </c>
      <c r="L236" s="32">
        <f>'gerç aylık-eur'!$E$146</f>
        <v/>
      </c>
      <c r="M236" s="18" t="n"/>
      <c r="N236" s="32">
        <f>'Bütçe aylık-Eur'!$F$147</f>
        <v/>
      </c>
      <c r="O236" s="32">
        <f>'gerç aylık-eur'!$F$146</f>
        <v/>
      </c>
      <c r="P236" s="18" t="n"/>
      <c r="Q236" s="32">
        <f>'Bütçe aylık-Eur'!$G$147</f>
        <v/>
      </c>
      <c r="R236" s="32">
        <f>'gerç aylık-eur'!$G$146</f>
        <v/>
      </c>
      <c r="S236" s="18" t="n"/>
      <c r="T236" s="32">
        <f>'Bütçe aylık-Eur'!$H$147</f>
        <v/>
      </c>
      <c r="U236" s="32">
        <f>'gerç aylık-eur'!$H$146</f>
        <v/>
      </c>
      <c r="V236" s="18" t="n"/>
      <c r="W236" s="32">
        <f>'Bütçe aylık-Eur'!$I$147</f>
        <v/>
      </c>
      <c r="X236" s="32">
        <f>'gerç aylık-eur'!$I$146</f>
        <v/>
      </c>
      <c r="Y236" s="18" t="n"/>
      <c r="Z236" s="32">
        <f>'Bütçe aylık-Eur'!$J$147</f>
        <v/>
      </c>
      <c r="AA236" s="32">
        <f>'gerç aylık-eur'!$J$146</f>
        <v/>
      </c>
      <c r="AB236" s="18" t="n"/>
      <c r="AC236" s="32">
        <f>'Bütçe aylık-Eur'!$K$147</f>
        <v/>
      </c>
      <c r="AD236" s="32">
        <f>'gerç aylık-eur'!$K$146</f>
        <v/>
      </c>
      <c r="AE236" s="18" t="n"/>
      <c r="AF236" s="32">
        <f>'Bütçe aylık-Eur'!$L$147</f>
        <v/>
      </c>
      <c r="AG236" s="32">
        <f>'gerç aylık-eur'!$L$146</f>
        <v/>
      </c>
      <c r="AH236" s="18" t="n"/>
      <c r="AI236" s="32">
        <f>'Bütçe aylık-Eur'!$M$147</f>
        <v/>
      </c>
      <c r="AJ236" s="32">
        <f>'gerç aylık-eur'!$M$146</f>
        <v/>
      </c>
      <c r="AK236" s="18" t="n"/>
      <c r="AL236" s="33">
        <f>AP236-AO236</f>
        <v/>
      </c>
      <c r="AM236" s="34">
        <f>AP236/AO236-1</f>
        <v/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/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/>
      </c>
    </row>
    <row r="237" ht="15.5" customFormat="1" customHeight="1" s="13">
      <c r="A237" s="27" t="n"/>
      <c r="B237" s="30" t="n"/>
      <c r="C237" s="30" t="n"/>
      <c r="D237" s="41" t="n"/>
      <c r="E237" s="30" t="n"/>
      <c r="F237" s="30" t="n"/>
      <c r="G237" s="41" t="n"/>
      <c r="H237" s="30" t="n"/>
      <c r="I237" s="30" t="n"/>
      <c r="J237" s="41" t="n"/>
      <c r="K237" s="30" t="n"/>
      <c r="L237" s="30" t="n"/>
      <c r="M237" s="41" t="n"/>
      <c r="N237" s="30" t="n"/>
      <c r="O237" s="30" t="n"/>
      <c r="P237" s="41" t="n"/>
      <c r="Q237" s="30" t="n"/>
      <c r="R237" s="30" t="n"/>
      <c r="S237" s="41" t="n"/>
      <c r="T237" s="30" t="n"/>
      <c r="U237" s="30" t="n"/>
      <c r="V237" s="41" t="n"/>
      <c r="W237" s="30" t="n"/>
      <c r="X237" s="30" t="n"/>
      <c r="Y237" s="41" t="n"/>
      <c r="Z237" s="30" t="n"/>
      <c r="AA237" s="30" t="n"/>
      <c r="AB237" s="41" t="n"/>
      <c r="AC237" s="30" t="n"/>
      <c r="AD237" s="30" t="n"/>
      <c r="AE237" s="41" t="n"/>
      <c r="AF237" s="30" t="n"/>
      <c r="AG237" s="30" t="n"/>
      <c r="AH237" s="41" t="n"/>
      <c r="AI237" s="30" t="n"/>
      <c r="AJ237" s="30" t="n"/>
      <c r="AK237" s="41" t="n"/>
      <c r="AL237" s="15" t="n"/>
      <c r="AM237" s="22" t="n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/>
      </c>
      <c r="AP237" s="44">
        <f>IF($A$1=$B$1,C237,IF($A$1=$E$1,F237,IF($A$1=$H$1,I237,IF($A$1=$K$1,L237,IF($A$1=$N$1,O237,IF($A$1=$Q$1,R237,IF($A$1=$T$1,U237,IF($A$1=$W$1,X237,IF($A$1=$Z$1,AA237,IF($A$1=$AC$1,AD237,IF($A$1=$AF$1,AG237,IF($A$1=$AI$1,AJ237))))))))))))</f>
        <v/>
      </c>
    </row>
    <row r="238" ht="17" customFormat="1" customHeight="1" s="49">
      <c r="A238" s="47" t="inlineStr">
        <is>
          <t>Kredi (100%)</t>
        </is>
      </c>
      <c r="B238" s="413" t="n"/>
      <c r="C238" s="413" t="n"/>
      <c r="D238" s="413" t="n"/>
      <c r="E238" s="413" t="n"/>
      <c r="F238" s="413" t="n"/>
      <c r="G238" s="413" t="n"/>
      <c r="H238" s="413" t="n"/>
      <c r="I238" s="413" t="n"/>
      <c r="J238" s="413" t="n"/>
      <c r="K238" s="413" t="n"/>
      <c r="L238" s="413" t="n"/>
      <c r="M238" s="413" t="n"/>
      <c r="N238" s="413" t="n"/>
      <c r="O238" s="413" t="n"/>
      <c r="P238" s="413" t="n"/>
      <c r="Q238" s="413" t="n"/>
      <c r="R238" s="413" t="n"/>
      <c r="S238" s="413" t="n"/>
      <c r="T238" s="413" t="n"/>
      <c r="U238" s="413" t="n"/>
      <c r="V238" s="413" t="n"/>
      <c r="W238" s="413" t="n"/>
      <c r="X238" s="413" t="n"/>
      <c r="Y238" s="413" t="n"/>
      <c r="Z238" s="413" t="n"/>
      <c r="AA238" s="413" t="n"/>
      <c r="AB238" s="413" t="n"/>
      <c r="AC238" s="413" t="n"/>
      <c r="AD238" s="413" t="n"/>
      <c r="AE238" s="413" t="n"/>
      <c r="AF238" s="413" t="n"/>
      <c r="AG238" s="413" t="n"/>
      <c r="AH238" s="413" t="n"/>
      <c r="AI238" s="413" t="n"/>
      <c r="AJ238" s="413" t="n"/>
      <c r="AK238" s="413" t="n"/>
      <c r="AL238" s="413" t="n"/>
      <c r="AM238" s="48" t="n"/>
    </row>
    <row r="239" ht="15.5" customHeight="1">
      <c r="A239" s="26" t="inlineStr">
        <is>
          <t xml:space="preserve">İnci Holding </t>
        </is>
      </c>
      <c r="B239" s="7">
        <f>'Bütçe aylık-Eur'!$B$148</f>
        <v/>
      </c>
      <c r="C239" s="7">
        <f>'gerç aylık-eur'!$B$147</f>
        <v/>
      </c>
      <c r="D239" s="7" t="n"/>
      <c r="E239" s="7">
        <f>'Bütçe aylık-Eur'!$C$148</f>
        <v/>
      </c>
      <c r="F239" s="7">
        <f>'gerç aylık-eur'!$C$147</f>
        <v/>
      </c>
      <c r="G239" s="7" t="n"/>
      <c r="H239" s="7">
        <f>'Bütçe aylık-Eur'!$D$148</f>
        <v/>
      </c>
      <c r="I239" s="7">
        <f>'gerç aylık-eur'!$D$147</f>
        <v/>
      </c>
      <c r="J239" s="7" t="n"/>
      <c r="K239" s="7">
        <f>'Bütçe aylık-Eur'!$E$148</f>
        <v/>
      </c>
      <c r="L239" s="7">
        <f>'gerç aylık-eur'!$E$147</f>
        <v/>
      </c>
      <c r="M239" s="7" t="n"/>
      <c r="N239" s="7">
        <f>'Bütçe aylık-Eur'!$F$148</f>
        <v/>
      </c>
      <c r="O239" s="7">
        <f>'gerç aylık-eur'!$F$147</f>
        <v/>
      </c>
      <c r="P239" s="7" t="n"/>
      <c r="Q239" s="7">
        <f>'Bütçe aylık-Eur'!$G$148</f>
        <v/>
      </c>
      <c r="R239" s="7">
        <f>'gerç aylık-eur'!$G$147</f>
        <v/>
      </c>
      <c r="S239" s="7" t="n"/>
      <c r="T239" s="7">
        <f>'Bütçe aylık-Eur'!$H$148</f>
        <v/>
      </c>
      <c r="U239" s="7">
        <f>'gerç aylık-eur'!$H$147</f>
        <v/>
      </c>
      <c r="V239" s="7" t="n"/>
      <c r="W239" s="7">
        <f>'Bütçe aylık-Eur'!$I$148</f>
        <v/>
      </c>
      <c r="X239" s="7">
        <f>'gerç aylık-eur'!$I$147</f>
        <v/>
      </c>
      <c r="Y239" s="7" t="n"/>
      <c r="Z239" s="7">
        <f>'Bütçe aylık-Eur'!$J$148</f>
        <v/>
      </c>
      <c r="AA239" s="7">
        <f>'gerç aylık-eur'!$J$147</f>
        <v/>
      </c>
      <c r="AB239" s="7" t="n"/>
      <c r="AC239" s="7">
        <f>'Bütçe aylık-Eur'!$K$148</f>
        <v/>
      </c>
      <c r="AD239" s="7">
        <f>'gerç aylık-eur'!$K$147</f>
        <v/>
      </c>
      <c r="AE239" s="7" t="n"/>
      <c r="AF239" s="7">
        <f>'Bütçe aylık-Eur'!$L$148</f>
        <v/>
      </c>
      <c r="AG239" s="7">
        <f>'gerç aylık-eur'!$L$147</f>
        <v/>
      </c>
      <c r="AH239" s="7" t="n"/>
      <c r="AI239" s="7">
        <f>'Bütçe aylık-Eur'!$M$148</f>
        <v/>
      </c>
      <c r="AJ239" s="7">
        <f>'gerç aylık-eur'!$M$147</f>
        <v/>
      </c>
      <c r="AK239" s="7" t="n"/>
      <c r="AL239" s="21">
        <f>AP239-AO239</f>
        <v/>
      </c>
      <c r="AM239" s="22">
        <f>AP239/AO239-1</f>
        <v/>
      </c>
      <c r="AO239" s="44">
        <f>IF($A$1=$B$1,B239,IF($A$1=$E$1,E239,IF($A$1=$H$1,H239,IF($A$1=$K$1,K239,IF($A$1=$N$1,N239,IF($A$1=$Q$1,Q239,IF($A$1=$T$1,T239,IF($A$1=$W$1,W239,IF($A$1=$Z$1,Z239,IF($A$1=$AC$1,AC239,IF($A$1=$AF$1,AF239,IF($A$1=$AI$1,AI239))))))))))))</f>
        <v/>
      </c>
      <c r="AP239" s="44">
        <f>IF($A$1=$B$1,C239,IF($A$1=$E$1,F239,IF($A$1=$H$1,I239,IF($A$1=$K$1,L239,IF($A$1=$N$1,O239,IF($A$1=$Q$1,R239,IF($A$1=$T$1,U239,IF($A$1=$W$1,X239,IF($A$1=$Z$1,AA239,IF($A$1=$AC$1,AD239,IF($A$1=$AF$1,AG239,IF($A$1=$AI$1,AJ239))))))))))))</f>
        <v/>
      </c>
    </row>
    <row r="240" ht="15.5" customHeight="1">
      <c r="A240" s="26" t="inlineStr">
        <is>
          <t xml:space="preserve">ISM </t>
        </is>
      </c>
      <c r="B240" s="7">
        <f>'Bütçe aylık-Eur'!$B$149</f>
        <v/>
      </c>
      <c r="C240" s="7">
        <f>'gerç aylık-eur'!$B$148</f>
        <v/>
      </c>
      <c r="D240" s="7" t="n"/>
      <c r="E240" s="7">
        <f>'Bütçe aylık-Eur'!$C$149</f>
        <v/>
      </c>
      <c r="F240" s="7">
        <f>'gerç aylık-eur'!$C$148</f>
        <v/>
      </c>
      <c r="G240" s="7" t="n"/>
      <c r="H240" s="7">
        <f>'Bütçe aylık-Eur'!$D$149</f>
        <v/>
      </c>
      <c r="I240" s="7">
        <f>'gerç aylık-eur'!$D$148</f>
        <v/>
      </c>
      <c r="J240" s="7" t="n"/>
      <c r="K240" s="7">
        <f>'Bütçe aylık-Eur'!$E$149</f>
        <v/>
      </c>
      <c r="L240" s="7">
        <f>'gerç aylık-eur'!$E$148</f>
        <v/>
      </c>
      <c r="M240" s="7" t="n"/>
      <c r="N240" s="7">
        <f>'Bütçe aylık-Eur'!$F$149</f>
        <v/>
      </c>
      <c r="O240" s="7">
        <f>'gerç aylık-eur'!$F$148</f>
        <v/>
      </c>
      <c r="P240" s="7" t="n"/>
      <c r="Q240" s="7">
        <f>'Bütçe aylık-Eur'!$G$149</f>
        <v/>
      </c>
      <c r="R240" s="7">
        <f>'gerç aylık-eur'!$G$148</f>
        <v/>
      </c>
      <c r="S240" s="7" t="n"/>
      <c r="T240" s="7">
        <f>'Bütçe aylık-Eur'!$H$149</f>
        <v/>
      </c>
      <c r="U240" s="7">
        <f>'gerç aylık-eur'!$H$148</f>
        <v/>
      </c>
      <c r="V240" s="7" t="n"/>
      <c r="W240" s="7">
        <f>'Bütçe aylık-Eur'!$I$149</f>
        <v/>
      </c>
      <c r="X240" s="7">
        <f>'gerç aylık-eur'!$I$148</f>
        <v/>
      </c>
      <c r="Y240" s="7" t="n"/>
      <c r="Z240" s="7">
        <f>'Bütçe aylık-Eur'!$J$149</f>
        <v/>
      </c>
      <c r="AA240" s="7">
        <f>'gerç aylık-eur'!$J$148</f>
        <v/>
      </c>
      <c r="AB240" s="7" t="n"/>
      <c r="AC240" s="7">
        <f>'Bütçe aylık-Eur'!$K$149</f>
        <v/>
      </c>
      <c r="AD240" s="7">
        <f>'gerç aylık-eur'!$K$148</f>
        <v/>
      </c>
      <c r="AE240" s="7" t="n"/>
      <c r="AF240" s="7">
        <f>'Bütçe aylık-Eur'!$L$149</f>
        <v/>
      </c>
      <c r="AG240" s="7">
        <f>'gerç aylık-eur'!$L$148</f>
        <v/>
      </c>
      <c r="AH240" s="7" t="n"/>
      <c r="AI240" s="7">
        <f>'Bütçe aylık-Eur'!$M$149</f>
        <v/>
      </c>
      <c r="AJ240" s="7">
        <f>'gerç aylık-eur'!$M$148</f>
        <v/>
      </c>
      <c r="AK240" s="7" t="n"/>
      <c r="AL240" s="21">
        <f>AP240-AO240</f>
        <v/>
      </c>
      <c r="AM240" s="22">
        <f>AP240/AO240-1</f>
        <v/>
      </c>
      <c r="AO240" s="44">
        <f>IF($A$1=$B$1,B240,IF($A$1=$E$1,E240,IF($A$1=$H$1,H240,IF($A$1=$K$1,K240,IF($A$1=$N$1,N240,IF($A$1=$Q$1,Q240,IF($A$1=$T$1,T240,IF($A$1=$W$1,W240,IF($A$1=$Z$1,Z240,IF($A$1=$AC$1,AC240,IF($A$1=$AF$1,AF240,IF($A$1=$AI$1,AI240))))))))))))</f>
        <v/>
      </c>
      <c r="AP240" s="44">
        <f>IF($A$1=$B$1,C240,IF($A$1=$E$1,F240,IF($A$1=$H$1,I240,IF($A$1=$K$1,L240,IF($A$1=$N$1,O240,IF($A$1=$Q$1,R240,IF($A$1=$T$1,U240,IF($A$1=$W$1,X240,IF($A$1=$Z$1,AA240,IF($A$1=$AC$1,AD240,IF($A$1=$AF$1,AG240,IF($A$1=$AI$1,AJ240))))))))))))</f>
        <v/>
      </c>
    </row>
    <row r="241" ht="15.5" customHeight="1">
      <c r="A241" s="26" t="inlineStr">
        <is>
          <t>İncitaş</t>
        </is>
      </c>
      <c r="B241" s="7">
        <f>'Bütçe aylık-Eur'!$B$150</f>
        <v/>
      </c>
      <c r="C241" s="7">
        <f>'gerç aylık-eur'!$B$149</f>
        <v/>
      </c>
      <c r="D241" s="7" t="n"/>
      <c r="E241" s="7">
        <f>'Bütçe aylık-Eur'!$C$150</f>
        <v/>
      </c>
      <c r="F241" s="7">
        <f>'gerç aylık-eur'!$C$149</f>
        <v/>
      </c>
      <c r="G241" s="7" t="n"/>
      <c r="H241" s="7">
        <f>'Bütçe aylık-Eur'!$D$150</f>
        <v/>
      </c>
      <c r="I241" s="7">
        <f>'gerç aylık-eur'!$D$149</f>
        <v/>
      </c>
      <c r="J241" s="7" t="n"/>
      <c r="K241" s="7">
        <f>'Bütçe aylık-Eur'!$E$150</f>
        <v/>
      </c>
      <c r="L241" s="7">
        <f>'gerç aylık-eur'!$E$149</f>
        <v/>
      </c>
      <c r="M241" s="7" t="n"/>
      <c r="N241" s="7">
        <f>'Bütçe aylık-Eur'!$F$150</f>
        <v/>
      </c>
      <c r="O241" s="7">
        <f>'gerç aylık-eur'!$F$149</f>
        <v/>
      </c>
      <c r="P241" s="7" t="n"/>
      <c r="Q241" s="7">
        <f>'Bütçe aylık-Eur'!$G$150</f>
        <v/>
      </c>
      <c r="R241" s="7">
        <f>'gerç aylık-eur'!$G$149</f>
        <v/>
      </c>
      <c r="S241" s="7" t="n"/>
      <c r="T241" s="7">
        <f>'Bütçe aylık-Eur'!$H$150</f>
        <v/>
      </c>
      <c r="U241" s="7">
        <f>'gerç aylık-eur'!$H$149</f>
        <v/>
      </c>
      <c r="V241" s="7" t="n"/>
      <c r="W241" s="7">
        <f>'Bütçe aylık-Eur'!$I$150</f>
        <v/>
      </c>
      <c r="X241" s="7">
        <f>'gerç aylık-eur'!$I$149</f>
        <v/>
      </c>
      <c r="Y241" s="7" t="n"/>
      <c r="Z241" s="7">
        <f>'Bütçe aylık-Eur'!$J$150</f>
        <v/>
      </c>
      <c r="AA241" s="7">
        <f>'gerç aylık-eur'!$J$149</f>
        <v/>
      </c>
      <c r="AB241" s="7" t="n"/>
      <c r="AC241" s="7">
        <f>'Bütçe aylık-Eur'!$K$150</f>
        <v/>
      </c>
      <c r="AD241" s="7">
        <f>'gerç aylık-eur'!$K$149</f>
        <v/>
      </c>
      <c r="AE241" s="7" t="n"/>
      <c r="AF241" s="7">
        <f>'Bütçe aylık-Eur'!$L$150</f>
        <v/>
      </c>
      <c r="AG241" s="7">
        <f>'gerç aylık-eur'!$L$149</f>
        <v/>
      </c>
      <c r="AH241" s="7" t="n"/>
      <c r="AI241" s="7">
        <f>'Bütçe aylık-Eur'!$M$150</f>
        <v/>
      </c>
      <c r="AJ241" s="7">
        <f>'gerç aylık-eur'!$M$149</f>
        <v/>
      </c>
      <c r="AK241" s="7" t="n"/>
      <c r="AL241" s="21">
        <f>AP241-AO241</f>
        <v/>
      </c>
      <c r="AM241" s="22">
        <f>AP241/AO241-1</f>
        <v/>
      </c>
      <c r="AO241" s="44">
        <f>IF($A$1=$B$1,B241,IF($A$1=$E$1,E241,IF($A$1=$H$1,H241,IF($A$1=$K$1,K241,IF($A$1=$N$1,N241,IF($A$1=$Q$1,Q241,IF($A$1=$T$1,T241,IF($A$1=$W$1,W241,IF($A$1=$Z$1,Z241,IF($A$1=$AC$1,AC241,IF($A$1=$AF$1,AF241,IF($A$1=$AI$1,AI241))))))))))))</f>
        <v/>
      </c>
      <c r="AP241" s="44">
        <f>IF($A$1=$B$1,C241,IF($A$1=$E$1,F241,IF($A$1=$H$1,I241,IF($A$1=$K$1,L241,IF($A$1=$N$1,O241,IF($A$1=$Q$1,R241,IF($A$1=$T$1,U241,IF($A$1=$W$1,X241,IF($A$1=$Z$1,AA241,IF($A$1=$AC$1,AD241,IF($A$1=$AF$1,AG241,IF($A$1=$AI$1,AJ241))))))))))))</f>
        <v/>
      </c>
    </row>
    <row r="242" ht="15.5" customHeight="1">
      <c r="A242" s="26" t="inlineStr">
        <is>
          <t>İnci GS Yuasa</t>
        </is>
      </c>
      <c r="B242" s="7">
        <f>'Bütçe aylık-Eur'!$B$151</f>
        <v/>
      </c>
      <c r="C242" s="7">
        <f>'gerç aylık-eur'!$B$150</f>
        <v/>
      </c>
      <c r="D242" s="7" t="n"/>
      <c r="E242" s="7">
        <f>'Bütçe aylık-Eur'!$C$151</f>
        <v/>
      </c>
      <c r="F242" s="7">
        <f>'gerç aylık-eur'!$C$150</f>
        <v/>
      </c>
      <c r="G242" s="7" t="n"/>
      <c r="H242" s="7">
        <f>'Bütçe aylık-Eur'!$D$151</f>
        <v/>
      </c>
      <c r="I242" s="7">
        <f>'gerç aylık-eur'!$D$150</f>
        <v/>
      </c>
      <c r="J242" s="7" t="n"/>
      <c r="K242" s="7">
        <f>'Bütçe aylık-Eur'!$E$151</f>
        <v/>
      </c>
      <c r="L242" s="7">
        <f>'gerç aylık-eur'!$E$150</f>
        <v/>
      </c>
      <c r="M242" s="7" t="n"/>
      <c r="N242" s="7">
        <f>'Bütçe aylık-Eur'!$F$151</f>
        <v/>
      </c>
      <c r="O242" s="7">
        <f>'gerç aylık-eur'!$F$150</f>
        <v/>
      </c>
      <c r="P242" s="7" t="n"/>
      <c r="Q242" s="7">
        <f>'Bütçe aylık-Eur'!$G$151</f>
        <v/>
      </c>
      <c r="R242" s="7">
        <f>'gerç aylık-eur'!$G$150</f>
        <v/>
      </c>
      <c r="S242" s="7" t="n"/>
      <c r="T242" s="7">
        <f>'Bütçe aylık-Eur'!$H$151</f>
        <v/>
      </c>
      <c r="U242" s="7">
        <f>'gerç aylık-eur'!$H$150</f>
        <v/>
      </c>
      <c r="V242" s="7" t="n"/>
      <c r="W242" s="7">
        <f>'Bütçe aylık-Eur'!$I$151</f>
        <v/>
      </c>
      <c r="X242" s="7">
        <f>'gerç aylık-eur'!$I$150</f>
        <v/>
      </c>
      <c r="Y242" s="7" t="n"/>
      <c r="Z242" s="7">
        <f>'Bütçe aylık-Eur'!$J$151</f>
        <v/>
      </c>
      <c r="AA242" s="7">
        <f>'gerç aylık-eur'!$J$150</f>
        <v/>
      </c>
      <c r="AB242" s="7" t="n"/>
      <c r="AC242" s="7">
        <f>'Bütçe aylık-Eur'!$K$151</f>
        <v/>
      </c>
      <c r="AD242" s="7">
        <f>'gerç aylık-eur'!$K$150</f>
        <v/>
      </c>
      <c r="AE242" s="7" t="n"/>
      <c r="AF242" s="7">
        <f>'Bütçe aylık-Eur'!$L$151</f>
        <v/>
      </c>
      <c r="AG242" s="7">
        <f>'gerç aylık-eur'!$L$150</f>
        <v/>
      </c>
      <c r="AH242" s="7" t="n"/>
      <c r="AI242" s="7">
        <f>'Bütçe aylık-Eur'!$M$151</f>
        <v/>
      </c>
      <c r="AJ242" s="7">
        <f>'gerç aylık-eur'!$M$150</f>
        <v/>
      </c>
      <c r="AK242" s="7" t="n"/>
      <c r="AL242" s="21">
        <f>AP242-AO242</f>
        <v/>
      </c>
      <c r="AM242" s="22">
        <f>AP242/AO242-1</f>
        <v/>
      </c>
      <c r="AO242" s="44">
        <f>IF($A$1=$B$1,B242,IF($A$1=$E$1,E242,IF($A$1=$H$1,H242,IF($A$1=$K$1,K242,IF($A$1=$N$1,N242,IF($A$1=$Q$1,Q242,IF($A$1=$T$1,T242,IF($A$1=$W$1,W242,IF($A$1=$Z$1,Z242,IF($A$1=$AC$1,AC242,IF($A$1=$AF$1,AF242,IF($A$1=$AI$1,AI242))))))))))))</f>
        <v/>
      </c>
      <c r="AP242" s="44">
        <f>IF($A$1=$B$1,C242,IF($A$1=$E$1,F242,IF($A$1=$H$1,I242,IF($A$1=$K$1,L242,IF($A$1=$N$1,O242,IF($A$1=$Q$1,R242,IF($A$1=$T$1,U242,IF($A$1=$W$1,X242,IF($A$1=$Z$1,AA242,IF($A$1=$AC$1,AD242,IF($A$1=$AF$1,AG242,IF($A$1=$AI$1,AJ242))))))))))))</f>
        <v/>
      </c>
    </row>
    <row r="243" ht="15.5" customFormat="1" customHeight="1" s="1">
      <c r="A243" s="26" t="inlineStr">
        <is>
          <t>Yusen İnci Loj.</t>
        </is>
      </c>
      <c r="B243" s="7">
        <f>'Bütçe aylık-Eur'!$B$152</f>
        <v/>
      </c>
      <c r="C243" s="7">
        <f>'gerç aylık-eur'!$B$151</f>
        <v/>
      </c>
      <c r="D243" s="8" t="n"/>
      <c r="E243" s="7">
        <f>'Bütçe aylık-Eur'!$C$152</f>
        <v/>
      </c>
      <c r="F243" s="7">
        <f>'gerç aylık-eur'!$C$151</f>
        <v/>
      </c>
      <c r="G243" s="8" t="n"/>
      <c r="H243" s="7">
        <f>'Bütçe aylık-Eur'!$D$152</f>
        <v/>
      </c>
      <c r="I243" s="7">
        <f>'gerç aylık-eur'!$D$151</f>
        <v/>
      </c>
      <c r="J243" s="8" t="n"/>
      <c r="K243" s="7">
        <f>'Bütçe aylık-Eur'!$E$152</f>
        <v/>
      </c>
      <c r="L243" s="7">
        <f>'gerç aylık-eur'!$E$151</f>
        <v/>
      </c>
      <c r="M243" s="8" t="n"/>
      <c r="N243" s="7">
        <f>'Bütçe aylık-Eur'!$F$152</f>
        <v/>
      </c>
      <c r="O243" s="7">
        <f>'gerç aylık-eur'!$F$151</f>
        <v/>
      </c>
      <c r="P243" s="8" t="n"/>
      <c r="Q243" s="7">
        <f>'Bütçe aylık-Eur'!$G$152</f>
        <v/>
      </c>
      <c r="R243" s="7">
        <f>'gerç aylık-eur'!$G$151</f>
        <v/>
      </c>
      <c r="S243" s="8" t="n"/>
      <c r="T243" s="7">
        <f>'Bütçe aylık-Eur'!$H$152</f>
        <v/>
      </c>
      <c r="U243" s="7">
        <f>'gerç aylık-eur'!$H$151</f>
        <v/>
      </c>
      <c r="V243" s="8" t="n"/>
      <c r="W243" s="7">
        <f>'Bütçe aylık-Eur'!$I$152</f>
        <v/>
      </c>
      <c r="X243" s="7">
        <f>'gerç aylık-eur'!$I$151</f>
        <v/>
      </c>
      <c r="Y243" s="8" t="n"/>
      <c r="Z243" s="7">
        <f>'Bütçe aylık-Eur'!$J$152</f>
        <v/>
      </c>
      <c r="AA243" s="7">
        <f>'gerç aylık-eur'!$J$151</f>
        <v/>
      </c>
      <c r="AB243" s="8" t="n"/>
      <c r="AC243" s="7">
        <f>'Bütçe aylık-Eur'!$K$152</f>
        <v/>
      </c>
      <c r="AD243" s="7">
        <f>'gerç aylık-eur'!$K$151</f>
        <v/>
      </c>
      <c r="AE243" s="8" t="n"/>
      <c r="AF243" s="7">
        <f>'Bütçe aylık-Eur'!$L$152</f>
        <v/>
      </c>
      <c r="AG243" s="7">
        <f>'gerç aylık-eur'!$L$151</f>
        <v/>
      </c>
      <c r="AH243" s="8" t="n"/>
      <c r="AI243" s="7">
        <f>'Bütçe aylık-Eur'!$M$152</f>
        <v/>
      </c>
      <c r="AJ243" s="7">
        <f>'gerç aylık-eur'!$M$151</f>
        <v/>
      </c>
      <c r="AK243" s="8" t="n"/>
      <c r="AL243" s="21">
        <f>AP243-AO243</f>
        <v/>
      </c>
      <c r="AM243" s="22">
        <f>AP243/AO243-1</f>
        <v/>
      </c>
      <c r="AO243" s="44">
        <f>IF($A$1=$B$1,B243,IF($A$1=$E$1,E243,IF($A$1=$H$1,H243,IF($A$1=$K$1,K243,IF($A$1=$N$1,N243,IF($A$1=$Q$1,Q243,IF($A$1=$T$1,T243,IF($A$1=$W$1,W243,IF($A$1=$Z$1,Z243,IF($A$1=$AC$1,AC243,IF($A$1=$AF$1,AF243,IF($A$1=$AI$1,AI243))))))))))))</f>
        <v/>
      </c>
      <c r="AP243" s="44">
        <f>IF($A$1=$B$1,C243,IF($A$1=$E$1,F243,IF($A$1=$H$1,I243,IF($A$1=$K$1,L243,IF($A$1=$N$1,O243,IF($A$1=$Q$1,R243,IF($A$1=$T$1,U243,IF($A$1=$W$1,X243,IF($A$1=$Z$1,AA243,IF($A$1=$AC$1,AD243,IF($A$1=$AF$1,AG243,IF($A$1=$AI$1,AJ243))))))))))))</f>
        <v/>
      </c>
    </row>
    <row r="244" ht="15.5" customHeight="1">
      <c r="A244" s="26" t="inlineStr">
        <is>
          <t>Jantaş</t>
        </is>
      </c>
      <c r="B244" s="7">
        <f>'Bütçe aylık-Eur'!$B$153</f>
        <v/>
      </c>
      <c r="C244" s="7">
        <f>'gerç aylık-eur'!$B$152</f>
        <v/>
      </c>
      <c r="D244" s="7" t="n"/>
      <c r="E244" s="7">
        <f>'Bütçe aylık-Eur'!$C$153</f>
        <v/>
      </c>
      <c r="F244" s="7">
        <f>'gerç aylık-eur'!$C$152</f>
        <v/>
      </c>
      <c r="G244" s="7" t="n"/>
      <c r="H244" s="7">
        <f>'Bütçe aylık-Eur'!$D$153</f>
        <v/>
      </c>
      <c r="I244" s="7">
        <f>'gerç aylık-eur'!$D$152</f>
        <v/>
      </c>
      <c r="J244" s="7" t="n"/>
      <c r="K244" s="7">
        <f>'Bütçe aylık-Eur'!$E$153</f>
        <v/>
      </c>
      <c r="L244" s="7">
        <f>'gerç aylık-eur'!$E$152</f>
        <v/>
      </c>
      <c r="M244" s="7" t="n"/>
      <c r="N244" s="7">
        <f>'Bütçe aylık-Eur'!$F$153</f>
        <v/>
      </c>
      <c r="O244" s="7">
        <f>'gerç aylık-eur'!$F$152</f>
        <v/>
      </c>
      <c r="P244" s="7" t="n"/>
      <c r="Q244" s="7">
        <f>'Bütçe aylık-Eur'!$G$153</f>
        <v/>
      </c>
      <c r="R244" s="7">
        <f>'gerç aylık-eur'!$G$152</f>
        <v/>
      </c>
      <c r="S244" s="7" t="n"/>
      <c r="T244" s="7">
        <f>'Bütçe aylık-Eur'!$H$153</f>
        <v/>
      </c>
      <c r="U244" s="7">
        <f>'gerç aylık-eur'!$H$152</f>
        <v/>
      </c>
      <c r="V244" s="7" t="n"/>
      <c r="W244" s="7">
        <f>'Bütçe aylık-Eur'!$I$153</f>
        <v/>
      </c>
      <c r="X244" s="7">
        <f>'gerç aylık-eur'!$I$152</f>
        <v/>
      </c>
      <c r="Y244" s="7" t="n"/>
      <c r="Z244" s="7">
        <f>'Bütçe aylık-Eur'!$J$153</f>
        <v/>
      </c>
      <c r="AA244" s="7">
        <f>'gerç aylık-eur'!$J$152</f>
        <v/>
      </c>
      <c r="AB244" s="7" t="n"/>
      <c r="AC244" s="7">
        <f>'Bütçe aylık-Eur'!$K$153</f>
        <v/>
      </c>
      <c r="AD244" s="7">
        <f>'gerç aylık-eur'!$K$152</f>
        <v/>
      </c>
      <c r="AE244" s="7" t="n"/>
      <c r="AF244" s="7">
        <f>'Bütçe aylık-Eur'!$L$153</f>
        <v/>
      </c>
      <c r="AG244" s="7">
        <f>'gerç aylık-eur'!$L$152</f>
        <v/>
      </c>
      <c r="AH244" s="7" t="n"/>
      <c r="AI244" s="7">
        <f>'Bütçe aylık-Eur'!$M$153</f>
        <v/>
      </c>
      <c r="AJ244" s="7">
        <f>'gerç aylık-eur'!$M$152</f>
        <v/>
      </c>
      <c r="AK244" s="7" t="n"/>
      <c r="AL244" s="21">
        <f>AP244-AO244</f>
        <v/>
      </c>
      <c r="AM244" s="22">
        <f>AP244/AO244-1</f>
        <v/>
      </c>
      <c r="AO244" s="44">
        <f>IF($A$1=$B$1,B244,IF($A$1=$E$1,E244,IF($A$1=$H$1,H244,IF($A$1=$K$1,K244,IF($A$1=$N$1,N244,IF($A$1=$Q$1,Q244,IF($A$1=$T$1,T244,IF($A$1=$W$1,W244,IF($A$1=$Z$1,Z244,IF($A$1=$AC$1,AC244,IF($A$1=$AF$1,AF244,IF($A$1=$AI$1,AI244))))))))))))</f>
        <v/>
      </c>
      <c r="AP244" s="44">
        <f>IF($A$1=$B$1,C244,IF($A$1=$E$1,F244,IF($A$1=$H$1,I244,IF($A$1=$K$1,L244,IF($A$1=$N$1,O244,IF($A$1=$Q$1,R244,IF($A$1=$T$1,U244,IF($A$1=$W$1,X244,IF($A$1=$Z$1,AA244,IF($A$1=$AC$1,AD244,IF($A$1=$AF$1,AG244,IF($A$1=$AI$1,AJ244))))))))))))</f>
        <v/>
      </c>
    </row>
    <row r="245" ht="15.5" customFormat="1" customHeight="1" s="1">
      <c r="A245" s="26" t="inlineStr">
        <is>
          <t>Çelik</t>
        </is>
      </c>
      <c r="B245" s="7">
        <f>'Bütçe aylık-Eur'!$B$154</f>
        <v/>
      </c>
      <c r="C245" s="7">
        <f>'gerç aylık-eur'!$B$153</f>
        <v/>
      </c>
      <c r="D245" s="8" t="n"/>
      <c r="E245" s="7">
        <f>'Bütçe aylık-Eur'!$C$154</f>
        <v/>
      </c>
      <c r="F245" s="7">
        <f>'gerç aylık-eur'!$C$153</f>
        <v/>
      </c>
      <c r="G245" s="8" t="n"/>
      <c r="H245" s="7">
        <f>'Bütçe aylık-Eur'!$D$154</f>
        <v/>
      </c>
      <c r="I245" s="7">
        <f>'gerç aylık-eur'!$D$153</f>
        <v/>
      </c>
      <c r="J245" s="8" t="n"/>
      <c r="K245" s="7">
        <f>'Bütçe aylık-Eur'!$E$154</f>
        <v/>
      </c>
      <c r="L245" s="7">
        <f>'gerç aylık-eur'!$E$153</f>
        <v/>
      </c>
      <c r="M245" s="8" t="n"/>
      <c r="N245" s="7">
        <f>'Bütçe aylık-Eur'!$F$154</f>
        <v/>
      </c>
      <c r="O245" s="7">
        <f>'gerç aylık-eur'!$F$153</f>
        <v/>
      </c>
      <c r="P245" s="8" t="n"/>
      <c r="Q245" s="7">
        <f>'Bütçe aylık-Eur'!$G$154</f>
        <v/>
      </c>
      <c r="R245" s="7">
        <f>'gerç aylık-eur'!$G$153</f>
        <v/>
      </c>
      <c r="S245" s="8" t="n"/>
      <c r="T245" s="7">
        <f>'Bütçe aylık-Eur'!$H$154</f>
        <v/>
      </c>
      <c r="U245" s="7">
        <f>'gerç aylık-eur'!$H$153</f>
        <v/>
      </c>
      <c r="V245" s="8" t="n"/>
      <c r="W245" s="7">
        <f>'Bütçe aylık-Eur'!$I$154</f>
        <v/>
      </c>
      <c r="X245" s="7">
        <f>'gerç aylık-eur'!$I$153</f>
        <v/>
      </c>
      <c r="Y245" s="8" t="n"/>
      <c r="Z245" s="7">
        <f>'Bütçe aylık-Eur'!$J$154</f>
        <v/>
      </c>
      <c r="AA245" s="7">
        <f>'gerç aylık-eur'!$J$153</f>
        <v/>
      </c>
      <c r="AB245" s="8" t="n"/>
      <c r="AC245" s="7">
        <f>'Bütçe aylık-Eur'!$K$154</f>
        <v/>
      </c>
      <c r="AD245" s="7">
        <f>'gerç aylık-eur'!$K$153</f>
        <v/>
      </c>
      <c r="AE245" s="8" t="n"/>
      <c r="AF245" s="7">
        <f>'Bütçe aylık-Eur'!$L$154</f>
        <v/>
      </c>
      <c r="AG245" s="7">
        <f>'gerç aylık-eur'!$L$153</f>
        <v/>
      </c>
      <c r="AH245" s="8" t="n"/>
      <c r="AI245" s="7">
        <f>'Bütçe aylık-Eur'!$M$154</f>
        <v/>
      </c>
      <c r="AJ245" s="7">
        <f>'gerç aylık-eur'!$M$153</f>
        <v/>
      </c>
      <c r="AK245" s="8" t="n"/>
      <c r="AL245" s="21">
        <f>AP245-AO245</f>
        <v/>
      </c>
      <c r="AM245" s="22">
        <f>AP245/AO245-1</f>
        <v/>
      </c>
      <c r="AO245" s="44">
        <f>IF($A$1=$B$1,B245,IF($A$1=$E$1,E245,IF($A$1=$H$1,H245,IF($A$1=$K$1,K245,IF($A$1=$N$1,N245,IF($A$1=$Q$1,Q245,IF($A$1=$T$1,T245,IF($A$1=$W$1,W245,IF($A$1=$Z$1,Z245,IF($A$1=$AC$1,AC245,IF($A$1=$AF$1,AF245,IF($A$1=$AI$1,AI245))))))))))))</f>
        <v/>
      </c>
      <c r="AP245" s="44">
        <f>IF($A$1=$B$1,C245,IF($A$1=$E$1,F245,IF($A$1=$H$1,I245,IF($A$1=$K$1,L245,IF($A$1=$N$1,O245,IF($A$1=$Q$1,R245,IF($A$1=$T$1,U245,IF($A$1=$W$1,X245,IF($A$1=$Z$1,AA245,IF($A$1=$AC$1,AD245,IF($A$1=$AF$1,AG245,IF($A$1=$AI$1,AJ245))))))))))))</f>
        <v/>
      </c>
    </row>
    <row r="246" ht="15.5" customFormat="1" customHeight="1" s="1">
      <c r="A246" s="26" t="inlineStr">
        <is>
          <t>Alüminyum</t>
        </is>
      </c>
      <c r="B246" s="7">
        <f>'Bütçe aylık-Eur'!$B$155</f>
        <v/>
      </c>
      <c r="C246" s="7">
        <f>'gerç aylık-eur'!$B$154</f>
        <v/>
      </c>
      <c r="D246" s="8" t="n"/>
      <c r="E246" s="7">
        <f>'Bütçe aylık-Eur'!$C$155</f>
        <v/>
      </c>
      <c r="F246" s="7">
        <f>'gerç aylık-eur'!$C$154</f>
        <v/>
      </c>
      <c r="G246" s="8" t="n"/>
      <c r="H246" s="7">
        <f>'Bütçe aylık-Eur'!$D$155</f>
        <v/>
      </c>
      <c r="I246" s="7">
        <f>'gerç aylık-eur'!$D$154</f>
        <v/>
      </c>
      <c r="J246" s="8" t="n"/>
      <c r="K246" s="7">
        <f>'Bütçe aylık-Eur'!$E$155</f>
        <v/>
      </c>
      <c r="L246" s="7">
        <f>'gerç aylık-eur'!$E$154</f>
        <v/>
      </c>
      <c r="M246" s="8" t="n"/>
      <c r="N246" s="7">
        <f>'Bütçe aylık-Eur'!$F$155</f>
        <v/>
      </c>
      <c r="O246" s="7">
        <f>'gerç aylık-eur'!$F$154</f>
        <v/>
      </c>
      <c r="P246" s="8" t="n"/>
      <c r="Q246" s="7">
        <f>'Bütçe aylık-Eur'!$G$155</f>
        <v/>
      </c>
      <c r="R246" s="7">
        <f>'gerç aylık-eur'!$G$154</f>
        <v/>
      </c>
      <c r="S246" s="8" t="n"/>
      <c r="T246" s="7">
        <f>'Bütçe aylık-Eur'!$H$155</f>
        <v/>
      </c>
      <c r="U246" s="7">
        <f>'gerç aylık-eur'!$H$154</f>
        <v/>
      </c>
      <c r="V246" s="8" t="n"/>
      <c r="W246" s="7">
        <f>'Bütçe aylık-Eur'!$I$155</f>
        <v/>
      </c>
      <c r="X246" s="7">
        <f>'gerç aylık-eur'!$I$154</f>
        <v/>
      </c>
      <c r="Y246" s="8" t="n"/>
      <c r="Z246" s="7">
        <f>'Bütçe aylık-Eur'!$J$155</f>
        <v/>
      </c>
      <c r="AA246" s="7">
        <f>'gerç aylık-eur'!$J$154</f>
        <v/>
      </c>
      <c r="AB246" s="8" t="n"/>
      <c r="AC246" s="7">
        <f>'Bütçe aylık-Eur'!$K$155</f>
        <v/>
      </c>
      <c r="AD246" s="7">
        <f>'gerç aylık-eur'!$K$154</f>
        <v/>
      </c>
      <c r="AE246" s="8" t="n"/>
      <c r="AF246" s="7">
        <f>'Bütçe aylık-Eur'!$L$155</f>
        <v/>
      </c>
      <c r="AG246" s="7">
        <f>'gerç aylık-eur'!$L$154</f>
        <v/>
      </c>
      <c r="AH246" s="8" t="n"/>
      <c r="AI246" s="7">
        <f>'Bütçe aylık-Eur'!$M$155</f>
        <v/>
      </c>
      <c r="AJ246" s="7">
        <f>'gerç aylık-eur'!$M$154</f>
        <v/>
      </c>
      <c r="AK246" s="8" t="n"/>
      <c r="AL246" s="21">
        <f>AP246-AO246</f>
        <v/>
      </c>
      <c r="AM246" s="22">
        <f>AP246/AO246-1</f>
        <v/>
      </c>
      <c r="AO246" s="44">
        <f>IF($A$1=$B$1,B246,IF($A$1=$E$1,E246,IF($A$1=$H$1,H246,IF($A$1=$K$1,K246,IF($A$1=$N$1,N246,IF($A$1=$Q$1,Q246,IF($A$1=$T$1,T246,IF($A$1=$W$1,W246,IF($A$1=$Z$1,Z246,IF($A$1=$AC$1,AC246,IF($A$1=$AF$1,AF246,IF($A$1=$AI$1,AI246))))))))))))</f>
        <v/>
      </c>
      <c r="AP246" s="44">
        <f>IF($A$1=$B$1,C246,IF($A$1=$E$1,F246,IF($A$1=$H$1,I246,IF($A$1=$K$1,L246,IF($A$1=$N$1,O246,IF($A$1=$Q$1,R246,IF($A$1=$T$1,U246,IF($A$1=$W$1,X246,IF($A$1=$Z$1,AA246,IF($A$1=$AC$1,AD246,IF($A$1=$AF$1,AG246,IF($A$1=$AI$1,AJ246))))))))))))</f>
        <v/>
      </c>
    </row>
    <row r="247" ht="15.5" customFormat="1" customHeight="1" s="1">
      <c r="A247" s="26" t="n"/>
      <c r="B247" s="7" t="n"/>
      <c r="C247" s="8" t="n"/>
      <c r="D247" s="8" t="n"/>
      <c r="E247" s="7" t="n"/>
      <c r="F247" s="8" t="n"/>
      <c r="G247" s="8" t="n"/>
      <c r="H247" s="7" t="n"/>
      <c r="I247" s="8" t="n"/>
      <c r="J247" s="8" t="n"/>
      <c r="K247" s="7" t="n"/>
      <c r="L247" s="8" t="n"/>
      <c r="M247" s="8" t="n"/>
      <c r="N247" s="7" t="n"/>
      <c r="O247" s="8" t="n"/>
      <c r="P247" s="8" t="n"/>
      <c r="Q247" s="7" t="n"/>
      <c r="R247" s="8" t="n"/>
      <c r="S247" s="8" t="n"/>
      <c r="T247" s="7" t="n"/>
      <c r="U247" s="8" t="n"/>
      <c r="V247" s="8" t="n"/>
      <c r="W247" s="7" t="n"/>
      <c r="X247" s="8" t="n"/>
      <c r="Y247" s="8" t="n"/>
      <c r="Z247" s="7" t="n"/>
      <c r="AA247" s="8" t="n"/>
      <c r="AB247" s="8" t="n"/>
      <c r="AC247" s="7" t="n"/>
      <c r="AD247" s="8" t="n"/>
      <c r="AE247" s="8" t="n"/>
      <c r="AF247" s="7" t="n"/>
      <c r="AG247" s="8" t="n"/>
      <c r="AH247" s="8" t="n"/>
      <c r="AI247" s="7" t="n"/>
      <c r="AJ247" s="8" t="n"/>
      <c r="AK247" s="8" t="n"/>
      <c r="AL247" s="15" t="n"/>
      <c r="AM247" s="16" t="n"/>
      <c r="AO247" s="44" t="n"/>
      <c r="AP247" s="44" t="n"/>
    </row>
    <row r="248" ht="15.5" customFormat="1" customHeight="1" s="1">
      <c r="A248" s="26" t="n"/>
      <c r="B248" s="7" t="n"/>
      <c r="C248" s="8" t="n"/>
      <c r="D248" s="8" t="n"/>
      <c r="E248" s="7" t="n"/>
      <c r="F248" s="8" t="n"/>
      <c r="G248" s="8" t="n"/>
      <c r="H248" s="7" t="n"/>
      <c r="I248" s="8" t="n"/>
      <c r="J248" s="8" t="n"/>
      <c r="K248" s="7" t="n"/>
      <c r="L248" s="8" t="n"/>
      <c r="M248" s="8" t="n"/>
      <c r="N248" s="7" t="n"/>
      <c r="O248" s="8" t="n"/>
      <c r="P248" s="8" t="n"/>
      <c r="Q248" s="7" t="n"/>
      <c r="R248" s="8" t="n"/>
      <c r="S248" s="8" t="n"/>
      <c r="T248" s="7" t="n"/>
      <c r="U248" s="8" t="n"/>
      <c r="V248" s="8" t="n"/>
      <c r="W248" s="7" t="n"/>
      <c r="X248" s="8" t="n"/>
      <c r="Y248" s="8" t="n"/>
      <c r="Z248" s="7" t="n"/>
      <c r="AA248" s="8" t="n"/>
      <c r="AB248" s="8" t="n"/>
      <c r="AC248" s="7" t="n"/>
      <c r="AD248" s="8" t="n"/>
      <c r="AE248" s="8" t="n"/>
      <c r="AF248" s="7" t="n"/>
      <c r="AG248" s="8" t="n"/>
      <c r="AH248" s="8" t="n"/>
      <c r="AI248" s="7" t="n"/>
      <c r="AJ248" s="8" t="n"/>
      <c r="AK248" s="8" t="n"/>
      <c r="AL248" s="15" t="n"/>
      <c r="AM248" s="16" t="n"/>
      <c r="AO248" s="44" t="n"/>
      <c r="AP248" s="44" t="n"/>
    </row>
    <row r="249" ht="15.5" customFormat="1" customHeight="1" s="44">
      <c r="A249" s="31" t="inlineStr">
        <is>
          <t>Mevduat</t>
        </is>
      </c>
      <c r="B249" s="32">
        <f>'Bütçe aylık-Eur'!$B$160</f>
        <v/>
      </c>
      <c r="C249" s="32">
        <f>'gerç aylık-eur'!$B$159</f>
        <v/>
      </c>
      <c r="D249" s="18" t="n"/>
      <c r="E249" s="32">
        <f>'Bütçe aylık-Eur'!$C$160</f>
        <v/>
      </c>
      <c r="F249" s="32">
        <f>'gerç aylık-eur'!$C$159</f>
        <v/>
      </c>
      <c r="G249" s="18" t="n"/>
      <c r="H249" s="32">
        <f>'Bütçe aylık-Eur'!$D$160</f>
        <v/>
      </c>
      <c r="I249" s="32">
        <f>'gerç aylık-eur'!$D$159</f>
        <v/>
      </c>
      <c r="J249" s="18" t="n"/>
      <c r="K249" s="32">
        <f>'Bütçe aylık-Eur'!$E$160</f>
        <v/>
      </c>
      <c r="L249" s="32">
        <f>'gerç aylık-eur'!$E$159</f>
        <v/>
      </c>
      <c r="M249" s="18" t="n"/>
      <c r="N249" s="32">
        <f>'Bütçe aylık-Eur'!$F$160</f>
        <v/>
      </c>
      <c r="O249" s="32">
        <f>'gerç aylık-eur'!$F$159</f>
        <v/>
      </c>
      <c r="P249" s="18" t="n"/>
      <c r="Q249" s="32">
        <f>'Bütçe aylık-Eur'!$G$160</f>
        <v/>
      </c>
      <c r="R249" s="32">
        <f>'gerç aylık-eur'!$G$159</f>
        <v/>
      </c>
      <c r="S249" s="18" t="n"/>
      <c r="T249" s="32">
        <f>'Bütçe aylık-Eur'!$H$160</f>
        <v/>
      </c>
      <c r="U249" s="32">
        <f>'gerç aylık-eur'!$H$159</f>
        <v/>
      </c>
      <c r="V249" s="18" t="n"/>
      <c r="W249" s="32">
        <f>'Bütçe aylık-Eur'!$I$160</f>
        <v/>
      </c>
      <c r="X249" s="32">
        <f>'gerç aylık-eur'!$I$159</f>
        <v/>
      </c>
      <c r="Y249" s="18" t="n"/>
      <c r="Z249" s="32">
        <f>'Bütçe aylık-Eur'!$J$160</f>
        <v/>
      </c>
      <c r="AA249" s="32">
        <f>'gerç aylık-eur'!$J$159</f>
        <v/>
      </c>
      <c r="AB249" s="18" t="n"/>
      <c r="AC249" s="32">
        <f>'Bütçe aylık-Eur'!$K$160</f>
        <v/>
      </c>
      <c r="AD249" s="32">
        <f>'gerç aylık-eur'!$K$159</f>
        <v/>
      </c>
      <c r="AE249" s="18" t="n"/>
      <c r="AF249" s="32">
        <f>'Bütçe aylık-Eur'!$L$160</f>
        <v/>
      </c>
      <c r="AG249" s="32">
        <f>'gerç aylık-eur'!$L$159</f>
        <v/>
      </c>
      <c r="AH249" s="18" t="n"/>
      <c r="AI249" s="32">
        <f>'Bütçe aylık-Eur'!$M$160</f>
        <v/>
      </c>
      <c r="AJ249" s="32">
        <f>'gerç aylık-eur'!$M$159</f>
        <v/>
      </c>
      <c r="AK249" s="18" t="n"/>
      <c r="AL249" s="33">
        <f>AP249-AO249</f>
        <v/>
      </c>
      <c r="AM249" s="34">
        <f>AP249/AO249-1</f>
        <v/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/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/>
      </c>
    </row>
    <row r="250" ht="15.5" customFormat="1" customHeight="1" s="13">
      <c r="A250" s="27" t="n"/>
      <c r="B250" s="30" t="n"/>
      <c r="C250" s="30" t="n"/>
      <c r="D250" s="41" t="n"/>
      <c r="E250" s="30" t="n"/>
      <c r="F250" s="30" t="n"/>
      <c r="G250" s="41" t="n"/>
      <c r="H250" s="30" t="n"/>
      <c r="I250" s="30" t="n"/>
      <c r="J250" s="41" t="n"/>
      <c r="K250" s="30" t="n"/>
      <c r="L250" s="30" t="n"/>
      <c r="M250" s="41" t="n"/>
      <c r="N250" s="30" t="n"/>
      <c r="O250" s="30" t="n"/>
      <c r="P250" s="41" t="n"/>
      <c r="Q250" s="30" t="n"/>
      <c r="R250" s="30" t="n"/>
      <c r="S250" s="41" t="n"/>
      <c r="T250" s="30" t="n"/>
      <c r="U250" s="30" t="n"/>
      <c r="V250" s="41" t="n"/>
      <c r="W250" s="30" t="n"/>
      <c r="X250" s="30" t="n"/>
      <c r="Y250" s="41" t="n"/>
      <c r="Z250" s="30" t="n"/>
      <c r="AA250" s="30" t="n"/>
      <c r="AB250" s="41" t="n"/>
      <c r="AC250" s="30" t="n"/>
      <c r="AD250" s="30" t="n"/>
      <c r="AE250" s="41" t="n"/>
      <c r="AF250" s="30" t="n"/>
      <c r="AG250" s="30" t="n"/>
      <c r="AH250" s="41" t="n"/>
      <c r="AI250" s="30" t="n"/>
      <c r="AJ250" s="30" t="n"/>
      <c r="AK250" s="41" t="n"/>
      <c r="AL250" s="15" t="n"/>
      <c r="AM250" s="22" t="n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/>
      </c>
      <c r="AP250" s="44">
        <f>IF($A$1=$B$1,C250,IF($A$1=$E$1,F250,IF($A$1=$H$1,I250,IF($A$1=$K$1,L250,IF($A$1=$N$1,O250,IF($A$1=$Q$1,R250,IF($A$1=$T$1,U250,IF($A$1=$W$1,X250,IF($A$1=$Z$1,AA250,IF($A$1=$AC$1,AD250,IF($A$1=$AF$1,AG250,IF($A$1=$AI$1,AJ250))))))))))))</f>
        <v/>
      </c>
    </row>
    <row r="251" ht="17" customFormat="1" customHeight="1" s="49">
      <c r="A251" s="47" t="inlineStr">
        <is>
          <t>Mevduat (100%)</t>
        </is>
      </c>
      <c r="B251" s="413" t="n"/>
      <c r="C251" s="413" t="n"/>
      <c r="D251" s="413" t="n"/>
      <c r="E251" s="413" t="n"/>
      <c r="F251" s="413" t="n"/>
      <c r="G251" s="413" t="n"/>
      <c r="H251" s="413" t="n"/>
      <c r="I251" s="413" t="n"/>
      <c r="J251" s="413" t="n"/>
      <c r="K251" s="413" t="n"/>
      <c r="L251" s="413" t="n"/>
      <c r="M251" s="413" t="n"/>
      <c r="N251" s="413" t="n"/>
      <c r="O251" s="413" t="n"/>
      <c r="P251" s="413" t="n"/>
      <c r="Q251" s="413" t="n"/>
      <c r="R251" s="413" t="n"/>
      <c r="S251" s="413" t="n"/>
      <c r="T251" s="413" t="n"/>
      <c r="U251" s="413" t="n"/>
      <c r="V251" s="413" t="n"/>
      <c r="W251" s="413" t="n"/>
      <c r="X251" s="413" t="n"/>
      <c r="Y251" s="413" t="n"/>
      <c r="Z251" s="413" t="n"/>
      <c r="AA251" s="413" t="n"/>
      <c r="AB251" s="413" t="n"/>
      <c r="AC251" s="413" t="n"/>
      <c r="AD251" s="413" t="n"/>
      <c r="AE251" s="413" t="n"/>
      <c r="AF251" s="413" t="n"/>
      <c r="AG251" s="413" t="n"/>
      <c r="AH251" s="413" t="n"/>
      <c r="AI251" s="413" t="n"/>
      <c r="AJ251" s="413" t="n"/>
      <c r="AK251" s="413" t="n"/>
      <c r="AL251" s="413" t="n"/>
      <c r="AM251" s="48" t="n"/>
    </row>
    <row r="252" ht="15.5" customHeight="1">
      <c r="A252" s="26" t="inlineStr">
        <is>
          <t xml:space="preserve">İnci Holding </t>
        </is>
      </c>
      <c r="B252" s="7">
        <f>'Bütçe aylık-Eur'!$B$161</f>
        <v/>
      </c>
      <c r="C252" s="7">
        <f>'gerç aylık-eur'!$B$160</f>
        <v/>
      </c>
      <c r="D252" s="7" t="n"/>
      <c r="E252" s="7">
        <f>'Bütçe aylık-Eur'!$C$161</f>
        <v/>
      </c>
      <c r="F252" s="7">
        <f>'gerç aylık-eur'!$C$160</f>
        <v/>
      </c>
      <c r="G252" s="7" t="n"/>
      <c r="H252" s="7">
        <f>'Bütçe aylık-Eur'!$D$161</f>
        <v/>
      </c>
      <c r="I252" s="7">
        <f>'gerç aylık-eur'!$D$160</f>
        <v/>
      </c>
      <c r="J252" s="7" t="n"/>
      <c r="K252" s="7">
        <f>'Bütçe aylık-Eur'!$E$161</f>
        <v/>
      </c>
      <c r="L252" s="7">
        <f>'gerç aylık-eur'!$E$160</f>
        <v/>
      </c>
      <c r="M252" s="7" t="n"/>
      <c r="N252" s="7">
        <f>'Bütçe aylık-Eur'!$F$161</f>
        <v/>
      </c>
      <c r="O252" s="7">
        <f>'gerç aylık-eur'!$F$160</f>
        <v/>
      </c>
      <c r="P252" s="7" t="n"/>
      <c r="Q252" s="7">
        <f>'Bütçe aylık-Eur'!$G$161</f>
        <v/>
      </c>
      <c r="R252" s="7">
        <f>'gerç aylık-eur'!$G$160</f>
        <v/>
      </c>
      <c r="S252" s="7" t="n"/>
      <c r="T252" s="7">
        <f>'Bütçe aylık-Eur'!$H$161</f>
        <v/>
      </c>
      <c r="U252" s="7">
        <f>'gerç aylık-eur'!$H$160</f>
        <v/>
      </c>
      <c r="V252" s="7" t="n"/>
      <c r="W252" s="7">
        <f>'Bütçe aylık-Eur'!$I$161</f>
        <v/>
      </c>
      <c r="X252" s="7">
        <f>'gerç aylık-eur'!$I$160</f>
        <v/>
      </c>
      <c r="Y252" s="7" t="n"/>
      <c r="Z252" s="7">
        <f>'Bütçe aylık-Eur'!$J$161</f>
        <v/>
      </c>
      <c r="AA252" s="7">
        <f>'gerç aylık-eur'!$J$160</f>
        <v/>
      </c>
      <c r="AB252" s="7" t="n"/>
      <c r="AC252" s="7">
        <f>'Bütçe aylık-Eur'!$K$161</f>
        <v/>
      </c>
      <c r="AD252" s="7">
        <f>'gerç aylık-eur'!$K$160</f>
        <v/>
      </c>
      <c r="AE252" s="7" t="n"/>
      <c r="AF252" s="7">
        <f>'Bütçe aylık-Eur'!$L$161</f>
        <v/>
      </c>
      <c r="AG252" s="7">
        <f>'gerç aylık-eur'!$L$160</f>
        <v/>
      </c>
      <c r="AH252" s="7" t="n"/>
      <c r="AI252" s="7">
        <f>'Bütçe aylık-Eur'!$M$161</f>
        <v/>
      </c>
      <c r="AJ252" s="7">
        <f>'gerç aylık-eur'!$M$160</f>
        <v/>
      </c>
      <c r="AK252" s="7" t="n"/>
      <c r="AL252" s="21">
        <f>AP252-AO252</f>
        <v/>
      </c>
      <c r="AM252" s="22">
        <f>AP252/AO252-1</f>
        <v/>
      </c>
      <c r="AO252" s="44">
        <f>IF($A$1=$B$1,B252,IF($A$1=$E$1,E252,IF($A$1=$H$1,H252,IF($A$1=$K$1,K252,IF($A$1=$N$1,N252,IF($A$1=$Q$1,Q252,IF($A$1=$T$1,T252,IF($A$1=$W$1,W252,IF($A$1=$Z$1,Z252,IF($A$1=$AC$1,AC252,IF($A$1=$AF$1,AF252,IF($A$1=$AI$1,AI252))))))))))))</f>
        <v/>
      </c>
      <c r="AP252" s="44">
        <f>IF($A$1=$B$1,C252,IF($A$1=$E$1,F252,IF($A$1=$H$1,I252,IF($A$1=$K$1,L252,IF($A$1=$N$1,O252,IF($A$1=$Q$1,R252,IF($A$1=$T$1,U252,IF($A$1=$W$1,X252,IF($A$1=$Z$1,AA252,IF($A$1=$AC$1,AD252,IF($A$1=$AF$1,AG252,IF($A$1=$AI$1,AJ252))))))))))))</f>
        <v/>
      </c>
    </row>
    <row r="253" ht="15.5" customHeight="1">
      <c r="A253" s="26" t="inlineStr">
        <is>
          <t xml:space="preserve">ISM </t>
        </is>
      </c>
      <c r="B253" s="7">
        <f>'Bütçe aylık-Eur'!$B$162</f>
        <v/>
      </c>
      <c r="C253" s="7">
        <f>'gerç aylık-eur'!$B$161</f>
        <v/>
      </c>
      <c r="D253" s="7" t="n"/>
      <c r="E253" s="7">
        <f>'Bütçe aylık-Eur'!$C$162</f>
        <v/>
      </c>
      <c r="F253" s="7">
        <f>'gerç aylık-eur'!$C$161</f>
        <v/>
      </c>
      <c r="G253" s="7" t="n"/>
      <c r="H253" s="7">
        <f>'Bütçe aylık-Eur'!$D$162</f>
        <v/>
      </c>
      <c r="I253" s="7">
        <f>'gerç aylık-eur'!$D$161</f>
        <v/>
      </c>
      <c r="J253" s="7" t="n"/>
      <c r="K253" s="7">
        <f>'Bütçe aylık-Eur'!$E$162</f>
        <v/>
      </c>
      <c r="L253" s="7">
        <f>'gerç aylık-eur'!$E$161</f>
        <v/>
      </c>
      <c r="M253" s="7" t="n"/>
      <c r="N253" s="7">
        <f>'Bütçe aylık-Eur'!$F$162</f>
        <v/>
      </c>
      <c r="O253" s="7">
        <f>'gerç aylık-eur'!$F$161</f>
        <v/>
      </c>
      <c r="P253" s="7" t="n"/>
      <c r="Q253" s="7">
        <f>'Bütçe aylık-Eur'!$G$162</f>
        <v/>
      </c>
      <c r="R253" s="7">
        <f>'gerç aylık-eur'!$G$161</f>
        <v/>
      </c>
      <c r="S253" s="7" t="n"/>
      <c r="T253" s="7">
        <f>'Bütçe aylık-Eur'!$H$162</f>
        <v/>
      </c>
      <c r="U253" s="7">
        <f>'gerç aylık-eur'!$H$161</f>
        <v/>
      </c>
      <c r="V253" s="7" t="n"/>
      <c r="W253" s="7">
        <f>'Bütçe aylık-Eur'!$I$162</f>
        <v/>
      </c>
      <c r="X253" s="7">
        <f>'gerç aylık-eur'!$I$161</f>
        <v/>
      </c>
      <c r="Y253" s="7" t="n"/>
      <c r="Z253" s="7">
        <f>'Bütçe aylık-Eur'!$J$162</f>
        <v/>
      </c>
      <c r="AA253" s="7">
        <f>'gerç aylık-eur'!$J$161</f>
        <v/>
      </c>
      <c r="AB253" s="7" t="n"/>
      <c r="AC253" s="7">
        <f>'Bütçe aylık-Eur'!$K$162</f>
        <v/>
      </c>
      <c r="AD253" s="7">
        <f>'gerç aylık-eur'!$K$161</f>
        <v/>
      </c>
      <c r="AE253" s="7" t="n"/>
      <c r="AF253" s="7">
        <f>'Bütçe aylık-Eur'!$L$162</f>
        <v/>
      </c>
      <c r="AG253" s="7">
        <f>'gerç aylık-eur'!$L$161</f>
        <v/>
      </c>
      <c r="AH253" s="7" t="n"/>
      <c r="AI253" s="7">
        <f>'Bütçe aylık-Eur'!$M$162</f>
        <v/>
      </c>
      <c r="AJ253" s="7">
        <f>'gerç aylık-eur'!$M$161</f>
        <v/>
      </c>
      <c r="AK253" s="7" t="n"/>
      <c r="AL253" s="21">
        <f>AP253-AO253</f>
        <v/>
      </c>
      <c r="AM253" s="22">
        <f>AP253/AO253-1</f>
        <v/>
      </c>
      <c r="AO253" s="44">
        <f>IF($A$1=$B$1,B253,IF($A$1=$E$1,E253,IF($A$1=$H$1,H253,IF($A$1=$K$1,K253,IF($A$1=$N$1,N253,IF($A$1=$Q$1,Q253,IF($A$1=$T$1,T253,IF($A$1=$W$1,W253,IF($A$1=$Z$1,Z253,IF($A$1=$AC$1,AC253,IF($A$1=$AF$1,AF253,IF($A$1=$AI$1,AI253))))))))))))</f>
        <v/>
      </c>
      <c r="AP253" s="44">
        <f>IF($A$1=$B$1,C253,IF($A$1=$E$1,F253,IF($A$1=$H$1,I253,IF($A$1=$K$1,L253,IF($A$1=$N$1,O253,IF($A$1=$Q$1,R253,IF($A$1=$T$1,U253,IF($A$1=$W$1,X253,IF($A$1=$Z$1,AA253,IF($A$1=$AC$1,AD253,IF($A$1=$AF$1,AG253,IF($A$1=$AI$1,AJ253))))))))))))</f>
        <v/>
      </c>
    </row>
    <row r="254" ht="15.5" customHeight="1">
      <c r="A254" s="26" t="inlineStr">
        <is>
          <t>İncitaş</t>
        </is>
      </c>
      <c r="B254" s="7">
        <f>'Bütçe aylık-Eur'!$B$163</f>
        <v/>
      </c>
      <c r="C254" s="7">
        <f>'gerç aylık-eur'!$B$162</f>
        <v/>
      </c>
      <c r="D254" s="7" t="n"/>
      <c r="E254" s="7">
        <f>'Bütçe aylık-Eur'!$C$163</f>
        <v/>
      </c>
      <c r="F254" s="7">
        <f>'gerç aylık-eur'!$C$162</f>
        <v/>
      </c>
      <c r="G254" s="7" t="n"/>
      <c r="H254" s="7">
        <f>'Bütçe aylık-Eur'!$D$163</f>
        <v/>
      </c>
      <c r="I254" s="7">
        <f>'gerç aylık-eur'!$D$162</f>
        <v/>
      </c>
      <c r="J254" s="7" t="n"/>
      <c r="K254" s="7">
        <f>'Bütçe aylık-Eur'!$E$163</f>
        <v/>
      </c>
      <c r="L254" s="7">
        <f>'gerç aylık-eur'!$E$162</f>
        <v/>
      </c>
      <c r="M254" s="7" t="n"/>
      <c r="N254" s="7">
        <f>'Bütçe aylık-Eur'!$F$163</f>
        <v/>
      </c>
      <c r="O254" s="7">
        <f>'gerç aylık-eur'!$F$162</f>
        <v/>
      </c>
      <c r="P254" s="7" t="n"/>
      <c r="Q254" s="7">
        <f>'Bütçe aylık-Eur'!$G$163</f>
        <v/>
      </c>
      <c r="R254" s="7">
        <f>'gerç aylık-eur'!$G$162</f>
        <v/>
      </c>
      <c r="S254" s="7" t="n"/>
      <c r="T254" s="7">
        <f>'Bütçe aylık-Eur'!$H$163</f>
        <v/>
      </c>
      <c r="U254" s="7">
        <f>'gerç aylık-eur'!$H$162</f>
        <v/>
      </c>
      <c r="V254" s="7" t="n"/>
      <c r="W254" s="7">
        <f>'Bütçe aylık-Eur'!$I$163</f>
        <v/>
      </c>
      <c r="X254" s="7">
        <f>'gerç aylık-eur'!$I$162</f>
        <v/>
      </c>
      <c r="Y254" s="7" t="n"/>
      <c r="Z254" s="7">
        <f>'Bütçe aylık-Eur'!$J$163</f>
        <v/>
      </c>
      <c r="AA254" s="7">
        <f>'gerç aylık-eur'!$J$162</f>
        <v/>
      </c>
      <c r="AB254" s="7" t="n"/>
      <c r="AC254" s="7">
        <f>'Bütçe aylık-Eur'!$K$163</f>
        <v/>
      </c>
      <c r="AD254" s="7">
        <f>'gerç aylık-eur'!$K$162</f>
        <v/>
      </c>
      <c r="AE254" s="7" t="n"/>
      <c r="AF254" s="7">
        <f>'Bütçe aylık-Eur'!$L$163</f>
        <v/>
      </c>
      <c r="AG254" s="7">
        <f>'gerç aylık-eur'!$L$162</f>
        <v/>
      </c>
      <c r="AH254" s="7" t="n"/>
      <c r="AI254" s="7">
        <f>'Bütçe aylık-Eur'!$M$163</f>
        <v/>
      </c>
      <c r="AJ254" s="7">
        <f>'gerç aylık-eur'!$M$162</f>
        <v/>
      </c>
      <c r="AK254" s="7" t="n"/>
      <c r="AL254" s="21">
        <f>AP254-AO254</f>
        <v/>
      </c>
      <c r="AM254" s="22">
        <f>AP254/AO254-1</f>
        <v/>
      </c>
      <c r="AO254" s="44">
        <f>IF($A$1=$B$1,B254,IF($A$1=$E$1,E254,IF($A$1=$H$1,H254,IF($A$1=$K$1,K254,IF($A$1=$N$1,N254,IF($A$1=$Q$1,Q254,IF($A$1=$T$1,T254,IF($A$1=$W$1,W254,IF($A$1=$Z$1,Z254,IF($A$1=$AC$1,AC254,IF($A$1=$AF$1,AF254,IF($A$1=$AI$1,AI254))))))))))))</f>
        <v/>
      </c>
      <c r="AP254" s="44">
        <f>IF($A$1=$B$1,C254,IF($A$1=$E$1,F254,IF($A$1=$H$1,I254,IF($A$1=$K$1,L254,IF($A$1=$N$1,O254,IF($A$1=$Q$1,R254,IF($A$1=$T$1,U254,IF($A$1=$W$1,X254,IF($A$1=$Z$1,AA254,IF($A$1=$AC$1,AD254,IF($A$1=$AF$1,AG254,IF($A$1=$AI$1,AJ254))))))))))))</f>
        <v/>
      </c>
    </row>
    <row r="255" ht="15.5" customHeight="1">
      <c r="A255" s="26" t="inlineStr">
        <is>
          <t>İnci GS Yuasa</t>
        </is>
      </c>
      <c r="B255" s="7">
        <f>'Bütçe aylık-Eur'!$B$164</f>
        <v/>
      </c>
      <c r="C255" s="7">
        <f>'gerç aylık-eur'!$B$163</f>
        <v/>
      </c>
      <c r="D255" s="7" t="n"/>
      <c r="E255" s="7">
        <f>'Bütçe aylık-Eur'!$C$164</f>
        <v/>
      </c>
      <c r="F255" s="7">
        <f>'gerç aylık-eur'!$C$163</f>
        <v/>
      </c>
      <c r="G255" s="7" t="n"/>
      <c r="H255" s="7">
        <f>'Bütçe aylık-Eur'!$D$164</f>
        <v/>
      </c>
      <c r="I255" s="7">
        <f>'gerç aylık-eur'!$D$163</f>
        <v/>
      </c>
      <c r="J255" s="7" t="n"/>
      <c r="K255" s="7">
        <f>'Bütçe aylık-Eur'!$E$164</f>
        <v/>
      </c>
      <c r="L255" s="7">
        <f>'gerç aylık-eur'!$E$163</f>
        <v/>
      </c>
      <c r="M255" s="7" t="n"/>
      <c r="N255" s="7">
        <f>'Bütçe aylık-Eur'!$F$164</f>
        <v/>
      </c>
      <c r="O255" s="7">
        <f>'gerç aylık-eur'!$F$163</f>
        <v/>
      </c>
      <c r="P255" s="7" t="n"/>
      <c r="Q255" s="7">
        <f>'Bütçe aylık-Eur'!$G$164</f>
        <v/>
      </c>
      <c r="R255" s="7">
        <f>'gerç aylık-eur'!$G$163</f>
        <v/>
      </c>
      <c r="S255" s="7" t="n"/>
      <c r="T255" s="7">
        <f>'Bütçe aylık-Eur'!$H$164</f>
        <v/>
      </c>
      <c r="U255" s="7">
        <f>'gerç aylık-eur'!$H$163</f>
        <v/>
      </c>
      <c r="V255" s="7" t="n"/>
      <c r="W255" s="7">
        <f>'Bütçe aylık-Eur'!$I$164</f>
        <v/>
      </c>
      <c r="X255" s="7">
        <f>'gerç aylık-eur'!$I$163</f>
        <v/>
      </c>
      <c r="Y255" s="7" t="n"/>
      <c r="Z255" s="7">
        <f>'Bütçe aylık-Eur'!$J$164</f>
        <v/>
      </c>
      <c r="AA255" s="7">
        <f>'gerç aylık-eur'!$J$163</f>
        <v/>
      </c>
      <c r="AB255" s="7" t="n"/>
      <c r="AC255" s="7">
        <f>'Bütçe aylık-Eur'!$K$164</f>
        <v/>
      </c>
      <c r="AD255" s="7">
        <f>'gerç aylık-eur'!$K$163</f>
        <v/>
      </c>
      <c r="AE255" s="7" t="n"/>
      <c r="AF255" s="7">
        <f>'Bütçe aylık-Eur'!$L$164</f>
        <v/>
      </c>
      <c r="AG255" s="7">
        <f>'gerç aylık-eur'!$L$163</f>
        <v/>
      </c>
      <c r="AH255" s="7" t="n"/>
      <c r="AI255" s="7">
        <f>'Bütçe aylık-Eur'!$M$164</f>
        <v/>
      </c>
      <c r="AJ255" s="7">
        <f>'gerç aylık-eur'!$M$163</f>
        <v/>
      </c>
      <c r="AK255" s="7" t="n"/>
      <c r="AL255" s="21">
        <f>AP255-AO255</f>
        <v/>
      </c>
      <c r="AM255" s="22">
        <f>AP255/AO255-1</f>
        <v/>
      </c>
      <c r="AO255" s="44">
        <f>IF($A$1=$B$1,B255,IF($A$1=$E$1,E255,IF($A$1=$H$1,H255,IF($A$1=$K$1,K255,IF($A$1=$N$1,N255,IF($A$1=$Q$1,Q255,IF($A$1=$T$1,T255,IF($A$1=$W$1,W255,IF($A$1=$Z$1,Z255,IF($A$1=$AC$1,AC255,IF($A$1=$AF$1,AF255,IF($A$1=$AI$1,AI255))))))))))))</f>
        <v/>
      </c>
      <c r="AP255" s="44">
        <f>IF($A$1=$B$1,C255,IF($A$1=$E$1,F255,IF($A$1=$H$1,I255,IF($A$1=$K$1,L255,IF($A$1=$N$1,O255,IF($A$1=$Q$1,R255,IF($A$1=$T$1,U255,IF($A$1=$W$1,X255,IF($A$1=$Z$1,AA255,IF($A$1=$AC$1,AD255,IF($A$1=$AF$1,AG255,IF($A$1=$AI$1,AJ255))))))))))))</f>
        <v/>
      </c>
    </row>
    <row r="256" ht="15.5" customFormat="1" customHeight="1" s="1">
      <c r="A256" s="26" t="inlineStr">
        <is>
          <t>Yusen İnci Loj.</t>
        </is>
      </c>
      <c r="B256" s="7">
        <f>'Bütçe aylık-Eur'!$B$165</f>
        <v/>
      </c>
      <c r="C256" s="7">
        <f>'gerç aylık-eur'!$B$164</f>
        <v/>
      </c>
      <c r="D256" s="8" t="n"/>
      <c r="E256" s="7">
        <f>'Bütçe aylık-Eur'!$C$165</f>
        <v/>
      </c>
      <c r="F256" s="7">
        <f>'gerç aylık-eur'!$C$164</f>
        <v/>
      </c>
      <c r="G256" s="8" t="n"/>
      <c r="H256" s="7">
        <f>'Bütçe aylık-Eur'!$D$165</f>
        <v/>
      </c>
      <c r="I256" s="7">
        <f>'gerç aylık-eur'!$D$164</f>
        <v/>
      </c>
      <c r="J256" s="8" t="n"/>
      <c r="K256" s="7">
        <f>'Bütçe aylık-Eur'!$E$165</f>
        <v/>
      </c>
      <c r="L256" s="7">
        <f>'gerç aylık-eur'!$E$164</f>
        <v/>
      </c>
      <c r="M256" s="8" t="n"/>
      <c r="N256" s="7">
        <f>'Bütçe aylık-Eur'!$F$165</f>
        <v/>
      </c>
      <c r="O256" s="7">
        <f>'gerç aylık-eur'!$F$164</f>
        <v/>
      </c>
      <c r="P256" s="8" t="n"/>
      <c r="Q256" s="7">
        <f>'Bütçe aylık-Eur'!$G$165</f>
        <v/>
      </c>
      <c r="R256" s="7">
        <f>'gerç aylık-eur'!$G$164</f>
        <v/>
      </c>
      <c r="S256" s="8" t="n"/>
      <c r="T256" s="7">
        <f>'Bütçe aylık-Eur'!$H$165</f>
        <v/>
      </c>
      <c r="U256" s="7">
        <f>'gerç aylık-eur'!$H$164</f>
        <v/>
      </c>
      <c r="V256" s="8" t="n"/>
      <c r="W256" s="7">
        <f>'Bütçe aylık-Eur'!$I$165</f>
        <v/>
      </c>
      <c r="X256" s="7">
        <f>'gerç aylık-eur'!$I$164</f>
        <v/>
      </c>
      <c r="Y256" s="8" t="n"/>
      <c r="Z256" s="7">
        <f>'Bütçe aylık-Eur'!$J$165</f>
        <v/>
      </c>
      <c r="AA256" s="7">
        <f>'gerç aylık-eur'!$J$164</f>
        <v/>
      </c>
      <c r="AB256" s="8" t="n"/>
      <c r="AC256" s="7">
        <f>'Bütçe aylık-Eur'!$K$165</f>
        <v/>
      </c>
      <c r="AD256" s="7">
        <f>'gerç aylık-eur'!$K$164</f>
        <v/>
      </c>
      <c r="AE256" s="8" t="n"/>
      <c r="AF256" s="7">
        <f>'Bütçe aylık-Eur'!$L$165</f>
        <v/>
      </c>
      <c r="AG256" s="7">
        <f>'gerç aylık-eur'!$L$164</f>
        <v/>
      </c>
      <c r="AH256" s="8" t="n"/>
      <c r="AI256" s="7">
        <f>'Bütçe aylık-Eur'!$M$165</f>
        <v/>
      </c>
      <c r="AJ256" s="7">
        <f>'gerç aylık-eur'!$M$164</f>
        <v/>
      </c>
      <c r="AK256" s="8" t="n"/>
      <c r="AL256" s="21">
        <f>AP256-AO256</f>
        <v/>
      </c>
      <c r="AM256" s="22">
        <f>AP256/AO256-1</f>
        <v/>
      </c>
      <c r="AO256" s="44">
        <f>IF($A$1=$B$1,B256,IF($A$1=$E$1,E256,IF($A$1=$H$1,H256,IF($A$1=$K$1,K256,IF($A$1=$N$1,N256,IF($A$1=$Q$1,Q256,IF($A$1=$T$1,T256,IF($A$1=$W$1,W256,IF($A$1=$Z$1,Z256,IF($A$1=$AC$1,AC256,IF($A$1=$AF$1,AF256,IF($A$1=$AI$1,AI256))))))))))))</f>
        <v/>
      </c>
      <c r="AP256" s="44">
        <f>IF($A$1=$B$1,C256,IF($A$1=$E$1,F256,IF($A$1=$H$1,I256,IF($A$1=$K$1,L256,IF($A$1=$N$1,O256,IF($A$1=$Q$1,R256,IF($A$1=$T$1,U256,IF($A$1=$W$1,X256,IF($A$1=$Z$1,AA256,IF($A$1=$AC$1,AD256,IF($A$1=$AF$1,AG256,IF($A$1=$AI$1,AJ256))))))))))))</f>
        <v/>
      </c>
    </row>
    <row r="257" ht="15.5" customHeight="1">
      <c r="A257" s="26" t="inlineStr">
        <is>
          <t>Jantaş</t>
        </is>
      </c>
      <c r="B257" s="7">
        <f>'Bütçe aylık-Eur'!$B$166</f>
        <v/>
      </c>
      <c r="C257" s="7">
        <f>'gerç aylık-eur'!$B$165</f>
        <v/>
      </c>
      <c r="D257" s="7" t="n"/>
      <c r="E257" s="7">
        <f>'Bütçe aylık-Eur'!$C$166</f>
        <v/>
      </c>
      <c r="F257" s="7">
        <f>'gerç aylık-eur'!$C$165</f>
        <v/>
      </c>
      <c r="G257" s="7" t="n"/>
      <c r="H257" s="7">
        <f>'Bütçe aylık-Eur'!$D$166</f>
        <v/>
      </c>
      <c r="I257" s="7">
        <f>'gerç aylık-eur'!$D$165</f>
        <v/>
      </c>
      <c r="J257" s="7" t="n"/>
      <c r="K257" s="7">
        <f>'Bütçe aylık-Eur'!$E$166</f>
        <v/>
      </c>
      <c r="L257" s="7">
        <f>'gerç aylık-eur'!$E$165</f>
        <v/>
      </c>
      <c r="M257" s="7" t="n"/>
      <c r="N257" s="7">
        <f>'Bütçe aylık-Eur'!$F$166</f>
        <v/>
      </c>
      <c r="O257" s="7">
        <f>'gerç aylık-eur'!$F$165</f>
        <v/>
      </c>
      <c r="P257" s="7" t="n"/>
      <c r="Q257" s="7">
        <f>'Bütçe aylık-Eur'!$G$166</f>
        <v/>
      </c>
      <c r="R257" s="7">
        <f>'gerç aylık-eur'!$G$165</f>
        <v/>
      </c>
      <c r="S257" s="7" t="n"/>
      <c r="T257" s="7">
        <f>'Bütçe aylık-Eur'!$H$166</f>
        <v/>
      </c>
      <c r="U257" s="7">
        <f>'gerç aylık-eur'!$H$165</f>
        <v/>
      </c>
      <c r="V257" s="7" t="n"/>
      <c r="W257" s="7">
        <f>'Bütçe aylık-Eur'!$I$166</f>
        <v/>
      </c>
      <c r="X257" s="7">
        <f>'gerç aylık-eur'!$I$165</f>
        <v/>
      </c>
      <c r="Y257" s="7" t="n"/>
      <c r="Z257" s="7">
        <f>'Bütçe aylık-Eur'!$J$166</f>
        <v/>
      </c>
      <c r="AA257" s="7">
        <f>'gerç aylık-eur'!$J$165</f>
        <v/>
      </c>
      <c r="AB257" s="7" t="n"/>
      <c r="AC257" s="7">
        <f>'Bütçe aylık-Eur'!$K$166</f>
        <v/>
      </c>
      <c r="AD257" s="7">
        <f>'gerç aylık-eur'!$K$165</f>
        <v/>
      </c>
      <c r="AE257" s="7" t="n"/>
      <c r="AF257" s="7">
        <f>'Bütçe aylık-Eur'!$L$166</f>
        <v/>
      </c>
      <c r="AG257" s="7">
        <f>'gerç aylık-eur'!$L$165</f>
        <v/>
      </c>
      <c r="AH257" s="7" t="n"/>
      <c r="AI257" s="7">
        <f>'Bütçe aylık-Eur'!$M$166</f>
        <v/>
      </c>
      <c r="AJ257" s="7">
        <f>'gerç aylık-eur'!$M$165</f>
        <v/>
      </c>
      <c r="AK257" s="7" t="n"/>
      <c r="AL257" s="21">
        <f>AP257-AO257</f>
        <v/>
      </c>
      <c r="AM257" s="22">
        <f>AP257/AO257-1</f>
        <v/>
      </c>
      <c r="AO257" s="44">
        <f>IF($A$1=$B$1,B257,IF($A$1=$E$1,E257,IF($A$1=$H$1,H257,IF($A$1=$K$1,K257,IF($A$1=$N$1,N257,IF($A$1=$Q$1,Q257,IF($A$1=$T$1,T257,IF($A$1=$W$1,W257,IF($A$1=$Z$1,Z257,IF($A$1=$AC$1,AC257,IF($A$1=$AF$1,AF257,IF($A$1=$AI$1,AI257))))))))))))</f>
        <v/>
      </c>
      <c r="AP257" s="44">
        <f>IF($A$1=$B$1,C257,IF($A$1=$E$1,F257,IF($A$1=$H$1,I257,IF($A$1=$K$1,L257,IF($A$1=$N$1,O257,IF($A$1=$Q$1,R257,IF($A$1=$T$1,U257,IF($A$1=$W$1,X257,IF($A$1=$Z$1,AA257,IF($A$1=$AC$1,AD257,IF($A$1=$AF$1,AG257,IF($A$1=$AI$1,AJ257))))))))))))</f>
        <v/>
      </c>
    </row>
    <row r="258" ht="15.5" customFormat="1" customHeight="1" s="1">
      <c r="A258" s="26" t="inlineStr">
        <is>
          <t>Çelik</t>
        </is>
      </c>
      <c r="B258" s="7">
        <f>'Bütçe aylık-Eur'!$B$167</f>
        <v/>
      </c>
      <c r="C258" s="7">
        <f>'gerç aylık-eur'!$B$166</f>
        <v/>
      </c>
      <c r="D258" s="8" t="n"/>
      <c r="E258" s="7">
        <f>'Bütçe aylık-Eur'!$C$167</f>
        <v/>
      </c>
      <c r="F258" s="7">
        <f>'gerç aylık-eur'!$C$166</f>
        <v/>
      </c>
      <c r="G258" s="8" t="n"/>
      <c r="H258" s="7">
        <f>'Bütçe aylık-Eur'!$D$167</f>
        <v/>
      </c>
      <c r="I258" s="7">
        <f>'gerç aylık-eur'!$D$166</f>
        <v/>
      </c>
      <c r="J258" s="8" t="n"/>
      <c r="K258" s="7">
        <f>'Bütçe aylık-Eur'!$E$167</f>
        <v/>
      </c>
      <c r="L258" s="7">
        <f>'gerç aylık-eur'!$E$166</f>
        <v/>
      </c>
      <c r="M258" s="8" t="n"/>
      <c r="N258" s="7">
        <f>'Bütçe aylık-Eur'!$F$167</f>
        <v/>
      </c>
      <c r="O258" s="7">
        <f>'gerç aylık-eur'!$F$166</f>
        <v/>
      </c>
      <c r="P258" s="8" t="n"/>
      <c r="Q258" s="7">
        <f>'Bütçe aylık-Eur'!$G$167</f>
        <v/>
      </c>
      <c r="R258" s="7">
        <f>'gerç aylık-eur'!$G$166</f>
        <v/>
      </c>
      <c r="S258" s="8" t="n"/>
      <c r="T258" s="7">
        <f>'Bütçe aylık-Eur'!$H$167</f>
        <v/>
      </c>
      <c r="U258" s="7">
        <f>'gerç aylık-eur'!$H$166</f>
        <v/>
      </c>
      <c r="V258" s="8" t="n"/>
      <c r="W258" s="7">
        <f>'Bütçe aylık-Eur'!$I$167</f>
        <v/>
      </c>
      <c r="X258" s="7">
        <f>'gerç aylık-eur'!$I$166</f>
        <v/>
      </c>
      <c r="Y258" s="8" t="n"/>
      <c r="Z258" s="7">
        <f>'Bütçe aylık-Eur'!$J$167</f>
        <v/>
      </c>
      <c r="AA258" s="7">
        <f>'gerç aylık-eur'!$J$166</f>
        <v/>
      </c>
      <c r="AB258" s="8" t="n"/>
      <c r="AC258" s="7">
        <f>'Bütçe aylık-Eur'!$K$167</f>
        <v/>
      </c>
      <c r="AD258" s="7">
        <f>'gerç aylık-eur'!$K$166</f>
        <v/>
      </c>
      <c r="AE258" s="8" t="n"/>
      <c r="AF258" s="7">
        <f>'Bütçe aylık-Eur'!$L$167</f>
        <v/>
      </c>
      <c r="AG258" s="7">
        <f>'gerç aylık-eur'!$L$166</f>
        <v/>
      </c>
      <c r="AH258" s="8" t="n"/>
      <c r="AI258" s="7">
        <f>'Bütçe aylık-Eur'!$M$167</f>
        <v/>
      </c>
      <c r="AJ258" s="7">
        <f>'gerç aylık-eur'!$M$166</f>
        <v/>
      </c>
      <c r="AK258" s="8" t="n"/>
      <c r="AL258" s="21">
        <f>AP258-AO258</f>
        <v/>
      </c>
      <c r="AM258" s="22">
        <f>AP258/AO258-1</f>
        <v/>
      </c>
      <c r="AO258" s="44">
        <f>IF($A$1=$B$1,B258,IF($A$1=$E$1,E258,IF($A$1=$H$1,H258,IF($A$1=$K$1,K258,IF($A$1=$N$1,N258,IF($A$1=$Q$1,Q258,IF($A$1=$T$1,T258,IF($A$1=$W$1,W258,IF($A$1=$Z$1,Z258,IF($A$1=$AC$1,AC258,IF($A$1=$AF$1,AF258,IF($A$1=$AI$1,AI258))))))))))))</f>
        <v/>
      </c>
      <c r="AP258" s="44">
        <f>IF($A$1=$B$1,C258,IF($A$1=$E$1,F258,IF($A$1=$H$1,I258,IF($A$1=$K$1,L258,IF($A$1=$N$1,O258,IF($A$1=$Q$1,R258,IF($A$1=$T$1,U258,IF($A$1=$W$1,X258,IF($A$1=$Z$1,AA258,IF($A$1=$AC$1,AD258,IF($A$1=$AF$1,AG258,IF($A$1=$AI$1,AJ258))))))))))))</f>
        <v/>
      </c>
    </row>
    <row r="259" ht="15.5" customFormat="1" customHeight="1" s="1">
      <c r="A259" s="26" t="inlineStr">
        <is>
          <t>Alüminyum</t>
        </is>
      </c>
      <c r="B259" s="7">
        <f>'Bütçe aylık-Eur'!$B$168</f>
        <v/>
      </c>
      <c r="C259" s="7">
        <f>'gerç aylık-eur'!$B$167</f>
        <v/>
      </c>
      <c r="D259" s="8" t="n"/>
      <c r="E259" s="7">
        <f>'Bütçe aylık-Eur'!$C$168</f>
        <v/>
      </c>
      <c r="F259" s="7">
        <f>'gerç aylık-eur'!$C$167</f>
        <v/>
      </c>
      <c r="G259" s="105" t="n"/>
      <c r="H259" s="7">
        <f>'Bütçe aylık-Eur'!$D$168</f>
        <v/>
      </c>
      <c r="I259" s="7">
        <f>'gerç aylık-eur'!$D$167</f>
        <v/>
      </c>
      <c r="J259" s="8" t="n"/>
      <c r="K259" s="7">
        <f>'Bütçe aylık-Eur'!$E$168</f>
        <v/>
      </c>
      <c r="L259" s="7">
        <f>'gerç aylık-eur'!$E$167</f>
        <v/>
      </c>
      <c r="M259" s="8" t="n"/>
      <c r="N259" s="7">
        <f>'Bütçe aylık-Eur'!$F$168</f>
        <v/>
      </c>
      <c r="O259" s="7">
        <f>'gerç aylık-eur'!$F$167</f>
        <v/>
      </c>
      <c r="P259" s="8" t="n"/>
      <c r="Q259" s="7">
        <f>'Bütçe aylık-Eur'!$G$168</f>
        <v/>
      </c>
      <c r="R259" s="7">
        <f>'gerç aylık-eur'!$G$167</f>
        <v/>
      </c>
      <c r="S259" s="8" t="n"/>
      <c r="T259" s="7">
        <f>'Bütçe aylık-Eur'!$H$168</f>
        <v/>
      </c>
      <c r="U259" s="7">
        <f>'gerç aylık-eur'!$H$167</f>
        <v/>
      </c>
      <c r="V259" s="8" t="n"/>
      <c r="W259" s="7">
        <f>'Bütçe aylık-Eur'!$I$168</f>
        <v/>
      </c>
      <c r="X259" s="7">
        <f>'gerç aylık-eur'!$I$167</f>
        <v/>
      </c>
      <c r="Y259" s="8" t="n"/>
      <c r="Z259" s="7">
        <f>'Bütçe aylık-Eur'!$J$168</f>
        <v/>
      </c>
      <c r="AA259" s="7">
        <f>'gerç aylık-eur'!$J$167</f>
        <v/>
      </c>
      <c r="AB259" s="8" t="n"/>
      <c r="AC259" s="7">
        <f>'Bütçe aylık-Eur'!$K$168</f>
        <v/>
      </c>
      <c r="AD259" s="7">
        <f>'gerç aylık-eur'!$K$167</f>
        <v/>
      </c>
      <c r="AE259" s="8" t="n"/>
      <c r="AF259" s="7">
        <f>'Bütçe aylık-Eur'!$L$168</f>
        <v/>
      </c>
      <c r="AG259" s="7">
        <f>'gerç aylık-eur'!$L$167</f>
        <v/>
      </c>
      <c r="AH259" s="8" t="n"/>
      <c r="AI259" s="7">
        <f>'Bütçe aylık-Eur'!$M$168</f>
        <v/>
      </c>
      <c r="AJ259" s="7">
        <f>'gerç aylık-eur'!$M$167</f>
        <v/>
      </c>
      <c r="AK259" s="8" t="n"/>
      <c r="AL259" s="21">
        <f>AP259-AO259</f>
        <v/>
      </c>
      <c r="AM259" s="22">
        <f>AP259/AO259-1</f>
        <v/>
      </c>
      <c r="AO259" s="44">
        <f>IF($A$1=$B$1,B259,IF($A$1=$E$1,E259,IF($A$1=$H$1,H259,IF($A$1=$K$1,K259,IF($A$1=$N$1,N259,IF($A$1=$Q$1,Q259,IF($A$1=$T$1,T259,IF($A$1=$W$1,W259,IF($A$1=$Z$1,Z259,IF($A$1=$AC$1,AC259,IF($A$1=$AF$1,AF259,IF($A$1=$AI$1,AI259))))))))))))</f>
        <v/>
      </c>
      <c r="AP259" s="44">
        <f>IF($A$1=$B$1,C259,IF($A$1=$E$1,F259,IF($A$1=$H$1,I259,IF($A$1=$K$1,L259,IF($A$1=$N$1,O259,IF($A$1=$Q$1,R259,IF($A$1=$T$1,U259,IF($A$1=$W$1,X259,IF($A$1=$Z$1,AA259,IF($A$1=$AC$1,AD259,IF($A$1=$AF$1,AG259,IF($A$1=$AI$1,AJ259))))))))))))</f>
        <v/>
      </c>
    </row>
    <row r="260" ht="15.5" customFormat="1" customHeight="1" s="1">
      <c r="A260" s="26" t="n"/>
      <c r="B260" s="7" t="n"/>
      <c r="C260" s="8" t="n"/>
      <c r="D260" s="8" t="n"/>
      <c r="E260" s="7" t="n"/>
      <c r="F260" s="8" t="n"/>
      <c r="G260" s="8" t="n"/>
      <c r="H260" s="7" t="n"/>
      <c r="I260" s="8" t="n"/>
      <c r="J260" s="8" t="n"/>
      <c r="K260" s="7" t="n"/>
      <c r="L260" s="8" t="n"/>
      <c r="M260" s="8" t="n"/>
      <c r="N260" s="7" t="n"/>
      <c r="O260" s="8" t="n"/>
      <c r="P260" s="8" t="n"/>
      <c r="Q260" s="7" t="n"/>
      <c r="R260" s="8" t="n"/>
      <c r="S260" s="8" t="n"/>
      <c r="T260" s="7" t="n"/>
      <c r="U260" s="8" t="n"/>
      <c r="V260" s="8" t="n"/>
      <c r="W260" s="7" t="n"/>
      <c r="X260" s="8" t="n"/>
      <c r="Y260" s="8" t="n"/>
      <c r="Z260" s="7" t="n"/>
      <c r="AA260" s="8" t="n"/>
      <c r="AB260" s="8" t="n"/>
      <c r="AC260" s="7" t="n"/>
      <c r="AD260" s="8" t="n"/>
      <c r="AE260" s="8" t="n"/>
      <c r="AF260" s="7" t="n"/>
      <c r="AG260" s="8" t="n"/>
      <c r="AH260" s="8" t="n"/>
      <c r="AI260" s="7" t="n"/>
      <c r="AJ260" s="8" t="n"/>
      <c r="AK260" s="8" t="n"/>
      <c r="AL260" s="15" t="n"/>
      <c r="AM260" s="16" t="n"/>
      <c r="AO260" s="44" t="n"/>
      <c r="AP260" s="44" t="n"/>
    </row>
    <row r="261" ht="15.5" customFormat="1" customHeight="1" s="1">
      <c r="A261" s="26" t="n"/>
      <c r="B261" s="7" t="n"/>
      <c r="C261" s="8" t="n"/>
      <c r="D261" s="8" t="n"/>
      <c r="E261" s="7" t="n"/>
      <c r="F261" s="8" t="n"/>
      <c r="G261" s="8" t="n"/>
      <c r="H261" s="7" t="n"/>
      <c r="I261" s="8" t="n"/>
      <c r="J261" s="8" t="n"/>
      <c r="K261" s="7" t="n"/>
      <c r="L261" s="8" t="n"/>
      <c r="M261" s="8" t="n"/>
      <c r="N261" s="7" t="n"/>
      <c r="O261" s="8" t="n"/>
      <c r="P261" s="8" t="n"/>
      <c r="Q261" s="7" t="n"/>
      <c r="R261" s="8" t="n"/>
      <c r="S261" s="8" t="n"/>
      <c r="T261" s="7" t="n"/>
      <c r="U261" s="8" t="n"/>
      <c r="V261" s="8" t="n"/>
      <c r="W261" s="7" t="n"/>
      <c r="X261" s="8" t="n"/>
      <c r="Y261" s="8" t="n"/>
      <c r="Z261" s="7" t="n"/>
      <c r="AA261" s="8" t="n"/>
      <c r="AB261" s="8" t="n"/>
      <c r="AC261" s="7" t="n"/>
      <c r="AD261" s="8" t="n"/>
      <c r="AE261" s="8" t="n"/>
      <c r="AF261" s="7" t="n"/>
      <c r="AG261" s="8" t="n"/>
      <c r="AH261" s="8" t="n"/>
      <c r="AI261" s="7" t="n"/>
      <c r="AJ261" s="8" t="n"/>
      <c r="AK261" s="8" t="n"/>
      <c r="AL261" s="15" t="n"/>
      <c r="AM261" s="16" t="n"/>
      <c r="AO261" s="44" t="n"/>
      <c r="AP261" s="44" t="n"/>
    </row>
    <row r="262" ht="15.5" customFormat="1" customHeight="1" s="44">
      <c r="A262" s="31" t="inlineStr">
        <is>
          <t>Net Nakit (Borç)</t>
        </is>
      </c>
      <c r="B262" s="32">
        <f>B249-B236</f>
        <v/>
      </c>
      <c r="C262" s="32">
        <f>C249-C236</f>
        <v/>
      </c>
      <c r="D262" s="18" t="n"/>
      <c r="E262" s="32">
        <f>E249-E236</f>
        <v/>
      </c>
      <c r="F262" s="32">
        <f>F249-F236</f>
        <v/>
      </c>
      <c r="G262" s="18" t="n"/>
      <c r="H262" s="32">
        <f>H249-H236</f>
        <v/>
      </c>
      <c r="I262" s="32">
        <f>I249-I236</f>
        <v/>
      </c>
      <c r="J262" s="18" t="n"/>
      <c r="K262" s="32">
        <f>K249-K236</f>
        <v/>
      </c>
      <c r="L262" s="32">
        <f>L249-L236</f>
        <v/>
      </c>
      <c r="M262" s="18" t="n"/>
      <c r="N262" s="32">
        <f>N249-N236</f>
        <v/>
      </c>
      <c r="O262" s="32">
        <f>O249-O236</f>
        <v/>
      </c>
      <c r="P262" s="18" t="n"/>
      <c r="Q262" s="32">
        <f>Q249-Q236</f>
        <v/>
      </c>
      <c r="R262" s="32">
        <f>R249-R236</f>
        <v/>
      </c>
      <c r="S262" s="18" t="n"/>
      <c r="T262" s="32">
        <f>T249-T236</f>
        <v/>
      </c>
      <c r="U262" s="32">
        <f>U249-U236</f>
        <v/>
      </c>
      <c r="V262" s="18" t="n"/>
      <c r="W262" s="32">
        <f>W249-W236</f>
        <v/>
      </c>
      <c r="X262" s="32">
        <f>X249-X236</f>
        <v/>
      </c>
      <c r="Y262" s="18" t="n"/>
      <c r="Z262" s="32">
        <f>Z249-Z236</f>
        <v/>
      </c>
      <c r="AA262" s="32">
        <f>AA249-AA236</f>
        <v/>
      </c>
      <c r="AB262" s="18" t="n"/>
      <c r="AC262" s="32">
        <f>AC249-AC236</f>
        <v/>
      </c>
      <c r="AD262" s="32">
        <f>AD249-AD236</f>
        <v/>
      </c>
      <c r="AE262" s="18" t="n"/>
      <c r="AF262" s="32">
        <f>AF249-AF236</f>
        <v/>
      </c>
      <c r="AG262" s="32">
        <f>AG249-AG236</f>
        <v/>
      </c>
      <c r="AH262" s="18" t="n"/>
      <c r="AI262" s="32">
        <f>AI249-AI236</f>
        <v/>
      </c>
      <c r="AJ262" s="32">
        <f>AJ249-AJ236</f>
        <v/>
      </c>
      <c r="AK262" s="18" t="n"/>
      <c r="AL262" s="33">
        <f>AP262-AO262</f>
        <v/>
      </c>
      <c r="AM262" s="34">
        <f>AP262/AO262-1</f>
        <v/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/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/>
      </c>
      <c r="AR262" s="406" t="n"/>
    </row>
    <row r="263" ht="15.5" customFormat="1" customHeight="1" s="13">
      <c r="A263" s="27" t="n"/>
      <c r="B263" s="30" t="n"/>
      <c r="C263" s="30">
        <f>IFERROR((C220/#REF!),"")</f>
        <v/>
      </c>
      <c r="D263" s="41" t="n"/>
      <c r="E263" s="30" t="n"/>
      <c r="F263" s="30">
        <f>IFERROR((F220/#REF!),"")</f>
        <v/>
      </c>
      <c r="G263" s="41" t="n"/>
      <c r="H263" s="30" t="n"/>
      <c r="I263" s="30">
        <f>IFERROR((I220/#REF!),"")</f>
        <v/>
      </c>
      <c r="J263" s="41" t="n"/>
      <c r="K263" s="30" t="n"/>
      <c r="L263" s="30">
        <f>IFERROR((L220/#REF!),"")</f>
        <v/>
      </c>
      <c r="M263" s="41" t="n"/>
      <c r="N263" s="30" t="n"/>
      <c r="O263" s="30">
        <f>IFERROR((O220/#REF!),"")</f>
        <v/>
      </c>
      <c r="P263" s="41" t="n"/>
      <c r="Q263" s="30" t="n"/>
      <c r="R263" s="30">
        <f>IFERROR((R220/#REF!),"")</f>
        <v/>
      </c>
      <c r="S263" s="41" t="n"/>
      <c r="T263" s="30" t="n"/>
      <c r="U263" s="30">
        <f>IFERROR((U220/#REF!),"")</f>
        <v/>
      </c>
      <c r="V263" s="41" t="n"/>
      <c r="W263" s="30" t="n"/>
      <c r="X263" s="30">
        <f>IFERROR((X220/#REF!),"")</f>
        <v/>
      </c>
      <c r="Y263" s="41" t="n"/>
      <c r="Z263" s="30" t="n"/>
      <c r="AA263" s="30">
        <f>IFERROR((AA220/#REF!),"")</f>
        <v/>
      </c>
      <c r="AB263" s="41" t="n"/>
      <c r="AC263" s="30" t="n"/>
      <c r="AD263" s="30">
        <f>IFERROR((AD220/#REF!),"")</f>
        <v/>
      </c>
      <c r="AE263" s="41" t="n"/>
      <c r="AF263" s="30" t="n"/>
      <c r="AG263" s="30">
        <f>IFERROR((AG220/#REF!),"")</f>
        <v/>
      </c>
      <c r="AH263" s="41" t="n"/>
      <c r="AI263" s="30" t="n"/>
      <c r="AJ263" s="30">
        <f>IFERROR((AJ220/#REF!),"")</f>
        <v/>
      </c>
      <c r="AK263" s="41" t="n"/>
      <c r="AL263" s="15" t="n"/>
      <c r="AM263" s="22" t="n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/>
      </c>
      <c r="AP263" s="44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ht="17" customFormat="1" customHeight="1" s="49">
      <c r="A264" s="47" t="inlineStr">
        <is>
          <t>Net Nakit (Borç) (100%)</t>
        </is>
      </c>
      <c r="B264" s="413" t="n"/>
      <c r="C264" s="413" t="n"/>
      <c r="D264" s="413" t="n"/>
      <c r="E264" s="413" t="n"/>
      <c r="F264" s="413" t="n"/>
      <c r="G264" s="413" t="n"/>
      <c r="H264" s="413" t="n"/>
      <c r="I264" s="413" t="n"/>
      <c r="J264" s="413" t="n"/>
      <c r="K264" s="413" t="n"/>
      <c r="L264" s="413" t="n"/>
      <c r="M264" s="413" t="n"/>
      <c r="N264" s="413" t="n"/>
      <c r="O264" s="413" t="n"/>
      <c r="P264" s="413" t="n"/>
      <c r="Q264" s="413" t="n"/>
      <c r="R264" s="413" t="n"/>
      <c r="S264" s="413" t="n"/>
      <c r="T264" s="413" t="n"/>
      <c r="U264" s="413" t="n"/>
      <c r="V264" s="413" t="n"/>
      <c r="W264" s="413" t="n"/>
      <c r="X264" s="413" t="n"/>
      <c r="Y264" s="413" t="n"/>
      <c r="Z264" s="413" t="n"/>
      <c r="AA264" s="413" t="n"/>
      <c r="AB264" s="413" t="n"/>
      <c r="AC264" s="413" t="n"/>
      <c r="AD264" s="413" t="n"/>
      <c r="AE264" s="413" t="n"/>
      <c r="AF264" s="413" t="n"/>
      <c r="AG264" s="413" t="n"/>
      <c r="AH264" s="413" t="n"/>
      <c r="AI264" s="413" t="n"/>
      <c r="AJ264" s="413" t="n"/>
      <c r="AK264" s="413" t="n"/>
      <c r="AL264" s="413" t="n"/>
      <c r="AM264" s="48" t="n"/>
    </row>
    <row r="265" ht="15.5" customHeight="1">
      <c r="A265" s="26" t="inlineStr">
        <is>
          <t xml:space="preserve">İnci Holding </t>
        </is>
      </c>
      <c r="B265" s="7">
        <f>B252-B239</f>
        <v/>
      </c>
      <c r="C265" s="7">
        <f>C252-C239</f>
        <v/>
      </c>
      <c r="D265" s="7" t="n"/>
      <c r="E265" s="7">
        <f>E252-E239</f>
        <v/>
      </c>
      <c r="F265" s="7">
        <f>F252-F239</f>
        <v/>
      </c>
      <c r="G265" s="7" t="n"/>
      <c r="H265" s="7">
        <f>H252-H239</f>
        <v/>
      </c>
      <c r="I265" s="7">
        <f>I252-I239</f>
        <v/>
      </c>
      <c r="J265" s="7" t="n"/>
      <c r="K265" s="7">
        <f>K252-K239</f>
        <v/>
      </c>
      <c r="L265" s="7">
        <f>L252-L239</f>
        <v/>
      </c>
      <c r="M265" s="7" t="n"/>
      <c r="N265" s="7">
        <f>N252-N239</f>
        <v/>
      </c>
      <c r="O265" s="7">
        <f>O252-O239</f>
        <v/>
      </c>
      <c r="P265" s="7" t="n"/>
      <c r="Q265" s="7">
        <f>Q252-Q239</f>
        <v/>
      </c>
      <c r="R265" s="7">
        <f>R252-R239</f>
        <v/>
      </c>
      <c r="S265" s="7" t="n"/>
      <c r="T265" s="7">
        <f>T252-T239</f>
        <v/>
      </c>
      <c r="U265" s="7">
        <f>U252-U239</f>
        <v/>
      </c>
      <c r="V265" s="7" t="n"/>
      <c r="W265" s="7">
        <f>W252-W239</f>
        <v/>
      </c>
      <c r="X265" s="7">
        <f>X252-X239</f>
        <v/>
      </c>
      <c r="Y265" s="7" t="n"/>
      <c r="Z265" s="7">
        <f>Z252-Z239</f>
        <v/>
      </c>
      <c r="AA265" s="7">
        <f>AA252-AA239</f>
        <v/>
      </c>
      <c r="AB265" s="7" t="n"/>
      <c r="AC265" s="7">
        <f>AC252-AC239</f>
        <v/>
      </c>
      <c r="AD265" s="7">
        <f>AD252-AD239</f>
        <v/>
      </c>
      <c r="AE265" s="7" t="n"/>
      <c r="AF265" s="7">
        <f>AF252-AF239</f>
        <v/>
      </c>
      <c r="AG265" s="7">
        <f>AG252-AG239</f>
        <v/>
      </c>
      <c r="AH265" s="7" t="n"/>
      <c r="AI265" s="7">
        <f>AI252-AI239</f>
        <v/>
      </c>
      <c r="AJ265" s="7">
        <f>AJ252-AJ239</f>
        <v/>
      </c>
      <c r="AK265" s="7" t="n"/>
      <c r="AL265" s="21">
        <f>AP265-AO265</f>
        <v/>
      </c>
      <c r="AM265" s="22">
        <f>AP265/AO265-1</f>
        <v/>
      </c>
      <c r="AO265" s="44">
        <f>IF($A$1=$B$1,B265,IF($A$1=$E$1,E265,IF($A$1=$H$1,H265,IF($A$1=$K$1,K265,IF($A$1=$N$1,N265,IF($A$1=$Q$1,Q265,IF($A$1=$T$1,T265,IF($A$1=$W$1,W265,IF($A$1=$Z$1,Z265,IF($A$1=$AC$1,AC265,IF($A$1=$AF$1,AF265,IF($A$1=$AI$1,AI265))))))))))))</f>
        <v/>
      </c>
      <c r="AP265" s="44">
        <f>IF($A$1=$B$1,C265,IF($A$1=$E$1,F265,IF($A$1=$H$1,I265,IF($A$1=$K$1,L265,IF($A$1=$N$1,O265,IF($A$1=$Q$1,R265,IF($A$1=$T$1,U265,IF($A$1=$W$1,X265,IF($A$1=$Z$1,AA265,IF($A$1=$AC$1,AD265,IF($A$1=$AF$1,AG265,IF($A$1=$AI$1,AJ265))))))))))))</f>
        <v/>
      </c>
    </row>
    <row r="266" ht="15.5" customHeight="1">
      <c r="A266" s="26" t="inlineStr">
        <is>
          <t xml:space="preserve">ISM </t>
        </is>
      </c>
      <c r="B266" s="7">
        <f>B253-B240</f>
        <v/>
      </c>
      <c r="C266" s="7">
        <f>C253-C240</f>
        <v/>
      </c>
      <c r="D266" s="7" t="n"/>
      <c r="E266" s="7">
        <f>E253-E240</f>
        <v/>
      </c>
      <c r="F266" s="7">
        <f>F253-F240</f>
        <v/>
      </c>
      <c r="G266" s="7" t="n"/>
      <c r="H266" s="7">
        <f>H253-H240</f>
        <v/>
      </c>
      <c r="I266" s="7">
        <f>I253-I240</f>
        <v/>
      </c>
      <c r="J266" s="7" t="n"/>
      <c r="K266" s="7">
        <f>K253-K240</f>
        <v/>
      </c>
      <c r="L266" s="7">
        <f>L253-L240</f>
        <v/>
      </c>
      <c r="M266" s="7" t="n"/>
      <c r="N266" s="7">
        <f>N253-N240</f>
        <v/>
      </c>
      <c r="O266" s="7">
        <f>O253-O240</f>
        <v/>
      </c>
      <c r="P266" s="7" t="n"/>
      <c r="Q266" s="7">
        <f>Q253-Q240</f>
        <v/>
      </c>
      <c r="R266" s="7">
        <f>R253-R240</f>
        <v/>
      </c>
      <c r="S266" s="7" t="n"/>
      <c r="T266" s="7">
        <f>T253-T240</f>
        <v/>
      </c>
      <c r="U266" s="7">
        <f>U253-U240</f>
        <v/>
      </c>
      <c r="V266" s="7" t="n"/>
      <c r="W266" s="7">
        <f>W253-W240</f>
        <v/>
      </c>
      <c r="X266" s="7">
        <f>X253-X240</f>
        <v/>
      </c>
      <c r="Y266" s="7" t="n"/>
      <c r="Z266" s="7">
        <f>Z253-Z240</f>
        <v/>
      </c>
      <c r="AA266" s="7">
        <f>AA253-AA240</f>
        <v/>
      </c>
      <c r="AB266" s="7" t="n"/>
      <c r="AC266" s="7">
        <f>AC253-AC240</f>
        <v/>
      </c>
      <c r="AD266" s="7">
        <f>AD253-AD240</f>
        <v/>
      </c>
      <c r="AE266" s="7" t="n"/>
      <c r="AF266" s="7">
        <f>AF253-AF240</f>
        <v/>
      </c>
      <c r="AG266" s="7">
        <f>AG253-AG240</f>
        <v/>
      </c>
      <c r="AH266" s="7" t="n"/>
      <c r="AI266" s="7">
        <f>AI253-AI240</f>
        <v/>
      </c>
      <c r="AJ266" s="7">
        <f>AJ253-AJ240</f>
        <v/>
      </c>
      <c r="AK266" s="7" t="n"/>
      <c r="AL266" s="21">
        <f>AP266-AO266</f>
        <v/>
      </c>
      <c r="AM266" s="22">
        <f>AP266/AO266-1</f>
        <v/>
      </c>
      <c r="AO266" s="44">
        <f>IF($A$1=$B$1,B266,IF($A$1=$E$1,E266,IF($A$1=$H$1,H266,IF($A$1=$K$1,K266,IF($A$1=$N$1,N266,IF($A$1=$Q$1,Q266,IF($A$1=$T$1,T266,IF($A$1=$W$1,W266,IF($A$1=$Z$1,Z266,IF($A$1=$AC$1,AC266,IF($A$1=$AF$1,AF266,IF($A$1=$AI$1,AI266))))))))))))</f>
        <v/>
      </c>
      <c r="AP266" s="44">
        <f>IF($A$1=$B$1,C266,IF($A$1=$E$1,F266,IF($A$1=$H$1,I266,IF($A$1=$K$1,L266,IF($A$1=$N$1,O266,IF($A$1=$Q$1,R266,IF($A$1=$T$1,U266,IF($A$1=$W$1,X266,IF($A$1=$Z$1,AA266,IF($A$1=$AC$1,AD266,IF($A$1=$AF$1,AG266,IF($A$1=$AI$1,AJ266))))))))))))</f>
        <v/>
      </c>
    </row>
    <row r="267" ht="15.5" customHeight="1">
      <c r="A267" s="26" t="inlineStr">
        <is>
          <t>İncitaş</t>
        </is>
      </c>
      <c r="B267" s="7">
        <f>B254-B241</f>
        <v/>
      </c>
      <c r="C267" s="7">
        <f>C254-C241</f>
        <v/>
      </c>
      <c r="D267" s="7" t="n"/>
      <c r="E267" s="7">
        <f>E254-E241</f>
        <v/>
      </c>
      <c r="F267" s="7">
        <f>F254-F241</f>
        <v/>
      </c>
      <c r="G267" s="7" t="n"/>
      <c r="H267" s="7">
        <f>H254-H241</f>
        <v/>
      </c>
      <c r="I267" s="7">
        <f>I254-I241</f>
        <v/>
      </c>
      <c r="J267" s="7" t="n"/>
      <c r="K267" s="7">
        <f>K254-K241</f>
        <v/>
      </c>
      <c r="L267" s="7">
        <f>L254-L241</f>
        <v/>
      </c>
      <c r="M267" s="7" t="n"/>
      <c r="N267" s="7">
        <f>N254-N241</f>
        <v/>
      </c>
      <c r="O267" s="7">
        <f>O254-O241</f>
        <v/>
      </c>
      <c r="P267" s="7" t="n"/>
      <c r="Q267" s="7">
        <f>Q254-Q241</f>
        <v/>
      </c>
      <c r="R267" s="7">
        <f>R254-R241</f>
        <v/>
      </c>
      <c r="S267" s="7" t="n"/>
      <c r="T267" s="7">
        <f>T254-T241</f>
        <v/>
      </c>
      <c r="U267" s="7">
        <f>U254-U241</f>
        <v/>
      </c>
      <c r="V267" s="7" t="n"/>
      <c r="W267" s="7">
        <f>W254-W241</f>
        <v/>
      </c>
      <c r="X267" s="7">
        <f>X254-X241</f>
        <v/>
      </c>
      <c r="Y267" s="7" t="n"/>
      <c r="Z267" s="7">
        <f>Z254-Z241</f>
        <v/>
      </c>
      <c r="AA267" s="7">
        <f>AA254-AA241</f>
        <v/>
      </c>
      <c r="AB267" s="7" t="n"/>
      <c r="AC267" s="7">
        <f>AC254-AC241</f>
        <v/>
      </c>
      <c r="AD267" s="7">
        <f>AD254-AD241</f>
        <v/>
      </c>
      <c r="AE267" s="7" t="n"/>
      <c r="AF267" s="7">
        <f>AF254-AF241</f>
        <v/>
      </c>
      <c r="AG267" s="7">
        <f>AG254-AG241</f>
        <v/>
      </c>
      <c r="AH267" s="7" t="n"/>
      <c r="AI267" s="7">
        <f>AI254-AI241</f>
        <v/>
      </c>
      <c r="AJ267" s="7">
        <f>AJ254-AJ241</f>
        <v/>
      </c>
      <c r="AK267" s="7" t="n"/>
      <c r="AL267" s="21">
        <f>AP267-AO267</f>
        <v/>
      </c>
      <c r="AM267" s="22">
        <f>AP267/AO267-1</f>
        <v/>
      </c>
      <c r="AO267" s="44">
        <f>IF($A$1=$B$1,B267,IF($A$1=$E$1,E267,IF($A$1=$H$1,H267,IF($A$1=$K$1,K267,IF($A$1=$N$1,N267,IF($A$1=$Q$1,Q267,IF($A$1=$T$1,T267,IF($A$1=$W$1,W267,IF($A$1=$Z$1,Z267,IF($A$1=$AC$1,AC267,IF($A$1=$AF$1,AF267,IF($A$1=$AI$1,AI267))))))))))))</f>
        <v/>
      </c>
      <c r="AP267" s="44">
        <f>IF($A$1=$B$1,C267,IF($A$1=$E$1,F267,IF($A$1=$H$1,I267,IF($A$1=$K$1,L267,IF($A$1=$N$1,O267,IF($A$1=$Q$1,R267,IF($A$1=$T$1,U267,IF($A$1=$W$1,X267,IF($A$1=$Z$1,AA267,IF($A$1=$AC$1,AD267,IF($A$1=$AF$1,AG267,IF($A$1=$AI$1,AJ267))))))))))))</f>
        <v/>
      </c>
    </row>
    <row r="268" ht="15.5" customHeight="1">
      <c r="A268" s="26" t="inlineStr">
        <is>
          <t>İnci GS Yuasa</t>
        </is>
      </c>
      <c r="B268" s="7">
        <f>B255-B242</f>
        <v/>
      </c>
      <c r="C268" s="7">
        <f>C255-C242</f>
        <v/>
      </c>
      <c r="D268" s="7" t="n"/>
      <c r="E268" s="7">
        <f>E255-E242</f>
        <v/>
      </c>
      <c r="F268" s="7">
        <f>F255-F242</f>
        <v/>
      </c>
      <c r="G268" s="7" t="n"/>
      <c r="H268" s="7">
        <f>H255-H242</f>
        <v/>
      </c>
      <c r="I268" s="7">
        <f>I255-I242</f>
        <v/>
      </c>
      <c r="J268" s="7" t="n"/>
      <c r="K268" s="7">
        <f>K255-K242</f>
        <v/>
      </c>
      <c r="L268" s="7">
        <f>L255-L242</f>
        <v/>
      </c>
      <c r="M268" s="7" t="n"/>
      <c r="N268" s="7">
        <f>N255-N242</f>
        <v/>
      </c>
      <c r="O268" s="7">
        <f>O255-O242</f>
        <v/>
      </c>
      <c r="P268" s="7" t="n"/>
      <c r="Q268" s="7">
        <f>Q255-Q242</f>
        <v/>
      </c>
      <c r="R268" s="7">
        <f>R255-R242</f>
        <v/>
      </c>
      <c r="S268" s="7" t="n"/>
      <c r="T268" s="7">
        <f>T255-T242</f>
        <v/>
      </c>
      <c r="U268" s="7">
        <f>U255-U242</f>
        <v/>
      </c>
      <c r="V268" s="7" t="n"/>
      <c r="W268" s="7">
        <f>W255-W242</f>
        <v/>
      </c>
      <c r="X268" s="7">
        <f>X255-X242</f>
        <v/>
      </c>
      <c r="Y268" s="7" t="n"/>
      <c r="Z268" s="7">
        <f>Z255-Z242</f>
        <v/>
      </c>
      <c r="AA268" s="7">
        <f>AA255-AA242</f>
        <v/>
      </c>
      <c r="AB268" s="7" t="n"/>
      <c r="AC268" s="7">
        <f>AC255-AC242</f>
        <v/>
      </c>
      <c r="AD268" s="7">
        <f>AD255-AD242</f>
        <v/>
      </c>
      <c r="AE268" s="7" t="n"/>
      <c r="AF268" s="7">
        <f>AF255-AF242</f>
        <v/>
      </c>
      <c r="AG268" s="7">
        <f>AG255-AG242</f>
        <v/>
      </c>
      <c r="AH268" s="7" t="n"/>
      <c r="AI268" s="7">
        <f>AI255-AI242</f>
        <v/>
      </c>
      <c r="AJ268" s="7">
        <f>AJ255-AJ242</f>
        <v/>
      </c>
      <c r="AK268" s="7" t="n"/>
      <c r="AL268" s="21">
        <f>AP268-AO268</f>
        <v/>
      </c>
      <c r="AM268" s="22">
        <f>AP268/AO268-1</f>
        <v/>
      </c>
      <c r="AO268" s="44">
        <f>IF($A$1=$B$1,B268,IF($A$1=$E$1,E268,IF($A$1=$H$1,H268,IF($A$1=$K$1,K268,IF($A$1=$N$1,N268,IF($A$1=$Q$1,Q268,IF($A$1=$T$1,T268,IF($A$1=$W$1,W268,IF($A$1=$Z$1,Z268,IF($A$1=$AC$1,AC268,IF($A$1=$AF$1,AF268,IF($A$1=$AI$1,AI268))))))))))))</f>
        <v/>
      </c>
      <c r="AP268" s="44">
        <f>IF($A$1=$B$1,C268,IF($A$1=$E$1,F268,IF($A$1=$H$1,I268,IF($A$1=$K$1,L268,IF($A$1=$N$1,O268,IF($A$1=$Q$1,R268,IF($A$1=$T$1,U268,IF($A$1=$W$1,X268,IF($A$1=$Z$1,AA268,IF($A$1=$AC$1,AD268,IF($A$1=$AF$1,AG268,IF($A$1=$AI$1,AJ268))))))))))))</f>
        <v/>
      </c>
    </row>
    <row r="269" ht="15.5" customFormat="1" customHeight="1" s="1">
      <c r="A269" s="26" t="inlineStr">
        <is>
          <t>Yusen İnci Loj.</t>
        </is>
      </c>
      <c r="B269" s="7">
        <f>B256-B243</f>
        <v/>
      </c>
      <c r="C269" s="7">
        <f>C256-C243</f>
        <v/>
      </c>
      <c r="D269" s="8" t="n"/>
      <c r="E269" s="7">
        <f>E256-E243</f>
        <v/>
      </c>
      <c r="F269" s="7">
        <f>F256-F243</f>
        <v/>
      </c>
      <c r="G269" s="8" t="n"/>
      <c r="H269" s="7">
        <f>H256-H243</f>
        <v/>
      </c>
      <c r="I269" s="7">
        <f>I256-I243</f>
        <v/>
      </c>
      <c r="J269" s="8" t="n"/>
      <c r="K269" s="7">
        <f>K256-K243</f>
        <v/>
      </c>
      <c r="L269" s="7">
        <f>L256-L243</f>
        <v/>
      </c>
      <c r="M269" s="8" t="n"/>
      <c r="N269" s="7">
        <f>N256-N243</f>
        <v/>
      </c>
      <c r="O269" s="7">
        <f>O256-O243</f>
        <v/>
      </c>
      <c r="P269" s="8" t="n"/>
      <c r="Q269" s="7">
        <f>Q256-Q243</f>
        <v/>
      </c>
      <c r="R269" s="7">
        <f>R256-R243</f>
        <v/>
      </c>
      <c r="S269" s="8" t="n"/>
      <c r="T269" s="7">
        <f>T256-T243</f>
        <v/>
      </c>
      <c r="U269" s="7">
        <f>U256-U243</f>
        <v/>
      </c>
      <c r="V269" s="8" t="n"/>
      <c r="W269" s="7">
        <f>W256-W243</f>
        <v/>
      </c>
      <c r="X269" s="7">
        <f>X256-X243</f>
        <v/>
      </c>
      <c r="Y269" s="8" t="n"/>
      <c r="Z269" s="7">
        <f>Z256-Z243</f>
        <v/>
      </c>
      <c r="AA269" s="7">
        <f>AA256-AA243</f>
        <v/>
      </c>
      <c r="AB269" s="8" t="n"/>
      <c r="AC269" s="7">
        <f>AC256-AC243</f>
        <v/>
      </c>
      <c r="AD269" s="7">
        <f>AD256-AD243</f>
        <v/>
      </c>
      <c r="AE269" s="8" t="n"/>
      <c r="AF269" s="7">
        <f>AF256-AF243</f>
        <v/>
      </c>
      <c r="AG269" s="7">
        <f>AG256-AG243</f>
        <v/>
      </c>
      <c r="AH269" s="8" t="n"/>
      <c r="AI269" s="7">
        <f>AI256-AI243</f>
        <v/>
      </c>
      <c r="AJ269" s="7">
        <f>AJ256-AJ243</f>
        <v/>
      </c>
      <c r="AK269" s="8" t="n"/>
      <c r="AL269" s="21">
        <f>AP269-AO269</f>
        <v/>
      </c>
      <c r="AM269" s="22">
        <f>AP269/AO269-1</f>
        <v/>
      </c>
      <c r="AO269" s="44">
        <f>IF($A$1=$B$1,B269,IF($A$1=$E$1,E269,IF($A$1=$H$1,H269,IF($A$1=$K$1,K269,IF($A$1=$N$1,N269,IF($A$1=$Q$1,Q269,IF($A$1=$T$1,T269,IF($A$1=$W$1,W269,IF($A$1=$Z$1,Z269,IF($A$1=$AC$1,AC269,IF($A$1=$AF$1,AF269,IF($A$1=$AI$1,AI269))))))))))))</f>
        <v/>
      </c>
      <c r="AP269" s="44">
        <f>IF($A$1=$B$1,C269,IF($A$1=$E$1,F269,IF($A$1=$H$1,I269,IF($A$1=$K$1,L269,IF($A$1=$N$1,O269,IF($A$1=$Q$1,R269,IF($A$1=$T$1,U269,IF($A$1=$W$1,X269,IF($A$1=$Z$1,AA269,IF($A$1=$AC$1,AD269,IF($A$1=$AF$1,AG269,IF($A$1=$AI$1,AJ269))))))))))))</f>
        <v/>
      </c>
    </row>
    <row r="270" ht="15.5" customHeight="1">
      <c r="A270" s="26" t="inlineStr">
        <is>
          <t>Jantaş</t>
        </is>
      </c>
      <c r="B270" s="7">
        <f>B257-B244</f>
        <v/>
      </c>
      <c r="C270" s="7">
        <f>C257-C244</f>
        <v/>
      </c>
      <c r="D270" s="7" t="n"/>
      <c r="E270" s="7">
        <f>E257-E244</f>
        <v/>
      </c>
      <c r="F270" s="7">
        <f>F257-F244</f>
        <v/>
      </c>
      <c r="G270" s="7" t="n"/>
      <c r="H270" s="7">
        <f>H257-H244</f>
        <v/>
      </c>
      <c r="I270" s="7">
        <f>I257-I244</f>
        <v/>
      </c>
      <c r="J270" s="7" t="n"/>
      <c r="K270" s="7">
        <f>K257-K244</f>
        <v/>
      </c>
      <c r="L270" s="7">
        <f>L257-L244</f>
        <v/>
      </c>
      <c r="M270" s="7" t="n"/>
      <c r="N270" s="7">
        <f>N257-N244</f>
        <v/>
      </c>
      <c r="O270" s="7">
        <f>O257-O244</f>
        <v/>
      </c>
      <c r="P270" s="7" t="n"/>
      <c r="Q270" s="7">
        <f>Q257-Q244</f>
        <v/>
      </c>
      <c r="R270" s="7">
        <f>R257-R244</f>
        <v/>
      </c>
      <c r="S270" s="7" t="n"/>
      <c r="T270" s="7">
        <f>T257-T244</f>
        <v/>
      </c>
      <c r="U270" s="7">
        <f>U257-U244</f>
        <v/>
      </c>
      <c r="V270" s="7" t="n"/>
      <c r="W270" s="7">
        <f>W257-W244</f>
        <v/>
      </c>
      <c r="X270" s="7">
        <f>X257-X244</f>
        <v/>
      </c>
      <c r="Y270" s="7" t="n"/>
      <c r="Z270" s="7">
        <f>Z257-Z244</f>
        <v/>
      </c>
      <c r="AA270" s="7">
        <f>AA257-AA244</f>
        <v/>
      </c>
      <c r="AB270" s="7" t="n"/>
      <c r="AC270" s="7">
        <f>AC257-AC244</f>
        <v/>
      </c>
      <c r="AD270" s="7">
        <f>AD257-AD244</f>
        <v/>
      </c>
      <c r="AE270" s="7" t="n"/>
      <c r="AF270" s="7">
        <f>AF257-AF244</f>
        <v/>
      </c>
      <c r="AG270" s="7">
        <f>AG257-AG244</f>
        <v/>
      </c>
      <c r="AH270" s="7" t="n"/>
      <c r="AI270" s="7">
        <f>AI257-AI244</f>
        <v/>
      </c>
      <c r="AJ270" s="7">
        <f>AJ257-AJ244</f>
        <v/>
      </c>
      <c r="AK270" s="7" t="n"/>
      <c r="AL270" s="21">
        <f>AP270-AO270</f>
        <v/>
      </c>
      <c r="AM270" s="22">
        <f>AP270/AO270-1</f>
        <v/>
      </c>
      <c r="AO270" s="44">
        <f>IF($A$1=$B$1,B270,IF($A$1=$E$1,E270,IF($A$1=$H$1,H270,IF($A$1=$K$1,K270,IF($A$1=$N$1,N270,IF($A$1=$Q$1,Q270,IF($A$1=$T$1,T270,IF($A$1=$W$1,W270,IF($A$1=$Z$1,Z270,IF($A$1=$AC$1,AC270,IF($A$1=$AF$1,AF270,IF($A$1=$AI$1,AI270))))))))))))</f>
        <v/>
      </c>
      <c r="AP270" s="44">
        <f>IF($A$1=$B$1,C270,IF($A$1=$E$1,F270,IF($A$1=$H$1,I270,IF($A$1=$K$1,L270,IF($A$1=$N$1,O270,IF($A$1=$Q$1,R270,IF($A$1=$T$1,U270,IF($A$1=$W$1,X270,IF($A$1=$Z$1,AA270,IF($A$1=$AC$1,AD270,IF($A$1=$AF$1,AG270,IF($A$1=$AI$1,AJ270))))))))))))</f>
        <v/>
      </c>
    </row>
    <row r="271" ht="15.5" customFormat="1" customHeight="1" s="1">
      <c r="A271" s="26" t="inlineStr">
        <is>
          <t>Çelik</t>
        </is>
      </c>
      <c r="B271" s="7">
        <f>B258-B245</f>
        <v/>
      </c>
      <c r="C271" s="7">
        <f>C258-C245</f>
        <v/>
      </c>
      <c r="D271" s="8" t="n"/>
      <c r="E271" s="7">
        <f>E258-E245</f>
        <v/>
      </c>
      <c r="F271" s="7">
        <f>F258-F245</f>
        <v/>
      </c>
      <c r="G271" s="8" t="n"/>
      <c r="H271" s="7">
        <f>H258-H245</f>
        <v/>
      </c>
      <c r="I271" s="7">
        <f>I258-I245</f>
        <v/>
      </c>
      <c r="J271" s="8" t="n"/>
      <c r="K271" s="7">
        <f>K258-K245</f>
        <v/>
      </c>
      <c r="L271" s="7">
        <f>L258-L245</f>
        <v/>
      </c>
      <c r="M271" s="8" t="n"/>
      <c r="N271" s="7">
        <f>N258-N245</f>
        <v/>
      </c>
      <c r="O271" s="7">
        <f>O258-O245</f>
        <v/>
      </c>
      <c r="P271" s="8" t="n"/>
      <c r="Q271" s="7">
        <f>Q258-Q245</f>
        <v/>
      </c>
      <c r="R271" s="7">
        <f>R258-R245</f>
        <v/>
      </c>
      <c r="S271" s="8" t="n"/>
      <c r="T271" s="7">
        <f>T258-T245</f>
        <v/>
      </c>
      <c r="U271" s="7">
        <f>U258-U245</f>
        <v/>
      </c>
      <c r="V271" s="8" t="n"/>
      <c r="W271" s="7">
        <f>W258-W245</f>
        <v/>
      </c>
      <c r="X271" s="7">
        <f>X258-X245</f>
        <v/>
      </c>
      <c r="Y271" s="8" t="n"/>
      <c r="Z271" s="7">
        <f>Z258-Z245</f>
        <v/>
      </c>
      <c r="AA271" s="7">
        <f>AA258-AA245</f>
        <v/>
      </c>
      <c r="AB271" s="8" t="n"/>
      <c r="AC271" s="7">
        <f>AC258-AC245</f>
        <v/>
      </c>
      <c r="AD271" s="7">
        <f>AD258-AD245</f>
        <v/>
      </c>
      <c r="AE271" s="8" t="n"/>
      <c r="AF271" s="7">
        <f>AF258-AF245</f>
        <v/>
      </c>
      <c r="AG271" s="7">
        <f>AG258-AG245</f>
        <v/>
      </c>
      <c r="AH271" s="8" t="n"/>
      <c r="AI271" s="7">
        <f>AI258-AI245</f>
        <v/>
      </c>
      <c r="AJ271" s="7">
        <f>AJ258-AJ245</f>
        <v/>
      </c>
      <c r="AK271" s="8" t="n"/>
      <c r="AL271" s="21">
        <f>AP271-AO271</f>
        <v/>
      </c>
      <c r="AM271" s="22">
        <f>AP271/AO271-1</f>
        <v/>
      </c>
      <c r="AO271" s="44">
        <f>IF($A$1=$B$1,B271,IF($A$1=$E$1,E271,IF($A$1=$H$1,H271,IF($A$1=$K$1,K271,IF($A$1=$N$1,N271,IF($A$1=$Q$1,Q271,IF($A$1=$T$1,T271,IF($A$1=$W$1,W271,IF($A$1=$Z$1,Z271,IF($A$1=$AC$1,AC271,IF($A$1=$AF$1,AF271,IF($A$1=$AI$1,AI271))))))))))))</f>
        <v/>
      </c>
      <c r="AP271" s="44">
        <f>IF($A$1=$B$1,C271,IF($A$1=$E$1,F271,IF($A$1=$H$1,I271,IF($A$1=$K$1,L271,IF($A$1=$N$1,O271,IF($A$1=$Q$1,R271,IF($A$1=$T$1,U271,IF($A$1=$W$1,X271,IF($A$1=$Z$1,AA271,IF($A$1=$AC$1,AD271,IF($A$1=$AF$1,AG271,IF($A$1=$AI$1,AJ271))))))))))))</f>
        <v/>
      </c>
    </row>
    <row r="272" ht="15.5" customFormat="1" customHeight="1" s="1">
      <c r="A272" s="26" t="inlineStr">
        <is>
          <t>Alüminyum</t>
        </is>
      </c>
      <c r="B272" s="7">
        <f>B259-B246</f>
        <v/>
      </c>
      <c r="C272" s="7">
        <f>C259-C246</f>
        <v/>
      </c>
      <c r="D272" s="8" t="n"/>
      <c r="E272" s="7">
        <f>E259-E246</f>
        <v/>
      </c>
      <c r="F272" s="7">
        <f>F259-F246</f>
        <v/>
      </c>
      <c r="G272" s="8" t="n"/>
      <c r="H272" s="7">
        <f>H259-H246</f>
        <v/>
      </c>
      <c r="I272" s="7">
        <f>I259-I246</f>
        <v/>
      </c>
      <c r="J272" s="8" t="n"/>
      <c r="K272" s="7">
        <f>K259-K246</f>
        <v/>
      </c>
      <c r="L272" s="7">
        <f>L259-L246</f>
        <v/>
      </c>
      <c r="M272" s="8" t="n"/>
      <c r="N272" s="7">
        <f>N259-N246</f>
        <v/>
      </c>
      <c r="O272" s="7">
        <f>O259-O246</f>
        <v/>
      </c>
      <c r="P272" s="8" t="n"/>
      <c r="Q272" s="7">
        <f>Q259-Q246</f>
        <v/>
      </c>
      <c r="R272" s="7">
        <f>R259-R246</f>
        <v/>
      </c>
      <c r="S272" s="8" t="n"/>
      <c r="T272" s="7">
        <f>T259-T246</f>
        <v/>
      </c>
      <c r="U272" s="7">
        <f>U259-U246</f>
        <v/>
      </c>
      <c r="V272" s="8" t="n"/>
      <c r="W272" s="7">
        <f>W259-W246</f>
        <v/>
      </c>
      <c r="X272" s="7">
        <f>X259-X246</f>
        <v/>
      </c>
      <c r="Y272" s="8" t="n"/>
      <c r="Z272" s="7">
        <f>Z259-Z246</f>
        <v/>
      </c>
      <c r="AA272" s="7">
        <f>AA259-AA246</f>
        <v/>
      </c>
      <c r="AB272" s="8" t="n"/>
      <c r="AC272" s="7">
        <f>AC259-AC246</f>
        <v/>
      </c>
      <c r="AD272" s="7">
        <f>AD259-AD246</f>
        <v/>
      </c>
      <c r="AE272" s="8" t="n"/>
      <c r="AF272" s="7">
        <f>AF259-AF246</f>
        <v/>
      </c>
      <c r="AG272" s="7">
        <f>AG259-AG246</f>
        <v/>
      </c>
      <c r="AH272" s="8" t="n"/>
      <c r="AI272" s="7">
        <f>AI259-AI246</f>
        <v/>
      </c>
      <c r="AJ272" s="7">
        <f>AJ259-AJ246</f>
        <v/>
      </c>
      <c r="AK272" s="8" t="n"/>
      <c r="AL272" s="21">
        <f>AP272-AO272</f>
        <v/>
      </c>
      <c r="AM272" s="22">
        <f>AP272/AO272-1</f>
        <v/>
      </c>
      <c r="AO272" s="44">
        <f>IF($A$1=$B$1,B272,IF($A$1=$E$1,E272,IF($A$1=$H$1,H272,IF($A$1=$K$1,K272,IF($A$1=$N$1,N272,IF($A$1=$Q$1,Q272,IF($A$1=$T$1,T272,IF($A$1=$W$1,W272,IF($A$1=$Z$1,Z272,IF($A$1=$AC$1,AC272,IF($A$1=$AF$1,AF272,IF($A$1=$AI$1,AI272))))))))))))</f>
        <v/>
      </c>
      <c r="AP272" s="44">
        <f>IF($A$1=$B$1,C272,IF($A$1=$E$1,F272,IF($A$1=$H$1,I272,IF($A$1=$K$1,L272,IF($A$1=$N$1,O272,IF($A$1=$Q$1,R272,IF($A$1=$T$1,U272,IF($A$1=$W$1,X272,IF($A$1=$Z$1,AA272,IF($A$1=$AC$1,AD272,IF($A$1=$AF$1,AG272,IF($A$1=$AI$1,AJ272))))))))))))</f>
        <v/>
      </c>
    </row>
    <row r="273" ht="15.5" customFormat="1" customHeight="1" s="1">
      <c r="A273" s="26" t="n"/>
      <c r="B273" s="7" t="n"/>
      <c r="C273" s="8" t="n"/>
      <c r="D273" s="8" t="n"/>
      <c r="E273" s="7" t="n"/>
      <c r="F273" s="8" t="n"/>
      <c r="G273" s="8" t="n"/>
      <c r="H273" s="7" t="n"/>
      <c r="I273" s="8" t="n"/>
      <c r="J273" s="8" t="n"/>
      <c r="K273" s="7" t="n"/>
      <c r="L273" s="8" t="n"/>
      <c r="M273" s="8" t="n"/>
      <c r="N273" s="7" t="n"/>
      <c r="O273" s="8" t="n"/>
      <c r="P273" s="8" t="n"/>
      <c r="Q273" s="7" t="n"/>
      <c r="R273" s="8" t="n"/>
      <c r="S273" s="8" t="n"/>
      <c r="T273" s="7" t="n"/>
      <c r="U273" s="8" t="n"/>
      <c r="V273" s="8" t="n"/>
      <c r="W273" s="7" t="n"/>
      <c r="X273" s="8" t="n"/>
      <c r="Y273" s="8" t="n"/>
      <c r="Z273" s="7" t="n"/>
      <c r="AA273" s="8" t="n"/>
      <c r="AB273" s="8" t="n"/>
      <c r="AC273" s="7" t="n"/>
      <c r="AD273" s="8" t="n"/>
      <c r="AE273" s="8" t="n"/>
      <c r="AF273" s="7" t="n"/>
      <c r="AG273" s="8" t="n"/>
      <c r="AH273" s="8" t="n"/>
      <c r="AI273" s="7" t="n"/>
      <c r="AJ273" s="8" t="n"/>
      <c r="AK273" s="8" t="n"/>
      <c r="AL273" s="15" t="n"/>
      <c r="AM273" s="16" t="n"/>
      <c r="AO273" s="44" t="n"/>
      <c r="AP273" s="44" t="n"/>
    </row>
    <row r="274" ht="15.5" customFormat="1" customHeight="1" s="1">
      <c r="A274" s="26" t="n"/>
      <c r="B274" s="7" t="n"/>
      <c r="C274" s="8" t="n"/>
      <c r="D274" s="8" t="n"/>
      <c r="E274" s="7" t="n"/>
      <c r="F274" s="8" t="n"/>
      <c r="G274" s="8" t="n"/>
      <c r="H274" s="7" t="n"/>
      <c r="I274" s="8" t="n"/>
      <c r="J274" s="8" t="n"/>
      <c r="K274" s="7" t="n"/>
      <c r="L274" s="8" t="n"/>
      <c r="M274" s="8" t="n"/>
      <c r="N274" s="7" t="n"/>
      <c r="O274" s="8" t="n"/>
      <c r="P274" s="8" t="n"/>
      <c r="Q274" s="7" t="n"/>
      <c r="R274" s="8" t="n"/>
      <c r="S274" s="8" t="n"/>
      <c r="T274" s="7" t="n"/>
      <c r="U274" s="8" t="n"/>
      <c r="V274" s="8" t="n"/>
      <c r="W274" s="7" t="n"/>
      <c r="X274" s="8" t="n"/>
      <c r="Y274" s="8" t="n"/>
      <c r="Z274" s="7" t="n"/>
      <c r="AA274" s="8" t="n"/>
      <c r="AB274" s="8" t="n"/>
      <c r="AC274" s="7" t="n"/>
      <c r="AD274" s="8" t="n"/>
      <c r="AE274" s="8" t="n"/>
      <c r="AF274" s="7" t="n"/>
      <c r="AG274" s="8" t="n"/>
      <c r="AH274" s="8" t="n"/>
      <c r="AI274" s="7" t="n"/>
      <c r="AJ274" s="8" t="n"/>
      <c r="AK274" s="8" t="n"/>
      <c r="AL274" s="15" t="n"/>
      <c r="AM274" s="16" t="n"/>
      <c r="AO274" s="44" t="n"/>
      <c r="AP274" s="44" t="n"/>
    </row>
    <row r="275" ht="15.5" customFormat="1" customHeight="1" s="44">
      <c r="A275" s="31" t="inlineStr">
        <is>
          <t>Yatırım</t>
        </is>
      </c>
      <c r="B275" s="32">
        <f>'Bütçe aylık-Eur'!$B$186</f>
        <v/>
      </c>
      <c r="C275" s="32">
        <f>'gerç aylık-eur'!$B$185</f>
        <v/>
      </c>
      <c r="D275" s="18" t="n"/>
      <c r="E275" s="32">
        <f>'Bütçe aylık-Eur'!$C$186</f>
        <v/>
      </c>
      <c r="F275" s="32">
        <f>'gerç aylık-eur'!$C$185</f>
        <v/>
      </c>
      <c r="G275" s="18" t="n"/>
      <c r="H275" s="32">
        <f>'Bütçe aylık-Eur'!$D$186</f>
        <v/>
      </c>
      <c r="I275" s="32">
        <f>'gerç aylık-eur'!$D$185</f>
        <v/>
      </c>
      <c r="J275" s="18" t="n"/>
      <c r="K275" s="32">
        <f>'Bütçe aylık-Eur'!$E$186</f>
        <v/>
      </c>
      <c r="L275" s="32">
        <f>'gerç aylık-eur'!$E$185</f>
        <v/>
      </c>
      <c r="M275" s="18" t="n"/>
      <c r="N275" s="32">
        <f>'Bütçe aylık-Eur'!$F$186</f>
        <v/>
      </c>
      <c r="O275" s="32">
        <f>'gerç aylık-eur'!$F$185</f>
        <v/>
      </c>
      <c r="P275" s="18" t="n"/>
      <c r="Q275" s="32">
        <f>'Bütçe aylık-Eur'!$G$186</f>
        <v/>
      </c>
      <c r="R275" s="32">
        <f>'gerç aylık-eur'!$G$185</f>
        <v/>
      </c>
      <c r="S275" s="18" t="n"/>
      <c r="T275" s="32">
        <f>'Bütçe aylık-Eur'!$H$186</f>
        <v/>
      </c>
      <c r="U275" s="32">
        <f>'gerç aylık-eur'!$H$185</f>
        <v/>
      </c>
      <c r="V275" s="18" t="n"/>
      <c r="W275" s="32">
        <f>'Bütçe aylık-Eur'!$I$186</f>
        <v/>
      </c>
      <c r="X275" s="32">
        <f>'gerç aylık-eur'!$I$185</f>
        <v/>
      </c>
      <c r="Y275" s="18" t="n"/>
      <c r="Z275" s="32">
        <f>'Bütçe aylık-Eur'!$J$186</f>
        <v/>
      </c>
      <c r="AA275" s="32">
        <f>'gerç aylık-eur'!$J$185</f>
        <v/>
      </c>
      <c r="AB275" s="18" t="n"/>
      <c r="AC275" s="32">
        <f>'Bütçe aylık-Eur'!$K$186</f>
        <v/>
      </c>
      <c r="AD275" s="32">
        <f>'gerç aylık-eur'!$K$185</f>
        <v/>
      </c>
      <c r="AE275" s="18" t="n"/>
      <c r="AF275" s="32">
        <f>'Bütçe aylık-Eur'!$L$186</f>
        <v/>
      </c>
      <c r="AG275" s="32">
        <f>'gerç aylık-eur'!$L$185</f>
        <v/>
      </c>
      <c r="AH275" s="18" t="n"/>
      <c r="AI275" s="32">
        <f>'Bütçe aylık-Eur'!$M$186</f>
        <v/>
      </c>
      <c r="AJ275" s="32">
        <f>'gerç aylık-eur'!$M$185</f>
        <v/>
      </c>
      <c r="AK275" s="18" t="n"/>
      <c r="AL275" s="33">
        <f>AP275-AO275</f>
        <v/>
      </c>
      <c r="AM275" s="34">
        <f>AP275/AO275-1</f>
        <v/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/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/>
      </c>
    </row>
    <row r="276" ht="15.5" customFormat="1" customHeight="1" s="13">
      <c r="A276" s="27" t="n"/>
      <c r="B276" s="30" t="n"/>
      <c r="C276" s="30" t="n"/>
      <c r="D276" s="41" t="n"/>
      <c r="E276" s="30" t="n"/>
      <c r="F276" s="30" t="n"/>
      <c r="G276" s="41" t="n"/>
      <c r="H276" s="30" t="n"/>
      <c r="I276" s="30" t="n"/>
      <c r="J276" s="41" t="n"/>
      <c r="K276" s="30" t="n"/>
      <c r="L276" s="30" t="n"/>
      <c r="M276" s="41" t="n"/>
      <c r="N276" s="30" t="n"/>
      <c r="O276" s="30" t="n"/>
      <c r="P276" s="41" t="n"/>
      <c r="Q276" s="30" t="n"/>
      <c r="R276" s="30" t="n"/>
      <c r="S276" s="41" t="n"/>
      <c r="T276" s="30" t="n"/>
      <c r="U276" s="30" t="n"/>
      <c r="V276" s="41" t="n"/>
      <c r="W276" s="30" t="n"/>
      <c r="X276" s="30" t="n"/>
      <c r="Y276" s="41" t="n"/>
      <c r="Z276" s="30" t="n"/>
      <c r="AA276" s="30" t="n"/>
      <c r="AB276" s="41" t="n"/>
      <c r="AC276" s="30" t="n"/>
      <c r="AD276" s="30" t="n"/>
      <c r="AE276" s="41" t="n"/>
      <c r="AF276" s="30" t="n"/>
      <c r="AG276" s="30" t="n"/>
      <c r="AH276" s="41" t="n"/>
      <c r="AI276" s="30" t="n"/>
      <c r="AJ276" s="30" t="n"/>
      <c r="AK276" s="41" t="n"/>
      <c r="AL276" s="15" t="n"/>
      <c r="AM276" s="22" t="n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/>
      </c>
      <c r="AP276" s="44">
        <f>IF($A$1=$B$1,C276,IF($A$1=$E$1,F276,IF($A$1=$H$1,I276,IF($A$1=$K$1,L276,IF($A$1=$N$1,O276,IF($A$1=$Q$1,R276,IF($A$1=$T$1,U276,IF($A$1=$W$1,X276,IF($A$1=$Z$1,AA276,IF($A$1=$AC$1,AD276,IF($A$1=$AF$1,AG276,IF($A$1=$AI$1,AJ276))))))))))))</f>
        <v/>
      </c>
    </row>
    <row r="277" ht="17" customFormat="1" customHeight="1" s="49">
      <c r="A277" s="47" t="inlineStr">
        <is>
          <t>Yatırım (100%)</t>
        </is>
      </c>
      <c r="B277" s="413" t="n"/>
      <c r="C277" s="413" t="n"/>
      <c r="D277" s="413" t="n"/>
      <c r="E277" s="413" t="n"/>
      <c r="F277" s="413" t="n"/>
      <c r="G277" s="413" t="n"/>
      <c r="H277" s="413" t="n"/>
      <c r="I277" s="413" t="n"/>
      <c r="J277" s="413" t="n"/>
      <c r="K277" s="413" t="n"/>
      <c r="L277" s="413" t="n"/>
      <c r="M277" s="413" t="n"/>
      <c r="N277" s="413" t="n"/>
      <c r="O277" s="413" t="n"/>
      <c r="P277" s="413" t="n"/>
      <c r="Q277" s="413" t="n"/>
      <c r="R277" s="413" t="n"/>
      <c r="S277" s="413" t="n"/>
      <c r="T277" s="413" t="n"/>
      <c r="U277" s="413" t="n"/>
      <c r="V277" s="413" t="n"/>
      <c r="W277" s="413" t="n"/>
      <c r="X277" s="413" t="n"/>
      <c r="Y277" s="413" t="n"/>
      <c r="Z277" s="413" t="n"/>
      <c r="AA277" s="413" t="n"/>
      <c r="AB277" s="413" t="n"/>
      <c r="AC277" s="413" t="n"/>
      <c r="AD277" s="413" t="n"/>
      <c r="AE277" s="413" t="n"/>
      <c r="AF277" s="413" t="n"/>
      <c r="AG277" s="413" t="n"/>
      <c r="AH277" s="413" t="n"/>
      <c r="AI277" s="413" t="n"/>
      <c r="AJ277" s="413" t="n"/>
      <c r="AK277" s="413" t="n"/>
      <c r="AL277" s="413" t="n"/>
      <c r="AM277" s="48" t="n"/>
    </row>
    <row r="278" ht="15.5" customHeight="1">
      <c r="A278" s="26" t="inlineStr">
        <is>
          <t xml:space="preserve">İnci Holding </t>
        </is>
      </c>
      <c r="B278" s="7">
        <f>'Bütçe aylık-Eur'!$B$187</f>
        <v/>
      </c>
      <c r="C278" s="7">
        <f>'gerç aylık-eur'!$B$186</f>
        <v/>
      </c>
      <c r="D278" s="7" t="n"/>
      <c r="E278" s="7">
        <f>'Bütçe aylık-Eur'!$C$187</f>
        <v/>
      </c>
      <c r="F278" s="7">
        <f>'gerç aylık-eur'!$C$186</f>
        <v/>
      </c>
      <c r="G278" s="7" t="n"/>
      <c r="H278" s="7">
        <f>'Bütçe aylık-Eur'!$D$187</f>
        <v/>
      </c>
      <c r="I278" s="7">
        <f>'gerç aylık-eur'!$D$186</f>
        <v/>
      </c>
      <c r="J278" s="7" t="n"/>
      <c r="K278" s="7">
        <f>'Bütçe aylık-Eur'!$E$187</f>
        <v/>
      </c>
      <c r="L278" s="7">
        <f>'gerç aylık-eur'!$E$186</f>
        <v/>
      </c>
      <c r="M278" s="7" t="n"/>
      <c r="N278" s="7">
        <f>'Bütçe aylık-Eur'!$F$187</f>
        <v/>
      </c>
      <c r="O278" s="7">
        <f>'gerç aylık-eur'!$F$186</f>
        <v/>
      </c>
      <c r="P278" s="7" t="n"/>
      <c r="Q278" s="7">
        <f>'Bütçe aylık-Eur'!$G$187</f>
        <v/>
      </c>
      <c r="R278" s="7">
        <f>'gerç aylık-eur'!$G$186</f>
        <v/>
      </c>
      <c r="S278" s="7" t="n"/>
      <c r="T278" s="7">
        <f>'Bütçe aylık-Eur'!$H$187</f>
        <v/>
      </c>
      <c r="U278" s="7">
        <f>'gerç aylık-eur'!$H$186</f>
        <v/>
      </c>
      <c r="V278" s="7" t="n"/>
      <c r="W278" s="7">
        <f>'Bütçe aylık-Eur'!$I$187</f>
        <v/>
      </c>
      <c r="X278" s="7">
        <f>'gerç aylık-eur'!$I$186</f>
        <v/>
      </c>
      <c r="Y278" s="7" t="n"/>
      <c r="Z278" s="7">
        <f>'Bütçe aylık-Eur'!$J$187</f>
        <v/>
      </c>
      <c r="AA278" s="7">
        <f>'gerç aylık-eur'!$J$186</f>
        <v/>
      </c>
      <c r="AB278" s="7" t="n"/>
      <c r="AC278" s="7">
        <f>'Bütçe aylık-Eur'!$K$187</f>
        <v/>
      </c>
      <c r="AD278" s="7">
        <f>'gerç aylık-eur'!$K$186</f>
        <v/>
      </c>
      <c r="AE278" s="7" t="n"/>
      <c r="AF278" s="7">
        <f>'Bütçe aylık-Eur'!$L$187</f>
        <v/>
      </c>
      <c r="AG278" s="7">
        <f>'gerç aylık-eur'!$L$186</f>
        <v/>
      </c>
      <c r="AH278" s="7" t="n"/>
      <c r="AI278" s="7">
        <f>'Bütçe aylık-Eur'!$M$187</f>
        <v/>
      </c>
      <c r="AJ278" s="7">
        <f>'gerç aylık-eur'!$M$186</f>
        <v/>
      </c>
      <c r="AK278" s="7" t="n"/>
      <c r="AL278" s="21">
        <f>AP278-AO278</f>
        <v/>
      </c>
      <c r="AM278" s="22">
        <f>AP278/AO278-1</f>
        <v/>
      </c>
      <c r="AO278" s="44">
        <f>IF($A$1=$B$1,B278,IF($A$1=$E$1,E278,IF($A$1=$H$1,H278,IF($A$1=$K$1,K278,IF($A$1=$N$1,N278,IF($A$1=$Q$1,Q278,IF($A$1=$T$1,T278,IF($A$1=$W$1,W278,IF($A$1=$Z$1,Z278,IF($A$1=$AC$1,AC278,IF($A$1=$AF$1,AF278,IF($A$1=$AI$1,AI278))))))))))))</f>
        <v/>
      </c>
      <c r="AP278" s="44">
        <f>IF($A$1=$B$1,C278,IF($A$1=$E$1,F278,IF($A$1=$H$1,I278,IF($A$1=$K$1,L278,IF($A$1=$N$1,O278,IF($A$1=$Q$1,R278,IF($A$1=$T$1,U278,IF($A$1=$W$1,X278,IF($A$1=$Z$1,AA278,IF($A$1=$AC$1,AD278,IF($A$1=$AF$1,AG278,IF($A$1=$AI$1,AJ278))))))))))))</f>
        <v/>
      </c>
    </row>
    <row r="279" ht="15.5" customHeight="1">
      <c r="A279" s="26" t="inlineStr">
        <is>
          <t xml:space="preserve">ISM </t>
        </is>
      </c>
      <c r="B279" s="7">
        <f>'Bütçe aylık-Eur'!$B$188</f>
        <v/>
      </c>
      <c r="C279" s="7">
        <f>'gerç aylık-eur'!$B$187</f>
        <v/>
      </c>
      <c r="D279" s="7" t="n"/>
      <c r="E279" s="7">
        <f>'Bütçe aylık-Eur'!$C$188</f>
        <v/>
      </c>
      <c r="F279" s="7">
        <f>'gerç aylık-eur'!$C$187</f>
        <v/>
      </c>
      <c r="G279" s="7" t="n"/>
      <c r="H279" s="7">
        <f>'Bütçe aylık-Eur'!$D$188</f>
        <v/>
      </c>
      <c r="I279" s="7">
        <f>'gerç aylık-eur'!$D$187</f>
        <v/>
      </c>
      <c r="J279" s="7" t="n"/>
      <c r="K279" s="7">
        <f>'Bütçe aylık-Eur'!$E$188</f>
        <v/>
      </c>
      <c r="L279" s="7">
        <f>'gerç aylık-eur'!$E$187</f>
        <v/>
      </c>
      <c r="M279" s="7" t="n"/>
      <c r="N279" s="7">
        <f>'Bütçe aylık-Eur'!$F$188</f>
        <v/>
      </c>
      <c r="O279" s="7">
        <f>'gerç aylık-eur'!$F$187</f>
        <v/>
      </c>
      <c r="P279" s="7" t="n"/>
      <c r="Q279" s="7">
        <f>'Bütçe aylık-Eur'!$G$188</f>
        <v/>
      </c>
      <c r="R279" s="7">
        <f>'gerç aylık-eur'!$G$187</f>
        <v/>
      </c>
      <c r="S279" s="7" t="n"/>
      <c r="T279" s="7">
        <f>'Bütçe aylık-Eur'!$H$188</f>
        <v/>
      </c>
      <c r="U279" s="7">
        <f>'gerç aylık-eur'!$H$187</f>
        <v/>
      </c>
      <c r="V279" s="7" t="n"/>
      <c r="W279" s="7">
        <f>'Bütçe aylık-Eur'!$I$188</f>
        <v/>
      </c>
      <c r="X279" s="7">
        <f>'gerç aylık-eur'!$I$187</f>
        <v/>
      </c>
      <c r="Y279" s="7" t="n"/>
      <c r="Z279" s="7">
        <f>'Bütçe aylık-Eur'!$J$188</f>
        <v/>
      </c>
      <c r="AA279" s="7">
        <f>'gerç aylık-eur'!$J$187</f>
        <v/>
      </c>
      <c r="AB279" s="7" t="n"/>
      <c r="AC279" s="7">
        <f>'Bütçe aylık-Eur'!$K$188</f>
        <v/>
      </c>
      <c r="AD279" s="7">
        <f>'gerç aylık-eur'!$K$187</f>
        <v/>
      </c>
      <c r="AE279" s="7" t="n"/>
      <c r="AF279" s="7">
        <f>'Bütçe aylık-Eur'!$L$188</f>
        <v/>
      </c>
      <c r="AG279" s="7">
        <f>'gerç aylık-eur'!$L$187</f>
        <v/>
      </c>
      <c r="AH279" s="7" t="n"/>
      <c r="AI279" s="7">
        <f>'Bütçe aylık-Eur'!$M$188</f>
        <v/>
      </c>
      <c r="AJ279" s="7">
        <f>'gerç aylık-eur'!$M$187</f>
        <v/>
      </c>
      <c r="AK279" s="7" t="n"/>
      <c r="AL279" s="21">
        <f>AP279-AO279</f>
        <v/>
      </c>
      <c r="AM279" s="22">
        <f>AP279/AO279-1</f>
        <v/>
      </c>
      <c r="AO279" s="44">
        <f>IF($A$1=$B$1,B279,IF($A$1=$E$1,E279,IF($A$1=$H$1,H279,IF($A$1=$K$1,K279,IF($A$1=$N$1,N279,IF($A$1=$Q$1,Q279,IF($A$1=$T$1,T279,IF($A$1=$W$1,W279,IF($A$1=$Z$1,Z279,IF($A$1=$AC$1,AC279,IF($A$1=$AF$1,AF279,IF($A$1=$AI$1,AI279))))))))))))</f>
        <v/>
      </c>
      <c r="AP279" s="44">
        <f>IF($A$1=$B$1,C279,IF($A$1=$E$1,F279,IF($A$1=$H$1,I279,IF($A$1=$K$1,L279,IF($A$1=$N$1,O279,IF($A$1=$Q$1,R279,IF($A$1=$T$1,U279,IF($A$1=$W$1,X279,IF($A$1=$Z$1,AA279,IF($A$1=$AC$1,AD279,IF($A$1=$AF$1,AG279,IF($A$1=$AI$1,AJ279))))))))))))</f>
        <v/>
      </c>
    </row>
    <row r="280" ht="15.5" customHeight="1">
      <c r="A280" s="26" t="inlineStr">
        <is>
          <t>İncitaş</t>
        </is>
      </c>
      <c r="B280" s="7">
        <f>'Bütçe aylık-Eur'!$B$189</f>
        <v/>
      </c>
      <c r="C280" s="7">
        <f>'gerç aylık-eur'!$B$188</f>
        <v/>
      </c>
      <c r="D280" s="7" t="n"/>
      <c r="E280" s="7">
        <f>'Bütçe aylık-Eur'!$C$189</f>
        <v/>
      </c>
      <c r="F280" s="7">
        <f>'gerç aylık-eur'!$C$188</f>
        <v/>
      </c>
      <c r="G280" s="7" t="n"/>
      <c r="H280" s="7">
        <f>'Bütçe aylık-Eur'!$D$189</f>
        <v/>
      </c>
      <c r="I280" s="7">
        <f>'gerç aylık-eur'!$D$188</f>
        <v/>
      </c>
      <c r="J280" s="7" t="n"/>
      <c r="K280" s="7">
        <f>'Bütçe aylık-Eur'!$E$189</f>
        <v/>
      </c>
      <c r="L280" s="7">
        <f>'gerç aylık-eur'!$E$188</f>
        <v/>
      </c>
      <c r="M280" s="7" t="n"/>
      <c r="N280" s="7">
        <f>'Bütçe aylık-Eur'!$F$189</f>
        <v/>
      </c>
      <c r="O280" s="7">
        <f>'gerç aylık-eur'!$F$188</f>
        <v/>
      </c>
      <c r="P280" s="7" t="n"/>
      <c r="Q280" s="7">
        <f>'Bütçe aylık-Eur'!$G$189</f>
        <v/>
      </c>
      <c r="R280" s="7">
        <f>'gerç aylık-eur'!$G$188</f>
        <v/>
      </c>
      <c r="S280" s="7" t="n"/>
      <c r="T280" s="7">
        <f>'Bütçe aylık-Eur'!$H$189</f>
        <v/>
      </c>
      <c r="U280" s="7">
        <f>'gerç aylık-eur'!$H$188</f>
        <v/>
      </c>
      <c r="V280" s="7" t="n"/>
      <c r="W280" s="7">
        <f>'Bütçe aylık-Eur'!$I$189</f>
        <v/>
      </c>
      <c r="X280" s="7">
        <f>'gerç aylık-eur'!$I$188</f>
        <v/>
      </c>
      <c r="Y280" s="7" t="n"/>
      <c r="Z280" s="7">
        <f>'Bütçe aylık-Eur'!$J$189</f>
        <v/>
      </c>
      <c r="AA280" s="7">
        <f>'gerç aylık-eur'!$J$188</f>
        <v/>
      </c>
      <c r="AB280" s="7" t="n"/>
      <c r="AC280" s="7">
        <f>'Bütçe aylık-Eur'!$K$189</f>
        <v/>
      </c>
      <c r="AD280" s="7">
        <f>'gerç aylık-eur'!$K$188</f>
        <v/>
      </c>
      <c r="AE280" s="7" t="n"/>
      <c r="AF280" s="7">
        <f>'Bütçe aylık-Eur'!$L$189</f>
        <v/>
      </c>
      <c r="AG280" s="7">
        <f>'gerç aylık-eur'!$L$188</f>
        <v/>
      </c>
      <c r="AH280" s="7" t="n"/>
      <c r="AI280" s="7">
        <f>'Bütçe aylık-Eur'!$M$189</f>
        <v/>
      </c>
      <c r="AJ280" s="7">
        <f>'gerç aylık-eur'!$M$188</f>
        <v/>
      </c>
      <c r="AK280" s="7" t="n"/>
      <c r="AL280" s="21">
        <f>AP280-AO280</f>
        <v/>
      </c>
      <c r="AM280" s="22">
        <f>AP280/AO280-1</f>
        <v/>
      </c>
      <c r="AO280" s="44">
        <f>IF($A$1=$B$1,B280,IF($A$1=$E$1,E280,IF($A$1=$H$1,H280,IF($A$1=$K$1,K280,IF($A$1=$N$1,N280,IF($A$1=$Q$1,Q280,IF($A$1=$T$1,T280,IF($A$1=$W$1,W280,IF($A$1=$Z$1,Z280,IF($A$1=$AC$1,AC280,IF($A$1=$AF$1,AF280,IF($A$1=$AI$1,AI280))))))))))))</f>
        <v/>
      </c>
      <c r="AP280" s="44">
        <f>IF($A$1=$B$1,C280,IF($A$1=$E$1,F280,IF($A$1=$H$1,I280,IF($A$1=$K$1,L280,IF($A$1=$N$1,O280,IF($A$1=$Q$1,R280,IF($A$1=$T$1,U280,IF($A$1=$W$1,X280,IF($A$1=$Z$1,AA280,IF($A$1=$AC$1,AD280,IF($A$1=$AF$1,AG280,IF($A$1=$AI$1,AJ280))))))))))))</f>
        <v/>
      </c>
    </row>
    <row r="281" ht="15.5" customHeight="1">
      <c r="A281" s="26" t="inlineStr">
        <is>
          <t>İnci GS Yuasa</t>
        </is>
      </c>
      <c r="B281" s="7">
        <f>'Bütçe aylık-Eur'!$B$190</f>
        <v/>
      </c>
      <c r="C281" s="7">
        <f>'gerç aylık-eur'!$B$189</f>
        <v/>
      </c>
      <c r="D281" s="7" t="n"/>
      <c r="E281" s="7">
        <f>'Bütçe aylık-Eur'!$C$190</f>
        <v/>
      </c>
      <c r="F281" s="7">
        <f>'gerç aylık-eur'!$C$189</f>
        <v/>
      </c>
      <c r="G281" s="7" t="n"/>
      <c r="H281" s="7">
        <f>'Bütçe aylık-Eur'!$D$190</f>
        <v/>
      </c>
      <c r="I281" s="7">
        <f>'gerç aylık-eur'!$D$189</f>
        <v/>
      </c>
      <c r="J281" s="7" t="n"/>
      <c r="K281" s="7">
        <f>'Bütçe aylık-Eur'!$E$190</f>
        <v/>
      </c>
      <c r="L281" s="7">
        <f>'gerç aylık-eur'!$E$189</f>
        <v/>
      </c>
      <c r="M281" s="7" t="n"/>
      <c r="N281" s="7">
        <f>'Bütçe aylık-Eur'!$F$190</f>
        <v/>
      </c>
      <c r="O281" s="7">
        <f>'gerç aylık-eur'!$F$189</f>
        <v/>
      </c>
      <c r="P281" s="7" t="n"/>
      <c r="Q281" s="7">
        <f>'Bütçe aylık-Eur'!$G$190</f>
        <v/>
      </c>
      <c r="R281" s="7">
        <f>'gerç aylık-eur'!$G$189</f>
        <v/>
      </c>
      <c r="S281" s="7" t="n"/>
      <c r="T281" s="7">
        <f>'Bütçe aylık-Eur'!$H$190</f>
        <v/>
      </c>
      <c r="U281" s="7">
        <f>'gerç aylık-eur'!$H$189</f>
        <v/>
      </c>
      <c r="V281" s="7" t="n"/>
      <c r="W281" s="7">
        <f>'Bütçe aylık-Eur'!$I$190</f>
        <v/>
      </c>
      <c r="X281" s="7">
        <f>'gerç aylık-eur'!$I$189</f>
        <v/>
      </c>
      <c r="Y281" s="7" t="n"/>
      <c r="Z281" s="7">
        <f>'Bütçe aylık-Eur'!$J$190</f>
        <v/>
      </c>
      <c r="AA281" s="7">
        <f>'gerç aylık-eur'!$J$189</f>
        <v/>
      </c>
      <c r="AB281" s="7" t="n"/>
      <c r="AC281" s="7">
        <f>'Bütçe aylık-Eur'!$K$190</f>
        <v/>
      </c>
      <c r="AD281" s="7">
        <f>'gerç aylık-eur'!$K$189</f>
        <v/>
      </c>
      <c r="AE281" s="7" t="n"/>
      <c r="AF281" s="7">
        <f>'Bütçe aylık-Eur'!$L$190</f>
        <v/>
      </c>
      <c r="AG281" s="7">
        <f>'gerç aylık-eur'!$L$189</f>
        <v/>
      </c>
      <c r="AH281" s="7" t="n"/>
      <c r="AI281" s="7">
        <f>'Bütçe aylık-Eur'!$M$190</f>
        <v/>
      </c>
      <c r="AJ281" s="7">
        <f>'gerç aylık-eur'!$M$189</f>
        <v/>
      </c>
      <c r="AK281" s="7" t="n"/>
      <c r="AL281" s="21">
        <f>AP281-AO281</f>
        <v/>
      </c>
      <c r="AM281" s="22">
        <f>AP281/AO281-1</f>
        <v/>
      </c>
      <c r="AO281" s="44">
        <f>IF($A$1=$B$1,B281,IF($A$1=$E$1,E281,IF($A$1=$H$1,H281,IF($A$1=$K$1,K281,IF($A$1=$N$1,N281,IF($A$1=$Q$1,Q281,IF($A$1=$T$1,T281,IF($A$1=$W$1,W281,IF($A$1=$Z$1,Z281,IF($A$1=$AC$1,AC281,IF($A$1=$AF$1,AF281,IF($A$1=$AI$1,AI281))))))))))))</f>
        <v/>
      </c>
      <c r="AP281" s="44">
        <f>IF($A$1=$B$1,C281,IF($A$1=$E$1,F281,IF($A$1=$H$1,I281,IF($A$1=$K$1,L281,IF($A$1=$N$1,O281,IF($A$1=$Q$1,R281,IF($A$1=$T$1,U281,IF($A$1=$W$1,X281,IF($A$1=$Z$1,AA281,IF($A$1=$AC$1,AD281,IF($A$1=$AF$1,AG281,IF($A$1=$AI$1,AJ281))))))))))))</f>
        <v/>
      </c>
    </row>
    <row r="282" ht="15.5" customFormat="1" customHeight="1" s="1">
      <c r="A282" s="26" t="inlineStr">
        <is>
          <t>Yusen İnci Loj.</t>
        </is>
      </c>
      <c r="B282" s="7">
        <f>'Bütçe aylık-Eur'!$B$191</f>
        <v/>
      </c>
      <c r="C282" s="7">
        <f>'gerç aylık-eur'!$B$190</f>
        <v/>
      </c>
      <c r="D282" s="8" t="n"/>
      <c r="E282" s="7">
        <f>'Bütçe aylık-Eur'!$C$191</f>
        <v/>
      </c>
      <c r="F282" s="7">
        <f>'gerç aylık-eur'!$C$190</f>
        <v/>
      </c>
      <c r="G282" s="8" t="n"/>
      <c r="H282" s="7">
        <f>'Bütçe aylık-Eur'!$D$191</f>
        <v/>
      </c>
      <c r="I282" s="7">
        <f>'gerç aylık-eur'!$D$190</f>
        <v/>
      </c>
      <c r="J282" s="8" t="n"/>
      <c r="K282" s="7">
        <f>'Bütçe aylık-Eur'!$E$191</f>
        <v/>
      </c>
      <c r="L282" s="7">
        <f>'gerç aylık-eur'!$E$190</f>
        <v/>
      </c>
      <c r="M282" s="8" t="n"/>
      <c r="N282" s="7">
        <f>'Bütçe aylık-Eur'!$F$191</f>
        <v/>
      </c>
      <c r="O282" s="7">
        <f>'gerç aylık-eur'!$F$190</f>
        <v/>
      </c>
      <c r="P282" s="8" t="n"/>
      <c r="Q282" s="7">
        <f>'Bütçe aylık-Eur'!$G$191</f>
        <v/>
      </c>
      <c r="R282" s="7">
        <f>'gerç aylık-eur'!$G$190</f>
        <v/>
      </c>
      <c r="S282" s="8" t="n"/>
      <c r="T282" s="7">
        <f>'Bütçe aylık-Eur'!$H$191</f>
        <v/>
      </c>
      <c r="U282" s="7">
        <f>'gerç aylık-eur'!$H$190</f>
        <v/>
      </c>
      <c r="V282" s="8" t="n"/>
      <c r="W282" s="7">
        <f>'Bütçe aylık-Eur'!$I$191</f>
        <v/>
      </c>
      <c r="X282" s="7">
        <f>'gerç aylık-eur'!$I$190</f>
        <v/>
      </c>
      <c r="Y282" s="8" t="n"/>
      <c r="Z282" s="7">
        <f>'Bütçe aylık-Eur'!$J$191</f>
        <v/>
      </c>
      <c r="AA282" s="7">
        <f>'gerç aylık-eur'!$J$190</f>
        <v/>
      </c>
      <c r="AB282" s="8" t="n"/>
      <c r="AC282" s="7">
        <f>'Bütçe aylık-Eur'!$K$191</f>
        <v/>
      </c>
      <c r="AD282" s="7">
        <f>'gerç aylık-eur'!$K$190</f>
        <v/>
      </c>
      <c r="AE282" s="8" t="n"/>
      <c r="AF282" s="7">
        <f>'Bütçe aylık-Eur'!$L$191</f>
        <v/>
      </c>
      <c r="AG282" s="7">
        <f>'gerç aylık-eur'!$L$190</f>
        <v/>
      </c>
      <c r="AH282" s="8" t="n"/>
      <c r="AI282" s="7">
        <f>'Bütçe aylık-Eur'!$M$191</f>
        <v/>
      </c>
      <c r="AJ282" s="7">
        <f>'gerç aylık-eur'!$M$190</f>
        <v/>
      </c>
      <c r="AK282" s="8" t="n"/>
      <c r="AL282" s="21">
        <f>AP282-AO282</f>
        <v/>
      </c>
      <c r="AM282" s="22">
        <f>AP282/AO282-1</f>
        <v/>
      </c>
      <c r="AO282" s="44">
        <f>IF($A$1=$B$1,B282,IF($A$1=$E$1,E282,IF($A$1=$H$1,H282,IF($A$1=$K$1,K282,IF($A$1=$N$1,N282,IF($A$1=$Q$1,Q282,IF($A$1=$T$1,T282,IF($A$1=$W$1,W282,IF($A$1=$Z$1,Z282,IF($A$1=$AC$1,AC282,IF($A$1=$AF$1,AF282,IF($A$1=$AI$1,AI282))))))))))))</f>
        <v/>
      </c>
      <c r="AP282" s="44">
        <f>IF($A$1=$B$1,C282,IF($A$1=$E$1,F282,IF($A$1=$H$1,I282,IF($A$1=$K$1,L282,IF($A$1=$N$1,O282,IF($A$1=$Q$1,R282,IF($A$1=$T$1,U282,IF($A$1=$W$1,X282,IF($A$1=$Z$1,AA282,IF($A$1=$AC$1,AD282,IF($A$1=$AF$1,AG282,IF($A$1=$AI$1,AJ282))))))))))))</f>
        <v/>
      </c>
    </row>
    <row r="283" ht="15.5" customHeight="1">
      <c r="A283" s="26" t="inlineStr">
        <is>
          <t>Jantaş</t>
        </is>
      </c>
      <c r="B283" s="7">
        <f>'Bütçe aylık-Eur'!$B$192</f>
        <v/>
      </c>
      <c r="C283" s="7">
        <f>'gerç aylık-eur'!$B$191</f>
        <v/>
      </c>
      <c r="D283" s="7" t="n"/>
      <c r="E283" s="7">
        <f>'Bütçe aylık-Eur'!$C$192</f>
        <v/>
      </c>
      <c r="F283" s="7">
        <f>'gerç aylık-eur'!$C$191</f>
        <v/>
      </c>
      <c r="G283" s="7" t="n"/>
      <c r="H283" s="7">
        <f>'Bütçe aylık-Eur'!$D$192</f>
        <v/>
      </c>
      <c r="I283" s="7">
        <f>'gerç aylık-eur'!$D$191</f>
        <v/>
      </c>
      <c r="J283" s="7" t="n"/>
      <c r="K283" s="7">
        <f>'Bütçe aylık-Eur'!$E$192</f>
        <v/>
      </c>
      <c r="L283" s="7">
        <f>'gerç aylık-eur'!$E$191</f>
        <v/>
      </c>
      <c r="M283" s="7" t="n"/>
      <c r="N283" s="7">
        <f>'Bütçe aylık-Eur'!$F$192</f>
        <v/>
      </c>
      <c r="O283" s="7">
        <f>'gerç aylık-eur'!$F$191</f>
        <v/>
      </c>
      <c r="P283" s="7" t="n"/>
      <c r="Q283" s="7">
        <f>'Bütçe aylık-Eur'!$G$192</f>
        <v/>
      </c>
      <c r="R283" s="7">
        <f>'gerç aylık-eur'!$G$191</f>
        <v/>
      </c>
      <c r="S283" s="7" t="n"/>
      <c r="T283" s="7">
        <f>'Bütçe aylık-Eur'!$H$192</f>
        <v/>
      </c>
      <c r="U283" s="7">
        <f>'gerç aylık-eur'!$H$191</f>
        <v/>
      </c>
      <c r="V283" s="7" t="n"/>
      <c r="W283" s="7">
        <f>'Bütçe aylık-Eur'!$I$192</f>
        <v/>
      </c>
      <c r="X283" s="7">
        <f>'gerç aylık-eur'!$I$191</f>
        <v/>
      </c>
      <c r="Y283" s="7" t="n"/>
      <c r="Z283" s="7">
        <f>'Bütçe aylık-Eur'!$J$192</f>
        <v/>
      </c>
      <c r="AA283" s="7">
        <f>'gerç aylık-eur'!$J$191</f>
        <v/>
      </c>
      <c r="AB283" s="7" t="n"/>
      <c r="AC283" s="7">
        <f>'Bütçe aylık-Eur'!$K$192</f>
        <v/>
      </c>
      <c r="AD283" s="7">
        <f>'gerç aylık-eur'!$K$191</f>
        <v/>
      </c>
      <c r="AE283" s="7" t="n"/>
      <c r="AF283" s="7">
        <f>'Bütçe aylık-Eur'!$L$192</f>
        <v/>
      </c>
      <c r="AG283" s="7">
        <f>'gerç aylık-eur'!$L$191</f>
        <v/>
      </c>
      <c r="AH283" s="7" t="n"/>
      <c r="AI283" s="7">
        <f>'Bütçe aylık-Eur'!$M$192</f>
        <v/>
      </c>
      <c r="AJ283" s="7">
        <f>'gerç aylık-eur'!$M$191</f>
        <v/>
      </c>
      <c r="AK283" s="7" t="n"/>
      <c r="AL283" s="21">
        <f>AP283-AO283</f>
        <v/>
      </c>
      <c r="AM283" s="22">
        <f>AP283/AO283-1</f>
        <v/>
      </c>
      <c r="AO283" s="44">
        <f>IF($A$1=$B$1,B283,IF($A$1=$E$1,E283,IF($A$1=$H$1,H283,IF($A$1=$K$1,K283,IF($A$1=$N$1,N283,IF($A$1=$Q$1,Q283,IF($A$1=$T$1,T283,IF($A$1=$W$1,W283,IF($A$1=$Z$1,Z283,IF($A$1=$AC$1,AC283,IF($A$1=$AF$1,AF283,IF($A$1=$AI$1,AI283))))))))))))</f>
        <v/>
      </c>
      <c r="AP283" s="44">
        <f>IF($A$1=$B$1,C283,IF($A$1=$E$1,F283,IF($A$1=$H$1,I283,IF($A$1=$K$1,L283,IF($A$1=$N$1,O283,IF($A$1=$Q$1,R283,IF($A$1=$T$1,U283,IF($A$1=$W$1,X283,IF($A$1=$Z$1,AA283,IF($A$1=$AC$1,AD283,IF($A$1=$AF$1,AG283,IF($A$1=$AI$1,AJ283))))))))))))</f>
        <v/>
      </c>
    </row>
    <row r="284" ht="15.5" customFormat="1" customHeight="1" s="1">
      <c r="A284" s="26" t="inlineStr">
        <is>
          <t>Çelik</t>
        </is>
      </c>
      <c r="B284" s="7">
        <f>'Bütçe aylık-Eur'!$B$193</f>
        <v/>
      </c>
      <c r="C284" s="7">
        <f>'gerç aylık-eur'!$B$192</f>
        <v/>
      </c>
      <c r="D284" s="8" t="n"/>
      <c r="E284" s="7">
        <f>'Bütçe aylık-Eur'!$C$193</f>
        <v/>
      </c>
      <c r="F284" s="7">
        <f>'gerç aylık-eur'!$C$192</f>
        <v/>
      </c>
      <c r="G284" s="8" t="n"/>
      <c r="H284" s="7">
        <f>'Bütçe aylık-Eur'!$D$193</f>
        <v/>
      </c>
      <c r="I284" s="7">
        <f>'gerç aylık-eur'!$D$192</f>
        <v/>
      </c>
      <c r="J284" s="8" t="n"/>
      <c r="K284" s="7">
        <f>'Bütçe aylık-Eur'!$E$193</f>
        <v/>
      </c>
      <c r="L284" s="7">
        <f>'gerç aylık-eur'!$E$192</f>
        <v/>
      </c>
      <c r="M284" s="8" t="n"/>
      <c r="N284" s="7">
        <f>'Bütçe aylık-Eur'!$F$193</f>
        <v/>
      </c>
      <c r="O284" s="7">
        <f>'gerç aylık-eur'!$F$192</f>
        <v/>
      </c>
      <c r="P284" s="8" t="n"/>
      <c r="Q284" s="7">
        <f>'Bütçe aylık-Eur'!$G$193</f>
        <v/>
      </c>
      <c r="R284" s="7">
        <f>'gerç aylık-eur'!$G$192</f>
        <v/>
      </c>
      <c r="S284" s="8" t="n"/>
      <c r="T284" s="7">
        <f>'Bütçe aylık-Eur'!$H$193</f>
        <v/>
      </c>
      <c r="U284" s="7">
        <f>'gerç aylık-eur'!$H$192</f>
        <v/>
      </c>
      <c r="V284" s="8" t="n"/>
      <c r="W284" s="7">
        <f>'Bütçe aylık-Eur'!$I$193</f>
        <v/>
      </c>
      <c r="X284" s="7">
        <f>'gerç aylık-eur'!$I$192</f>
        <v/>
      </c>
      <c r="Y284" s="8" t="n"/>
      <c r="Z284" s="7">
        <f>'Bütçe aylık-Eur'!$J$193</f>
        <v/>
      </c>
      <c r="AA284" s="7">
        <f>'gerç aylık-eur'!$J$192</f>
        <v/>
      </c>
      <c r="AB284" s="8" t="n"/>
      <c r="AC284" s="7">
        <f>'Bütçe aylık-Eur'!$K$193</f>
        <v/>
      </c>
      <c r="AD284" s="7">
        <f>'gerç aylık-eur'!$K$192</f>
        <v/>
      </c>
      <c r="AE284" s="8" t="n"/>
      <c r="AF284" s="7">
        <f>'Bütçe aylık-Eur'!$L$193</f>
        <v/>
      </c>
      <c r="AG284" s="7">
        <f>'gerç aylık-eur'!$L$192</f>
        <v/>
      </c>
      <c r="AH284" s="8" t="n"/>
      <c r="AI284" s="7">
        <f>'Bütçe aylık-Eur'!$M$193</f>
        <v/>
      </c>
      <c r="AJ284" s="7">
        <f>'gerç aylık-eur'!$M$192</f>
        <v/>
      </c>
      <c r="AK284" s="8" t="n"/>
      <c r="AL284" s="21">
        <f>AP284-AO284</f>
        <v/>
      </c>
      <c r="AM284" s="22">
        <f>AP284/AO284-1</f>
        <v/>
      </c>
      <c r="AO284" s="44">
        <f>IF($A$1=$B$1,B284,IF($A$1=$E$1,E284,IF($A$1=$H$1,H284,IF($A$1=$K$1,K284,IF($A$1=$N$1,N284,IF($A$1=$Q$1,Q284,IF($A$1=$T$1,T284,IF($A$1=$W$1,W284,IF($A$1=$Z$1,Z284,IF($A$1=$AC$1,AC284,IF($A$1=$AF$1,AF284,IF($A$1=$AI$1,AI284))))))))))))</f>
        <v/>
      </c>
      <c r="AP284" s="44">
        <f>IF($A$1=$B$1,C284,IF($A$1=$E$1,F284,IF($A$1=$H$1,I284,IF($A$1=$K$1,L284,IF($A$1=$N$1,O284,IF($A$1=$Q$1,R284,IF($A$1=$T$1,U284,IF($A$1=$W$1,X284,IF($A$1=$Z$1,AA284,IF($A$1=$AC$1,AD284,IF($A$1=$AF$1,AG284,IF($A$1=$AI$1,AJ284))))))))))))</f>
        <v/>
      </c>
    </row>
    <row r="285" ht="15.5" customFormat="1" customHeight="1" s="1">
      <c r="A285" s="26" t="inlineStr">
        <is>
          <t>Alüminyum</t>
        </is>
      </c>
      <c r="B285" s="7">
        <f>'Bütçe aylık-Eur'!$B$194</f>
        <v/>
      </c>
      <c r="C285" s="7">
        <f>'gerç aylık-eur'!$B$193</f>
        <v/>
      </c>
      <c r="D285" s="8" t="n"/>
      <c r="E285" s="7">
        <f>'Bütçe aylık-Eur'!$C$194</f>
        <v/>
      </c>
      <c r="F285" s="7">
        <f>'gerç aylık-eur'!$C$193</f>
        <v/>
      </c>
      <c r="G285" s="8" t="n"/>
      <c r="H285" s="7">
        <f>'Bütçe aylık-Eur'!$D$194</f>
        <v/>
      </c>
      <c r="I285" s="7">
        <f>'gerç aylık-eur'!$D$193</f>
        <v/>
      </c>
      <c r="J285" s="8" t="n"/>
      <c r="K285" s="7">
        <f>'Bütçe aylık-Eur'!$E$194</f>
        <v/>
      </c>
      <c r="L285" s="7">
        <f>'gerç aylık-eur'!$E$193</f>
        <v/>
      </c>
      <c r="M285" s="8" t="n"/>
      <c r="N285" s="7">
        <f>'Bütçe aylık-Eur'!$F$194</f>
        <v/>
      </c>
      <c r="O285" s="7">
        <f>'gerç aylık-eur'!$F$193</f>
        <v/>
      </c>
      <c r="P285" s="8" t="n"/>
      <c r="Q285" s="7">
        <f>'Bütçe aylık-Eur'!$G$194</f>
        <v/>
      </c>
      <c r="R285" s="7">
        <f>'gerç aylık-eur'!$G$193</f>
        <v/>
      </c>
      <c r="S285" s="8" t="n"/>
      <c r="T285" s="7">
        <f>'Bütçe aylık-Eur'!$H$194</f>
        <v/>
      </c>
      <c r="U285" s="7">
        <f>'gerç aylık-eur'!$H$193</f>
        <v/>
      </c>
      <c r="V285" s="8" t="n"/>
      <c r="W285" s="7">
        <f>'Bütçe aylık-Eur'!$I$194</f>
        <v/>
      </c>
      <c r="X285" s="7">
        <f>'gerç aylık-eur'!$I$193</f>
        <v/>
      </c>
      <c r="Y285" s="8" t="n"/>
      <c r="Z285" s="7">
        <f>'Bütçe aylık-Eur'!$J$194</f>
        <v/>
      </c>
      <c r="AA285" s="7">
        <f>'gerç aylık-eur'!$J$193</f>
        <v/>
      </c>
      <c r="AB285" s="8" t="n"/>
      <c r="AC285" s="7">
        <f>'Bütçe aylık-Eur'!$K$194</f>
        <v/>
      </c>
      <c r="AD285" s="7">
        <f>'gerç aylık-eur'!$K$193</f>
        <v/>
      </c>
      <c r="AE285" s="8" t="n"/>
      <c r="AF285" s="7">
        <f>'Bütçe aylık-Eur'!$L$194</f>
        <v/>
      </c>
      <c r="AG285" s="7">
        <f>'gerç aylık-eur'!$L$193</f>
        <v/>
      </c>
      <c r="AH285" s="8" t="n"/>
      <c r="AI285" s="7">
        <f>'Bütçe aylık-Eur'!$M$194</f>
        <v/>
      </c>
      <c r="AJ285" s="7">
        <f>'gerç aylık-eur'!$M$193</f>
        <v/>
      </c>
      <c r="AK285" s="8" t="n"/>
      <c r="AL285" s="21">
        <f>AP285-AO285</f>
        <v/>
      </c>
      <c r="AM285" s="22">
        <f>AP285/AO285-1</f>
        <v/>
      </c>
      <c r="AO285" s="44">
        <f>IF($A$1=$B$1,B285,IF($A$1=$E$1,E285,IF($A$1=$H$1,H285,IF($A$1=$K$1,K285,IF($A$1=$N$1,N285,IF($A$1=$Q$1,Q285,IF($A$1=$T$1,T285,IF($A$1=$W$1,W285,IF($A$1=$Z$1,Z285,IF($A$1=$AC$1,AC285,IF($A$1=$AF$1,AF285,IF($A$1=$AI$1,AI285))))))))))))</f>
        <v/>
      </c>
      <c r="AP285" s="44">
        <f>IF($A$1=$B$1,C285,IF($A$1=$E$1,F285,IF($A$1=$H$1,I285,IF($A$1=$K$1,L285,IF($A$1=$N$1,O285,IF($A$1=$Q$1,R285,IF($A$1=$T$1,U285,IF($A$1=$W$1,X285,IF($A$1=$Z$1,AA285,IF($A$1=$AC$1,AD285,IF($A$1=$AF$1,AG285,IF($A$1=$AI$1,AJ285))))))))))))</f>
        <v/>
      </c>
    </row>
    <row r="286" ht="15.5" customFormat="1" customHeight="1" s="1">
      <c r="A286" s="26" t="n"/>
      <c r="B286" s="7" t="n"/>
      <c r="C286" s="8" t="n"/>
      <c r="D286" s="8" t="n"/>
      <c r="E286" s="7" t="n"/>
      <c r="F286" s="8" t="n"/>
      <c r="G286" s="8" t="n"/>
      <c r="H286" s="7" t="n"/>
      <c r="I286" s="8" t="n"/>
      <c r="J286" s="8" t="n"/>
      <c r="K286" s="7" t="n"/>
      <c r="L286" s="8" t="n"/>
      <c r="M286" s="8" t="n"/>
      <c r="N286" s="7" t="n"/>
      <c r="O286" s="8" t="n"/>
      <c r="P286" s="8" t="n"/>
      <c r="Q286" s="7" t="n"/>
      <c r="R286" s="8" t="n"/>
      <c r="S286" s="8" t="n"/>
      <c r="T286" s="7" t="n"/>
      <c r="U286" s="8" t="n"/>
      <c r="V286" s="8" t="n"/>
      <c r="W286" s="7" t="n"/>
      <c r="X286" s="8" t="n"/>
      <c r="Y286" s="8" t="n"/>
      <c r="Z286" s="7" t="n"/>
      <c r="AA286" s="8" t="n"/>
      <c r="AB286" s="8" t="n"/>
      <c r="AC286" s="7" t="n"/>
      <c r="AD286" s="8" t="n"/>
      <c r="AE286" s="8" t="n"/>
      <c r="AF286" s="7" t="n"/>
      <c r="AG286" s="8" t="n"/>
      <c r="AH286" s="8" t="n"/>
      <c r="AI286" s="7" t="n"/>
      <c r="AJ286" s="8" t="n"/>
      <c r="AK286" s="8" t="n"/>
      <c r="AL286" s="15" t="n"/>
      <c r="AM286" s="16" t="n"/>
      <c r="AO286" s="44" t="n"/>
      <c r="AP286" s="44" t="n"/>
    </row>
    <row r="287" ht="15.5" customFormat="1" customHeight="1" s="1">
      <c r="A287" s="26" t="n"/>
      <c r="B287" s="7" t="n"/>
      <c r="C287" s="8" t="n"/>
      <c r="D287" s="8" t="n"/>
      <c r="E287" s="7" t="n"/>
      <c r="F287" s="8" t="n"/>
      <c r="G287" s="8" t="n"/>
      <c r="H287" s="7" t="n"/>
      <c r="I287" s="8" t="n"/>
      <c r="J287" s="8" t="n"/>
      <c r="K287" s="7" t="n"/>
      <c r="L287" s="8" t="n"/>
      <c r="M287" s="8" t="n"/>
      <c r="N287" s="7" t="n"/>
      <c r="O287" s="8" t="n"/>
      <c r="P287" s="8" t="n"/>
      <c r="Q287" s="7" t="n"/>
      <c r="R287" s="8" t="n"/>
      <c r="S287" s="8" t="n"/>
      <c r="T287" s="7" t="n"/>
      <c r="U287" s="8" t="n"/>
      <c r="V287" s="8" t="n"/>
      <c r="W287" s="7" t="n"/>
      <c r="X287" s="8" t="n"/>
      <c r="Y287" s="8" t="n"/>
      <c r="Z287" s="7" t="n"/>
      <c r="AA287" s="8" t="n"/>
      <c r="AB287" s="8" t="n"/>
      <c r="AC287" s="7" t="n"/>
      <c r="AD287" s="8" t="n"/>
      <c r="AE287" s="8" t="n"/>
      <c r="AF287" s="7" t="n"/>
      <c r="AG287" s="8" t="n"/>
      <c r="AH287" s="8" t="n"/>
      <c r="AI287" s="7" t="n"/>
      <c r="AJ287" s="8" t="n"/>
      <c r="AK287" s="8" t="n"/>
      <c r="AL287" s="15" t="n"/>
      <c r="AM287" s="16" t="n"/>
      <c r="AO287" s="44" t="n"/>
      <c r="AP287" s="44" t="n"/>
    </row>
    <row r="288" ht="15.5" customFormat="1" customHeight="1" s="44">
      <c r="A288" s="31" t="inlineStr">
        <is>
          <t>Operasyonel Nakit</t>
        </is>
      </c>
      <c r="B288" s="32">
        <f>'Bütçe Değişim eur'!$B$2</f>
        <v/>
      </c>
      <c r="C288" s="32">
        <f>'değişim aylık eur'!$B$2</f>
        <v/>
      </c>
      <c r="D288" s="18" t="n"/>
      <c r="E288" s="32">
        <f>'Bütçe Değişim eur'!$C$2</f>
        <v/>
      </c>
      <c r="F288" s="32">
        <f>'değişim aylık eur'!$C$2</f>
        <v/>
      </c>
      <c r="G288" s="18" t="n"/>
      <c r="H288" s="32">
        <f>'Bütçe Değişim eur'!$D$2</f>
        <v/>
      </c>
      <c r="I288" s="32">
        <f>'değişim aylık eur'!$D$2</f>
        <v/>
      </c>
      <c r="J288" s="18" t="n"/>
      <c r="K288" s="32">
        <f>'Bütçe Değişim eur'!$E$2</f>
        <v/>
      </c>
      <c r="L288" s="32">
        <f>'değişim aylık eur'!$E$2</f>
        <v/>
      </c>
      <c r="M288" s="18" t="n"/>
      <c r="N288" s="32">
        <f>'Bütçe Değişim eur'!$F$2</f>
        <v/>
      </c>
      <c r="O288" s="32">
        <f>'değişim aylık eur'!$F$2</f>
        <v/>
      </c>
      <c r="P288" s="18" t="n"/>
      <c r="Q288" s="32">
        <f>'Bütçe Değişim eur'!$G$2</f>
        <v/>
      </c>
      <c r="R288" s="32">
        <f>'değişim aylık eur'!$G$2</f>
        <v/>
      </c>
      <c r="S288" s="18" t="n"/>
      <c r="T288" s="32">
        <f>'Bütçe Değişim eur'!$H$2</f>
        <v/>
      </c>
      <c r="U288" s="32">
        <f>'değişim aylık eur'!$H$2</f>
        <v/>
      </c>
      <c r="V288" s="18" t="n"/>
      <c r="W288" s="32">
        <f>'Bütçe Değişim eur'!$I$2</f>
        <v/>
      </c>
      <c r="X288" s="32">
        <f>'değişim aylık eur'!$I$2</f>
        <v/>
      </c>
      <c r="Y288" s="18" t="n"/>
      <c r="Z288" s="32">
        <f>'Bütçe Değişim eur'!$J$2</f>
        <v/>
      </c>
      <c r="AA288" s="32">
        <f>'değişim aylık eur'!$J$2</f>
        <v/>
      </c>
      <c r="AB288" s="18" t="n"/>
      <c r="AC288" s="32">
        <f>'Bütçe Değişim eur'!$K$2</f>
        <v/>
      </c>
      <c r="AD288" s="32">
        <f>'değişim aylık eur'!$K$2</f>
        <v/>
      </c>
      <c r="AE288" s="18" t="n"/>
      <c r="AF288" s="32">
        <f>'Bütçe Değişim eur'!$L$2</f>
        <v/>
      </c>
      <c r="AG288" s="32">
        <f>'değişim aylık eur'!$L$2</f>
        <v/>
      </c>
      <c r="AH288" s="18" t="n"/>
      <c r="AI288" s="32">
        <f>'Bütçe Değişim eur'!$M$2</f>
        <v/>
      </c>
      <c r="AJ288" s="32">
        <f>'değişim aylık eur'!$M$2</f>
        <v/>
      </c>
      <c r="AK288" s="18" t="n"/>
      <c r="AL288" s="33">
        <f>AP288-AO288</f>
        <v/>
      </c>
      <c r="AM288" s="34">
        <f>AP288/AO288-1</f>
        <v/>
      </c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/>
      </c>
      <c r="AP288" s="44">
        <f>IF($A$1=$B$1,C288,IF($A$1=$E$1,F288,IF($A$1=$H$1,I288,IF($A$1=$K$1,L288,IF($A$1=$N$1,O288,IF($A$1=$Q$1,R288,IF($A$1=$T$1,U288,IF($A$1=$W$1,X288,IF($A$1=$Z$1,AA288,IF($A$1=$AC$1,AD288,IF($A$1=$AF$1,AG288,IF($A$1=$AI$1,AJ288))))))))))))</f>
        <v/>
      </c>
    </row>
    <row r="289" ht="15.5" customFormat="1" customHeight="1" s="13">
      <c r="A289" s="27" t="n"/>
      <c r="B289" s="30" t="n"/>
      <c r="C289" s="30" t="n"/>
      <c r="D289" s="41" t="n"/>
      <c r="E289" s="30" t="n"/>
      <c r="F289" s="30" t="n"/>
      <c r="G289" s="41" t="n"/>
      <c r="H289" s="30" t="n"/>
      <c r="I289" s="30" t="n"/>
      <c r="J289" s="41" t="n"/>
      <c r="K289" s="30" t="n"/>
      <c r="L289" s="30" t="n"/>
      <c r="M289" s="41" t="n"/>
      <c r="N289" s="30" t="n"/>
      <c r="O289" s="30" t="n"/>
      <c r="P289" s="41" t="n"/>
      <c r="Q289" s="30" t="n"/>
      <c r="R289" s="30" t="n"/>
      <c r="S289" s="41" t="n"/>
      <c r="T289" s="30" t="n"/>
      <c r="U289" s="30" t="n"/>
      <c r="V289" s="41" t="n"/>
      <c r="W289" s="30" t="n"/>
      <c r="X289" s="30" t="n"/>
      <c r="Y289" s="41" t="n"/>
      <c r="Z289" s="30" t="n"/>
      <c r="AA289" s="30" t="n"/>
      <c r="AB289" s="41" t="n"/>
      <c r="AC289" s="30" t="n"/>
      <c r="AD289" s="30" t="n"/>
      <c r="AE289" s="41" t="n"/>
      <c r="AF289" s="30" t="n"/>
      <c r="AG289" s="30" t="n"/>
      <c r="AH289" s="41" t="n"/>
      <c r="AI289" s="30" t="n"/>
      <c r="AJ289" s="30" t="n"/>
      <c r="AK289" s="41" t="n"/>
      <c r="AL289" s="15" t="n"/>
      <c r="AM289" s="22" t="n"/>
      <c r="AO289" s="44">
        <f>IF($A$1=$B$1,B289,IF($A$1=$E$1,E289,IF($A$1=$H$1,H289,IF($A$1=$K$1,K289,IF($A$1=$N$1,N289,IF($A$1=$Q$1,Q289,IF($A$1=$T$1,T289,IF($A$1=$W$1,W289,IF($A$1=$Z$1,Z289,IF($A$1=$AC$1,AC289,IF($A$1=$AF$1,AF289,IF($A$1=$AI$1,AI289))))))))))))</f>
        <v/>
      </c>
      <c r="AP289" s="44">
        <f>IF($A$1=$B$1,C289,IF($A$1=$E$1,F289,IF($A$1=$H$1,I289,IF($A$1=$K$1,L289,IF($A$1=$N$1,O289,IF($A$1=$Q$1,R289,IF($A$1=$T$1,U289,IF($A$1=$W$1,X289,IF($A$1=$Z$1,AA289,IF($A$1=$AC$1,AD289,IF($A$1=$AF$1,AG289,IF($A$1=$AI$1,AJ289))))))))))))</f>
        <v/>
      </c>
    </row>
    <row r="290" ht="17" customFormat="1" customHeight="1" s="49">
      <c r="A290" s="47" t="inlineStr">
        <is>
          <t>Operasyonel Nakit (100%)</t>
        </is>
      </c>
      <c r="B290" s="413" t="n"/>
      <c r="C290" s="413" t="n"/>
      <c r="D290" s="413" t="n"/>
      <c r="E290" s="413" t="n"/>
      <c r="F290" s="413" t="n"/>
      <c r="G290" s="413" t="n"/>
      <c r="H290" s="413" t="n"/>
      <c r="I290" s="413" t="n"/>
      <c r="J290" s="413" t="n"/>
      <c r="K290" s="413" t="n"/>
      <c r="L290" s="413" t="n"/>
      <c r="M290" s="413" t="n"/>
      <c r="N290" s="413" t="n"/>
      <c r="O290" s="413" t="n"/>
      <c r="P290" s="413" t="n"/>
      <c r="Q290" s="413" t="n"/>
      <c r="R290" s="413" t="n"/>
      <c r="S290" s="413" t="n"/>
      <c r="T290" s="413" t="n"/>
      <c r="U290" s="413" t="n"/>
      <c r="V290" s="413" t="n"/>
      <c r="W290" s="413" t="n"/>
      <c r="X290" s="413" t="n"/>
      <c r="Y290" s="413" t="n"/>
      <c r="Z290" s="413" t="n"/>
      <c r="AA290" s="413" t="n"/>
      <c r="AB290" s="413" t="n"/>
      <c r="AC290" s="413" t="n"/>
      <c r="AD290" s="413" t="n"/>
      <c r="AE290" s="413" t="n"/>
      <c r="AF290" s="413" t="n"/>
      <c r="AG290" s="413" t="n"/>
      <c r="AH290" s="413" t="n"/>
      <c r="AI290" s="413" t="n"/>
      <c r="AJ290" s="413" t="n"/>
      <c r="AK290" s="413" t="n"/>
      <c r="AL290" s="413" t="n"/>
      <c r="AM290" s="48" t="n"/>
    </row>
    <row r="291" ht="15.5" customHeight="1">
      <c r="A291" s="26" t="inlineStr">
        <is>
          <t xml:space="preserve">İnci Holding </t>
        </is>
      </c>
      <c r="B291" s="7">
        <f>'Bütçe Değişim eur'!$B$3</f>
        <v/>
      </c>
      <c r="C291" s="7">
        <f>'değişim aylık eur'!$B$3</f>
        <v/>
      </c>
      <c r="D291" s="7" t="n"/>
      <c r="E291" s="7">
        <f>'Bütçe Değişim eur'!$C$3</f>
        <v/>
      </c>
      <c r="F291" s="7">
        <f>'değişim aylık eur'!$C$3</f>
        <v/>
      </c>
      <c r="G291" s="7" t="n"/>
      <c r="H291" s="7">
        <f>'Bütçe Değişim eur'!$D$3</f>
        <v/>
      </c>
      <c r="I291" s="7">
        <f>'değişim aylık eur'!$D$3</f>
        <v/>
      </c>
      <c r="J291" s="7" t="n"/>
      <c r="K291" s="7">
        <f>'Bütçe Değişim eur'!$E$3</f>
        <v/>
      </c>
      <c r="L291" s="7">
        <f>'değişim aylık eur'!$E$3</f>
        <v/>
      </c>
      <c r="M291" s="7" t="n"/>
      <c r="N291" s="7">
        <f>'Bütçe Değişim eur'!$F$3</f>
        <v/>
      </c>
      <c r="O291" s="7">
        <f>'değişim aylık eur'!$F$3</f>
        <v/>
      </c>
      <c r="P291" s="7" t="n"/>
      <c r="Q291" s="7">
        <f>'Bütçe Değişim eur'!$G$3</f>
        <v/>
      </c>
      <c r="R291" s="7">
        <f>'değişim aylık eur'!$G$3</f>
        <v/>
      </c>
      <c r="S291" s="7" t="n"/>
      <c r="T291" s="7">
        <f>'Bütçe Değişim eur'!$H$3</f>
        <v/>
      </c>
      <c r="U291" s="7">
        <f>'değişim aylık eur'!$H$3</f>
        <v/>
      </c>
      <c r="V291" s="7" t="n"/>
      <c r="W291" s="7">
        <f>'Bütçe Değişim eur'!$I$3</f>
        <v/>
      </c>
      <c r="X291" s="7">
        <f>'değişim aylık eur'!$I$3</f>
        <v/>
      </c>
      <c r="Y291" s="7" t="n"/>
      <c r="Z291" s="7">
        <f>'Bütçe Değişim eur'!$J$3</f>
        <v/>
      </c>
      <c r="AA291" s="7">
        <f>'değişim aylık eur'!$J$3</f>
        <v/>
      </c>
      <c r="AB291" s="7" t="n"/>
      <c r="AC291" s="7">
        <f>'Bütçe Değişim eur'!$K$3</f>
        <v/>
      </c>
      <c r="AD291" s="7">
        <f>'değişim aylık eur'!$K$3</f>
        <v/>
      </c>
      <c r="AE291" s="7" t="n"/>
      <c r="AF291" s="7">
        <f>'Bütçe Değişim eur'!$L$3</f>
        <v/>
      </c>
      <c r="AG291" s="7">
        <f>'değişim aylık eur'!$L$3</f>
        <v/>
      </c>
      <c r="AH291" s="7" t="n"/>
      <c r="AI291" s="7">
        <f>'Bütçe Değişim eur'!$M$3</f>
        <v/>
      </c>
      <c r="AJ291" s="7">
        <f>'değişim aylık eur'!$M$3</f>
        <v/>
      </c>
      <c r="AK291" s="7" t="n"/>
      <c r="AL291" s="21">
        <f>AP291-AO291</f>
        <v/>
      </c>
      <c r="AM291" s="22">
        <f>AP291/AO291-1</f>
        <v/>
      </c>
      <c r="AO291" s="44">
        <f>IF($A$1=$B$1,B291,IF($A$1=$E$1,E291,IF($A$1=$H$1,H291,IF($A$1=$K$1,K291,IF($A$1=$N$1,N291,IF($A$1=$Q$1,Q291,IF($A$1=$T$1,T291,IF($A$1=$W$1,W291,IF($A$1=$Z$1,Z291,IF($A$1=$AC$1,AC291,IF($A$1=$AF$1,AF291,IF($A$1=$AI$1,AI291))))))))))))</f>
        <v/>
      </c>
      <c r="AP291" s="44">
        <f>IF($A$1=$B$1,C291,IF($A$1=$E$1,F291,IF($A$1=$H$1,I291,IF($A$1=$K$1,L291,IF($A$1=$N$1,O291,IF($A$1=$Q$1,R291,IF($A$1=$T$1,U291,IF($A$1=$W$1,X291,IF($A$1=$Z$1,AA291,IF($A$1=$AC$1,AD291,IF($A$1=$AF$1,AG291,IF($A$1=$AI$1,AJ291))))))))))))</f>
        <v/>
      </c>
    </row>
    <row r="292" ht="15.5" customHeight="1">
      <c r="A292" s="26" t="inlineStr">
        <is>
          <t xml:space="preserve">ISM </t>
        </is>
      </c>
      <c r="B292" s="7">
        <f>'Bütçe Değişim eur'!$B$4</f>
        <v/>
      </c>
      <c r="C292" s="7">
        <f>'değişim aylık eur'!$B$4</f>
        <v/>
      </c>
      <c r="D292" s="7" t="n"/>
      <c r="E292" s="7">
        <f>'Bütçe Değişim eur'!$C$4</f>
        <v/>
      </c>
      <c r="F292" s="7">
        <f>'değişim aylık eur'!$C$4</f>
        <v/>
      </c>
      <c r="G292" s="7" t="n"/>
      <c r="H292" s="7">
        <f>'Bütçe Değişim eur'!$D$4</f>
        <v/>
      </c>
      <c r="I292" s="7">
        <f>'değişim aylık eur'!$D$4</f>
        <v/>
      </c>
      <c r="J292" s="7" t="n"/>
      <c r="K292" s="7">
        <f>'Bütçe Değişim eur'!$E$4</f>
        <v/>
      </c>
      <c r="L292" s="7">
        <f>'değişim aylık eur'!$E$4</f>
        <v/>
      </c>
      <c r="M292" s="7" t="n"/>
      <c r="N292" s="7">
        <f>'Bütçe Değişim eur'!$F$4</f>
        <v/>
      </c>
      <c r="O292" s="7">
        <f>'değişim aylık eur'!$F$4</f>
        <v/>
      </c>
      <c r="P292" s="7" t="n"/>
      <c r="Q292" s="7">
        <f>'Bütçe Değişim eur'!$G$4</f>
        <v/>
      </c>
      <c r="R292" s="7">
        <f>'değişim aylık eur'!$G$4</f>
        <v/>
      </c>
      <c r="S292" s="7" t="n"/>
      <c r="T292" s="7">
        <f>'Bütçe Değişim eur'!$H$4</f>
        <v/>
      </c>
      <c r="U292" s="7">
        <f>'değişim aylık eur'!$H$4</f>
        <v/>
      </c>
      <c r="V292" s="7" t="n"/>
      <c r="W292" s="7">
        <f>'Bütçe Değişim eur'!$I$4</f>
        <v/>
      </c>
      <c r="X292" s="7">
        <f>'değişim aylık eur'!$I$4</f>
        <v/>
      </c>
      <c r="Y292" s="7" t="n"/>
      <c r="Z292" s="7">
        <f>'Bütçe Değişim eur'!$J$4</f>
        <v/>
      </c>
      <c r="AA292" s="7">
        <f>'değişim aylık eur'!$J$4</f>
        <v/>
      </c>
      <c r="AB292" s="7" t="n"/>
      <c r="AC292" s="7">
        <f>'Bütçe Değişim eur'!$K$4</f>
        <v/>
      </c>
      <c r="AD292" s="7">
        <f>'değişim aylık eur'!$K$4</f>
        <v/>
      </c>
      <c r="AE292" s="7" t="n"/>
      <c r="AF292" s="7">
        <f>'Bütçe Değişim eur'!$L$4</f>
        <v/>
      </c>
      <c r="AG292" s="7">
        <f>'değişim aylık eur'!$L$4</f>
        <v/>
      </c>
      <c r="AH292" s="7" t="n"/>
      <c r="AI292" s="7">
        <f>'Bütçe Değişim eur'!$M$4</f>
        <v/>
      </c>
      <c r="AJ292" s="7">
        <f>'değişim aylık eur'!$M$4</f>
        <v/>
      </c>
      <c r="AK292" s="7" t="n"/>
      <c r="AL292" s="21">
        <f>AP292-AO292</f>
        <v/>
      </c>
      <c r="AM292" s="22">
        <f>AP292/AO292-1</f>
        <v/>
      </c>
      <c r="AO292" s="44">
        <f>IF($A$1=$B$1,B292,IF($A$1=$E$1,E292,IF($A$1=$H$1,H292,IF($A$1=$K$1,K292,IF($A$1=$N$1,N292,IF($A$1=$Q$1,Q292,IF($A$1=$T$1,T292,IF($A$1=$W$1,W292,IF($A$1=$Z$1,Z292,IF($A$1=$AC$1,AC292,IF($A$1=$AF$1,AF292,IF($A$1=$AI$1,AI292))))))))))))</f>
        <v/>
      </c>
      <c r="AP292" s="44">
        <f>IF($A$1=$B$1,C292,IF($A$1=$E$1,F292,IF($A$1=$H$1,I292,IF($A$1=$K$1,L292,IF($A$1=$N$1,O292,IF($A$1=$Q$1,R292,IF($A$1=$T$1,U292,IF($A$1=$W$1,X292,IF($A$1=$Z$1,AA292,IF($A$1=$AC$1,AD292,IF($A$1=$AF$1,AG292,IF($A$1=$AI$1,AJ292))))))))))))</f>
        <v/>
      </c>
    </row>
    <row r="293" ht="15.5" customHeight="1">
      <c r="A293" s="26" t="inlineStr">
        <is>
          <t>İncitaş</t>
        </is>
      </c>
      <c r="B293" s="7">
        <f>'Bütçe Değişim eur'!$B$5</f>
        <v/>
      </c>
      <c r="C293" s="7">
        <f>'değişim aylık eur'!$B$5</f>
        <v/>
      </c>
      <c r="D293" s="7" t="n"/>
      <c r="E293" s="7">
        <f>'Bütçe Değişim eur'!$C$5</f>
        <v/>
      </c>
      <c r="F293" s="7">
        <f>'değişim aylık eur'!C5</f>
        <v/>
      </c>
      <c r="G293" s="7" t="n"/>
      <c r="H293" s="7">
        <f>'Bütçe Değişim eur'!$D$5</f>
        <v/>
      </c>
      <c r="I293" s="7">
        <f>'değişim aylık eur'!$D$5</f>
        <v/>
      </c>
      <c r="J293" s="7" t="n"/>
      <c r="K293" s="7">
        <f>'Bütçe Değişim eur'!$E$5</f>
        <v/>
      </c>
      <c r="L293" s="7">
        <f>'değişim aylık eur'!$E$5</f>
        <v/>
      </c>
      <c r="M293" s="7" t="n"/>
      <c r="N293" s="7">
        <f>'Bütçe Değişim eur'!$F$5</f>
        <v/>
      </c>
      <c r="O293" s="7">
        <f>'değişim aylık eur'!$F$5</f>
        <v/>
      </c>
      <c r="P293" s="7" t="n"/>
      <c r="Q293" s="7">
        <f>'Bütçe Değişim eur'!$G$5</f>
        <v/>
      </c>
      <c r="R293" s="7">
        <f>'değişim aylık eur'!$G$5</f>
        <v/>
      </c>
      <c r="S293" s="7" t="n"/>
      <c r="T293" s="7">
        <f>'Bütçe Değişim eur'!$H$5</f>
        <v/>
      </c>
      <c r="U293" s="7">
        <f>'değişim aylık eur'!$H$5</f>
        <v/>
      </c>
      <c r="V293" s="7" t="n"/>
      <c r="W293" s="7">
        <f>'Bütçe Değişim eur'!$I$5</f>
        <v/>
      </c>
      <c r="X293" s="7">
        <f>'değişim aylık eur'!$I$5</f>
        <v/>
      </c>
      <c r="Y293" s="7" t="n"/>
      <c r="Z293" s="7">
        <f>'Bütçe Değişim eur'!$J$5</f>
        <v/>
      </c>
      <c r="AA293" s="7">
        <f>'değişim aylık eur'!$J$5</f>
        <v/>
      </c>
      <c r="AB293" s="7" t="n"/>
      <c r="AC293" s="7">
        <f>'Bütçe Değişim eur'!$K$5</f>
        <v/>
      </c>
      <c r="AD293" s="7">
        <f>'değişim aylık eur'!$K$5</f>
        <v/>
      </c>
      <c r="AE293" s="7" t="n"/>
      <c r="AF293" s="7">
        <f>'Bütçe Değişim eur'!$L$5</f>
        <v/>
      </c>
      <c r="AG293" s="7">
        <f>'değişim aylık eur'!$L$5</f>
        <v/>
      </c>
      <c r="AH293" s="7" t="n"/>
      <c r="AI293" s="7">
        <f>'Bütçe Değişim eur'!$M$5</f>
        <v/>
      </c>
      <c r="AJ293" s="7">
        <f>'değişim aylık eur'!$M$5</f>
        <v/>
      </c>
      <c r="AK293" s="7" t="n"/>
      <c r="AL293" s="21">
        <f>AP293-AO293</f>
        <v/>
      </c>
      <c r="AM293" s="22">
        <f>AP293/AO293-1</f>
        <v/>
      </c>
      <c r="AO293" s="44">
        <f>IF($A$1=$B$1,B293,IF($A$1=$E$1,E293,IF($A$1=$H$1,H293,IF($A$1=$K$1,K293,IF($A$1=$N$1,N293,IF($A$1=$Q$1,Q293,IF($A$1=$T$1,T293,IF($A$1=$W$1,W293,IF($A$1=$Z$1,Z293,IF($A$1=$AC$1,AC293,IF($A$1=$AF$1,AF293,IF($A$1=$AI$1,AI293))))))))))))</f>
        <v/>
      </c>
      <c r="AP293" s="44">
        <f>IF($A$1=$B$1,C293,IF($A$1=$E$1,F293,IF($A$1=$H$1,I293,IF($A$1=$K$1,L293,IF($A$1=$N$1,O293,IF($A$1=$Q$1,R293,IF($A$1=$T$1,U293,IF($A$1=$W$1,X293,IF($A$1=$Z$1,AA293,IF($A$1=$AC$1,AD293,IF($A$1=$AF$1,AG293,IF($A$1=$AI$1,AJ293))))))))))))</f>
        <v/>
      </c>
    </row>
    <row r="294" ht="15.5" customHeight="1">
      <c r="A294" s="26" t="inlineStr">
        <is>
          <t>İnci GS Yuasa</t>
        </is>
      </c>
      <c r="B294" s="7">
        <f>'Bütçe Değişim eur'!$B$6</f>
        <v/>
      </c>
      <c r="C294" s="7">
        <f>'değişim aylık eur'!$B$6</f>
        <v/>
      </c>
      <c r="D294" s="7" t="n"/>
      <c r="E294" s="7">
        <f>'Bütçe Değişim eur'!$C$6</f>
        <v/>
      </c>
      <c r="F294" s="7">
        <f>'değişim aylık eur'!C6</f>
        <v/>
      </c>
      <c r="G294" s="7" t="n"/>
      <c r="H294" s="7">
        <f>'Bütçe Değişim eur'!$D$6</f>
        <v/>
      </c>
      <c r="I294" s="7">
        <f>'değişim aylık eur'!$D$6</f>
        <v/>
      </c>
      <c r="J294" s="7" t="n"/>
      <c r="K294" s="7">
        <f>'Bütçe Değişim eur'!$E$6</f>
        <v/>
      </c>
      <c r="L294" s="7">
        <f>'değişim aylık eur'!$E$6</f>
        <v/>
      </c>
      <c r="M294" s="7" t="n"/>
      <c r="N294" s="7">
        <f>'Bütçe Değişim eur'!$F$6</f>
        <v/>
      </c>
      <c r="O294" s="7">
        <f>'değişim aylık eur'!$F$6</f>
        <v/>
      </c>
      <c r="P294" s="7" t="n"/>
      <c r="Q294" s="7">
        <f>'Bütçe Değişim eur'!$G$6</f>
        <v/>
      </c>
      <c r="R294" s="7">
        <f>'değişim aylık eur'!$G$6</f>
        <v/>
      </c>
      <c r="S294" s="7" t="n"/>
      <c r="T294" s="7">
        <f>'Bütçe Değişim eur'!$H$6</f>
        <v/>
      </c>
      <c r="U294" s="7">
        <f>'değişim aylık eur'!$H$6</f>
        <v/>
      </c>
      <c r="V294" s="7" t="n"/>
      <c r="W294" s="7">
        <f>'Bütçe Değişim eur'!$I$6</f>
        <v/>
      </c>
      <c r="X294" s="7">
        <f>'değişim aylık eur'!$I$6</f>
        <v/>
      </c>
      <c r="Y294" s="7" t="n"/>
      <c r="Z294" s="7">
        <f>'Bütçe Değişim eur'!$J$6</f>
        <v/>
      </c>
      <c r="AA294" s="7">
        <f>'değişim aylık eur'!$J$6</f>
        <v/>
      </c>
      <c r="AB294" s="7" t="n"/>
      <c r="AC294" s="7">
        <f>'Bütçe Değişim eur'!$K$6</f>
        <v/>
      </c>
      <c r="AD294" s="7">
        <f>'değişim aylık eur'!$K$6</f>
        <v/>
      </c>
      <c r="AE294" s="7" t="n"/>
      <c r="AF294" s="7">
        <f>'Bütçe Değişim eur'!$L$6</f>
        <v/>
      </c>
      <c r="AG294" s="7">
        <f>'değişim aylık eur'!$L$6</f>
        <v/>
      </c>
      <c r="AH294" s="7" t="n"/>
      <c r="AI294" s="7">
        <f>'Bütçe Değişim eur'!$M$6</f>
        <v/>
      </c>
      <c r="AJ294" s="7">
        <f>'değişim aylık eur'!$M$6</f>
        <v/>
      </c>
      <c r="AK294" s="7" t="n"/>
      <c r="AL294" s="21">
        <f>AP294-AO294</f>
        <v/>
      </c>
      <c r="AM294" s="22">
        <f>AP294/AO294-1</f>
        <v/>
      </c>
      <c r="AO294" s="44">
        <f>IF($A$1=$B$1,B294,IF($A$1=$E$1,E294,IF($A$1=$H$1,H294,IF($A$1=$K$1,K294,IF($A$1=$N$1,N294,IF($A$1=$Q$1,Q294,IF($A$1=$T$1,T294,IF($A$1=$W$1,W294,IF($A$1=$Z$1,Z294,IF($A$1=$AC$1,AC294,IF($A$1=$AF$1,AF294,IF($A$1=$AI$1,AI294))))))))))))</f>
        <v/>
      </c>
      <c r="AP294" s="44">
        <f>IF($A$1=$B$1,C294,IF($A$1=$E$1,F294,IF($A$1=$H$1,I294,IF($A$1=$K$1,L294,IF($A$1=$N$1,O294,IF($A$1=$Q$1,R294,IF($A$1=$T$1,U294,IF($A$1=$W$1,X294,IF($A$1=$Z$1,AA294,IF($A$1=$AC$1,AD294,IF($A$1=$AF$1,AG294,IF($A$1=$AI$1,AJ294))))))))))))</f>
        <v/>
      </c>
    </row>
    <row r="295" ht="15.5" customFormat="1" customHeight="1" s="1">
      <c r="A295" s="26" t="inlineStr">
        <is>
          <t>Yusen İnci Loj.</t>
        </is>
      </c>
      <c r="B295" s="7">
        <f>'Bütçe Değişim eur'!$B$7</f>
        <v/>
      </c>
      <c r="C295" s="7">
        <f>'değişim aylık eur'!$B$7</f>
        <v/>
      </c>
      <c r="D295" s="8" t="n"/>
      <c r="E295" s="7">
        <f>'Bütçe Değişim eur'!$C$7</f>
        <v/>
      </c>
      <c r="F295" s="7">
        <f>'değişim aylık eur'!C7</f>
        <v/>
      </c>
      <c r="G295" s="8" t="n"/>
      <c r="H295" s="7">
        <f>'Bütçe Değişim eur'!$D$7</f>
        <v/>
      </c>
      <c r="I295" s="7">
        <f>'değişim aylık eur'!$D$7</f>
        <v/>
      </c>
      <c r="J295" s="8" t="n"/>
      <c r="K295" s="7">
        <f>'Bütçe Değişim eur'!$E$7</f>
        <v/>
      </c>
      <c r="L295" s="7">
        <f>'değişim aylık eur'!$E$7</f>
        <v/>
      </c>
      <c r="M295" s="8" t="n"/>
      <c r="N295" s="7">
        <f>'Bütçe Değişim eur'!$F$7</f>
        <v/>
      </c>
      <c r="O295" s="7">
        <f>'değişim aylık eur'!$F$7</f>
        <v/>
      </c>
      <c r="P295" s="8" t="n"/>
      <c r="Q295" s="7">
        <f>'Bütçe Değişim eur'!$G$7</f>
        <v/>
      </c>
      <c r="R295" s="7">
        <f>'değişim aylık eur'!$G$7</f>
        <v/>
      </c>
      <c r="S295" s="8" t="n"/>
      <c r="T295" s="7">
        <f>'Bütçe Değişim eur'!$H$7</f>
        <v/>
      </c>
      <c r="U295" s="7">
        <f>'değişim aylık eur'!$H$7</f>
        <v/>
      </c>
      <c r="V295" s="8" t="n"/>
      <c r="W295" s="7">
        <f>'Bütçe Değişim eur'!$I$7</f>
        <v/>
      </c>
      <c r="X295" s="7">
        <f>'değişim aylık eur'!$I$7</f>
        <v/>
      </c>
      <c r="Y295" s="8" t="n"/>
      <c r="Z295" s="7">
        <f>'Bütçe Değişim eur'!$J$7</f>
        <v/>
      </c>
      <c r="AA295" s="7">
        <f>'değişim aylık eur'!$J$7</f>
        <v/>
      </c>
      <c r="AB295" s="8" t="n"/>
      <c r="AC295" s="7">
        <f>'Bütçe Değişim eur'!$K$7</f>
        <v/>
      </c>
      <c r="AD295" s="7">
        <f>'değişim aylık eur'!$K$7</f>
        <v/>
      </c>
      <c r="AE295" s="8" t="n"/>
      <c r="AF295" s="7">
        <f>'Bütçe Değişim eur'!$L$7</f>
        <v/>
      </c>
      <c r="AG295" s="7">
        <f>'değişim aylık eur'!$L$7</f>
        <v/>
      </c>
      <c r="AH295" s="8" t="n"/>
      <c r="AI295" s="7">
        <f>'Bütçe Değişim eur'!$M$7</f>
        <v/>
      </c>
      <c r="AJ295" s="7">
        <f>'değişim aylık eur'!$M$7</f>
        <v/>
      </c>
      <c r="AK295" s="8" t="n"/>
      <c r="AL295" s="21">
        <f>AP295-AO295</f>
        <v/>
      </c>
      <c r="AM295" s="22">
        <f>AP295/AO295-1</f>
        <v/>
      </c>
      <c r="AO295" s="44">
        <f>IF($A$1=$B$1,B295,IF($A$1=$E$1,E295,IF($A$1=$H$1,H295,IF($A$1=$K$1,K295,IF($A$1=$N$1,N295,IF($A$1=$Q$1,Q295,IF($A$1=$T$1,T295,IF($A$1=$W$1,W295,IF($A$1=$Z$1,Z295,IF($A$1=$AC$1,AC295,IF($A$1=$AF$1,AF295,IF($A$1=$AI$1,AI295))))))))))))</f>
        <v/>
      </c>
      <c r="AP295" s="44">
        <f>IF($A$1=$B$1,C295,IF($A$1=$E$1,F295,IF($A$1=$H$1,I295,IF($A$1=$K$1,L295,IF($A$1=$N$1,O295,IF($A$1=$Q$1,R295,IF($A$1=$T$1,U295,IF($A$1=$W$1,X295,IF($A$1=$Z$1,AA295,IF($A$1=$AC$1,AD295,IF($A$1=$AF$1,AG295,IF($A$1=$AI$1,AJ295))))))))))))</f>
        <v/>
      </c>
    </row>
    <row r="296" ht="15.5" customHeight="1">
      <c r="A296" s="26" t="inlineStr">
        <is>
          <t>Jantaş</t>
        </is>
      </c>
      <c r="B296" s="7">
        <f>'Bütçe Değişim eur'!$B$8</f>
        <v/>
      </c>
      <c r="C296" s="7">
        <f>'değişim aylık eur'!$B$8</f>
        <v/>
      </c>
      <c r="D296" s="7" t="n"/>
      <c r="E296" s="7">
        <f>'Bütçe Değişim eur'!$C$8</f>
        <v/>
      </c>
      <c r="F296" s="7">
        <f>'değişim aylık eur'!$C$8</f>
        <v/>
      </c>
      <c r="G296" s="7" t="n"/>
      <c r="H296" s="7">
        <f>'Bütçe Değişim eur'!$D$8</f>
        <v/>
      </c>
      <c r="I296" s="7">
        <f>'değişim aylık eur'!$D$8</f>
        <v/>
      </c>
      <c r="J296" s="7" t="n"/>
      <c r="K296" s="7">
        <f>'Bütçe Değişim eur'!$E$8</f>
        <v/>
      </c>
      <c r="L296" s="7">
        <f>'değişim aylık eur'!$E$8</f>
        <v/>
      </c>
      <c r="M296" s="7" t="n"/>
      <c r="N296" s="7">
        <f>'Bütçe Değişim eur'!$F$8</f>
        <v/>
      </c>
      <c r="O296" s="7">
        <f>'değişim aylık eur'!$F$8</f>
        <v/>
      </c>
      <c r="P296" s="7" t="n"/>
      <c r="Q296" s="7">
        <f>'Bütçe Değişim eur'!$G$8</f>
        <v/>
      </c>
      <c r="R296" s="7">
        <f>'değişim aylık eur'!$G$8</f>
        <v/>
      </c>
      <c r="S296" s="7" t="n"/>
      <c r="T296" s="7">
        <f>'Bütçe Değişim eur'!$H$8</f>
        <v/>
      </c>
      <c r="U296" s="7">
        <f>'değişim aylık eur'!$H$8</f>
        <v/>
      </c>
      <c r="V296" s="7" t="n"/>
      <c r="W296" s="7">
        <f>'Bütçe Değişim eur'!$I$8</f>
        <v/>
      </c>
      <c r="X296" s="7">
        <f>'değişim aylık eur'!$I$8</f>
        <v/>
      </c>
      <c r="Y296" s="7" t="n"/>
      <c r="Z296" s="7">
        <f>'Bütçe Değişim eur'!$J$8</f>
        <v/>
      </c>
      <c r="AA296" s="7">
        <f>'değişim aylık eur'!$J$8</f>
        <v/>
      </c>
      <c r="AB296" s="7" t="n"/>
      <c r="AC296" s="7">
        <f>'Bütçe Değişim eur'!$K$8</f>
        <v/>
      </c>
      <c r="AD296" s="7">
        <f>'değişim aylık eur'!$K$8</f>
        <v/>
      </c>
      <c r="AE296" s="7" t="n"/>
      <c r="AF296" s="7">
        <f>'Bütçe Değişim eur'!$L$8</f>
        <v/>
      </c>
      <c r="AG296" s="7">
        <f>'değişim aylık eur'!$L$8</f>
        <v/>
      </c>
      <c r="AH296" s="7" t="n"/>
      <c r="AI296" s="7">
        <f>'Bütçe Değişim eur'!$M$8</f>
        <v/>
      </c>
      <c r="AJ296" s="7">
        <f>'değişim aylık eur'!$M$8</f>
        <v/>
      </c>
      <c r="AK296" s="7" t="n"/>
      <c r="AL296" s="21">
        <f>AP296-AO296</f>
        <v/>
      </c>
      <c r="AM296" s="22">
        <f>AP296/AO296-1</f>
        <v/>
      </c>
      <c r="AO296" s="44">
        <f>IF($A$1=$B$1,B296,IF($A$1=$E$1,E296,IF($A$1=$H$1,H296,IF($A$1=$K$1,K296,IF($A$1=$N$1,N296,IF($A$1=$Q$1,Q296,IF($A$1=$T$1,T296,IF($A$1=$W$1,W296,IF($A$1=$Z$1,Z296,IF($A$1=$AC$1,AC296,IF($A$1=$AF$1,AF296,IF($A$1=$AI$1,AI296))))))))))))</f>
        <v/>
      </c>
      <c r="AP296" s="44">
        <f>IF($A$1=$B$1,C296,IF($A$1=$E$1,F296,IF($A$1=$H$1,I296,IF($A$1=$K$1,L296,IF($A$1=$N$1,O296,IF($A$1=$Q$1,R296,IF($A$1=$T$1,U296,IF($A$1=$W$1,X296,IF($A$1=$Z$1,AA296,IF($A$1=$AC$1,AD296,IF($A$1=$AF$1,AG296,IF($A$1=$AI$1,AJ296))))))))))))</f>
        <v/>
      </c>
    </row>
    <row r="297" ht="15.5" customFormat="1" customHeight="1" s="1">
      <c r="A297" s="26" t="inlineStr">
        <is>
          <t>Çelik</t>
        </is>
      </c>
      <c r="B297" s="7">
        <f>'Bütçe Değişim eur'!$B$9</f>
        <v/>
      </c>
      <c r="C297" s="7">
        <f>'değişim aylık eur'!$B$9</f>
        <v/>
      </c>
      <c r="D297" s="8" t="n"/>
      <c r="E297" s="7">
        <f>'Bütçe Değişim eur'!$C$9</f>
        <v/>
      </c>
      <c r="F297" s="7">
        <f>'değişim aylık eur'!$C$9</f>
        <v/>
      </c>
      <c r="G297" s="8" t="n"/>
      <c r="H297" s="7">
        <f>'Bütçe Değişim eur'!$D$9</f>
        <v/>
      </c>
      <c r="I297" s="7">
        <f>'değişim aylık eur'!$D$9</f>
        <v/>
      </c>
      <c r="J297" s="8" t="n"/>
      <c r="K297" s="7">
        <f>'Bütçe Değişim eur'!$E$9</f>
        <v/>
      </c>
      <c r="L297" s="7">
        <f>'değişim aylık eur'!$E$9</f>
        <v/>
      </c>
      <c r="M297" s="8" t="n"/>
      <c r="N297" s="7">
        <f>'Bütçe Değişim eur'!$F$9</f>
        <v/>
      </c>
      <c r="O297" s="7">
        <f>'değişim aylık eur'!$F$9</f>
        <v/>
      </c>
      <c r="P297" s="8" t="n"/>
      <c r="Q297" s="7">
        <f>'Bütçe Değişim eur'!$G$9</f>
        <v/>
      </c>
      <c r="R297" s="7">
        <f>'değişim aylık eur'!$G$9</f>
        <v/>
      </c>
      <c r="S297" s="8" t="n"/>
      <c r="T297" s="7">
        <f>'Bütçe Değişim eur'!$H$9</f>
        <v/>
      </c>
      <c r="U297" s="7">
        <f>'değişim aylık eur'!$H$9</f>
        <v/>
      </c>
      <c r="V297" s="8" t="n"/>
      <c r="W297" s="7">
        <f>'Bütçe Değişim eur'!$I$9</f>
        <v/>
      </c>
      <c r="X297" s="7">
        <f>'değişim aylık eur'!$I$9</f>
        <v/>
      </c>
      <c r="Y297" s="8" t="n"/>
      <c r="Z297" s="7">
        <f>'Bütçe Değişim eur'!$J$9</f>
        <v/>
      </c>
      <c r="AA297" s="7">
        <f>'değişim aylık eur'!$J$9</f>
        <v/>
      </c>
      <c r="AB297" s="8" t="n"/>
      <c r="AC297" s="7">
        <f>'Bütçe Değişim eur'!$K$9</f>
        <v/>
      </c>
      <c r="AD297" s="7">
        <f>'değişim aylık eur'!$K$9</f>
        <v/>
      </c>
      <c r="AE297" s="8" t="n"/>
      <c r="AF297" s="7">
        <f>'Bütçe Değişim eur'!$L$9</f>
        <v/>
      </c>
      <c r="AG297" s="7">
        <f>'değişim aylık eur'!$L$9</f>
        <v/>
      </c>
      <c r="AH297" s="8" t="n"/>
      <c r="AI297" s="7">
        <f>'Bütçe Değişim eur'!$M$9</f>
        <v/>
      </c>
      <c r="AJ297" s="7">
        <f>'değişim aylık eur'!$M$9</f>
        <v/>
      </c>
      <c r="AK297" s="8" t="n"/>
      <c r="AL297" s="21">
        <f>AP297-AO297</f>
        <v/>
      </c>
      <c r="AM297" s="22">
        <f>AP297/AO297-1</f>
        <v/>
      </c>
      <c r="AO297" s="44">
        <f>IF($A$1=$B$1,B297,IF($A$1=$E$1,E297,IF($A$1=$H$1,H297,IF($A$1=$K$1,K297,IF($A$1=$N$1,N297,IF($A$1=$Q$1,Q297,IF($A$1=$T$1,T297,IF($A$1=$W$1,W297,IF($A$1=$Z$1,Z297,IF($A$1=$AC$1,AC297,IF($A$1=$AF$1,AF297,IF($A$1=$AI$1,AI297))))))))))))</f>
        <v/>
      </c>
      <c r="AP297" s="44">
        <f>IF($A$1=$B$1,C297,IF($A$1=$E$1,F297,IF($A$1=$H$1,I297,IF($A$1=$K$1,L297,IF($A$1=$N$1,O297,IF($A$1=$Q$1,R297,IF($A$1=$T$1,U297,IF($A$1=$W$1,X297,IF($A$1=$Z$1,AA297,IF($A$1=$AC$1,AD297,IF($A$1=$AF$1,AG297,IF($A$1=$AI$1,AJ297))))))))))))</f>
        <v/>
      </c>
    </row>
    <row r="298" ht="15.5" customFormat="1" customHeight="1" s="1">
      <c r="A298" s="26" t="inlineStr">
        <is>
          <t>Alüminyum</t>
        </is>
      </c>
      <c r="B298" s="7">
        <f>'Bütçe Değişim eur'!$B$10</f>
        <v/>
      </c>
      <c r="C298" s="7">
        <f>'değişim aylık eur'!$B$10</f>
        <v/>
      </c>
      <c r="D298" s="8" t="n"/>
      <c r="E298" s="7">
        <f>'Bütçe Değişim eur'!$C$10</f>
        <v/>
      </c>
      <c r="F298" s="7">
        <f>'değişim aylık eur'!$C$10</f>
        <v/>
      </c>
      <c r="G298" s="8" t="n"/>
      <c r="H298" s="7">
        <f>'Bütçe Değişim eur'!$D$10</f>
        <v/>
      </c>
      <c r="I298" s="7">
        <f>'değişim aylık eur'!$D$10</f>
        <v/>
      </c>
      <c r="J298" s="8" t="n"/>
      <c r="K298" s="7">
        <f>'Bütçe Değişim eur'!$E$10</f>
        <v/>
      </c>
      <c r="L298" s="7">
        <f>'değişim aylık eur'!$E$10</f>
        <v/>
      </c>
      <c r="M298" s="8" t="n"/>
      <c r="N298" s="7">
        <f>'Bütçe Değişim eur'!$F$10</f>
        <v/>
      </c>
      <c r="O298" s="7">
        <f>'değişim aylık eur'!$F$10</f>
        <v/>
      </c>
      <c r="P298" s="8" t="n"/>
      <c r="Q298" s="7">
        <f>'Bütçe Değişim eur'!$G$10</f>
        <v/>
      </c>
      <c r="R298" s="7">
        <f>'değişim aylık eur'!$G$10</f>
        <v/>
      </c>
      <c r="S298" s="8" t="n"/>
      <c r="T298" s="7">
        <f>'Bütçe Değişim eur'!$H$10</f>
        <v/>
      </c>
      <c r="U298" s="7">
        <f>'değişim aylık eur'!$H$10</f>
        <v/>
      </c>
      <c r="V298" s="8" t="n"/>
      <c r="W298" s="7">
        <f>'Bütçe Değişim eur'!$I$10</f>
        <v/>
      </c>
      <c r="X298" s="7">
        <f>'değişim aylık eur'!$I$10</f>
        <v/>
      </c>
      <c r="Y298" s="8" t="n"/>
      <c r="Z298" s="7">
        <f>'Bütçe Değişim eur'!$J$10</f>
        <v/>
      </c>
      <c r="AA298" s="7">
        <f>'değişim aylık eur'!$J$10</f>
        <v/>
      </c>
      <c r="AB298" s="8" t="n"/>
      <c r="AC298" s="7">
        <f>'Bütçe Değişim eur'!$K$10</f>
        <v/>
      </c>
      <c r="AD298" s="7">
        <f>'değişim aylık eur'!$K$10</f>
        <v/>
      </c>
      <c r="AE298" s="8" t="n"/>
      <c r="AF298" s="7">
        <f>'Bütçe Değişim eur'!$L$10</f>
        <v/>
      </c>
      <c r="AG298" s="7">
        <f>'değişim aylık eur'!$L$10</f>
        <v/>
      </c>
      <c r="AH298" s="8" t="n"/>
      <c r="AI298" s="7">
        <f>'Bütçe Değişim eur'!$M$10</f>
        <v/>
      </c>
      <c r="AJ298" s="7">
        <f>'değişim aylık eur'!$M$10</f>
        <v/>
      </c>
      <c r="AK298" s="8" t="n"/>
      <c r="AL298" s="21">
        <f>AP298-AO298</f>
        <v/>
      </c>
      <c r="AM298" s="22">
        <f>AP298/AO298-1</f>
        <v/>
      </c>
      <c r="AO298" s="44">
        <f>IF($A$1=$B$1,B298,IF($A$1=$E$1,E298,IF($A$1=$H$1,H298,IF($A$1=$K$1,K298,IF($A$1=$N$1,N298,IF($A$1=$Q$1,Q298,IF($A$1=$T$1,T298,IF($A$1=$W$1,W298,IF($A$1=$Z$1,Z298,IF($A$1=$AC$1,AC298,IF($A$1=$AF$1,AF298,IF($A$1=$AI$1,AI298))))))))))))</f>
        <v/>
      </c>
      <c r="AP298" s="44">
        <f>IF($A$1=$B$1,C298,IF($A$1=$E$1,F298,IF($A$1=$H$1,I298,IF($A$1=$K$1,L298,IF($A$1=$N$1,O298,IF($A$1=$Q$1,R298,IF($A$1=$T$1,U298,IF($A$1=$W$1,X298,IF($A$1=$Z$1,AA298,IF($A$1=$AC$1,AD298,IF($A$1=$AF$1,AG298,IF($A$1=$AI$1,AJ298))))))))))))</f>
        <v/>
      </c>
    </row>
    <row r="299" ht="15.5" customFormat="1" customHeight="1" s="1">
      <c r="A299" s="26" t="n"/>
      <c r="B299" s="7" t="n"/>
      <c r="C299" s="8" t="n"/>
      <c r="D299" s="8" t="n"/>
      <c r="E299" s="7" t="n"/>
      <c r="F299" s="8" t="n"/>
      <c r="G299" s="8" t="n"/>
      <c r="H299" s="7" t="n"/>
      <c r="I299" s="8" t="n"/>
      <c r="J299" s="8" t="n"/>
      <c r="K299" s="7" t="n"/>
      <c r="L299" s="8" t="n"/>
      <c r="M299" s="8" t="n"/>
      <c r="N299" s="7" t="n"/>
      <c r="O299" s="8" t="n"/>
      <c r="P299" s="8" t="n"/>
      <c r="Q299" s="7" t="n"/>
      <c r="R299" s="8" t="n"/>
      <c r="S299" s="8" t="n"/>
      <c r="T299" s="7" t="n"/>
      <c r="U299" s="8" t="n"/>
      <c r="V299" s="8" t="n"/>
      <c r="W299" s="7" t="n"/>
      <c r="X299" s="8" t="n"/>
      <c r="Y299" s="8" t="n"/>
      <c r="Z299" s="7" t="n"/>
      <c r="AA299" s="8" t="n"/>
      <c r="AB299" s="8" t="n"/>
      <c r="AC299" s="7" t="n"/>
      <c r="AD299" s="8" t="n"/>
      <c r="AE299" s="8" t="n"/>
      <c r="AF299" s="7" t="n"/>
      <c r="AG299" s="8" t="n"/>
      <c r="AH299" s="8" t="n"/>
      <c r="AI299" s="7" t="n"/>
      <c r="AJ299" s="8" t="n"/>
      <c r="AK299" s="8" t="n"/>
      <c r="AL299" s="15" t="n"/>
      <c r="AM299" s="16" t="n"/>
      <c r="AO299" s="44" t="n"/>
      <c r="AP299" s="44" t="n"/>
    </row>
    <row r="300" ht="15.5" customFormat="1" customHeight="1" s="1">
      <c r="A300" s="26" t="n"/>
      <c r="B300" s="7" t="n"/>
      <c r="C300" s="8" t="n"/>
      <c r="D300" s="8" t="n"/>
      <c r="E300" s="7" t="n"/>
      <c r="F300" s="8" t="n"/>
      <c r="G300" s="8" t="n"/>
      <c r="H300" s="7" t="n"/>
      <c r="I300" s="8" t="n"/>
      <c r="J300" s="8" t="n"/>
      <c r="K300" s="7" t="n"/>
      <c r="L300" s="8" t="n"/>
      <c r="M300" s="8" t="n"/>
      <c r="N300" s="7" t="n"/>
      <c r="O300" s="8" t="n"/>
      <c r="P300" s="8" t="n"/>
      <c r="Q300" s="7" t="n"/>
      <c r="R300" s="8" t="n"/>
      <c r="S300" s="8" t="n"/>
      <c r="T300" s="7" t="n"/>
      <c r="U300" s="8" t="n"/>
      <c r="V300" s="8" t="n"/>
      <c r="W300" s="7" t="n"/>
      <c r="X300" s="8" t="n"/>
      <c r="Y300" s="8" t="n"/>
      <c r="Z300" s="7" t="n"/>
      <c r="AA300" s="8" t="n"/>
      <c r="AB300" s="8" t="n"/>
      <c r="AC300" s="7" t="n"/>
      <c r="AD300" s="8" t="n"/>
      <c r="AE300" s="8" t="n"/>
      <c r="AF300" s="7" t="n"/>
      <c r="AG300" s="8" t="n"/>
      <c r="AH300" s="8" t="n"/>
      <c r="AI300" s="7" t="n"/>
      <c r="AJ300" s="8" t="n"/>
      <c r="AK300" s="8" t="n"/>
      <c r="AL300" s="15" t="n"/>
      <c r="AM300" s="16" t="n"/>
      <c r="AO300" s="44" t="n"/>
      <c r="AP300" s="44" t="n"/>
    </row>
    <row r="301" ht="15.5" customFormat="1" customHeight="1" s="44">
      <c r="A301" s="31" t="inlineStr">
        <is>
          <t>Serbest Nakit</t>
        </is>
      </c>
      <c r="B301" s="32">
        <f>'Bütçe Değişim eur'!$B$11</f>
        <v/>
      </c>
      <c r="C301" s="32">
        <f>'değişim aylık eur'!$B$11</f>
        <v/>
      </c>
      <c r="D301" s="18" t="n"/>
      <c r="E301" s="32">
        <f>'Bütçe Değişim eur'!$C$11</f>
        <v/>
      </c>
      <c r="F301" s="32">
        <f>'değişim aylık eur'!$C$11</f>
        <v/>
      </c>
      <c r="G301" s="18" t="n"/>
      <c r="H301" s="32">
        <f>'Bütçe Değişim eur'!$D$11</f>
        <v/>
      </c>
      <c r="I301" s="32">
        <f>'değişim aylık eur'!$D$11</f>
        <v/>
      </c>
      <c r="J301" s="18" t="n"/>
      <c r="K301" s="32">
        <f>'Bütçe Değişim eur'!$E$11</f>
        <v/>
      </c>
      <c r="L301" s="32">
        <f>'değişim aylık eur'!$E$11</f>
        <v/>
      </c>
      <c r="M301" s="18" t="n"/>
      <c r="N301" s="32">
        <f>'Bütçe Değişim eur'!$F$11</f>
        <v/>
      </c>
      <c r="O301" s="32">
        <f>'değişim aylık eur'!$F$11</f>
        <v/>
      </c>
      <c r="P301" s="18" t="n"/>
      <c r="Q301" s="32">
        <f>'Bütçe Değişim eur'!$G$11</f>
        <v/>
      </c>
      <c r="R301" s="32">
        <f>'değişim aylık eur'!$G$11</f>
        <v/>
      </c>
      <c r="S301" s="18" t="n"/>
      <c r="T301" s="32">
        <f>'Bütçe Değişim eur'!$H$11</f>
        <v/>
      </c>
      <c r="U301" s="32">
        <f>'değişim aylık eur'!$H$11</f>
        <v/>
      </c>
      <c r="V301" s="18" t="n"/>
      <c r="W301" s="32">
        <f>'Bütçe Değişim eur'!$I$11</f>
        <v/>
      </c>
      <c r="X301" s="32">
        <f>'değişim aylık eur'!$I$11</f>
        <v/>
      </c>
      <c r="Y301" s="18" t="n"/>
      <c r="Z301" s="32">
        <f>'Bütçe Değişim eur'!$J$11</f>
        <v/>
      </c>
      <c r="AA301" s="32">
        <f>'değişim aylık eur'!$J$11</f>
        <v/>
      </c>
      <c r="AB301" s="18" t="n"/>
      <c r="AC301" s="32">
        <f>'Bütçe Değişim eur'!$K$11</f>
        <v/>
      </c>
      <c r="AD301" s="32">
        <f>'değişim aylık eur'!$K$11</f>
        <v/>
      </c>
      <c r="AE301" s="18" t="n"/>
      <c r="AF301" s="32">
        <f>'Bütçe Değişim eur'!$L$11</f>
        <v/>
      </c>
      <c r="AG301" s="32">
        <f>'değişim aylık eur'!$L$11</f>
        <v/>
      </c>
      <c r="AH301" s="18" t="n"/>
      <c r="AI301" s="32">
        <f>'Bütçe Değişim eur'!$M$11</f>
        <v/>
      </c>
      <c r="AJ301" s="32">
        <f>'değişim aylık eur'!$M$11</f>
        <v/>
      </c>
      <c r="AK301" s="18" t="n"/>
      <c r="AL301" s="33">
        <f>AP301-AO301</f>
        <v/>
      </c>
      <c r="AM301" s="34">
        <f>AP301/AO301-1</f>
        <v/>
      </c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/>
      </c>
      <c r="AP301" s="44">
        <f>IF($A$1=$B$1,C301,IF($A$1=$E$1,F301,IF($A$1=$H$1,I301,IF($A$1=$K$1,L301,IF($A$1=$N$1,O301,IF($A$1=$Q$1,R301,IF($A$1=$T$1,U301,IF($A$1=$W$1,X301,IF($A$1=$Z$1,AA301,IF($A$1=$AC$1,AD301,IF($A$1=$AF$1,AG301,IF($A$1=$AI$1,AJ301))))))))))))</f>
        <v/>
      </c>
    </row>
    <row r="302" ht="15.5" customFormat="1" customHeight="1" s="13">
      <c r="A302" s="27" t="n"/>
      <c r="B302" s="30" t="n"/>
      <c r="C302" s="30" t="n"/>
      <c r="D302" s="41" t="n"/>
      <c r="E302" s="30" t="n"/>
      <c r="F302" s="30" t="n"/>
      <c r="G302" s="41" t="n"/>
      <c r="H302" s="30" t="n"/>
      <c r="I302" s="30" t="n"/>
      <c r="J302" s="41" t="n"/>
      <c r="K302" s="30" t="n"/>
      <c r="L302" s="30" t="n"/>
      <c r="M302" s="41" t="n"/>
      <c r="N302" s="30" t="n"/>
      <c r="O302" s="30" t="n"/>
      <c r="P302" s="41" t="n"/>
      <c r="Q302" s="30" t="n"/>
      <c r="R302" s="30" t="n"/>
      <c r="S302" s="41" t="n"/>
      <c r="T302" s="30" t="n"/>
      <c r="U302" s="30" t="n"/>
      <c r="V302" s="41" t="n"/>
      <c r="W302" s="30" t="n"/>
      <c r="X302" s="30" t="n"/>
      <c r="Y302" s="41" t="n"/>
      <c r="Z302" s="30" t="n"/>
      <c r="AA302" s="30" t="n"/>
      <c r="AB302" s="41" t="n"/>
      <c r="AC302" s="30" t="n"/>
      <c r="AD302" s="30" t="n"/>
      <c r="AE302" s="41" t="n"/>
      <c r="AF302" s="30" t="n"/>
      <c r="AG302" s="30" t="n"/>
      <c r="AH302" s="41" t="n"/>
      <c r="AI302" s="30" t="n"/>
      <c r="AJ302" s="30" t="n"/>
      <c r="AK302" s="41" t="n"/>
      <c r="AL302" s="15" t="n"/>
      <c r="AM302" s="22" t="n"/>
      <c r="AO302" s="44">
        <f>IF($A$1=$B$1,B302,IF($A$1=$E$1,E302,IF($A$1=$H$1,H302,IF($A$1=$K$1,K302,IF($A$1=$N$1,N302,IF($A$1=$Q$1,Q302,IF($A$1=$T$1,T302,IF($A$1=$W$1,W302,IF($A$1=$Z$1,Z302,IF($A$1=$AC$1,AC302,IF($A$1=$AF$1,AF302,IF($A$1=$AI$1,AI302))))))))))))</f>
        <v/>
      </c>
      <c r="AP302" s="44">
        <f>IF($A$1=$B$1,C302,IF($A$1=$E$1,F302,IF($A$1=$H$1,I302,IF($A$1=$K$1,L302,IF($A$1=$N$1,O302,IF($A$1=$Q$1,R302,IF($A$1=$T$1,U302,IF($A$1=$W$1,X302,IF($A$1=$Z$1,AA302,IF($A$1=$AC$1,AD302,IF($A$1=$AF$1,AG302,IF($A$1=$AI$1,AJ302))))))))))))</f>
        <v/>
      </c>
    </row>
    <row r="303" ht="17" customFormat="1" customHeight="1" s="49">
      <c r="A303" s="47" t="inlineStr">
        <is>
          <t>Serbest Nakit (100%)</t>
        </is>
      </c>
      <c r="B303" s="413" t="n"/>
      <c r="C303" s="413" t="n"/>
      <c r="D303" s="413" t="n"/>
      <c r="E303" s="413" t="n"/>
      <c r="F303" s="413" t="n"/>
      <c r="G303" s="413" t="n"/>
      <c r="H303" s="413" t="n"/>
      <c r="I303" s="413" t="n"/>
      <c r="J303" s="413" t="n"/>
      <c r="K303" s="413" t="n"/>
      <c r="L303" s="413" t="n"/>
      <c r="M303" s="413" t="n"/>
      <c r="N303" s="413" t="n"/>
      <c r="O303" s="413" t="n"/>
      <c r="P303" s="413" t="n"/>
      <c r="Q303" s="413" t="n"/>
      <c r="R303" s="413" t="n"/>
      <c r="S303" s="413" t="n"/>
      <c r="T303" s="413" t="n"/>
      <c r="U303" s="413" t="n"/>
      <c r="V303" s="413" t="n"/>
      <c r="W303" s="413" t="n"/>
      <c r="X303" s="413" t="n"/>
      <c r="Y303" s="413" t="n"/>
      <c r="Z303" s="413" t="n"/>
      <c r="AA303" s="413" t="n"/>
      <c r="AB303" s="413" t="n"/>
      <c r="AC303" s="413" t="n"/>
      <c r="AD303" s="413" t="n"/>
      <c r="AE303" s="413" t="n"/>
      <c r="AF303" s="413" t="n"/>
      <c r="AG303" s="413" t="n"/>
      <c r="AH303" s="413" t="n"/>
      <c r="AI303" s="413" t="n"/>
      <c r="AJ303" s="413" t="n"/>
      <c r="AK303" s="413" t="n"/>
      <c r="AL303" s="413" t="n"/>
      <c r="AM303" s="48" t="n"/>
    </row>
    <row r="304" ht="15.5" customHeight="1">
      <c r="A304" s="26" t="inlineStr">
        <is>
          <t xml:space="preserve">İnci Holding </t>
        </is>
      </c>
      <c r="B304" s="7">
        <f>'Bütçe Değişim eur'!$B$12</f>
        <v/>
      </c>
      <c r="C304" s="7">
        <f>'değişim aylık eur'!$B$12</f>
        <v/>
      </c>
      <c r="D304" s="7" t="n"/>
      <c r="E304" s="7">
        <f>'Bütçe Değişim eur'!$C$12</f>
        <v/>
      </c>
      <c r="F304" s="7">
        <f>'değişim aylık eur'!$C$12</f>
        <v/>
      </c>
      <c r="G304" s="7" t="n"/>
      <c r="H304" s="7">
        <f>'Bütçe Değişim eur'!$D$12</f>
        <v/>
      </c>
      <c r="I304" s="7">
        <f>'değişim aylık eur'!$D$12</f>
        <v/>
      </c>
      <c r="J304" s="7" t="n"/>
      <c r="K304" s="7">
        <f>'Bütçe Değişim eur'!$E$12</f>
        <v/>
      </c>
      <c r="L304" s="7">
        <f>'değişim aylık eur'!$E$12</f>
        <v/>
      </c>
      <c r="M304" s="7" t="n"/>
      <c r="N304" s="7">
        <f>'Bütçe Değişim eur'!$F$12</f>
        <v/>
      </c>
      <c r="O304" s="7">
        <f>'değişim aylık eur'!$F$12</f>
        <v/>
      </c>
      <c r="P304" s="7" t="n"/>
      <c r="Q304" s="7">
        <f>'Bütçe Değişim eur'!$G$12</f>
        <v/>
      </c>
      <c r="R304" s="7">
        <f>'değişim aylık eur'!$G$12</f>
        <v/>
      </c>
      <c r="S304" s="7" t="n"/>
      <c r="T304" s="7">
        <f>'Bütçe Değişim eur'!$H$12</f>
        <v/>
      </c>
      <c r="U304" s="7">
        <f>'değişim aylık eur'!$H$12</f>
        <v/>
      </c>
      <c r="V304" s="7" t="n"/>
      <c r="W304" s="7">
        <f>'Bütçe Değişim eur'!$I$12</f>
        <v/>
      </c>
      <c r="X304" s="7">
        <f>'değişim aylık eur'!$I$12</f>
        <v/>
      </c>
      <c r="Y304" s="7" t="n"/>
      <c r="Z304" s="7">
        <f>'Bütçe Değişim eur'!$J$12</f>
        <v/>
      </c>
      <c r="AA304" s="7">
        <f>'değişim aylık eur'!$J$12</f>
        <v/>
      </c>
      <c r="AB304" s="7" t="n"/>
      <c r="AC304" s="7">
        <f>'Bütçe Değişim eur'!$K$12</f>
        <v/>
      </c>
      <c r="AD304" s="7">
        <f>'değişim aylık eur'!$K$12</f>
        <v/>
      </c>
      <c r="AE304" s="7" t="n"/>
      <c r="AF304" s="7">
        <f>'Bütçe Değişim eur'!$L$12</f>
        <v/>
      </c>
      <c r="AG304" s="7">
        <f>'değişim aylık eur'!$L$12</f>
        <v/>
      </c>
      <c r="AH304" s="7" t="n"/>
      <c r="AI304" s="7">
        <f>'Bütçe Değişim eur'!$M$12</f>
        <v/>
      </c>
      <c r="AJ304" s="7">
        <f>'değişim aylık eur'!$M$12</f>
        <v/>
      </c>
      <c r="AK304" s="7" t="n"/>
      <c r="AL304" s="21">
        <f>AP304-AO304</f>
        <v/>
      </c>
      <c r="AM304" s="22">
        <f>AP304/AO304-1</f>
        <v/>
      </c>
      <c r="AO304" s="44">
        <f>IF($A$1=$B$1,B304,IF($A$1=$E$1,E304,IF($A$1=$H$1,H304,IF($A$1=$K$1,K304,IF($A$1=$N$1,N304,IF($A$1=$Q$1,Q304,IF($A$1=$T$1,T304,IF($A$1=$W$1,W304,IF($A$1=$Z$1,Z304,IF($A$1=$AC$1,AC304,IF($A$1=$AF$1,AF304,IF($A$1=$AI$1,AI304))))))))))))</f>
        <v/>
      </c>
      <c r="AP304" s="44">
        <f>IF($A$1=$B$1,C304,IF($A$1=$E$1,F304,IF($A$1=$H$1,I304,IF($A$1=$K$1,L304,IF($A$1=$N$1,O304,IF($A$1=$Q$1,R304,IF($A$1=$T$1,U304,IF($A$1=$W$1,X304,IF($A$1=$Z$1,AA304,IF($A$1=$AC$1,AD304,IF($A$1=$AF$1,AG304,IF($A$1=$AI$1,AJ304))))))))))))</f>
        <v/>
      </c>
    </row>
    <row r="305" ht="15.5" customHeight="1">
      <c r="A305" s="26" t="inlineStr">
        <is>
          <t xml:space="preserve">ISM </t>
        </is>
      </c>
      <c r="B305" s="7">
        <f>'Bütçe Değişim eur'!$B$13</f>
        <v/>
      </c>
      <c r="C305" s="7">
        <f>'değişim aylık eur'!$B$13</f>
        <v/>
      </c>
      <c r="D305" s="7" t="n"/>
      <c r="E305" s="7">
        <f>'Bütçe Değişim eur'!$C$13</f>
        <v/>
      </c>
      <c r="F305" s="7">
        <f>'değişim aylık eur'!$C$13</f>
        <v/>
      </c>
      <c r="G305" s="7" t="n"/>
      <c r="H305" s="7">
        <f>'Bütçe Değişim eur'!$D$13</f>
        <v/>
      </c>
      <c r="I305" s="7">
        <f>'değişim aylık eur'!$D$13</f>
        <v/>
      </c>
      <c r="J305" s="7" t="n"/>
      <c r="K305" s="7">
        <f>'Bütçe Değişim eur'!$E$13</f>
        <v/>
      </c>
      <c r="L305" s="7">
        <f>'değişim aylık eur'!$E$13</f>
        <v/>
      </c>
      <c r="M305" s="7" t="n"/>
      <c r="N305" s="7">
        <f>'Bütçe Değişim eur'!$F$13</f>
        <v/>
      </c>
      <c r="O305" s="7">
        <f>'değişim aylık eur'!$F$13</f>
        <v/>
      </c>
      <c r="P305" s="7" t="n"/>
      <c r="Q305" s="7">
        <f>'Bütçe Değişim eur'!$G$13</f>
        <v/>
      </c>
      <c r="R305" s="7">
        <f>'değişim aylık eur'!$G$13</f>
        <v/>
      </c>
      <c r="S305" s="7" t="n"/>
      <c r="T305" s="7">
        <f>'Bütçe Değişim eur'!$H$13</f>
        <v/>
      </c>
      <c r="U305" s="7">
        <f>'değişim aylık eur'!$H$13</f>
        <v/>
      </c>
      <c r="V305" s="7" t="n"/>
      <c r="W305" s="7">
        <f>'Bütçe Değişim eur'!$I$13</f>
        <v/>
      </c>
      <c r="X305" s="7">
        <f>'değişim aylık eur'!$I$13</f>
        <v/>
      </c>
      <c r="Y305" s="7" t="n"/>
      <c r="Z305" s="7">
        <f>'Bütçe Değişim eur'!$J$13</f>
        <v/>
      </c>
      <c r="AA305" s="7">
        <f>'değişim aylık eur'!$J$13</f>
        <v/>
      </c>
      <c r="AB305" s="7" t="n"/>
      <c r="AC305" s="7">
        <f>'Bütçe Değişim eur'!$K$13</f>
        <v/>
      </c>
      <c r="AD305" s="7">
        <f>'değişim aylık eur'!$K$13</f>
        <v/>
      </c>
      <c r="AE305" s="7" t="n"/>
      <c r="AF305" s="7">
        <f>'Bütçe Değişim eur'!$L$13</f>
        <v/>
      </c>
      <c r="AG305" s="7">
        <f>'değişim aylık eur'!$L$13</f>
        <v/>
      </c>
      <c r="AH305" s="7" t="n"/>
      <c r="AI305" s="7">
        <f>'Bütçe Değişim eur'!$M$13</f>
        <v/>
      </c>
      <c r="AJ305" s="7">
        <f>'değişim aylık eur'!$M$13</f>
        <v/>
      </c>
      <c r="AK305" s="7" t="n"/>
      <c r="AL305" s="21">
        <f>AP305-AO305</f>
        <v/>
      </c>
      <c r="AM305" s="22">
        <f>AP305/AO305-1</f>
        <v/>
      </c>
      <c r="AO305" s="44">
        <f>IF($A$1=$B$1,B305,IF($A$1=$E$1,E305,IF($A$1=$H$1,H305,IF($A$1=$K$1,K305,IF($A$1=$N$1,N305,IF($A$1=$Q$1,Q305,IF($A$1=$T$1,T305,IF($A$1=$W$1,W305,IF($A$1=$Z$1,Z305,IF($A$1=$AC$1,AC305,IF($A$1=$AF$1,AF305,IF($A$1=$AI$1,AI305))))))))))))</f>
        <v/>
      </c>
      <c r="AP305" s="44">
        <f>IF($A$1=$B$1,C305,IF($A$1=$E$1,F305,IF($A$1=$H$1,I305,IF($A$1=$K$1,L305,IF($A$1=$N$1,O305,IF($A$1=$Q$1,R305,IF($A$1=$T$1,U305,IF($A$1=$W$1,X305,IF($A$1=$Z$1,AA305,IF($A$1=$AC$1,AD305,IF($A$1=$AF$1,AG305,IF($A$1=$AI$1,AJ305))))))))))))</f>
        <v/>
      </c>
    </row>
    <row r="306" ht="15.5" customHeight="1">
      <c r="A306" s="26" t="inlineStr">
        <is>
          <t>İncitaş</t>
        </is>
      </c>
      <c r="B306" s="7">
        <f>'Bütçe Değişim eur'!$B$14</f>
        <v/>
      </c>
      <c r="C306" s="7">
        <f>'değişim aylık eur'!$B$14</f>
        <v/>
      </c>
      <c r="D306" s="7" t="n"/>
      <c r="E306" s="7">
        <f>'Bütçe Değişim eur'!$C$14</f>
        <v/>
      </c>
      <c r="F306" s="7">
        <f>'değişim aylık eur'!$C$14</f>
        <v/>
      </c>
      <c r="G306" s="7" t="n"/>
      <c r="H306" s="7">
        <f>'Bütçe Değişim eur'!$D$14</f>
        <v/>
      </c>
      <c r="I306" s="7">
        <f>'değişim aylık eur'!$D$14</f>
        <v/>
      </c>
      <c r="J306" s="7" t="n"/>
      <c r="K306" s="7">
        <f>'Bütçe Değişim eur'!$E$14</f>
        <v/>
      </c>
      <c r="L306" s="7">
        <f>'değişim aylık eur'!$E$14</f>
        <v/>
      </c>
      <c r="M306" s="7" t="n"/>
      <c r="N306" s="7">
        <f>'Bütçe Değişim eur'!$F$14</f>
        <v/>
      </c>
      <c r="O306" s="7">
        <f>'değişim aylık eur'!$F$14</f>
        <v/>
      </c>
      <c r="P306" s="7" t="n"/>
      <c r="Q306" s="7">
        <f>'Bütçe Değişim eur'!$G$14</f>
        <v/>
      </c>
      <c r="R306" s="7">
        <f>'değişim aylık eur'!$G$14</f>
        <v/>
      </c>
      <c r="S306" s="7" t="n"/>
      <c r="T306" s="7">
        <f>'Bütçe Değişim eur'!$H$14</f>
        <v/>
      </c>
      <c r="U306" s="7">
        <f>'değişim aylık eur'!$H$14</f>
        <v/>
      </c>
      <c r="V306" s="7" t="n"/>
      <c r="W306" s="7">
        <f>'Bütçe Değişim eur'!$I$14</f>
        <v/>
      </c>
      <c r="X306" s="7">
        <f>'değişim aylık eur'!$I$14</f>
        <v/>
      </c>
      <c r="Y306" s="7" t="n"/>
      <c r="Z306" s="7">
        <f>'Bütçe Değişim eur'!$J$14</f>
        <v/>
      </c>
      <c r="AA306" s="7">
        <f>'değişim aylık eur'!$J$14</f>
        <v/>
      </c>
      <c r="AB306" s="7" t="n"/>
      <c r="AC306" s="7">
        <f>'Bütçe Değişim eur'!$K$14</f>
        <v/>
      </c>
      <c r="AD306" s="7">
        <f>'değişim aylık eur'!$K$14</f>
        <v/>
      </c>
      <c r="AE306" s="7" t="n"/>
      <c r="AF306" s="7">
        <f>'Bütçe Değişim eur'!$L$14</f>
        <v/>
      </c>
      <c r="AG306" s="7">
        <f>'değişim aylık eur'!$L$14</f>
        <v/>
      </c>
      <c r="AH306" s="7" t="n"/>
      <c r="AI306" s="7">
        <f>'Bütçe Değişim eur'!$M$14</f>
        <v/>
      </c>
      <c r="AJ306" s="7">
        <f>'değişim aylık eur'!$M$14</f>
        <v/>
      </c>
      <c r="AK306" s="7" t="n"/>
      <c r="AL306" s="21">
        <f>AP306-AO306</f>
        <v/>
      </c>
      <c r="AM306" s="22">
        <f>AP306/AO306-1</f>
        <v/>
      </c>
      <c r="AO306" s="44">
        <f>IF($A$1=$B$1,B306,IF($A$1=$E$1,E306,IF($A$1=$H$1,H306,IF($A$1=$K$1,K306,IF($A$1=$N$1,N306,IF($A$1=$Q$1,Q306,IF($A$1=$T$1,T306,IF($A$1=$W$1,W306,IF($A$1=$Z$1,Z306,IF($A$1=$AC$1,AC306,IF($A$1=$AF$1,AF306,IF($A$1=$AI$1,AI306))))))))))))</f>
        <v/>
      </c>
      <c r="AP306" s="44">
        <f>IF($A$1=$B$1,C306,IF($A$1=$E$1,F306,IF($A$1=$H$1,I306,IF($A$1=$K$1,L306,IF($A$1=$N$1,O306,IF($A$1=$Q$1,R306,IF($A$1=$T$1,U306,IF($A$1=$W$1,X306,IF($A$1=$Z$1,AA306,IF($A$1=$AC$1,AD306,IF($A$1=$AF$1,AG306,IF($A$1=$AI$1,AJ306))))))))))))</f>
        <v/>
      </c>
    </row>
    <row r="307" ht="15.5" customHeight="1">
      <c r="A307" s="26" t="inlineStr">
        <is>
          <t>İnci GS Yuasa</t>
        </is>
      </c>
      <c r="B307" s="7">
        <f>'Bütçe Değişim eur'!$B$15</f>
        <v/>
      </c>
      <c r="C307" s="7">
        <f>'değişim aylık eur'!$B$15</f>
        <v/>
      </c>
      <c r="D307" s="7" t="n"/>
      <c r="E307" s="7">
        <f>'Bütçe Değişim eur'!$C$15</f>
        <v/>
      </c>
      <c r="F307" s="7">
        <f>'değişim aylık eur'!$C$15</f>
        <v/>
      </c>
      <c r="G307" s="7" t="n"/>
      <c r="H307" s="7">
        <f>'Bütçe Değişim eur'!$D$15</f>
        <v/>
      </c>
      <c r="I307" s="7">
        <f>'değişim aylık eur'!$D$15</f>
        <v/>
      </c>
      <c r="J307" s="7" t="n"/>
      <c r="K307" s="7">
        <f>'Bütçe Değişim eur'!$E$15</f>
        <v/>
      </c>
      <c r="L307" s="7">
        <f>'değişim aylık eur'!$E$15</f>
        <v/>
      </c>
      <c r="M307" s="7" t="n"/>
      <c r="N307" s="7">
        <f>'Bütçe Değişim eur'!$F$15</f>
        <v/>
      </c>
      <c r="O307" s="7">
        <f>'değişim aylık eur'!$F$15</f>
        <v/>
      </c>
      <c r="P307" s="7" t="n"/>
      <c r="Q307" s="7">
        <f>'Bütçe Değişim eur'!$G$15</f>
        <v/>
      </c>
      <c r="R307" s="7">
        <f>'değişim aylık eur'!$G$15</f>
        <v/>
      </c>
      <c r="S307" s="7" t="n"/>
      <c r="T307" s="7">
        <f>'Bütçe Değişim eur'!$H$15</f>
        <v/>
      </c>
      <c r="U307" s="7">
        <f>'değişim aylık eur'!$H$15</f>
        <v/>
      </c>
      <c r="V307" s="7" t="n"/>
      <c r="W307" s="7">
        <f>'Bütçe Değişim eur'!$I$15</f>
        <v/>
      </c>
      <c r="X307" s="7">
        <f>'değişim aylık eur'!$I$15</f>
        <v/>
      </c>
      <c r="Y307" s="7" t="n"/>
      <c r="Z307" s="7">
        <f>'Bütçe Değişim eur'!$J$15</f>
        <v/>
      </c>
      <c r="AA307" s="7">
        <f>'değişim aylık eur'!$J$15</f>
        <v/>
      </c>
      <c r="AB307" s="7" t="n"/>
      <c r="AC307" s="7">
        <f>'Bütçe Değişim eur'!$K$15</f>
        <v/>
      </c>
      <c r="AD307" s="7">
        <f>'değişim aylık eur'!$K$15</f>
        <v/>
      </c>
      <c r="AE307" s="7" t="n"/>
      <c r="AF307" s="7">
        <f>'Bütçe Değişim eur'!$L$15</f>
        <v/>
      </c>
      <c r="AG307" s="7">
        <f>'değişim aylık eur'!$L$15</f>
        <v/>
      </c>
      <c r="AH307" s="7" t="n"/>
      <c r="AI307" s="7">
        <f>'Bütçe Değişim eur'!$M$15</f>
        <v/>
      </c>
      <c r="AJ307" s="7">
        <f>'değişim aylık eur'!$M$15</f>
        <v/>
      </c>
      <c r="AK307" s="7" t="n"/>
      <c r="AL307" s="21">
        <f>AP307-AO307</f>
        <v/>
      </c>
      <c r="AM307" s="22">
        <f>AP307/AO307-1</f>
        <v/>
      </c>
      <c r="AO307" s="44">
        <f>IF($A$1=$B$1,B307,IF($A$1=$E$1,E307,IF($A$1=$H$1,H307,IF($A$1=$K$1,K307,IF($A$1=$N$1,N307,IF($A$1=$Q$1,Q307,IF($A$1=$T$1,T307,IF($A$1=$W$1,W307,IF($A$1=$Z$1,Z307,IF($A$1=$AC$1,AC307,IF($A$1=$AF$1,AF307,IF($A$1=$AI$1,AI307))))))))))))</f>
        <v/>
      </c>
      <c r="AP307" s="44">
        <f>IF($A$1=$B$1,C307,IF($A$1=$E$1,F307,IF($A$1=$H$1,I307,IF($A$1=$K$1,L307,IF($A$1=$N$1,O307,IF($A$1=$Q$1,R307,IF($A$1=$T$1,U307,IF($A$1=$W$1,X307,IF($A$1=$Z$1,AA307,IF($A$1=$AC$1,AD307,IF($A$1=$AF$1,AG307,IF($A$1=$AI$1,AJ307))))))))))))</f>
        <v/>
      </c>
    </row>
    <row r="308" ht="15.5" customFormat="1" customHeight="1" s="1">
      <c r="A308" s="26" t="inlineStr">
        <is>
          <t>Yusen İnci Loj.</t>
        </is>
      </c>
      <c r="B308" s="7">
        <f>'Bütçe Değişim eur'!$B$16</f>
        <v/>
      </c>
      <c r="C308" s="7">
        <f>'değişim aylık eur'!$B$16</f>
        <v/>
      </c>
      <c r="D308" s="8" t="n"/>
      <c r="E308" s="7">
        <f>'Bütçe Değişim eur'!$C$16</f>
        <v/>
      </c>
      <c r="F308" s="7">
        <f>'değişim aylık eur'!$C$16</f>
        <v/>
      </c>
      <c r="G308" s="8" t="n"/>
      <c r="H308" s="7">
        <f>'Bütçe Değişim eur'!$D$16</f>
        <v/>
      </c>
      <c r="I308" s="7">
        <f>'değişim aylık eur'!$D$16</f>
        <v/>
      </c>
      <c r="J308" s="8" t="n"/>
      <c r="K308" s="7">
        <f>'Bütçe Değişim eur'!$E$16</f>
        <v/>
      </c>
      <c r="L308" s="7">
        <f>'değişim aylık eur'!$E$16</f>
        <v/>
      </c>
      <c r="M308" s="8" t="n"/>
      <c r="N308" s="7">
        <f>'Bütçe Değişim eur'!$F$16</f>
        <v/>
      </c>
      <c r="O308" s="7">
        <f>'değişim aylık eur'!$F$16</f>
        <v/>
      </c>
      <c r="P308" s="8" t="n"/>
      <c r="Q308" s="7">
        <f>'Bütçe Değişim eur'!$G$16</f>
        <v/>
      </c>
      <c r="R308" s="7">
        <f>'değişim aylık eur'!$G$16</f>
        <v/>
      </c>
      <c r="S308" s="8" t="n"/>
      <c r="T308" s="7">
        <f>'Bütçe Değişim eur'!$H$16</f>
        <v/>
      </c>
      <c r="U308" s="7">
        <f>'değişim aylık eur'!$H$16</f>
        <v/>
      </c>
      <c r="V308" s="8" t="n"/>
      <c r="W308" s="7">
        <f>'Bütçe Değişim eur'!$I$16</f>
        <v/>
      </c>
      <c r="X308" s="7">
        <f>'değişim aylık eur'!$I$16</f>
        <v/>
      </c>
      <c r="Y308" s="8" t="n"/>
      <c r="Z308" s="7">
        <f>'Bütçe Değişim eur'!$J$16</f>
        <v/>
      </c>
      <c r="AA308" s="7">
        <f>'değişim aylık eur'!$J$16</f>
        <v/>
      </c>
      <c r="AB308" s="8" t="n"/>
      <c r="AC308" s="7">
        <f>'Bütçe Değişim eur'!$K$16</f>
        <v/>
      </c>
      <c r="AD308" s="7">
        <f>'değişim aylık eur'!$K$16</f>
        <v/>
      </c>
      <c r="AE308" s="8" t="n"/>
      <c r="AF308" s="7">
        <f>'Bütçe Değişim eur'!$L$16</f>
        <v/>
      </c>
      <c r="AG308" s="7">
        <f>'değişim aylık eur'!$L$16</f>
        <v/>
      </c>
      <c r="AH308" s="8" t="n"/>
      <c r="AI308" s="7">
        <f>'Bütçe Değişim eur'!$M$16</f>
        <v/>
      </c>
      <c r="AJ308" s="7">
        <f>'değişim aylık eur'!$M$16</f>
        <v/>
      </c>
      <c r="AK308" s="8" t="n"/>
      <c r="AL308" s="21">
        <f>AP308-AO308</f>
        <v/>
      </c>
      <c r="AM308" s="22">
        <f>AP308/AO308-1</f>
        <v/>
      </c>
      <c r="AO308" s="44">
        <f>IF($A$1=$B$1,B308,IF($A$1=$E$1,E308,IF($A$1=$H$1,H308,IF($A$1=$K$1,K308,IF($A$1=$N$1,N308,IF($A$1=$Q$1,Q308,IF($A$1=$T$1,T308,IF($A$1=$W$1,W308,IF($A$1=$Z$1,Z308,IF($A$1=$AC$1,AC308,IF($A$1=$AF$1,AF308,IF($A$1=$AI$1,AI308))))))))))))</f>
        <v/>
      </c>
      <c r="AP308" s="44">
        <f>IF($A$1=$B$1,C308,IF($A$1=$E$1,F308,IF($A$1=$H$1,I308,IF($A$1=$K$1,L308,IF($A$1=$N$1,O308,IF($A$1=$Q$1,R308,IF($A$1=$T$1,U308,IF($A$1=$W$1,X308,IF($A$1=$Z$1,AA308,IF($A$1=$AC$1,AD308,IF($A$1=$AF$1,AG308,IF($A$1=$AI$1,AJ308))))))))))))</f>
        <v/>
      </c>
    </row>
    <row r="309" ht="15.5" customHeight="1">
      <c r="A309" s="26" t="inlineStr">
        <is>
          <t>Jantaş</t>
        </is>
      </c>
      <c r="B309" s="7">
        <f>'Bütçe Değişim eur'!$B$17</f>
        <v/>
      </c>
      <c r="C309" s="7">
        <f>'değişim aylık eur'!$B$17</f>
        <v/>
      </c>
      <c r="D309" s="7" t="n"/>
      <c r="E309" s="7">
        <f>'Bütçe Değişim eur'!$C$17</f>
        <v/>
      </c>
      <c r="F309" s="7">
        <f>'değişim aylık eur'!$C$17</f>
        <v/>
      </c>
      <c r="G309" s="7" t="n"/>
      <c r="H309" s="7">
        <f>'Bütçe Değişim eur'!$D$17</f>
        <v/>
      </c>
      <c r="I309" s="7">
        <f>'değişim aylık eur'!$D$17</f>
        <v/>
      </c>
      <c r="J309" s="7" t="n"/>
      <c r="K309" s="7">
        <f>'Bütçe Değişim eur'!$E$17</f>
        <v/>
      </c>
      <c r="L309" s="7">
        <f>'değişim aylık eur'!$E$17</f>
        <v/>
      </c>
      <c r="M309" s="7" t="n"/>
      <c r="N309" s="7">
        <f>'Bütçe Değişim eur'!$F$17</f>
        <v/>
      </c>
      <c r="O309" s="7">
        <f>'değişim aylık eur'!$F$17</f>
        <v/>
      </c>
      <c r="P309" s="7" t="n"/>
      <c r="Q309" s="7">
        <f>'Bütçe Değişim eur'!$G$17</f>
        <v/>
      </c>
      <c r="R309" s="7">
        <f>'değişim aylık eur'!$G$17</f>
        <v/>
      </c>
      <c r="S309" s="7" t="n"/>
      <c r="T309" s="7">
        <f>'Bütçe Değişim eur'!$H$17</f>
        <v/>
      </c>
      <c r="U309" s="7">
        <f>'değişim aylık eur'!$H$17</f>
        <v/>
      </c>
      <c r="V309" s="7" t="n"/>
      <c r="W309" s="7">
        <f>'Bütçe Değişim eur'!$I$17</f>
        <v/>
      </c>
      <c r="X309" s="7">
        <f>'değişim aylık eur'!$I$17</f>
        <v/>
      </c>
      <c r="Y309" s="7" t="n"/>
      <c r="Z309" s="7">
        <f>'Bütçe Değişim eur'!$J$17</f>
        <v/>
      </c>
      <c r="AA309" s="7">
        <f>'değişim aylık eur'!$J$17</f>
        <v/>
      </c>
      <c r="AB309" s="7" t="n"/>
      <c r="AC309" s="7">
        <f>'Bütçe Değişim eur'!$K$17</f>
        <v/>
      </c>
      <c r="AD309" s="7">
        <f>'değişim aylık eur'!$K$17</f>
        <v/>
      </c>
      <c r="AE309" s="7" t="n"/>
      <c r="AF309" s="7">
        <f>'Bütçe Değişim eur'!$L$17</f>
        <v/>
      </c>
      <c r="AG309" s="7">
        <f>'değişim aylık eur'!$L$17</f>
        <v/>
      </c>
      <c r="AH309" s="7" t="n"/>
      <c r="AI309" s="7">
        <f>'Bütçe Değişim eur'!$M$17</f>
        <v/>
      </c>
      <c r="AJ309" s="7">
        <f>'değişim aylık eur'!$M$17</f>
        <v/>
      </c>
      <c r="AK309" s="7" t="n"/>
      <c r="AL309" s="21">
        <f>AP309-AO309</f>
        <v/>
      </c>
      <c r="AM309" s="22">
        <f>AP309/AO309-1</f>
        <v/>
      </c>
      <c r="AO309" s="44">
        <f>IF($A$1=$B$1,B309,IF($A$1=$E$1,E309,IF($A$1=$H$1,H309,IF($A$1=$K$1,K309,IF($A$1=$N$1,N309,IF($A$1=$Q$1,Q309,IF($A$1=$T$1,T309,IF($A$1=$W$1,W309,IF($A$1=$Z$1,Z309,IF($A$1=$AC$1,AC309,IF($A$1=$AF$1,AF309,IF($A$1=$AI$1,AI309))))))))))))</f>
        <v/>
      </c>
      <c r="AP309" s="44">
        <f>IF($A$1=$B$1,C309,IF($A$1=$E$1,F309,IF($A$1=$H$1,I309,IF($A$1=$K$1,L309,IF($A$1=$N$1,O309,IF($A$1=$Q$1,R309,IF($A$1=$T$1,U309,IF($A$1=$W$1,X309,IF($A$1=$Z$1,AA309,IF($A$1=$AC$1,AD309,IF($A$1=$AF$1,AG309,IF($A$1=$AI$1,AJ309))))))))))))</f>
        <v/>
      </c>
    </row>
    <row r="310" ht="15.5" customFormat="1" customHeight="1" s="1">
      <c r="A310" s="26" t="inlineStr">
        <is>
          <t>Çelik</t>
        </is>
      </c>
      <c r="B310" s="7">
        <f>'Bütçe Değişim eur'!$B$18</f>
        <v/>
      </c>
      <c r="C310" s="7">
        <f>'değişim aylık eur'!$B$18</f>
        <v/>
      </c>
      <c r="D310" s="8" t="n"/>
      <c r="E310" s="7">
        <f>'Bütçe Değişim eur'!$C$18</f>
        <v/>
      </c>
      <c r="F310" s="7">
        <f>'değişim aylık eur'!$C$18</f>
        <v/>
      </c>
      <c r="G310" s="8" t="n"/>
      <c r="H310" s="7">
        <f>'Bütçe Değişim eur'!$D$18</f>
        <v/>
      </c>
      <c r="I310" s="7">
        <f>'değişim aylık eur'!$D$18</f>
        <v/>
      </c>
      <c r="J310" s="8" t="n"/>
      <c r="K310" s="7">
        <f>'Bütçe Değişim eur'!$E$18</f>
        <v/>
      </c>
      <c r="L310" s="7">
        <f>'değişim aylık eur'!$E$18</f>
        <v/>
      </c>
      <c r="M310" s="8" t="n"/>
      <c r="N310" s="7">
        <f>'Bütçe Değişim eur'!$F$18</f>
        <v/>
      </c>
      <c r="O310" s="7">
        <f>'değişim aylık eur'!$F$18</f>
        <v/>
      </c>
      <c r="P310" s="8" t="n"/>
      <c r="Q310" s="7">
        <f>'Bütçe Değişim eur'!$G$18</f>
        <v/>
      </c>
      <c r="R310" s="7">
        <f>'değişim aylık eur'!$G$18</f>
        <v/>
      </c>
      <c r="S310" s="8" t="n"/>
      <c r="T310" s="7">
        <f>'Bütçe Değişim eur'!$H$18</f>
        <v/>
      </c>
      <c r="U310" s="7">
        <f>'değişim aylık eur'!$H$18</f>
        <v/>
      </c>
      <c r="V310" s="8" t="n"/>
      <c r="W310" s="7">
        <f>'Bütçe Değişim eur'!$I$18</f>
        <v/>
      </c>
      <c r="X310" s="7">
        <f>'değişim aylık eur'!$I$18</f>
        <v/>
      </c>
      <c r="Y310" s="8" t="n"/>
      <c r="Z310" s="7">
        <f>'Bütçe Değişim eur'!$J$18</f>
        <v/>
      </c>
      <c r="AA310" s="7">
        <f>'değişim aylık eur'!$J$18</f>
        <v/>
      </c>
      <c r="AB310" s="8" t="n"/>
      <c r="AC310" s="7">
        <f>'Bütçe Değişim eur'!$K$18</f>
        <v/>
      </c>
      <c r="AD310" s="7">
        <f>'değişim aylık eur'!$K$18</f>
        <v/>
      </c>
      <c r="AE310" s="8" t="n"/>
      <c r="AF310" s="7">
        <f>'Bütçe Değişim eur'!$L$18</f>
        <v/>
      </c>
      <c r="AG310" s="7">
        <f>'değişim aylık eur'!$L$18</f>
        <v/>
      </c>
      <c r="AH310" s="8" t="n"/>
      <c r="AI310" s="7">
        <f>'Bütçe Değişim eur'!$M$18</f>
        <v/>
      </c>
      <c r="AJ310" s="7">
        <f>'değişim aylık eur'!$M$18</f>
        <v/>
      </c>
      <c r="AK310" s="8" t="n"/>
      <c r="AL310" s="21">
        <f>AP310-AO310</f>
        <v/>
      </c>
      <c r="AM310" s="22">
        <f>AP310/AO310-1</f>
        <v/>
      </c>
      <c r="AO310" s="44">
        <f>IF($A$1=$B$1,B310,IF($A$1=$E$1,E310,IF($A$1=$H$1,H310,IF($A$1=$K$1,K310,IF($A$1=$N$1,N310,IF($A$1=$Q$1,Q310,IF($A$1=$T$1,T310,IF($A$1=$W$1,W310,IF($A$1=$Z$1,Z310,IF($A$1=$AC$1,AC310,IF($A$1=$AF$1,AF310,IF($A$1=$AI$1,AI310))))))))))))</f>
        <v/>
      </c>
      <c r="AP310" s="44">
        <f>IF($A$1=$B$1,C310,IF($A$1=$E$1,F310,IF($A$1=$H$1,I310,IF($A$1=$K$1,L310,IF($A$1=$N$1,O310,IF($A$1=$Q$1,R310,IF($A$1=$T$1,U310,IF($A$1=$W$1,X310,IF($A$1=$Z$1,AA310,IF($A$1=$AC$1,AD310,IF($A$1=$AF$1,AG310,IF($A$1=$AI$1,AJ310))))))))))))</f>
        <v/>
      </c>
    </row>
    <row r="311" ht="15.5" customFormat="1" customHeight="1" s="1">
      <c r="A311" s="26" t="inlineStr">
        <is>
          <t>Alüminyum</t>
        </is>
      </c>
      <c r="B311" s="7">
        <f>'Bütçe Değişim eur'!$B$19</f>
        <v/>
      </c>
      <c r="C311" s="7">
        <f>'değişim aylık eur'!$B$19</f>
        <v/>
      </c>
      <c r="D311" s="8" t="n"/>
      <c r="E311" s="7">
        <f>'Bütçe Değişim eur'!$C$19</f>
        <v/>
      </c>
      <c r="F311" s="7">
        <f>'değişim aylık eur'!$C$19</f>
        <v/>
      </c>
      <c r="G311" s="8" t="n"/>
      <c r="H311" s="7">
        <f>'Bütçe Değişim eur'!$D$19</f>
        <v/>
      </c>
      <c r="I311" s="7">
        <f>'değişim aylık eur'!$D$19</f>
        <v/>
      </c>
      <c r="J311" s="8" t="n"/>
      <c r="K311" s="7">
        <f>'Bütçe Değişim eur'!$E$19</f>
        <v/>
      </c>
      <c r="L311" s="7">
        <f>'değişim aylık eur'!$E$19</f>
        <v/>
      </c>
      <c r="M311" s="8" t="n"/>
      <c r="N311" s="7">
        <f>'Bütçe Değişim eur'!$F$19</f>
        <v/>
      </c>
      <c r="O311" s="7">
        <f>'değişim aylık eur'!$F$19</f>
        <v/>
      </c>
      <c r="P311" s="8" t="n"/>
      <c r="Q311" s="7">
        <f>'Bütçe Değişim eur'!$G$19</f>
        <v/>
      </c>
      <c r="R311" s="7">
        <f>'değişim aylık eur'!$G$19</f>
        <v/>
      </c>
      <c r="S311" s="8" t="n"/>
      <c r="T311" s="7">
        <f>'Bütçe Değişim eur'!$H$19</f>
        <v/>
      </c>
      <c r="U311" s="7">
        <f>'değişim aylık eur'!$H$19</f>
        <v/>
      </c>
      <c r="V311" s="8" t="n"/>
      <c r="W311" s="7">
        <f>'Bütçe Değişim eur'!$I$19</f>
        <v/>
      </c>
      <c r="X311" s="7">
        <f>'değişim aylık eur'!$I$19</f>
        <v/>
      </c>
      <c r="Y311" s="8" t="n"/>
      <c r="Z311" s="7">
        <f>'Bütçe Değişim eur'!$J$19</f>
        <v/>
      </c>
      <c r="AA311" s="7">
        <f>'değişim aylık eur'!$J$19</f>
        <v/>
      </c>
      <c r="AB311" s="8" t="n"/>
      <c r="AC311" s="7">
        <f>'Bütçe Değişim eur'!$K$19</f>
        <v/>
      </c>
      <c r="AD311" s="7">
        <f>'değişim aylık eur'!$K$19</f>
        <v/>
      </c>
      <c r="AE311" s="8" t="n"/>
      <c r="AF311" s="7">
        <f>'Bütçe Değişim eur'!$L$19</f>
        <v/>
      </c>
      <c r="AG311" s="7">
        <f>'değişim aylık eur'!$L$19</f>
        <v/>
      </c>
      <c r="AH311" s="8" t="n"/>
      <c r="AI311" s="7">
        <f>'Bütçe Değişim eur'!$M$19</f>
        <v/>
      </c>
      <c r="AJ311" s="7">
        <f>'değişim aylık eur'!$M$19</f>
        <v/>
      </c>
      <c r="AK311" s="8" t="n"/>
      <c r="AL311" s="21">
        <f>AP311-AO311</f>
        <v/>
      </c>
      <c r="AM311" s="22">
        <f>AP311/AO311-1</f>
        <v/>
      </c>
      <c r="AO311" s="44">
        <f>IF($A$1=$B$1,B311,IF($A$1=$E$1,E311,IF($A$1=$H$1,H311,IF($A$1=$K$1,K311,IF($A$1=$N$1,N311,IF($A$1=$Q$1,Q311,IF($A$1=$T$1,T311,IF($A$1=$W$1,W311,IF($A$1=$Z$1,Z311,IF($A$1=$AC$1,AC311,IF($A$1=$AF$1,AF311,IF($A$1=$AI$1,AI311))))))))))))</f>
        <v/>
      </c>
      <c r="AP311" s="44">
        <f>IF($A$1=$B$1,C311,IF($A$1=$E$1,F311,IF($A$1=$H$1,I311,IF($A$1=$K$1,L311,IF($A$1=$N$1,O311,IF($A$1=$Q$1,R311,IF($A$1=$T$1,U311,IF($A$1=$W$1,X311,IF($A$1=$Z$1,AA311,IF($A$1=$AC$1,AD311,IF($A$1=$AF$1,AG311,IF($A$1=$AI$1,AJ311))))))))))))</f>
        <v/>
      </c>
    </row>
    <row r="312" ht="15.5" customFormat="1" customHeight="1" s="1">
      <c r="A312" s="26" t="n"/>
      <c r="B312" s="7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7" t="n"/>
      <c r="R312" s="8" t="n"/>
      <c r="S312" s="8" t="n"/>
      <c r="T312" s="7" t="n"/>
      <c r="U312" s="8" t="n"/>
      <c r="V312" s="8" t="n"/>
      <c r="W312" s="7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15" t="n"/>
      <c r="AM312" s="16" t="n"/>
      <c r="AO312" s="44" t="n"/>
      <c r="AP312" s="44" t="n"/>
    </row>
    <row r="313" ht="15.5" customFormat="1" customHeight="1" s="1">
      <c r="A313" s="26" t="n"/>
      <c r="B313" s="7" t="n"/>
      <c r="C313" s="7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7" t="n"/>
      <c r="R313" s="8" t="n"/>
      <c r="S313" s="8" t="n"/>
      <c r="T313" s="7" t="n"/>
      <c r="U313" s="8" t="n"/>
      <c r="V313" s="8" t="n"/>
      <c r="W313" s="7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15" t="n"/>
      <c r="AM313" s="16" t="n"/>
      <c r="AO313" s="44" t="n"/>
      <c r="AP313" s="44" t="n"/>
    </row>
    <row r="314" ht="15.5" customFormat="1" customHeight="1" s="1">
      <c r="A314" s="26" t="n"/>
      <c r="B314" s="7" t="n"/>
      <c r="C314" s="7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7" t="n"/>
      <c r="R314" s="8" t="n"/>
      <c r="S314" s="8" t="n"/>
      <c r="T314" s="7" t="n"/>
      <c r="U314" s="8" t="n"/>
      <c r="V314" s="8" t="n"/>
      <c r="W314" s="7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>
        <f>AI297-AI145</f>
        <v/>
      </c>
      <c r="AJ314" s="8">
        <f>AJ297-AJ145</f>
        <v/>
      </c>
      <c r="AK314" s="8" t="n"/>
      <c r="AL314" s="15" t="n"/>
      <c r="AM314" s="16" t="n"/>
      <c r="AO314" s="44" t="n"/>
      <c r="AP314" s="44" t="n"/>
    </row>
    <row r="315" ht="15.5" customFormat="1" customHeight="1" s="1">
      <c r="A315" s="26" t="n"/>
      <c r="B315" s="7" t="n"/>
      <c r="C315" s="7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7" t="n"/>
      <c r="R315" s="8" t="n"/>
      <c r="S315" s="8" t="n"/>
      <c r="T315" s="7" t="n"/>
      <c r="U315" s="8" t="n"/>
      <c r="V315" s="8" t="n"/>
      <c r="W315" s="7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15" t="n"/>
      <c r="AM315" s="16" t="n"/>
      <c r="AO315" s="44" t="n"/>
      <c r="AP315" s="44" t="n"/>
    </row>
    <row r="316" ht="15.5" customFormat="1" customHeight="1" s="1">
      <c r="A316" s="26" t="n"/>
      <c r="B316" s="7" t="n"/>
      <c r="C316" s="7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7" t="n"/>
      <c r="R316" s="8" t="n"/>
      <c r="S316" s="8" t="n"/>
      <c r="T316" s="7" t="n"/>
      <c r="U316" s="8" t="n"/>
      <c r="V316" s="8" t="n"/>
      <c r="W316" s="7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15" t="n"/>
      <c r="AM316" s="16" t="n"/>
      <c r="AO316" s="44" t="n"/>
      <c r="AP316" s="44" t="n"/>
    </row>
    <row r="317" ht="15.5" customFormat="1" customHeight="1" s="1">
      <c r="A317" s="26" t="n"/>
      <c r="B317" s="7" t="n"/>
      <c r="C317" s="7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7" t="n"/>
      <c r="R317" s="8" t="n"/>
      <c r="S317" s="8" t="n"/>
      <c r="T317" s="7" t="n"/>
      <c r="U317" s="8" t="n"/>
      <c r="V317" s="8" t="n"/>
      <c r="W317" s="7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15" t="n"/>
      <c r="AM317" s="16" t="n"/>
      <c r="AO317" s="44" t="n"/>
      <c r="AP317" s="44" t="n"/>
    </row>
    <row r="318" ht="15.5" customFormat="1" customHeight="1" s="1">
      <c r="A318" s="26" t="n"/>
      <c r="B318" s="7" t="n"/>
      <c r="C318" s="7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7" t="n"/>
      <c r="R318" s="8" t="n"/>
      <c r="S318" s="8" t="n"/>
      <c r="T318" s="7" t="n"/>
      <c r="U318" s="8" t="n"/>
      <c r="V318" s="8" t="n"/>
      <c r="W318" s="7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15" t="n"/>
      <c r="AM318" s="16" t="n"/>
      <c r="AO318" s="44" t="n"/>
      <c r="AP318" s="44" t="n"/>
    </row>
    <row r="319" ht="15.5" customFormat="1" customHeight="1" s="1">
      <c r="A319" s="26" t="n"/>
      <c r="B319" s="7" t="n"/>
      <c r="C319" s="7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7" t="n"/>
      <c r="R319" s="8" t="n"/>
      <c r="S319" s="8" t="n"/>
      <c r="T319" s="7" t="n"/>
      <c r="U319" s="8" t="n"/>
      <c r="V319" s="8" t="n"/>
      <c r="W319" s="7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15" t="n"/>
      <c r="AM319" s="16" t="n"/>
      <c r="AO319" s="44" t="n"/>
      <c r="AP319" s="44" t="n"/>
    </row>
    <row r="320" ht="15.5" customFormat="1" customHeight="1" s="1">
      <c r="A320" s="26" t="n"/>
      <c r="B320" s="7" t="n"/>
      <c r="C320" s="7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7" t="n"/>
      <c r="R320" s="8" t="n"/>
      <c r="S320" s="8" t="n"/>
      <c r="T320" s="7" t="n"/>
      <c r="U320" s="8" t="n"/>
      <c r="V320" s="8" t="n"/>
      <c r="W320" s="7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15" t="n"/>
      <c r="AM320" s="16" t="n"/>
      <c r="AO320" s="44" t="n"/>
      <c r="AP320" s="44" t="n"/>
    </row>
    <row r="321" ht="15.5" customFormat="1" customHeight="1" s="1">
      <c r="A321" s="26" t="n"/>
      <c r="B321" s="7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7" t="n"/>
      <c r="R321" s="8" t="n"/>
      <c r="S321" s="8" t="n"/>
      <c r="T321" s="7" t="n"/>
      <c r="U321" s="8" t="n"/>
      <c r="V321" s="8" t="n"/>
      <c r="W321" s="7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15" t="n"/>
      <c r="AM321" s="16" t="n"/>
      <c r="AO321" s="44" t="n"/>
      <c r="AP321" s="44" t="n"/>
    </row>
    <row r="322" ht="15.5" customFormat="1" customHeight="1" s="1">
      <c r="A322" s="26" t="n"/>
      <c r="B322" s="7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7" t="n"/>
      <c r="R322" s="8" t="n"/>
      <c r="S322" s="8" t="n"/>
      <c r="T322" s="7" t="n"/>
      <c r="U322" s="8" t="n"/>
      <c r="V322" s="8" t="n"/>
      <c r="W322" s="7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15" t="n"/>
      <c r="AM322" s="16" t="n"/>
      <c r="AO322" s="44" t="n"/>
      <c r="AP322" s="44" t="n"/>
    </row>
    <row r="323" ht="15.5" customFormat="1" customHeight="1" s="1">
      <c r="A323" s="26" t="n"/>
      <c r="B323" s="7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7" t="n"/>
      <c r="R323" s="8" t="n"/>
      <c r="S323" s="8" t="n"/>
      <c r="T323" s="7" t="n"/>
      <c r="U323" s="8" t="n"/>
      <c r="V323" s="8" t="n"/>
      <c r="W323" s="7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15" t="n"/>
      <c r="AM323" s="16" t="n"/>
      <c r="AO323" s="44" t="n"/>
      <c r="AP323" s="44" t="n"/>
    </row>
    <row r="324" ht="15.5" customFormat="1" customHeight="1" s="1">
      <c r="A324" s="26" t="n"/>
      <c r="B324" s="7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7" t="n"/>
      <c r="R324" s="8" t="n"/>
      <c r="S324" s="8" t="n"/>
      <c r="T324" s="7" t="n"/>
      <c r="U324" s="8" t="n"/>
      <c r="V324" s="8" t="n"/>
      <c r="W324" s="7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15" t="n"/>
      <c r="AM324" s="16" t="n"/>
      <c r="AO324" s="44" t="n"/>
      <c r="AP324" s="44" t="n"/>
    </row>
    <row r="325" ht="15.5" customFormat="1" customHeight="1" s="1">
      <c r="A325" s="26" t="n"/>
      <c r="B325" s="7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7" t="n"/>
      <c r="R325" s="8" t="n"/>
      <c r="S325" s="8" t="n"/>
      <c r="T325" s="7" t="n"/>
      <c r="U325" s="8" t="n"/>
      <c r="V325" s="8" t="n"/>
      <c r="W325" s="7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15" t="n"/>
      <c r="AM325" s="16" t="n"/>
      <c r="AO325" s="44" t="n"/>
      <c r="AP325" s="44" t="n"/>
    </row>
    <row r="326" ht="15.5" customFormat="1" customHeight="1" s="1">
      <c r="A326" s="26" t="n"/>
      <c r="B326" s="7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7" t="n"/>
      <c r="R326" s="8" t="n"/>
      <c r="S326" s="8" t="n"/>
      <c r="T326" s="7" t="n"/>
      <c r="U326" s="8" t="n"/>
      <c r="V326" s="8" t="n"/>
      <c r="W326" s="7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15" t="n"/>
      <c r="AM326" s="16" t="n"/>
      <c r="AO326" s="44" t="n"/>
      <c r="AP326" s="44" t="n"/>
    </row>
    <row r="327" ht="15.5" customFormat="1" customHeight="1" s="1">
      <c r="A327" s="26" t="n"/>
      <c r="B327" s="7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7" t="n"/>
      <c r="R327" s="8" t="n"/>
      <c r="S327" s="8" t="n"/>
      <c r="T327" s="7" t="n"/>
      <c r="U327" s="8" t="n"/>
      <c r="V327" s="8" t="n"/>
      <c r="W327" s="7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15" t="n"/>
      <c r="AM327" s="16" t="n"/>
      <c r="AO327" s="44" t="n"/>
      <c r="AP327" s="44" t="n"/>
    </row>
    <row r="328" ht="15.5" customFormat="1" customHeight="1" s="1">
      <c r="A328" s="26" t="n"/>
      <c r="B328" s="7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7" t="n"/>
      <c r="R328" s="8" t="n"/>
      <c r="S328" s="8" t="n"/>
      <c r="T328" s="7" t="n"/>
      <c r="U328" s="8" t="n"/>
      <c r="V328" s="8" t="n"/>
      <c r="W328" s="7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15" t="n"/>
      <c r="AM328" s="16" t="n"/>
      <c r="AO328" s="44" t="n"/>
      <c r="AP328" s="44" t="n"/>
    </row>
    <row r="329" ht="15.5" customFormat="1" customHeight="1" s="1">
      <c r="A329" s="26" t="n"/>
      <c r="B329" s="7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7" t="n"/>
      <c r="R329" s="8" t="n"/>
      <c r="S329" s="8" t="n"/>
      <c r="T329" s="7" t="n"/>
      <c r="U329" s="8" t="n"/>
      <c r="V329" s="8" t="n"/>
      <c r="W329" s="7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15" t="n"/>
      <c r="AM329" s="16" t="n"/>
      <c r="AO329" s="44" t="n"/>
      <c r="AP329" s="44" t="n"/>
    </row>
    <row r="330" ht="15.5" customFormat="1" customHeight="1" s="1">
      <c r="A330" s="26" t="n"/>
      <c r="B330" s="7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7" t="n"/>
      <c r="R330" s="8" t="n"/>
      <c r="S330" s="8" t="n"/>
      <c r="T330" s="7" t="n"/>
      <c r="U330" s="8" t="n"/>
      <c r="V330" s="8" t="n"/>
      <c r="W330" s="7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15" t="n"/>
      <c r="AM330" s="16" t="n"/>
      <c r="AO330" s="44" t="n"/>
      <c r="AP330" s="44" t="n"/>
    </row>
    <row r="331" ht="15.5" customFormat="1" customHeight="1" s="1">
      <c r="A331" s="26" t="n"/>
      <c r="B331" s="7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7" t="n"/>
      <c r="R331" s="8" t="n"/>
      <c r="S331" s="8" t="n"/>
      <c r="T331" s="7" t="n"/>
      <c r="U331" s="8" t="n"/>
      <c r="V331" s="8" t="n"/>
      <c r="W331" s="7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15" t="n"/>
      <c r="AM331" s="16" t="n"/>
      <c r="AO331" s="44" t="n"/>
      <c r="AP331" s="44" t="n"/>
    </row>
    <row r="332" ht="15.5" customFormat="1" customHeight="1" s="1">
      <c r="A332" s="26" t="n"/>
      <c r="B332" s="7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7" t="n"/>
      <c r="R332" s="8" t="n"/>
      <c r="S332" s="8" t="n"/>
      <c r="T332" s="7" t="n"/>
      <c r="U332" s="8" t="n"/>
      <c r="V332" s="8" t="n"/>
      <c r="W332" s="7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15" t="n"/>
      <c r="AM332" s="16" t="n"/>
      <c r="AO332" s="44" t="n"/>
      <c r="AP332" s="44" t="n"/>
    </row>
    <row r="333" ht="15.5" customFormat="1" customHeight="1" s="1">
      <c r="A333" s="26" t="n"/>
      <c r="B333" s="7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7" t="n"/>
      <c r="R333" s="8" t="n"/>
      <c r="S333" s="8" t="n"/>
      <c r="T333" s="7" t="n"/>
      <c r="U333" s="8" t="n"/>
      <c r="V333" s="8" t="n"/>
      <c r="W333" s="7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15" t="n"/>
      <c r="AM333" s="16" t="n"/>
      <c r="AO333" s="44" t="n"/>
      <c r="AP333" s="44" t="n"/>
    </row>
    <row r="334" ht="15.5" customFormat="1" customHeight="1" s="1">
      <c r="A334" s="26" t="n"/>
      <c r="B334" s="7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7" t="n"/>
      <c r="R334" s="8" t="n"/>
      <c r="S334" s="8" t="n"/>
      <c r="T334" s="7" t="n"/>
      <c r="U334" s="8" t="n"/>
      <c r="V334" s="8" t="n"/>
      <c r="W334" s="7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15" t="n"/>
      <c r="AM334" s="16" t="n"/>
      <c r="AO334" s="44" t="n"/>
      <c r="AP334" s="44" t="n"/>
    </row>
    <row r="335" ht="15.5" customFormat="1" customHeight="1" s="1">
      <c r="A335" s="26" t="n"/>
      <c r="B335" s="7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7" t="n"/>
      <c r="R335" s="8" t="n"/>
      <c r="S335" s="8" t="n"/>
      <c r="T335" s="7" t="n"/>
      <c r="U335" s="8" t="n"/>
      <c r="V335" s="8" t="n"/>
      <c r="W335" s="7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15" t="n"/>
      <c r="AM335" s="16" t="n"/>
      <c r="AO335" s="44" t="n"/>
      <c r="AP335" s="44" t="n"/>
    </row>
    <row r="336" ht="15.5" customFormat="1" customHeight="1" s="1">
      <c r="A336" s="26" t="n"/>
      <c r="B336" s="7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7" t="n"/>
      <c r="R336" s="8" t="n"/>
      <c r="S336" s="8" t="n"/>
      <c r="T336" s="7" t="n"/>
      <c r="U336" s="8" t="n"/>
      <c r="V336" s="8" t="n"/>
      <c r="W336" s="7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15" t="n"/>
      <c r="AM336" s="16" t="n"/>
      <c r="AO336" s="44" t="n"/>
      <c r="AP336" s="44" t="n"/>
    </row>
    <row r="337" ht="15.5" customFormat="1" customHeight="1" s="1">
      <c r="A337" s="26" t="n"/>
      <c r="B337" s="7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7" t="n"/>
      <c r="R337" s="8" t="n"/>
      <c r="S337" s="8" t="n"/>
      <c r="T337" s="7" t="n"/>
      <c r="U337" s="8" t="n"/>
      <c r="V337" s="8" t="n"/>
      <c r="W337" s="7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15" t="n"/>
      <c r="AM337" s="16" t="n"/>
      <c r="AO337" s="44" t="n"/>
      <c r="AP337" s="44" t="n"/>
    </row>
    <row r="338" ht="15.5" customFormat="1" customHeight="1" s="1">
      <c r="A338" s="26" t="n"/>
      <c r="B338" s="7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7" t="n"/>
      <c r="R338" s="8" t="n"/>
      <c r="S338" s="8" t="n"/>
      <c r="T338" s="7" t="n"/>
      <c r="U338" s="8" t="n"/>
      <c r="V338" s="8" t="n"/>
      <c r="W338" s="7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15" t="n"/>
      <c r="AM338" s="16" t="n"/>
      <c r="AO338" s="44" t="n"/>
      <c r="AP338" s="44" t="n"/>
    </row>
    <row r="339" ht="15.5" customFormat="1" customHeight="1" s="1">
      <c r="A339" s="26" t="n"/>
      <c r="B339" s="7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7" t="n"/>
      <c r="R339" s="8" t="n"/>
      <c r="S339" s="8" t="n"/>
      <c r="T339" s="7" t="n"/>
      <c r="U339" s="8" t="n"/>
      <c r="V339" s="8" t="n"/>
      <c r="W339" s="7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15" t="n"/>
      <c r="AM339" s="16" t="n"/>
      <c r="AO339" s="44" t="n"/>
      <c r="AP339" s="44" t="n"/>
    </row>
    <row r="340" ht="15.5" customFormat="1" customHeight="1" s="1">
      <c r="A340" s="26" t="n"/>
      <c r="B340" s="7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7" t="n"/>
      <c r="R340" s="8" t="n"/>
      <c r="S340" s="8" t="n"/>
      <c r="T340" s="7" t="n"/>
      <c r="U340" s="8" t="n"/>
      <c r="V340" s="8" t="n"/>
      <c r="W340" s="7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15" t="n"/>
      <c r="AM340" s="16" t="n"/>
      <c r="AO340" s="44" t="n"/>
      <c r="AP340" s="44" t="n"/>
    </row>
    <row r="341" ht="15.5" customFormat="1" customHeight="1" s="1">
      <c r="A341" s="26" t="n"/>
      <c r="B341" s="7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7" t="n"/>
      <c r="R341" s="8" t="n"/>
      <c r="S341" s="8" t="n"/>
      <c r="T341" s="7" t="n"/>
      <c r="U341" s="8" t="n"/>
      <c r="V341" s="8" t="n"/>
      <c r="W341" s="7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15" t="n"/>
      <c r="AM341" s="16" t="n"/>
      <c r="AO341" s="44" t="n"/>
      <c r="AP341" s="44" t="n"/>
    </row>
    <row r="342" ht="15.5" customFormat="1" customHeight="1" s="1">
      <c r="A342" s="26" t="n"/>
      <c r="B342" s="7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7" t="n"/>
      <c r="R342" s="8" t="n"/>
      <c r="S342" s="8" t="n"/>
      <c r="T342" s="7" t="n"/>
      <c r="U342" s="8" t="n"/>
      <c r="V342" s="8" t="n"/>
      <c r="W342" s="7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15" t="n"/>
      <c r="AM342" s="16" t="n"/>
      <c r="AO342" s="44" t="n"/>
      <c r="AP342" s="44" t="n"/>
    </row>
    <row r="343" ht="15.5" customFormat="1" customHeight="1" s="1">
      <c r="A343" s="26" t="n"/>
      <c r="B343" s="7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7" t="n"/>
      <c r="R343" s="8" t="n"/>
      <c r="S343" s="8" t="n"/>
      <c r="T343" s="7" t="n"/>
      <c r="U343" s="8" t="n"/>
      <c r="V343" s="8" t="n"/>
      <c r="W343" s="7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15" t="n"/>
      <c r="AM343" s="16" t="n"/>
      <c r="AO343" s="44" t="n"/>
      <c r="AP343" s="44" t="n"/>
    </row>
    <row r="344" ht="15.5" customFormat="1" customHeight="1" s="1">
      <c r="A344" s="26" t="n"/>
      <c r="B344" s="7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7" t="n"/>
      <c r="R344" s="8" t="n"/>
      <c r="S344" s="8" t="n"/>
      <c r="T344" s="7" t="n"/>
      <c r="U344" s="8" t="n"/>
      <c r="V344" s="8" t="n"/>
      <c r="W344" s="7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15" t="n"/>
      <c r="AM344" s="16" t="n"/>
      <c r="AO344" s="44" t="n"/>
      <c r="AP344" s="44" t="n"/>
    </row>
    <row r="345" ht="15.5" customFormat="1" customHeight="1" s="1">
      <c r="A345" s="26" t="n"/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7" t="n"/>
      <c r="R345" s="8" t="n"/>
      <c r="S345" s="8" t="n"/>
      <c r="T345" s="7" t="n"/>
      <c r="U345" s="8" t="n"/>
      <c r="V345" s="8" t="n"/>
      <c r="W345" s="7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15" t="n"/>
      <c r="AM345" s="16" t="n"/>
      <c r="AO345" s="44" t="n"/>
      <c r="AP345" s="44" t="n"/>
    </row>
    <row r="346" ht="15.5" customFormat="1" customHeight="1" s="1">
      <c r="A346" s="26" t="n"/>
      <c r="B346" s="7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7" t="n"/>
      <c r="R346" s="8" t="n"/>
      <c r="S346" s="8" t="n"/>
      <c r="T346" s="7" t="n"/>
      <c r="U346" s="8" t="n"/>
      <c r="V346" s="8" t="n"/>
      <c r="W346" s="7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15" t="n"/>
      <c r="AM346" s="16" t="n"/>
      <c r="AO346" s="44" t="n"/>
      <c r="AP346" s="44" t="n"/>
    </row>
    <row r="347" ht="15.5" customFormat="1" customHeight="1" s="1">
      <c r="A347" s="26" t="n"/>
      <c r="B347" s="7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7" t="n"/>
      <c r="R347" s="8" t="n"/>
      <c r="S347" s="8" t="n"/>
      <c r="T347" s="7" t="n"/>
      <c r="U347" s="8" t="n"/>
      <c r="V347" s="8" t="n"/>
      <c r="W347" s="7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15" t="n"/>
      <c r="AM347" s="16" t="n"/>
      <c r="AO347" s="44" t="n"/>
      <c r="AP347" s="44" t="n"/>
    </row>
    <row r="348" ht="15.5" customFormat="1" customHeight="1" s="1">
      <c r="A348" s="26" t="n"/>
      <c r="B348" s="7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7" t="n"/>
      <c r="R348" s="8" t="n"/>
      <c r="S348" s="8" t="n"/>
      <c r="T348" s="7" t="n"/>
      <c r="U348" s="8" t="n"/>
      <c r="V348" s="8" t="n"/>
      <c r="W348" s="7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15" t="n"/>
      <c r="AM348" s="16" t="n"/>
      <c r="AO348" s="44" t="n"/>
      <c r="AP348" s="44" t="n"/>
    </row>
    <row r="349" ht="15.5" customFormat="1" customHeight="1" s="1">
      <c r="A349" s="26" t="n"/>
      <c r="B349" s="7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7" t="n"/>
      <c r="R349" s="8" t="n"/>
      <c r="S349" s="8" t="n"/>
      <c r="T349" s="7" t="n"/>
      <c r="U349" s="8" t="n"/>
      <c r="V349" s="8" t="n"/>
      <c r="W349" s="7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15" t="n"/>
      <c r="AM349" s="16" t="n"/>
      <c r="AO349" s="44" t="n"/>
      <c r="AP349" s="44" t="n"/>
    </row>
    <row r="350" ht="15.5" customFormat="1" customHeight="1" s="1">
      <c r="A350" s="26" t="n"/>
      <c r="B350" s="7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7" t="n"/>
      <c r="R350" s="8" t="n"/>
      <c r="S350" s="8" t="n"/>
      <c r="T350" s="7" t="n"/>
      <c r="U350" s="8" t="n"/>
      <c r="V350" s="8" t="n"/>
      <c r="W350" s="7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15" t="n"/>
      <c r="AM350" s="16" t="n"/>
      <c r="AO350" s="44" t="n"/>
      <c r="AP350" s="44" t="n"/>
    </row>
    <row r="351" ht="15.5" customFormat="1" customHeight="1" s="1">
      <c r="A351" s="26" t="n"/>
      <c r="B351" s="7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7" t="n"/>
      <c r="R351" s="8" t="n"/>
      <c r="S351" s="8" t="n"/>
      <c r="T351" s="7" t="n"/>
      <c r="U351" s="8" t="n"/>
      <c r="V351" s="8" t="n"/>
      <c r="W351" s="7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15" t="n"/>
      <c r="AM351" s="16" t="n"/>
      <c r="AO351" s="44" t="n"/>
      <c r="AP351" s="44" t="n"/>
    </row>
    <row r="352" ht="15.5" customFormat="1" customHeight="1" s="1">
      <c r="A352" s="26" t="n"/>
      <c r="B352" s="7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7" t="n"/>
      <c r="R352" s="8" t="n"/>
      <c r="S352" s="8" t="n"/>
      <c r="T352" s="7" t="n"/>
      <c r="U352" s="8" t="n"/>
      <c r="V352" s="8" t="n"/>
      <c r="W352" s="7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15" t="n"/>
      <c r="AM352" s="16" t="n"/>
      <c r="AO352" s="44" t="n"/>
      <c r="AP352" s="44" t="n"/>
    </row>
    <row r="353" ht="15.5" customFormat="1" customHeight="1" s="1">
      <c r="A353" s="26" t="n"/>
      <c r="B353" s="7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7" t="n"/>
      <c r="R353" s="8" t="n"/>
      <c r="S353" s="8" t="n"/>
      <c r="T353" s="7" t="n"/>
      <c r="U353" s="8" t="n"/>
      <c r="V353" s="8" t="n"/>
      <c r="W353" s="7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15" t="n"/>
      <c r="AM353" s="16" t="n"/>
      <c r="AO353" s="44" t="n"/>
      <c r="AP353" s="44" t="n"/>
    </row>
    <row r="354" ht="15.5" customFormat="1" customHeight="1" s="1">
      <c r="A354" s="26" t="n"/>
      <c r="B354" s="7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7" t="n"/>
      <c r="R354" s="8" t="n"/>
      <c r="S354" s="8" t="n"/>
      <c r="T354" s="7" t="n"/>
      <c r="U354" s="8" t="n"/>
      <c r="V354" s="8" t="n"/>
      <c r="W354" s="7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15" t="n"/>
      <c r="AM354" s="16" t="n"/>
      <c r="AO354" s="44" t="n"/>
      <c r="AP354" s="44" t="n"/>
    </row>
    <row r="355" ht="15.5" customFormat="1" customHeight="1" s="1">
      <c r="A355" s="26" t="n"/>
      <c r="B355" s="7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7" t="n"/>
      <c r="R355" s="8" t="n"/>
      <c r="S355" s="8" t="n"/>
      <c r="T355" s="7" t="n"/>
      <c r="U355" s="8" t="n"/>
      <c r="V355" s="8" t="n"/>
      <c r="W355" s="7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15" t="n"/>
      <c r="AM355" s="16" t="n"/>
      <c r="AO355" s="44" t="n"/>
      <c r="AP355" s="44" t="n"/>
    </row>
    <row r="356" ht="15.5" customFormat="1" customHeight="1" s="1">
      <c r="A356" s="26" t="n"/>
      <c r="B356" s="7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7" t="n"/>
      <c r="R356" s="8" t="n"/>
      <c r="S356" s="8" t="n"/>
      <c r="T356" s="7" t="n"/>
      <c r="U356" s="8" t="n"/>
      <c r="V356" s="8" t="n"/>
      <c r="W356" s="7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15" t="n"/>
      <c r="AM356" s="16" t="n"/>
      <c r="AO356" s="44" t="n"/>
      <c r="AP356" s="44" t="n"/>
    </row>
    <row r="357" ht="15.5" customFormat="1" customHeight="1" s="1">
      <c r="A357" s="26" t="n"/>
      <c r="B357" s="7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7" t="n"/>
      <c r="R357" s="8" t="n"/>
      <c r="S357" s="8" t="n"/>
      <c r="T357" s="7" t="n"/>
      <c r="U357" s="8" t="n"/>
      <c r="V357" s="8" t="n"/>
      <c r="W357" s="7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15" t="n"/>
      <c r="AM357" s="16" t="n"/>
      <c r="AO357" s="44" t="n"/>
      <c r="AP357" s="44" t="n"/>
    </row>
    <row r="358" ht="15.5" customFormat="1" customHeight="1" s="1">
      <c r="A358" s="26" t="n"/>
      <c r="B358" s="7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7" t="n"/>
      <c r="R358" s="8" t="n"/>
      <c r="S358" s="8" t="n"/>
      <c r="T358" s="7" t="n"/>
      <c r="U358" s="8" t="n"/>
      <c r="V358" s="8" t="n"/>
      <c r="W358" s="7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15" t="n"/>
      <c r="AM358" s="16" t="n"/>
      <c r="AO358" s="44" t="n"/>
      <c r="AP358" s="44" t="n"/>
    </row>
    <row r="359" ht="15.5" customFormat="1" customHeight="1" s="1">
      <c r="A359" s="26" t="n"/>
      <c r="B359" s="7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7" t="n"/>
      <c r="R359" s="8" t="n"/>
      <c r="S359" s="8" t="n"/>
      <c r="T359" s="7" t="n"/>
      <c r="U359" s="8" t="n"/>
      <c r="V359" s="8" t="n"/>
      <c r="W359" s="7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15" t="n"/>
      <c r="AM359" s="16" t="n"/>
      <c r="AO359" s="44" t="n"/>
      <c r="AP359" s="44" t="n"/>
    </row>
    <row r="360" ht="15.5" customFormat="1" customHeight="1" s="1">
      <c r="A360" s="26" t="n"/>
      <c r="B360" s="7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7" t="n"/>
      <c r="R360" s="8" t="n"/>
      <c r="S360" s="8" t="n"/>
      <c r="T360" s="7" t="n"/>
      <c r="U360" s="8" t="n"/>
      <c r="V360" s="8" t="n"/>
      <c r="W360" s="7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15" t="n"/>
      <c r="AM360" s="16" t="n"/>
      <c r="AO360" s="44" t="n"/>
      <c r="AP360" s="44" t="n"/>
    </row>
    <row r="361" ht="15.5" customFormat="1" customHeight="1" s="1">
      <c r="A361" s="26" t="n"/>
      <c r="B361" s="7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7" t="n"/>
      <c r="R361" s="8" t="n"/>
      <c r="S361" s="8" t="n"/>
      <c r="T361" s="7" t="n"/>
      <c r="U361" s="8" t="n"/>
      <c r="V361" s="8" t="n"/>
      <c r="W361" s="7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15" t="n"/>
      <c r="AM361" s="16" t="n"/>
      <c r="AO361" s="44" t="n"/>
      <c r="AP361" s="44" t="n"/>
    </row>
    <row r="362" ht="15.5" customFormat="1" customHeight="1" s="1">
      <c r="A362" s="26" t="n"/>
      <c r="B362" s="7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7" t="n"/>
      <c r="R362" s="8" t="n"/>
      <c r="S362" s="8" t="n"/>
      <c r="T362" s="7" t="n"/>
      <c r="U362" s="8" t="n"/>
      <c r="V362" s="8" t="n"/>
      <c r="W362" s="7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15" t="n"/>
      <c r="AM362" s="16" t="n"/>
      <c r="AO362" s="44" t="n"/>
      <c r="AP362" s="44" t="n"/>
    </row>
    <row r="363" ht="15.5" customFormat="1" customHeight="1" s="1">
      <c r="A363" s="26" t="n"/>
      <c r="B363" s="7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7" t="n"/>
      <c r="R363" s="8" t="n"/>
      <c r="S363" s="8" t="n"/>
      <c r="T363" s="7" t="n"/>
      <c r="U363" s="8" t="n"/>
      <c r="V363" s="8" t="n"/>
      <c r="W363" s="7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15" t="n"/>
      <c r="AM363" s="16" t="n"/>
      <c r="AO363" s="44" t="n"/>
      <c r="AP363" s="44" t="n"/>
    </row>
  </sheetData>
  <mergeCells count="13">
    <mergeCell ref="Q1:R1"/>
    <mergeCell ref="AF1:AG1"/>
    <mergeCell ref="E1:F1"/>
    <mergeCell ref="K1:L1"/>
    <mergeCell ref="H1:I1"/>
    <mergeCell ref="T1:U1"/>
    <mergeCell ref="AL1:AM1"/>
    <mergeCell ref="W1:X1"/>
    <mergeCell ref="Z1:AA1"/>
    <mergeCell ref="AC1:AD1"/>
    <mergeCell ref="AI1:AJ1"/>
    <mergeCell ref="B1:C1"/>
    <mergeCell ref="N1:O1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3"/>
  <sheetViews>
    <sheetView showGridLines="0" zoomScale="55" zoomScaleNormal="55" workbookViewId="0">
      <pane xSplit="1" ySplit="4" topLeftCell="S251" activePane="bottomRight" state="frozen"/>
      <selection pane="topRight" activeCell="AJ297" sqref="AJ297"/>
      <selection pane="bottomLeft" activeCell="AJ297" sqref="AJ297"/>
      <selection pane="bottomRight" activeCell="AI270" sqref="AI270:AI272"/>
    </sheetView>
  </sheetViews>
  <sheetFormatPr baseColWidth="8" defaultColWidth="9.1796875" defaultRowHeight="14.5"/>
  <cols>
    <col width="51.54296875" bestFit="1" customWidth="1" style="4" min="1" max="1"/>
    <col width="14.453125" customWidth="1" style="9" min="2" max="3"/>
    <col width="2.453125" customWidth="1" style="9" min="4" max="4"/>
    <col width="14.453125" customWidth="1" style="9" min="5" max="6"/>
    <col width="2.1796875" customWidth="1" style="9" min="7" max="7"/>
    <col width="14.453125" customWidth="1" style="9" min="8" max="8"/>
    <col width="15.1796875" customWidth="1" style="9" min="9" max="9"/>
    <col width="2.453125" customWidth="1" style="9" min="10" max="10"/>
    <col width="14.453125" customWidth="1" style="9" min="11" max="12"/>
    <col width="2.81640625" customWidth="1" style="9" min="13" max="13"/>
    <col width="14.453125" customWidth="1" style="9" min="14" max="15"/>
    <col width="2.81640625" customWidth="1" style="9" min="16" max="16"/>
    <col width="14.453125" customWidth="1" style="9" min="17" max="17"/>
    <col width="17.1796875" customWidth="1" style="9" min="18" max="18"/>
    <col width="2.81640625" customWidth="1" style="9" min="19" max="19"/>
    <col width="14.453125" customWidth="1" style="9" min="20" max="21"/>
    <col width="5.81640625" customWidth="1" style="9" min="22" max="22"/>
    <col width="14.453125" customWidth="1" style="9" min="23" max="24"/>
    <col width="5.1796875" customWidth="1" style="9" min="25" max="25"/>
    <col width="14.453125" customWidth="1" style="9" min="26" max="27"/>
    <col width="6.54296875" customWidth="1" style="9" min="28" max="28"/>
    <col width="14.453125" customWidth="1" style="9" min="29" max="30"/>
    <col width="6.54296875" customWidth="1" style="9" min="31" max="31"/>
    <col width="14.453125" customWidth="1" style="9" min="32" max="33"/>
    <col width="2.81640625" customWidth="1" style="9" min="34" max="34"/>
    <col width="14.453125" customWidth="1" style="9" min="35" max="36"/>
    <col width="3.81640625" customWidth="1" style="9" min="37" max="37"/>
    <col width="14.453125" customWidth="1" style="9" min="38" max="38"/>
    <col width="10.453125" customWidth="1" style="6" min="39" max="39"/>
    <col width="12.1796875" bestFit="1" customWidth="1" min="40" max="40"/>
    <col width="9.1796875" customWidth="1" min="41" max="42"/>
    <col width="14.26953125" bestFit="1" customWidth="1" min="44" max="44"/>
    <col width="14.453125" bestFit="1" customWidth="1" min="45" max="45"/>
    <col width="12.1796875" customWidth="1" min="46" max="46"/>
    <col width="20.1796875" bestFit="1" customWidth="1" min="48" max="49"/>
    <col width="12.453125" bestFit="1" customWidth="1" min="50" max="50"/>
  </cols>
  <sheetData>
    <row r="1" customFormat="1" s="42">
      <c r="A1" s="59">
        <f>'C-TRY'!A1</f>
        <v/>
      </c>
      <c r="B1" s="463" t="inlineStr">
        <is>
          <t>OCAK</t>
        </is>
      </c>
      <c r="C1" s="464" t="n"/>
      <c r="D1" s="39" t="n"/>
      <c r="E1" s="463" t="inlineStr">
        <is>
          <t>ŞUBAT</t>
        </is>
      </c>
      <c r="F1" s="464" t="n"/>
      <c r="G1" s="39" t="n"/>
      <c r="H1" s="463" t="inlineStr">
        <is>
          <t>MART</t>
        </is>
      </c>
      <c r="I1" s="464" t="n"/>
      <c r="J1" s="39" t="n"/>
      <c r="K1" s="463" t="inlineStr">
        <is>
          <t>NİSAN</t>
        </is>
      </c>
      <c r="L1" s="464" t="n"/>
      <c r="M1" s="39" t="n"/>
      <c r="N1" s="463" t="inlineStr">
        <is>
          <t>MAYIS</t>
        </is>
      </c>
      <c r="O1" s="464" t="n"/>
      <c r="P1" s="39" t="n"/>
      <c r="Q1" s="463" t="inlineStr">
        <is>
          <t>HAZİRAN</t>
        </is>
      </c>
      <c r="R1" s="464" t="n"/>
      <c r="S1" s="39" t="n"/>
      <c r="T1" s="463" t="inlineStr">
        <is>
          <t>TEMMUZ</t>
        </is>
      </c>
      <c r="U1" s="464" t="n"/>
      <c r="V1" s="39" t="n"/>
      <c r="W1" s="463" t="inlineStr">
        <is>
          <t>AĞUSTOS</t>
        </is>
      </c>
      <c r="X1" s="464" t="n"/>
      <c r="Y1" s="39" t="n"/>
      <c r="Z1" s="463" t="inlineStr">
        <is>
          <t>EYLÜL</t>
        </is>
      </c>
      <c r="AA1" s="464" t="n"/>
      <c r="AB1" s="39" t="n"/>
      <c r="AC1" s="463" t="inlineStr">
        <is>
          <t>EKİM</t>
        </is>
      </c>
      <c r="AD1" s="464" t="n"/>
      <c r="AE1" s="39" t="n"/>
      <c r="AF1" s="463" t="inlineStr">
        <is>
          <t>KASIM</t>
        </is>
      </c>
      <c r="AG1" s="464" t="n"/>
      <c r="AH1" s="39" t="n"/>
      <c r="AI1" s="463" t="inlineStr">
        <is>
          <t>ARALIK</t>
        </is>
      </c>
      <c r="AJ1" s="464" t="n"/>
      <c r="AK1" s="39" t="n"/>
      <c r="AL1" s="448" t="n"/>
      <c r="AM1" s="464" t="n"/>
    </row>
    <row r="2" customFormat="1" s="1">
      <c r="A2" s="3" t="n"/>
      <c r="B2" s="11" t="inlineStr">
        <is>
          <t>Budget</t>
        </is>
      </c>
      <c r="C2" s="11" t="inlineStr">
        <is>
          <t>Actual</t>
        </is>
      </c>
      <c r="D2" s="8" t="n"/>
      <c r="E2" s="11" t="inlineStr">
        <is>
          <t>Budget</t>
        </is>
      </c>
      <c r="F2" s="11" t="inlineStr">
        <is>
          <t>Actual</t>
        </is>
      </c>
      <c r="G2" s="8" t="n"/>
      <c r="H2" s="11" t="inlineStr">
        <is>
          <t>Budget</t>
        </is>
      </c>
      <c r="I2" s="11" t="inlineStr">
        <is>
          <t>Actual</t>
        </is>
      </c>
      <c r="J2" s="8" t="n"/>
      <c r="K2" s="11" t="inlineStr">
        <is>
          <t>Budget</t>
        </is>
      </c>
      <c r="L2" s="11" t="inlineStr">
        <is>
          <t>Actual</t>
        </is>
      </c>
      <c r="M2" s="8" t="n"/>
      <c r="N2" s="11" t="inlineStr">
        <is>
          <t>Budget</t>
        </is>
      </c>
      <c r="O2" s="11" t="inlineStr">
        <is>
          <t>Actual</t>
        </is>
      </c>
      <c r="P2" s="8" t="n"/>
      <c r="Q2" s="11" t="inlineStr">
        <is>
          <t>Budget</t>
        </is>
      </c>
      <c r="R2" s="11" t="inlineStr">
        <is>
          <t>Actual</t>
        </is>
      </c>
      <c r="S2" s="8" t="n"/>
      <c r="T2" s="11" t="inlineStr">
        <is>
          <t>Budget</t>
        </is>
      </c>
      <c r="U2" s="11" t="inlineStr">
        <is>
          <t>Actual</t>
        </is>
      </c>
      <c r="V2" s="8" t="n"/>
      <c r="W2" s="11" t="inlineStr">
        <is>
          <t>Budget</t>
        </is>
      </c>
      <c r="X2" s="11" t="inlineStr">
        <is>
          <t>Actual</t>
        </is>
      </c>
      <c r="Y2" s="8" t="n"/>
      <c r="Z2" s="11" t="inlineStr">
        <is>
          <t>Budget</t>
        </is>
      </c>
      <c r="AA2" s="11" t="inlineStr">
        <is>
          <t>Actual</t>
        </is>
      </c>
      <c r="AB2" s="8" t="n"/>
      <c r="AC2" s="11" t="inlineStr">
        <is>
          <t>Budget</t>
        </is>
      </c>
      <c r="AD2" s="11" t="inlineStr">
        <is>
          <t>Actual</t>
        </is>
      </c>
      <c r="AE2" s="8" t="n"/>
      <c r="AF2" s="11" t="inlineStr">
        <is>
          <t>Budget</t>
        </is>
      </c>
      <c r="AG2" s="11" t="inlineStr">
        <is>
          <t>Actual</t>
        </is>
      </c>
      <c r="AH2" s="8" t="n"/>
      <c r="AI2" s="11" t="inlineStr">
        <is>
          <t>Budget</t>
        </is>
      </c>
      <c r="AJ2" s="11" t="inlineStr">
        <is>
          <t>Actual</t>
        </is>
      </c>
      <c r="AK2" s="8" t="n"/>
      <c r="AL2" s="11" t="inlineStr">
        <is>
          <t>Difference</t>
        </is>
      </c>
      <c r="AM2" s="11" t="inlineStr">
        <is>
          <t>Variance %</t>
        </is>
      </c>
      <c r="AO2" s="43" t="inlineStr">
        <is>
          <t>Budget</t>
        </is>
      </c>
      <c r="AP2" s="43" t="inlineStr">
        <is>
          <t>Actual</t>
        </is>
      </c>
    </row>
    <row r="3" ht="15.5" customHeight="1">
      <c r="A3" s="2" t="inlineStr">
        <is>
          <t>Eur Kapanış</t>
        </is>
      </c>
      <c r="B3" s="465">
        <f>'C-TRY'!B3</f>
        <v/>
      </c>
      <c r="C3" s="465">
        <f>'C-TRY'!C3</f>
        <v/>
      </c>
      <c r="D3" s="465">
        <f>'C-TRY'!D3</f>
        <v/>
      </c>
      <c r="E3" s="465">
        <f>'C-TRY'!E3</f>
        <v/>
      </c>
      <c r="F3" s="465">
        <f>'C-TRY'!F3</f>
        <v/>
      </c>
      <c r="G3" s="465">
        <f>'C-TRY'!G3</f>
        <v/>
      </c>
      <c r="H3" s="465">
        <f>'C-TRY'!H3</f>
        <v/>
      </c>
      <c r="I3" s="465">
        <f>'C-TRY'!I3</f>
        <v/>
      </c>
      <c r="J3" s="465" t="n"/>
      <c r="K3" s="465">
        <f>'C-TRY'!K3</f>
        <v/>
      </c>
      <c r="L3" s="465">
        <f>'C-TRY'!L3</f>
        <v/>
      </c>
      <c r="M3" s="465">
        <f>'C-TRY'!M3</f>
        <v/>
      </c>
      <c r="N3" s="465">
        <f>'C-TRY'!N3</f>
        <v/>
      </c>
      <c r="O3" s="465">
        <f>'C-TRY'!O3</f>
        <v/>
      </c>
      <c r="P3" s="465">
        <f>'C-TRY'!P3</f>
        <v/>
      </c>
      <c r="Q3" s="465">
        <f>'C-TRY'!Q3</f>
        <v/>
      </c>
      <c r="R3" s="465">
        <f>'C-TRY'!R3</f>
        <v/>
      </c>
      <c r="S3" s="465" t="n"/>
      <c r="T3" s="465">
        <f>'C-TRY'!T3</f>
        <v/>
      </c>
      <c r="U3" s="465">
        <f>'C-TRY'!U3</f>
        <v/>
      </c>
      <c r="V3" s="465" t="n"/>
      <c r="W3" s="465">
        <f>'C-TRY'!W3</f>
        <v/>
      </c>
      <c r="X3" s="465">
        <f>'C-TRY'!X3</f>
        <v/>
      </c>
      <c r="Y3" s="465">
        <f>'C-TRY'!Y3</f>
        <v/>
      </c>
      <c r="Z3" s="465">
        <f>'C-TRY'!Z3</f>
        <v/>
      </c>
      <c r="AA3" s="465">
        <f>'C-TRY'!AA3</f>
        <v/>
      </c>
      <c r="AB3" s="465" t="n"/>
      <c r="AC3" s="465">
        <f>'C-TRY'!AC3</f>
        <v/>
      </c>
      <c r="AD3" s="465">
        <f>'C-TRY'!AD3</f>
        <v/>
      </c>
      <c r="AE3" s="465">
        <f>'C-TRY'!AE3</f>
        <v/>
      </c>
      <c r="AF3" s="465">
        <f>'C-TRY'!AF3</f>
        <v/>
      </c>
      <c r="AG3" s="465">
        <f>'C-TRY'!AG3</f>
        <v/>
      </c>
      <c r="AH3" s="465">
        <f>'C-TRY'!AH3</f>
        <v/>
      </c>
      <c r="AI3" s="465">
        <f>'C-TRY'!AI3</f>
        <v/>
      </c>
      <c r="AJ3" s="465">
        <f>'C-TRY'!AJ3</f>
        <v/>
      </c>
      <c r="AK3" s="465" t="n"/>
      <c r="AL3" s="25">
        <f>AP3-AO3</f>
        <v/>
      </c>
      <c r="AM3" s="22">
        <f>AP3/AO3-1</f>
        <v/>
      </c>
      <c r="AO3" s="44">
        <f>IF($A$1=$B$1,B3,IF($A$1=$E$1,E3,IF($A$1=$H$1,H3,IF($A$1=$K$1,K3,IF($A$1=$N$1,N3,IF($A$1=$Q$1,Q3,IF($A$1=$T$1,T3,IF($A$1=$W$1,W3,IF($A$1=$Z$1,Z3,IF($A$1=$AC$1,AC3,IF($A$1=$AF$1,AF3,IF($A$1=$AI$1,AI3))))))))))))</f>
        <v/>
      </c>
      <c r="AP3" s="44">
        <f>IF($A$1=$B$1,C3,IF($A$1=$E$1,F3,IF($A$1=$H$1,I3,IF($A$1=$K$1,L3,IF($A$1=$N$1,O3,IF($A$1=$Q$1,R3,IF($A$1=$T$1,U3,IF($A$1=$W$1,X3,IF($A$1=$Z$1,AA3,IF($A$1=$AC$1,AD3,IF($A$1=$AF$1,AG3,IF($A$1=$AI$1,AJ3))))))))))))</f>
        <v/>
      </c>
    </row>
    <row r="4" ht="15.5" customHeight="1">
      <c r="A4" s="2" t="inlineStr">
        <is>
          <t>Eur Ortalama</t>
        </is>
      </c>
      <c r="B4" s="465">
        <f>'C-TRY'!B4</f>
        <v/>
      </c>
      <c r="C4" s="465">
        <f>'C-TRY'!C4</f>
        <v/>
      </c>
      <c r="D4" s="465">
        <f>'C-TRY'!D4</f>
        <v/>
      </c>
      <c r="E4" s="465">
        <f>'C-TRY'!E4</f>
        <v/>
      </c>
      <c r="F4" s="465">
        <f>'C-TRY'!F4</f>
        <v/>
      </c>
      <c r="G4" s="465">
        <f>'C-TRY'!G4</f>
        <v/>
      </c>
      <c r="H4" s="465">
        <f>'C-TRY'!H4</f>
        <v/>
      </c>
      <c r="I4" s="465">
        <f>'C-TRY'!I4</f>
        <v/>
      </c>
      <c r="J4" s="465" t="n"/>
      <c r="K4" s="465">
        <f>'C-TRY'!K4</f>
        <v/>
      </c>
      <c r="L4" s="465">
        <f>'C-TRY'!L4</f>
        <v/>
      </c>
      <c r="M4" s="465">
        <f>'C-TRY'!M4</f>
        <v/>
      </c>
      <c r="N4" s="465">
        <f>'C-TRY'!N4</f>
        <v/>
      </c>
      <c r="O4" s="465">
        <f>'C-TRY'!O4</f>
        <v/>
      </c>
      <c r="P4" s="465">
        <f>'C-TRY'!P4</f>
        <v/>
      </c>
      <c r="Q4" s="465">
        <f>'C-TRY'!Q4</f>
        <v/>
      </c>
      <c r="R4" s="465">
        <f>'C-TRY'!R4</f>
        <v/>
      </c>
      <c r="S4" s="465" t="n"/>
      <c r="T4" s="465">
        <f>'C-TRY'!T4</f>
        <v/>
      </c>
      <c r="U4" s="465">
        <f>'C-TRY'!U4</f>
        <v/>
      </c>
      <c r="V4" s="465" t="n"/>
      <c r="W4" s="465">
        <f>'C-TRY'!W4</f>
        <v/>
      </c>
      <c r="X4" s="465">
        <f>'C-TRY'!X4</f>
        <v/>
      </c>
      <c r="Y4" s="465">
        <f>'C-TRY'!Y4</f>
        <v/>
      </c>
      <c r="Z4" s="465">
        <f>'C-TRY'!Z4</f>
        <v/>
      </c>
      <c r="AA4" s="465">
        <f>'C-TRY'!AA4</f>
        <v/>
      </c>
      <c r="AB4" s="465" t="n"/>
      <c r="AC4" s="465">
        <f>'C-TRY'!AC4</f>
        <v/>
      </c>
      <c r="AD4" s="465">
        <f>'C-TRY'!AD4</f>
        <v/>
      </c>
      <c r="AE4" s="465">
        <f>'C-TRY'!AE4</f>
        <v/>
      </c>
      <c r="AF4" s="465">
        <f>'C-TRY'!AF4</f>
        <v/>
      </c>
      <c r="AG4" s="465">
        <f>'C-TRY'!AG4</f>
        <v/>
      </c>
      <c r="AH4" s="465">
        <f>'C-TRY'!AH4</f>
        <v/>
      </c>
      <c r="AI4" s="465">
        <f>'C-TRY'!AI4</f>
        <v/>
      </c>
      <c r="AJ4" s="465">
        <f>'C-TRY'!AJ4</f>
        <v/>
      </c>
      <c r="AK4" s="465" t="n"/>
      <c r="AL4" s="25">
        <f>AP4-AO4</f>
        <v/>
      </c>
      <c r="AM4" s="22">
        <f>AP4/AO4-1</f>
        <v/>
      </c>
      <c r="AO4" s="44">
        <f>IF($A$1=$B$1,B4,IF($A$1=$E$1,E4,IF($A$1=$H$1,H4,IF($A$1=$K$1,K4,IF($A$1=$N$1,N4,IF($A$1=$Q$1,Q4,IF($A$1=$T$1,T4,IF($A$1=$W$1,W4,IF($A$1=$Z$1,Z4,IF($A$1=$AC$1,AC4,IF($A$1=$AF$1,AF4,IF($A$1=$AI$1,AI4))))))))))))</f>
        <v/>
      </c>
      <c r="AP4" s="44">
        <f>IF($A$1=$B$1,C4,IF($A$1=$E$1,F4,IF($A$1=$H$1,I4,IF($A$1=$K$1,L4,IF($A$1=$N$1,O4,IF($A$1=$Q$1,R4,IF($A$1=$T$1,U4,IF($A$1=$W$1,X4,IF($A$1=$Z$1,AA4,IF($A$1=$AC$1,AD4,IF($A$1=$AF$1,AG4,IF($A$1=$AI$1,AJ4))))))))))))</f>
        <v/>
      </c>
    </row>
    <row r="5" ht="15.5" customHeight="1">
      <c r="A5" s="2" t="n"/>
      <c r="B5" s="465" t="n"/>
      <c r="C5" s="465" t="n"/>
      <c r="D5" s="465" t="n"/>
      <c r="E5" s="465" t="n"/>
      <c r="F5" s="465" t="n"/>
      <c r="G5" s="465" t="n"/>
      <c r="H5" s="465" t="n"/>
      <c r="I5" s="465" t="n"/>
      <c r="J5" s="465" t="n"/>
      <c r="K5" s="465" t="n"/>
      <c r="L5" s="465" t="n"/>
      <c r="M5" s="465" t="n"/>
      <c r="N5" s="465" t="n"/>
      <c r="O5" s="465" t="n"/>
      <c r="P5" s="465" t="n"/>
      <c r="Q5" s="465" t="n"/>
      <c r="R5" s="465" t="n"/>
      <c r="S5" s="465" t="n"/>
      <c r="T5" s="465" t="n"/>
      <c r="U5" s="465" t="n"/>
      <c r="V5" s="465" t="n"/>
      <c r="W5" s="465" t="n"/>
      <c r="X5" s="465" t="n"/>
      <c r="Y5" s="465" t="n"/>
      <c r="Z5" s="465" t="n"/>
      <c r="AA5" s="465" t="n"/>
      <c r="AB5" s="465" t="n"/>
      <c r="AC5" s="465" t="n"/>
      <c r="AD5" s="465" t="n"/>
      <c r="AE5" s="465" t="n"/>
      <c r="AF5" s="465" t="n"/>
      <c r="AG5" s="465" t="n"/>
      <c r="AH5" s="465" t="n"/>
      <c r="AI5" s="465" t="n"/>
      <c r="AJ5" s="465" t="n"/>
      <c r="AK5" s="5" t="n"/>
      <c r="AL5" s="25" t="n"/>
      <c r="AM5" s="22" t="n"/>
      <c r="AO5" s="44" t="n"/>
      <c r="AP5" s="44" t="n"/>
    </row>
    <row r="6" ht="15.5" customFormat="1" customHeight="1" s="44">
      <c r="A6" s="31" t="inlineStr">
        <is>
          <t>Net Sales</t>
        </is>
      </c>
      <c r="B6" s="32">
        <f>'A -Döviz'!B6</f>
        <v/>
      </c>
      <c r="C6" s="32">
        <f>'A -Döviz'!C6</f>
        <v/>
      </c>
      <c r="D6" s="18" t="n"/>
      <c r="E6" s="32">
        <f>B6+'A -Döviz'!E6</f>
        <v/>
      </c>
      <c r="F6" s="32">
        <f>C6+'A -Döviz'!F6</f>
        <v/>
      </c>
      <c r="G6" s="18" t="n"/>
      <c r="H6" s="32">
        <f>E6+'A -Döviz'!H6</f>
        <v/>
      </c>
      <c r="I6" s="32">
        <f>F6+'A -Döviz'!I6</f>
        <v/>
      </c>
      <c r="J6" s="18" t="n"/>
      <c r="K6" s="32">
        <f>H6+'A -Döviz'!K6</f>
        <v/>
      </c>
      <c r="L6" s="32">
        <f>I6+'A -Döviz'!L6</f>
        <v/>
      </c>
      <c r="M6" s="18" t="n"/>
      <c r="N6" s="32">
        <f>K6+'A -Döviz'!N6</f>
        <v/>
      </c>
      <c r="O6" s="32">
        <f>L6+'A -Döviz'!O6</f>
        <v/>
      </c>
      <c r="P6" s="18" t="n"/>
      <c r="Q6" s="32">
        <f>N6+'A -Döviz'!Q6</f>
        <v/>
      </c>
      <c r="R6" s="32">
        <f>O6+'A -Döviz'!R6</f>
        <v/>
      </c>
      <c r="S6" s="18" t="n"/>
      <c r="T6" s="32">
        <f>Q6+'A -Döviz'!T6</f>
        <v/>
      </c>
      <c r="U6" s="32">
        <f>R6+'A -Döviz'!U6</f>
        <v/>
      </c>
      <c r="V6" s="18" t="n"/>
      <c r="W6" s="32">
        <f>T6+'A -Döviz'!W6</f>
        <v/>
      </c>
      <c r="X6" s="32">
        <f>U6+'A -Döviz'!X6</f>
        <v/>
      </c>
      <c r="Y6" s="18" t="n"/>
      <c r="Z6" s="32">
        <f>W6+'A -Döviz'!Z6</f>
        <v/>
      </c>
      <c r="AA6" s="32">
        <f>X6+'A -Döviz'!AA6</f>
        <v/>
      </c>
      <c r="AB6" s="18" t="n"/>
      <c r="AC6" s="32">
        <f>Z6+'A -Döviz'!AC6</f>
        <v/>
      </c>
      <c r="AD6" s="32">
        <f>AA6+'A -Döviz'!AD6</f>
        <v/>
      </c>
      <c r="AE6" s="18" t="n"/>
      <c r="AF6" s="32">
        <f>AC6+'A -Döviz'!AF6</f>
        <v/>
      </c>
      <c r="AG6" s="32">
        <f>AD6+'A -Döviz'!AG6</f>
        <v/>
      </c>
      <c r="AH6" s="18" t="n"/>
      <c r="AI6" s="32">
        <f>AF6+'A -Döviz'!AI6</f>
        <v/>
      </c>
      <c r="AJ6" s="32">
        <f>AG6+'A -Döviz'!AJ6</f>
        <v/>
      </c>
      <c r="AK6" s="18" t="n"/>
      <c r="AL6" s="33">
        <f>AP6-AO6</f>
        <v/>
      </c>
      <c r="AM6" s="113">
        <f>AP6/AO6-1</f>
        <v/>
      </c>
      <c r="AO6" s="44">
        <f>IF($A$1=$B$1,B6,IF($A$1=$E$1,E6,IF($A$1=$H$1,H6,IF($A$1=$K$1,K6,IF($A$1=$N$1,N6,IF($A$1=$Q$1,Q6,IF($A$1=$T$1,T6,IF($A$1=$W$1,W6,IF($A$1=$Z$1,Z6,IF($A$1=$AC$1,AC6,IF($A$1=$AF$1,AF6,IF($A$1=$AI$1,AI6))))))))))))</f>
        <v/>
      </c>
      <c r="AP6" s="44">
        <f>IF($A$1=$B$1,C6,IF($A$1=$E$1,F6,IF($A$1=$H$1,I6,IF($A$1=$K$1,L6,IF($A$1=$N$1,O6,IF($A$1=$Q$1,R6,IF($A$1=$T$1,U6,IF($A$1=$W$1,X6,IF($A$1=$Z$1,AA6,IF($A$1=$AC$1,AD6,IF($A$1=$AF$1,AG6,IF($A$1=$AI$1,AJ6))))))))))))</f>
        <v/>
      </c>
    </row>
    <row r="7" ht="15.5" customFormat="1" customHeight="1" s="46">
      <c r="A7" s="17" t="n"/>
      <c r="B7" s="28" t="n"/>
      <c r="C7" s="28" t="n"/>
      <c r="D7" s="40" t="n"/>
      <c r="E7" s="28" t="n"/>
      <c r="F7" s="28" t="n"/>
      <c r="G7" s="40" t="n"/>
      <c r="H7" s="28" t="n"/>
      <c r="I7" s="28" t="n"/>
      <c r="J7" s="40" t="n"/>
      <c r="K7" s="28" t="n"/>
      <c r="L7" s="28" t="n"/>
      <c r="M7" s="40" t="n"/>
      <c r="N7" s="28" t="n"/>
      <c r="O7" s="28" t="n"/>
      <c r="P7" s="40" t="n"/>
      <c r="Q7" s="28" t="n"/>
      <c r="R7" s="28" t="n"/>
      <c r="S7" s="40" t="n"/>
      <c r="T7" s="28" t="n"/>
      <c r="U7" s="28" t="n"/>
      <c r="V7" s="40" t="n"/>
      <c r="W7" s="28" t="n"/>
      <c r="X7" s="28" t="n"/>
      <c r="Y7" s="40" t="n"/>
      <c r="Z7" s="28" t="n"/>
      <c r="AA7" s="28" t="n"/>
      <c r="AB7" s="40" t="n"/>
      <c r="AC7" s="28" t="n"/>
      <c r="AD7" s="28" t="n"/>
      <c r="AE7" s="40" t="n"/>
      <c r="AF7" s="28" t="n"/>
      <c r="AG7" s="28" t="n"/>
      <c r="AH7" s="40" t="n"/>
      <c r="AI7" s="28" t="n"/>
      <c r="AJ7" s="28" t="n"/>
      <c r="AK7" s="40" t="n"/>
      <c r="AL7" s="21" t="n"/>
      <c r="AM7" s="22" t="n"/>
      <c r="AO7" s="44" t="n"/>
      <c r="AP7" s="44" t="n"/>
    </row>
    <row r="8" ht="17" customFormat="1" customHeight="1" s="51">
      <c r="A8" s="47" t="inlineStr">
        <is>
          <t>SALES BY CHANNELS(100% Satışlar)</t>
        </is>
      </c>
      <c r="B8" s="411" t="n"/>
      <c r="C8" s="412" t="n"/>
      <c r="D8" s="411" t="n"/>
      <c r="E8" s="411" t="n"/>
      <c r="F8" s="412" t="n"/>
      <c r="G8" s="411" t="n"/>
      <c r="H8" s="411" t="n"/>
      <c r="I8" s="412" t="n"/>
      <c r="J8" s="411" t="n"/>
      <c r="K8" s="411" t="n"/>
      <c r="L8" s="412" t="n"/>
      <c r="M8" s="411" t="n"/>
      <c r="N8" s="411" t="n"/>
      <c r="O8" s="412" t="n"/>
      <c r="P8" s="411" t="n"/>
      <c r="Q8" s="411" t="n"/>
      <c r="R8" s="412" t="n"/>
      <c r="S8" s="411" t="n"/>
      <c r="T8" s="411" t="n"/>
      <c r="U8" s="412" t="n"/>
      <c r="V8" s="411" t="n"/>
      <c r="W8" s="411" t="n"/>
      <c r="X8" s="412" t="n"/>
      <c r="Y8" s="411" t="n"/>
      <c r="Z8" s="411" t="n"/>
      <c r="AA8" s="412" t="n"/>
      <c r="AB8" s="411" t="n"/>
      <c r="AC8" s="411" t="n"/>
      <c r="AD8" s="412" t="n"/>
      <c r="AE8" s="411" t="n"/>
      <c r="AF8" s="411" t="n"/>
      <c r="AG8" s="412" t="n"/>
      <c r="AH8" s="411" t="n"/>
      <c r="AI8" s="411" t="n"/>
      <c r="AJ8" s="412" t="n"/>
      <c r="AK8" s="411" t="n"/>
      <c r="AL8" s="411" t="n"/>
      <c r="AM8" s="50" t="n"/>
      <c r="AR8" s="110">
        <f>SUM(AR9:AR16)</f>
        <v/>
      </c>
      <c r="AS8" s="110">
        <f>SUM(AS9:AS16)</f>
        <v/>
      </c>
      <c r="AT8" s="49" t="n"/>
    </row>
    <row r="9" ht="15.5" customHeight="1">
      <c r="A9" s="26" t="inlineStr">
        <is>
          <t xml:space="preserve">İnci Holding </t>
        </is>
      </c>
      <c r="B9" s="14">
        <f>'A -Döviz'!B9</f>
        <v/>
      </c>
      <c r="C9" s="14">
        <f>'A -Döviz'!C9</f>
        <v/>
      </c>
      <c r="D9" s="14" t="n"/>
      <c r="E9" s="14">
        <f>B9+'A -Döviz'!E9</f>
        <v/>
      </c>
      <c r="F9" s="14">
        <f>C9+'A -Döviz'!F9</f>
        <v/>
      </c>
      <c r="G9" s="75">
        <f>F9/E9-1</f>
        <v/>
      </c>
      <c r="H9" s="14">
        <f>E9+'A -Döviz'!H9</f>
        <v/>
      </c>
      <c r="I9" s="14">
        <f>F9+'A -Döviz'!I9</f>
        <v/>
      </c>
      <c r="J9" s="14" t="n"/>
      <c r="K9" s="14">
        <f>H9+'A -Döviz'!K9</f>
        <v/>
      </c>
      <c r="L9" s="14">
        <f>I9+'A -Döviz'!L9</f>
        <v/>
      </c>
      <c r="M9" s="14" t="n"/>
      <c r="N9" s="14">
        <f>K9+'A -Döviz'!N9</f>
        <v/>
      </c>
      <c r="O9" s="14">
        <f>L9+'A -Döviz'!O9</f>
        <v/>
      </c>
      <c r="P9" s="14" t="n"/>
      <c r="Q9" s="14">
        <f>N9+'A -Döviz'!Q9</f>
        <v/>
      </c>
      <c r="R9" s="14">
        <f>O9+'A -Döviz'!R9</f>
        <v/>
      </c>
      <c r="S9" s="14" t="n"/>
      <c r="T9" s="14">
        <f>Q9+'A -Döviz'!T9</f>
        <v/>
      </c>
      <c r="U9" s="14">
        <f>R9+'A -Döviz'!U9</f>
        <v/>
      </c>
      <c r="V9" s="14" t="n"/>
      <c r="W9" s="14">
        <f>T9+'A -Döviz'!W9</f>
        <v/>
      </c>
      <c r="X9" s="14">
        <f>U9+'A -Döviz'!X9</f>
        <v/>
      </c>
      <c r="Y9" s="14" t="n"/>
      <c r="Z9" s="14">
        <f>W9+'A -Döviz'!Z9</f>
        <v/>
      </c>
      <c r="AA9" s="14">
        <f>X9+'A -Döviz'!AA9</f>
        <v/>
      </c>
      <c r="AB9" s="5">
        <f>Z9/AA9-1</f>
        <v/>
      </c>
      <c r="AC9" s="14">
        <f>Z9+'A -Döviz'!AC9</f>
        <v/>
      </c>
      <c r="AD9" s="14">
        <f>AA9+'A -Döviz'!AD9</f>
        <v/>
      </c>
      <c r="AE9" s="14" t="n"/>
      <c r="AF9" s="14">
        <f>AC9+'A -Döviz'!AF9</f>
        <v/>
      </c>
      <c r="AG9" s="14">
        <f>AD9+'A -Döviz'!AG9</f>
        <v/>
      </c>
      <c r="AH9" s="14" t="n"/>
      <c r="AI9" s="14">
        <f>AF9+'A -Döviz'!AI9</f>
        <v/>
      </c>
      <c r="AJ9" s="14">
        <f>AG9+'A -Döviz'!AJ9</f>
        <v/>
      </c>
      <c r="AK9" s="14" t="n"/>
      <c r="AL9" s="21">
        <f>AP9-AO9</f>
        <v/>
      </c>
      <c r="AM9" s="22">
        <f>AP9/AO9-1</f>
        <v/>
      </c>
      <c r="AO9" s="44">
        <f>IF($A$1=$B$1,B9,IF($A$1=$E$1,E9,IF($A$1=$H$1,H9,IF($A$1=$K$1,K9,IF($A$1=$N$1,N9,IF($A$1=$Q$1,Q9,IF($A$1=$T$1,T9,IF($A$1=$W$1,W9,IF($A$1=$Z$1,Z9,IF($A$1=$AC$1,AC9,IF($A$1=$AF$1,AF9,IF($A$1=$AI$1,AI9))))))))))))</f>
        <v/>
      </c>
      <c r="AP9" s="44">
        <f>IF($A$1=$B$1,C9,IF($A$1=$E$1,F9,IF($A$1=$H$1,I9,IF($A$1=$K$1,L9,IF($A$1=$N$1,O9,IF($A$1=$Q$1,R9,IF($A$1=$T$1,U9,IF($A$1=$W$1,X9,IF($A$1=$Z$1,AA9,IF($A$1=$AC$1,AD9,IF($A$1=$AF$1,AG9,IF($A$1=$AI$1,AJ9))))))))))))</f>
        <v/>
      </c>
      <c r="AR9" s="94">
        <f>W9</f>
        <v/>
      </c>
      <c r="AS9" s="94">
        <f>AD9</f>
        <v/>
      </c>
      <c r="AT9" s="94">
        <f>AS9-AR9</f>
        <v/>
      </c>
      <c r="AV9" t="n">
        <v>9233250.790750226</v>
      </c>
      <c r="AW9" s="9">
        <f>AV9-AI9</f>
        <v/>
      </c>
    </row>
    <row r="10" ht="15.5" customHeight="1">
      <c r="A10" s="26" t="inlineStr">
        <is>
          <t xml:space="preserve">ISM </t>
        </is>
      </c>
      <c r="B10" s="7">
        <f>'A -Döviz'!B10</f>
        <v/>
      </c>
      <c r="C10" s="14">
        <f>'A -Döviz'!C10</f>
        <v/>
      </c>
      <c r="D10" s="7" t="n"/>
      <c r="E10" s="7">
        <f>B10+'A -Döviz'!E10</f>
        <v/>
      </c>
      <c r="F10" s="14">
        <f>C10+'A -Döviz'!F10</f>
        <v/>
      </c>
      <c r="G10" s="75">
        <f>F10/E10-1</f>
        <v/>
      </c>
      <c r="H10" s="7">
        <f>E10+'A -Döviz'!H10</f>
        <v/>
      </c>
      <c r="I10" s="14">
        <f>F10+'A -Döviz'!I10</f>
        <v/>
      </c>
      <c r="J10" s="14" t="n"/>
      <c r="K10" s="7">
        <f>H10+'A -Döviz'!K10</f>
        <v/>
      </c>
      <c r="L10" s="14">
        <f>I10+'A -Döviz'!L10</f>
        <v/>
      </c>
      <c r="M10" s="7" t="n"/>
      <c r="N10" s="7">
        <f>K10+'A -Döviz'!N10</f>
        <v/>
      </c>
      <c r="O10" s="14">
        <f>L10+'A -Döviz'!O10</f>
        <v/>
      </c>
      <c r="P10" s="7" t="n"/>
      <c r="Q10" s="7">
        <f>N10+'A -Döviz'!Q10</f>
        <v/>
      </c>
      <c r="R10" s="14">
        <f>O10+'A -Döviz'!R10</f>
        <v/>
      </c>
      <c r="S10" s="7" t="n"/>
      <c r="T10" s="7">
        <f>Q10+'A -Döviz'!T10</f>
        <v/>
      </c>
      <c r="U10" s="14">
        <f>R10+'A -Döviz'!U10</f>
        <v/>
      </c>
      <c r="V10" s="7" t="n"/>
      <c r="W10" s="7">
        <f>T10+'A -Döviz'!W10</f>
        <v/>
      </c>
      <c r="X10" s="14">
        <f>U10+'A -Döviz'!X10</f>
        <v/>
      </c>
      <c r="Y10" s="7" t="n"/>
      <c r="Z10" s="7">
        <f>W10+'A -Döviz'!Z10</f>
        <v/>
      </c>
      <c r="AA10" s="14">
        <f>X10+'A -Döviz'!AA10</f>
        <v/>
      </c>
      <c r="AB10" s="5">
        <f>Z10/AA10-1</f>
        <v/>
      </c>
      <c r="AC10" s="7">
        <f>Z10+'A -Döviz'!AC10</f>
        <v/>
      </c>
      <c r="AD10" s="14">
        <f>AA10+'A -Döviz'!AD10</f>
        <v/>
      </c>
      <c r="AE10" s="7" t="n"/>
      <c r="AF10" s="7">
        <f>AC10+'A -Döviz'!AF10</f>
        <v/>
      </c>
      <c r="AG10" s="14">
        <f>AD10+'A -Döviz'!AG10</f>
        <v/>
      </c>
      <c r="AH10" s="7" t="n"/>
      <c r="AI10" s="7">
        <f>AF10+'A -Döviz'!AI10</f>
        <v/>
      </c>
      <c r="AJ10" s="14">
        <f>AG10+'A -Döviz'!AJ10</f>
        <v/>
      </c>
      <c r="AK10" s="7" t="n"/>
      <c r="AL10" s="21">
        <f>AP10-AO10</f>
        <v/>
      </c>
      <c r="AM10" s="22">
        <f>AP10/AO10-1</f>
        <v/>
      </c>
      <c r="AO10" s="44">
        <f>IF($A$1=$B$1,B10,IF($A$1=$E$1,E10,IF($A$1=$H$1,H10,IF($A$1=$K$1,K10,IF($A$1=$N$1,N10,IF($A$1=$Q$1,Q10,IF($A$1=$T$1,T10,IF($A$1=$W$1,W10,IF($A$1=$Z$1,Z10,IF($A$1=$AC$1,AC10,IF($A$1=$AF$1,AF10,IF($A$1=$AI$1,AI10))))))))))))</f>
        <v/>
      </c>
      <c r="AP10" s="44">
        <f>IF($A$1=$B$1,C10,IF($A$1=$E$1,F10,IF($A$1=$H$1,I10,IF($A$1=$K$1,L10,IF($A$1=$N$1,O10,IF($A$1=$Q$1,R10,IF($A$1=$T$1,U10,IF($A$1=$W$1,X10,IF($A$1=$Z$1,AA10,IF($A$1=$AC$1,AD10,IF($A$1=$AF$1,AG10,IF($A$1=$AI$1,AJ10))))))))))))</f>
        <v/>
      </c>
      <c r="AQ10" s="9" t="n"/>
      <c r="AR10" s="94">
        <f>W10</f>
        <v/>
      </c>
      <c r="AS10" s="94">
        <f>AD10</f>
        <v/>
      </c>
      <c r="AT10" s="94">
        <f>AS10-AR10</f>
        <v/>
      </c>
      <c r="AV10" t="n">
        <v>9248211.985135598</v>
      </c>
      <c r="AW10" s="9">
        <f>AV10-AI10</f>
        <v/>
      </c>
    </row>
    <row r="11" ht="15.5" customHeight="1">
      <c r="A11" s="26" t="inlineStr">
        <is>
          <t>İncitaş</t>
        </is>
      </c>
      <c r="B11" s="7">
        <f>'A -Döviz'!B11</f>
        <v/>
      </c>
      <c r="C11" s="14">
        <f>'A -Döviz'!C11</f>
        <v/>
      </c>
      <c r="D11" s="7" t="n"/>
      <c r="E11" s="7">
        <f>B11+'A -Döviz'!E11</f>
        <v/>
      </c>
      <c r="F11" s="14">
        <f>C11+'A -Döviz'!F11</f>
        <v/>
      </c>
      <c r="G11" s="75">
        <f>F11/E11-1</f>
        <v/>
      </c>
      <c r="H11" s="7">
        <f>E11+'A -Döviz'!H11</f>
        <v/>
      </c>
      <c r="I11" s="14">
        <f>F11+'A -Döviz'!I11</f>
        <v/>
      </c>
      <c r="J11" s="14" t="n"/>
      <c r="K11" s="7">
        <f>H11+'A -Döviz'!K11</f>
        <v/>
      </c>
      <c r="L11" s="14">
        <f>I11+'A -Döviz'!L11</f>
        <v/>
      </c>
      <c r="M11" s="7" t="n"/>
      <c r="N11" s="7">
        <f>K11+'A -Döviz'!N11</f>
        <v/>
      </c>
      <c r="O11" s="14">
        <f>L11+'A -Döviz'!O11</f>
        <v/>
      </c>
      <c r="P11" s="7" t="n"/>
      <c r="Q11" s="7">
        <f>N11+'A -Döviz'!Q11</f>
        <v/>
      </c>
      <c r="R11" s="14">
        <f>O11+'A -Döviz'!R11</f>
        <v/>
      </c>
      <c r="S11" s="7" t="n"/>
      <c r="T11" s="7">
        <f>Q11+'A -Döviz'!T11</f>
        <v/>
      </c>
      <c r="U11" s="14">
        <f>R11+'A -Döviz'!U11</f>
        <v/>
      </c>
      <c r="V11" s="7" t="n"/>
      <c r="W11" s="7">
        <f>T11+'A -Döviz'!W11</f>
        <v/>
      </c>
      <c r="X11" s="14">
        <f>U11+'A -Döviz'!X11</f>
        <v/>
      </c>
      <c r="Y11" s="7" t="n"/>
      <c r="Z11" s="7">
        <f>W11+'A -Döviz'!Z11</f>
        <v/>
      </c>
      <c r="AA11" s="14">
        <f>X11+'A -Döviz'!AA11</f>
        <v/>
      </c>
      <c r="AB11" s="5">
        <f>Z11/AA11-1</f>
        <v/>
      </c>
      <c r="AC11" s="7">
        <f>Z11+'A -Döviz'!AC11</f>
        <v/>
      </c>
      <c r="AD11" s="14">
        <f>AA11+'A -Döviz'!AD11</f>
        <v/>
      </c>
      <c r="AE11" s="7" t="n"/>
      <c r="AF11" s="7">
        <f>AC11+'A -Döviz'!AF11</f>
        <v/>
      </c>
      <c r="AG11" s="14">
        <f>AD11+'A -Döviz'!AG11</f>
        <v/>
      </c>
      <c r="AH11" s="7" t="n"/>
      <c r="AI11" s="7">
        <f>AF11+'A -Döviz'!AI11</f>
        <v/>
      </c>
      <c r="AJ11" s="14">
        <f>AG11+'A -Döviz'!AJ11</f>
        <v/>
      </c>
      <c r="AK11" s="7" t="n"/>
      <c r="AL11" s="21">
        <f>AP11-AO11</f>
        <v/>
      </c>
      <c r="AM11" s="22">
        <f>AP11/AO11-1</f>
        <v/>
      </c>
      <c r="AO11" s="44">
        <f>IF($A$1=$B$1,B11,IF($A$1=$E$1,E11,IF($A$1=$H$1,H11,IF($A$1=$K$1,K11,IF($A$1=$N$1,N11,IF($A$1=$Q$1,Q11,IF($A$1=$T$1,T11,IF($A$1=$W$1,W11,IF($A$1=$Z$1,Z11,IF($A$1=$AC$1,AC11,IF($A$1=$AF$1,AF11,IF($A$1=$AI$1,AI11))))))))))))</f>
        <v/>
      </c>
      <c r="AP11" s="44">
        <f>IF($A$1=$B$1,C11,IF($A$1=$E$1,F11,IF($A$1=$H$1,I11,IF($A$1=$K$1,L11,IF($A$1=$N$1,O11,IF($A$1=$Q$1,R11,IF($A$1=$T$1,U11,IF($A$1=$W$1,X11,IF($A$1=$Z$1,AA11,IF($A$1=$AC$1,AD11,IF($A$1=$AF$1,AG11,IF($A$1=$AI$1,AJ11))))))))))))</f>
        <v/>
      </c>
      <c r="AR11" s="94">
        <f>W11</f>
        <v/>
      </c>
      <c r="AS11" s="94">
        <f>AD11</f>
        <v/>
      </c>
      <c r="AT11" s="94">
        <f>AS11-AR11</f>
        <v/>
      </c>
      <c r="AV11" t="n">
        <v>16822043.28753818</v>
      </c>
      <c r="AW11" s="9">
        <f>AV11-AI11</f>
        <v/>
      </c>
    </row>
    <row r="12" ht="15.5" customHeight="1">
      <c r="A12" s="26" t="inlineStr">
        <is>
          <t>İnci GS Yuasa</t>
        </is>
      </c>
      <c r="B12" s="7">
        <f>'A -Döviz'!B12</f>
        <v/>
      </c>
      <c r="C12" s="14">
        <f>'A -Döviz'!C12</f>
        <v/>
      </c>
      <c r="D12" s="72">
        <f>+(C12/B12)-1</f>
        <v/>
      </c>
      <c r="E12" s="7">
        <f>B12+'A -Döviz'!E12</f>
        <v/>
      </c>
      <c r="F12" s="14">
        <f>C12+'A -Döviz'!F12</f>
        <v/>
      </c>
      <c r="G12" s="75">
        <f>F12/E12-1</f>
        <v/>
      </c>
      <c r="H12" s="7">
        <f>E12+'A -Döviz'!H12</f>
        <v/>
      </c>
      <c r="I12" s="14">
        <f>F12+'A -Döviz'!I12</f>
        <v/>
      </c>
      <c r="J12" s="14" t="n"/>
      <c r="K12" s="7">
        <f>H12+'A -Döviz'!K12</f>
        <v/>
      </c>
      <c r="L12" s="14">
        <f>I12+'A -Döviz'!L12</f>
        <v/>
      </c>
      <c r="M12" s="7" t="n"/>
      <c r="N12" s="7">
        <f>K12+'A -Döviz'!N12</f>
        <v/>
      </c>
      <c r="O12" s="14">
        <f>L12+'A -Döviz'!O12</f>
        <v/>
      </c>
      <c r="P12" s="7" t="n"/>
      <c r="Q12" s="7">
        <f>N12+'A -Döviz'!Q12</f>
        <v/>
      </c>
      <c r="R12" s="14">
        <f>O12+'A -Döviz'!R12</f>
        <v/>
      </c>
      <c r="S12" s="7" t="n"/>
      <c r="T12" s="7">
        <f>Q12+'A -Döviz'!T12</f>
        <v/>
      </c>
      <c r="U12" s="14">
        <f>R12+'A -Döviz'!U12</f>
        <v/>
      </c>
      <c r="V12" s="7" t="n"/>
      <c r="W12" s="7">
        <f>T12+'A -Döviz'!W12</f>
        <v/>
      </c>
      <c r="X12" s="14">
        <f>U12+'A -Döviz'!X12</f>
        <v/>
      </c>
      <c r="Y12" s="7" t="n"/>
      <c r="Z12" s="7">
        <f>W12+'A -Döviz'!Z12</f>
        <v/>
      </c>
      <c r="AA12" s="14">
        <f>X12+'A -Döviz'!AA12</f>
        <v/>
      </c>
      <c r="AB12" s="5">
        <f>Z12/AA12-1</f>
        <v/>
      </c>
      <c r="AC12" s="7">
        <f>Z12+'A -Döviz'!AC12</f>
        <v/>
      </c>
      <c r="AD12" s="14">
        <f>AA12+'A -Döviz'!AD12</f>
        <v/>
      </c>
      <c r="AE12" s="7" t="n"/>
      <c r="AF12" s="7">
        <f>AC12+'A -Döviz'!AF12</f>
        <v/>
      </c>
      <c r="AG12" s="14">
        <f>AD12+'A -Döviz'!AG12</f>
        <v/>
      </c>
      <c r="AH12" s="7" t="n"/>
      <c r="AI12" s="7">
        <f>AF12+'A -Döviz'!AI12</f>
        <v/>
      </c>
      <c r="AJ12" s="14">
        <f>AG12+'A -Döviz'!AJ12</f>
        <v/>
      </c>
      <c r="AK12" s="7" t="n"/>
      <c r="AL12" s="21">
        <f>AP12-AO12</f>
        <v/>
      </c>
      <c r="AM12" s="22">
        <f>AP12/AO12-1</f>
        <v/>
      </c>
      <c r="AN12" s="94">
        <f>AL12*0.4</f>
        <v/>
      </c>
      <c r="AO12" s="44">
        <f>IF($A$1=$B$1,B12,IF($A$1=$E$1,E12,IF($A$1=$H$1,H12,IF($A$1=$K$1,K12,IF($A$1=$N$1,N12,IF($A$1=$Q$1,Q12,IF($A$1=$T$1,T12,IF($A$1=$W$1,W12,IF($A$1=$Z$1,Z12,IF($A$1=$AC$1,AC12,IF($A$1=$AF$1,AF12,IF($A$1=$AI$1,AI12))))))))))))</f>
        <v/>
      </c>
      <c r="AP12" s="44">
        <f>IF($A$1=$B$1,C12,IF($A$1=$E$1,F12,IF($A$1=$H$1,I12,IF($A$1=$K$1,L12,IF($A$1=$N$1,O12,IF($A$1=$Q$1,R12,IF($A$1=$T$1,U12,IF($A$1=$W$1,X12,IF($A$1=$Z$1,AA12,IF($A$1=$AC$1,AD12,IF($A$1=$AF$1,AG12,IF($A$1=$AI$1,AJ12))))))))))))</f>
        <v/>
      </c>
      <c r="AR12" s="94">
        <f>W12*0.4</f>
        <v/>
      </c>
      <c r="AS12" s="94">
        <f>AD12*0.4</f>
        <v/>
      </c>
      <c r="AT12" s="94">
        <f>AS12-AR12</f>
        <v/>
      </c>
      <c r="AV12" t="n">
        <v>258491992.4012938</v>
      </c>
      <c r="AW12" s="9">
        <f>AV12-AI12</f>
        <v/>
      </c>
    </row>
    <row r="13" ht="15.5" customFormat="1" customHeight="1" s="1">
      <c r="A13" s="26" t="inlineStr">
        <is>
          <t>Yusen İnci Loj.</t>
        </is>
      </c>
      <c r="B13" s="7">
        <f>'A -Döviz'!B13</f>
        <v/>
      </c>
      <c r="C13" s="14">
        <f>'A -Döviz'!C13</f>
        <v/>
      </c>
      <c r="D13" s="8" t="n"/>
      <c r="E13" s="7">
        <f>B13+'A -Döviz'!E13</f>
        <v/>
      </c>
      <c r="F13" s="14">
        <f>C13+'A -Döviz'!F13</f>
        <v/>
      </c>
      <c r="G13" s="75">
        <f>F13/E13-1</f>
        <v/>
      </c>
      <c r="H13" s="7">
        <f>E13+'A -Döviz'!H13</f>
        <v/>
      </c>
      <c r="I13" s="14">
        <f>F13+'A -Döviz'!I13</f>
        <v/>
      </c>
      <c r="J13" s="14" t="n"/>
      <c r="K13" s="7">
        <f>H13+'A -Döviz'!K13</f>
        <v/>
      </c>
      <c r="L13" s="14">
        <f>I13+'A -Döviz'!L13</f>
        <v/>
      </c>
      <c r="M13" s="8" t="n"/>
      <c r="N13" s="7">
        <f>K13+'A -Döviz'!N13</f>
        <v/>
      </c>
      <c r="O13" s="14">
        <f>L13+'A -Döviz'!O13</f>
        <v/>
      </c>
      <c r="P13" s="8" t="n"/>
      <c r="Q13" s="7">
        <f>N13+'A -Döviz'!Q13</f>
        <v/>
      </c>
      <c r="R13" s="14">
        <f>O13+'A -Döviz'!R13</f>
        <v/>
      </c>
      <c r="S13" s="8" t="n"/>
      <c r="T13" s="7">
        <f>Q13+'A -Döviz'!T13</f>
        <v/>
      </c>
      <c r="U13" s="14">
        <f>R13+'A -Döviz'!U13</f>
        <v/>
      </c>
      <c r="V13" s="8" t="n"/>
      <c r="W13" s="7">
        <f>T13+'A -Döviz'!W13</f>
        <v/>
      </c>
      <c r="X13" s="14">
        <f>U13+'A -Döviz'!X13</f>
        <v/>
      </c>
      <c r="Y13" s="8" t="n"/>
      <c r="Z13" s="7">
        <f>W13+'A -Döviz'!Z13</f>
        <v/>
      </c>
      <c r="AA13" s="14">
        <f>X13+'A -Döviz'!AA13</f>
        <v/>
      </c>
      <c r="AB13" s="5">
        <f>Z13/AA13-1</f>
        <v/>
      </c>
      <c r="AC13" s="7">
        <f>Z13+'A -Döviz'!AC13</f>
        <v/>
      </c>
      <c r="AD13" s="14">
        <f>AA13+'A -Döviz'!AD13</f>
        <v/>
      </c>
      <c r="AE13" s="8" t="n"/>
      <c r="AF13" s="7">
        <f>AC13+'A -Döviz'!AF13</f>
        <v/>
      </c>
      <c r="AG13" s="14">
        <f>AD13+'A -Döviz'!AG13</f>
        <v/>
      </c>
      <c r="AH13" s="8" t="n"/>
      <c r="AI13" s="7">
        <f>AF13+'A -Döviz'!AI13</f>
        <v/>
      </c>
      <c r="AJ13" s="14">
        <f>AG13+'A -Döviz'!AJ13</f>
        <v/>
      </c>
      <c r="AK13" s="8" t="n"/>
      <c r="AL13" s="21">
        <f>AP13-AO13</f>
        <v/>
      </c>
      <c r="AM13" s="22">
        <f>AP13/AO13-1</f>
        <v/>
      </c>
      <c r="AN13" s="94">
        <f>AL13*0.4</f>
        <v/>
      </c>
      <c r="AO13" s="44">
        <f>IF($A$1=$B$1,B13,IF($A$1=$E$1,E13,IF($A$1=$H$1,H13,IF($A$1=$K$1,K13,IF($A$1=$N$1,N13,IF($A$1=$Q$1,Q13,IF($A$1=$T$1,T13,IF($A$1=$W$1,W13,IF($A$1=$Z$1,Z13,IF($A$1=$AC$1,AC13,IF($A$1=$AF$1,AF13,IF($A$1=$AI$1,AI13))))))))))))</f>
        <v/>
      </c>
      <c r="AP13" s="44">
        <f>IF($A$1=$B$1,C13,IF($A$1=$E$1,F13,IF($A$1=$H$1,I13,IF($A$1=$K$1,L13,IF($A$1=$N$1,O13,IF($A$1=$Q$1,R13,IF($A$1=$T$1,U13,IF($A$1=$W$1,X13,IF($A$1=$Z$1,AA13,IF($A$1=$AC$1,AD13,IF($A$1=$AF$1,AG13,IF($A$1=$AI$1,AJ13))))))))))))</f>
        <v/>
      </c>
      <c r="AR13" s="94">
        <f>W13*0.4</f>
        <v/>
      </c>
      <c r="AS13" s="94">
        <f>AD13*0.4</f>
        <v/>
      </c>
      <c r="AT13" s="94">
        <f>AS13-AR13</f>
        <v/>
      </c>
      <c r="AV13" s="139" t="n">
        <v>78339112.1237455</v>
      </c>
      <c r="AW13" s="9">
        <f>AV13-AI13</f>
        <v/>
      </c>
      <c r="AX13" s="139" t="n">
        <v>135771921</v>
      </c>
    </row>
    <row r="14" ht="15.5" customHeight="1">
      <c r="A14" s="26" t="inlineStr">
        <is>
          <t>Jantaş</t>
        </is>
      </c>
      <c r="B14" s="7">
        <f>'A -Döviz'!B14</f>
        <v/>
      </c>
      <c r="C14" s="14">
        <f>'A -Döviz'!C14</f>
        <v/>
      </c>
      <c r="D14" s="7" t="n"/>
      <c r="E14" s="7">
        <f>B14+'A -Döviz'!E14</f>
        <v/>
      </c>
      <c r="F14" s="14">
        <f>C14+'A -Döviz'!F14</f>
        <v/>
      </c>
      <c r="G14" s="75">
        <f>F14/E14-1</f>
        <v/>
      </c>
      <c r="H14" s="7">
        <f>E14+'A -Döviz'!H14</f>
        <v/>
      </c>
      <c r="I14" s="14">
        <f>F14+'A -Döviz'!I14</f>
        <v/>
      </c>
      <c r="J14" s="14" t="n"/>
      <c r="K14" s="7">
        <f>H14+'A -Döviz'!K14</f>
        <v/>
      </c>
      <c r="L14" s="14">
        <f>I14+'A -Döviz'!L14</f>
        <v/>
      </c>
      <c r="M14" s="7" t="n"/>
      <c r="N14" s="7">
        <f>K14+'A -Döviz'!N14</f>
        <v/>
      </c>
      <c r="O14" s="14">
        <f>L14+'A -Döviz'!O14</f>
        <v/>
      </c>
      <c r="P14" s="7" t="n"/>
      <c r="Q14" s="7">
        <f>N14+'A -Döviz'!Q14</f>
        <v/>
      </c>
      <c r="R14" s="14">
        <f>O14+'A -Döviz'!R14</f>
        <v/>
      </c>
      <c r="S14" s="7" t="n"/>
      <c r="T14" s="7">
        <f>Q14+'A -Döviz'!T14</f>
        <v/>
      </c>
      <c r="U14" s="14">
        <f>R14+'A -Döviz'!U14</f>
        <v/>
      </c>
      <c r="V14" s="7" t="n"/>
      <c r="W14" s="7">
        <f>T14+'A -Döviz'!W14</f>
        <v/>
      </c>
      <c r="X14" s="14">
        <f>U14+'A -Döviz'!X14</f>
        <v/>
      </c>
      <c r="Y14" s="7" t="n"/>
      <c r="Z14" s="7">
        <f>W14+'A -Döviz'!Z14</f>
        <v/>
      </c>
      <c r="AA14" s="14">
        <f>X14+'A -Döviz'!AA14</f>
        <v/>
      </c>
      <c r="AB14" s="5">
        <f>Z14/AA14-1</f>
        <v/>
      </c>
      <c r="AC14" s="7">
        <f>Z14+'A -Döviz'!AC14</f>
        <v/>
      </c>
      <c r="AD14" s="14">
        <f>AA14+'A -Döviz'!AD14</f>
        <v/>
      </c>
      <c r="AE14" s="7" t="n"/>
      <c r="AF14" s="7">
        <f>AC14+'A -Döviz'!AF14</f>
        <v/>
      </c>
      <c r="AG14" s="14">
        <f>AD14+'A -Döviz'!AG14</f>
        <v/>
      </c>
      <c r="AH14" s="7" t="n"/>
      <c r="AI14" s="7">
        <f>AF14+'A -Döviz'!AI14</f>
        <v/>
      </c>
      <c r="AJ14" s="14">
        <f>AG14+'A -Döviz'!AJ14</f>
        <v/>
      </c>
      <c r="AK14" s="7" t="n"/>
      <c r="AL14" s="21">
        <f>AP14-AO14</f>
        <v/>
      </c>
      <c r="AM14" s="22">
        <f>AP14/AO14-1</f>
        <v/>
      </c>
      <c r="AN14" s="94">
        <f>AL14*0.4</f>
        <v/>
      </c>
      <c r="AO14" s="44">
        <f>IF($A$1=$B$1,B14,IF($A$1=$E$1,E14,IF($A$1=$H$1,H14,IF($A$1=$K$1,K14,IF($A$1=$N$1,N14,IF($A$1=$Q$1,Q14,IF($A$1=$T$1,T14,IF($A$1=$W$1,W14,IF($A$1=$Z$1,Z14,IF($A$1=$AC$1,AC14,IF($A$1=$AF$1,AF14,IF($A$1=$AI$1,AI14))))))))))))</f>
        <v/>
      </c>
      <c r="AP14" s="44">
        <f>IF($A$1=$B$1,C14,IF($A$1=$E$1,F14,IF($A$1=$H$1,I14,IF($A$1=$K$1,L14,IF($A$1=$N$1,O14,IF($A$1=$Q$1,R14,IF($A$1=$T$1,U14,IF($A$1=$W$1,X14,IF($A$1=$Z$1,AA14,IF($A$1=$AC$1,AD14,IF($A$1=$AF$1,AG14,IF($A$1=$AI$1,AJ14))))))))))))</f>
        <v/>
      </c>
      <c r="AR14" s="94">
        <f>W14*0.4</f>
        <v/>
      </c>
      <c r="AS14" s="94">
        <f>AD14*0.4</f>
        <v/>
      </c>
      <c r="AT14" s="94">
        <f>AS14-AR14</f>
        <v/>
      </c>
      <c r="AV14" t="n">
        <v>133999736.311259</v>
      </c>
      <c r="AW14" s="9">
        <f>AV14-AI14</f>
        <v/>
      </c>
      <c r="AX14">
        <f>AX13/30.77</f>
        <v/>
      </c>
    </row>
    <row r="15" ht="15.5" customHeight="1">
      <c r="A15" s="26" t="inlineStr">
        <is>
          <t>Çelik</t>
        </is>
      </c>
      <c r="B15" s="7">
        <f>'A -Döviz'!B15</f>
        <v/>
      </c>
      <c r="C15" s="14">
        <f>'A -Döviz'!C15</f>
        <v/>
      </c>
      <c r="D15" s="7" t="n"/>
      <c r="E15" s="7">
        <f>B15+'A -Döviz'!E15</f>
        <v/>
      </c>
      <c r="F15" s="14">
        <f>C15+'A -Döviz'!F15</f>
        <v/>
      </c>
      <c r="G15" s="75">
        <f>F15/E15-1</f>
        <v/>
      </c>
      <c r="H15" s="7">
        <f>E15+'A -Döviz'!H15</f>
        <v/>
      </c>
      <c r="I15" s="14">
        <f>F15+'A -Döviz'!I15</f>
        <v/>
      </c>
      <c r="J15" s="14" t="n"/>
      <c r="K15" s="7">
        <f>H15+'A -Döviz'!K15</f>
        <v/>
      </c>
      <c r="L15" s="14">
        <f>I15+'A -Döviz'!L15</f>
        <v/>
      </c>
      <c r="M15" s="7" t="n"/>
      <c r="N15" s="7">
        <f>K15+'A -Döviz'!N15</f>
        <v/>
      </c>
      <c r="O15" s="14">
        <f>L15+'A -Döviz'!O15</f>
        <v/>
      </c>
      <c r="P15" s="7" t="n"/>
      <c r="Q15" s="7">
        <f>N15+'A -Döviz'!Q15</f>
        <v/>
      </c>
      <c r="R15" s="14">
        <f>O15+'A -Döviz'!R15</f>
        <v/>
      </c>
      <c r="S15" s="7" t="n"/>
      <c r="T15" s="7">
        <f>Q15+'A -Döviz'!T15</f>
        <v/>
      </c>
      <c r="U15" s="14">
        <f>R15+'A -Döviz'!U15</f>
        <v/>
      </c>
      <c r="V15" s="7" t="n"/>
      <c r="W15" s="7">
        <f>T15+'A -Döviz'!W15</f>
        <v/>
      </c>
      <c r="X15" s="14">
        <f>U15+'A -Döviz'!X15</f>
        <v/>
      </c>
      <c r="Y15" s="7" t="n"/>
      <c r="Z15" s="7">
        <f>W15+'A -Döviz'!Z15</f>
        <v/>
      </c>
      <c r="AA15" s="14">
        <f>X15+'A -Döviz'!AA15</f>
        <v/>
      </c>
      <c r="AB15" s="5">
        <f>Z15/AA15-1</f>
        <v/>
      </c>
      <c r="AC15" s="7">
        <f>Z15+'A -Döviz'!AC15</f>
        <v/>
      </c>
      <c r="AD15" s="14">
        <f>AA15+'A -Döviz'!AD15</f>
        <v/>
      </c>
      <c r="AE15" s="7" t="n"/>
      <c r="AF15" s="7">
        <f>AC15+'A -Döviz'!AF15</f>
        <v/>
      </c>
      <c r="AG15" s="14">
        <f>AD15+'A -Döviz'!AG15</f>
        <v/>
      </c>
      <c r="AH15" s="7" t="n"/>
      <c r="AI15" s="7">
        <f>AF15+'A -Döviz'!AI15</f>
        <v/>
      </c>
      <c r="AJ15" s="14">
        <f>AG15+'A -Döviz'!AJ15</f>
        <v/>
      </c>
      <c r="AK15" s="7" t="n"/>
      <c r="AL15" s="21">
        <f>AP15-AO15</f>
        <v/>
      </c>
      <c r="AM15" s="22">
        <f>AP15/AO15-1</f>
        <v/>
      </c>
      <c r="AN15" s="94">
        <f>AL15*0.4</f>
        <v/>
      </c>
      <c r="AO15" s="44">
        <f>IF($A$1=$B$1,B15,IF($A$1=$E$1,E15,IF($A$1=$H$1,H15,IF($A$1=$K$1,K15,IF($A$1=$N$1,N15,IF($A$1=$Q$1,Q15,IF($A$1=$T$1,T15,IF($A$1=$W$1,W15,IF($A$1=$Z$1,Z15,IF($A$1=$AC$1,AC15,IF($A$1=$AF$1,AF15,IF($A$1=$AI$1,AI15))))))))))))</f>
        <v/>
      </c>
      <c r="AP15" s="44">
        <f>IF($A$1=$B$1,C15,IF($A$1=$E$1,F15,IF($A$1=$H$1,I15,IF($A$1=$K$1,L15,IF($A$1=$N$1,O15,IF($A$1=$Q$1,R15,IF($A$1=$T$1,U15,IF($A$1=$W$1,X15,IF($A$1=$Z$1,AA15,IF($A$1=$AC$1,AD15,IF($A$1=$AF$1,AG15,IF($A$1=$AI$1,AJ15))))))))))))</f>
        <v/>
      </c>
      <c r="AR15" s="94">
        <f>W15*0.4</f>
        <v/>
      </c>
      <c r="AS15" s="94">
        <f>AD15*0.4</f>
        <v/>
      </c>
      <c r="AT15" s="94">
        <f>AS15-AR15</f>
        <v/>
      </c>
      <c r="AV15" t="n">
        <v>85847861.31837955</v>
      </c>
      <c r="AW15" s="9">
        <f>AV15-AI15</f>
        <v/>
      </c>
    </row>
    <row r="16" ht="15.5" customHeight="1">
      <c r="A16" s="26" t="inlineStr">
        <is>
          <t>Alüminyum</t>
        </is>
      </c>
      <c r="B16" s="7">
        <f>'A -Döviz'!B16</f>
        <v/>
      </c>
      <c r="C16" s="14">
        <f>'A -Döviz'!C16</f>
        <v/>
      </c>
      <c r="D16" s="7" t="n"/>
      <c r="E16" s="7">
        <f>B16+'A -Döviz'!E16</f>
        <v/>
      </c>
      <c r="F16" s="14">
        <f>C16+'A -Döviz'!F16</f>
        <v/>
      </c>
      <c r="G16" s="75">
        <f>F16/E16-1</f>
        <v/>
      </c>
      <c r="H16" s="7">
        <f>E16+'A -Döviz'!H16</f>
        <v/>
      </c>
      <c r="I16" s="14">
        <f>F16+'A -Döviz'!I16</f>
        <v/>
      </c>
      <c r="J16" s="14" t="n"/>
      <c r="K16" s="7">
        <f>H16+'A -Döviz'!K16</f>
        <v/>
      </c>
      <c r="L16" s="14">
        <f>I16+'A -Döviz'!L16</f>
        <v/>
      </c>
      <c r="M16" s="7" t="n"/>
      <c r="N16" s="7">
        <f>K16+'A -Döviz'!N16</f>
        <v/>
      </c>
      <c r="O16" s="14">
        <f>L16+'A -Döviz'!O16</f>
        <v/>
      </c>
      <c r="P16" s="7" t="n"/>
      <c r="Q16" s="7">
        <f>N16+'A -Döviz'!Q16</f>
        <v/>
      </c>
      <c r="R16" s="14">
        <f>O16+'A -Döviz'!R16</f>
        <v/>
      </c>
      <c r="S16" s="7" t="n"/>
      <c r="T16" s="7">
        <f>Q16+'A -Döviz'!T16</f>
        <v/>
      </c>
      <c r="U16" s="14">
        <f>R16+'A -Döviz'!U16</f>
        <v/>
      </c>
      <c r="V16" s="7" t="n"/>
      <c r="W16" s="7">
        <f>T16+'A -Döviz'!W16</f>
        <v/>
      </c>
      <c r="X16" s="14">
        <f>U16+'A -Döviz'!X16</f>
        <v/>
      </c>
      <c r="Y16" s="7" t="n"/>
      <c r="Z16" s="7">
        <f>W16+'A -Döviz'!Z16</f>
        <v/>
      </c>
      <c r="AA16" s="14">
        <f>X16+'A -Döviz'!AA16</f>
        <v/>
      </c>
      <c r="AB16" s="5">
        <f>Z16/AA16-1</f>
        <v/>
      </c>
      <c r="AC16" s="7">
        <f>Z16+'A -Döviz'!AC16</f>
        <v/>
      </c>
      <c r="AD16" s="14">
        <f>AA16+'A -Döviz'!AD16</f>
        <v/>
      </c>
      <c r="AE16" s="7" t="n"/>
      <c r="AF16" s="7">
        <f>AC16+'A -Döviz'!AF16</f>
        <v/>
      </c>
      <c r="AG16" s="14">
        <f>AD16+'A -Döviz'!AG16</f>
        <v/>
      </c>
      <c r="AH16" s="7" t="n"/>
      <c r="AI16" s="7">
        <f>AF16+'A -Döviz'!AI16</f>
        <v/>
      </c>
      <c r="AJ16" s="14">
        <f>AG16+'A -Döviz'!AJ16</f>
        <v/>
      </c>
      <c r="AK16" s="7" t="n"/>
      <c r="AL16" s="21">
        <f>AP16-AO16</f>
        <v/>
      </c>
      <c r="AM16" s="22">
        <f>AP16/AO16-1</f>
        <v/>
      </c>
      <c r="AN16" s="94">
        <f>AL16*0.4</f>
        <v/>
      </c>
      <c r="AO16" s="44">
        <f>IF($A$1=$B$1,B16,IF($A$1=$E$1,E16,IF($A$1=$H$1,H16,IF($A$1=$K$1,K16,IF($A$1=$N$1,N16,IF($A$1=$Q$1,Q16,IF($A$1=$T$1,T16,IF($A$1=$W$1,W16,IF($A$1=$Z$1,Z16,IF($A$1=$AC$1,AC16,IF($A$1=$AF$1,AF16,IF($A$1=$AI$1,AI16))))))))))))</f>
        <v/>
      </c>
      <c r="AP16" s="44">
        <f>IF($A$1=$B$1,C16,IF($A$1=$E$1,F16,IF($A$1=$H$1,I16,IF($A$1=$K$1,L16,IF($A$1=$N$1,O16,IF($A$1=$Q$1,R16,IF($A$1=$T$1,U16,IF($A$1=$W$1,X16,IF($A$1=$Z$1,AA16,IF($A$1=$AC$1,AD16,IF($A$1=$AF$1,AG16,IF($A$1=$AI$1,AJ16))))))))))))</f>
        <v/>
      </c>
      <c r="AR16" s="94">
        <f>W16*0.4</f>
        <v/>
      </c>
      <c r="AS16" s="94">
        <f>AD16*0.4</f>
        <v/>
      </c>
      <c r="AT16" s="94">
        <f>AS16-AR16</f>
        <v/>
      </c>
      <c r="AV16" t="n">
        <v>247682976.362176</v>
      </c>
      <c r="AW16" s="9">
        <f>AV16-AI16</f>
        <v/>
      </c>
    </row>
    <row r="17" ht="15.5" customHeight="1">
      <c r="A17" s="2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>
        <f>L18-L16</f>
        <v/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21" t="n"/>
      <c r="AM17" s="22" t="n"/>
      <c r="AO17" s="44">
        <f>IF($A$1=$B$1,B17,IF($A$1=$E$1,E17,IF($A$1=$H$1,H17,IF($A$1=$K$1,K17,IF($A$1=$N$1,N17,IF($A$1=$Q$1,Q17,IF($A$1=$T$1,T17,IF($A$1=$W$1,W17,IF($A$1=$Z$1,Z17,IF($A$1=$AC$1,AC17,IF($A$1=$AF$1,AF17,IF($A$1=$AI$1,AI17))))))))))))</f>
        <v/>
      </c>
      <c r="AP17" s="44">
        <f>IF($A$1=$B$1,C17,IF($A$1=$E$1,F17,IF($A$1=$H$1,I17,IF($A$1=$K$1,L17,IF($A$1=$N$1,O17,IF($A$1=$Q$1,R17,IF($A$1=$T$1,U17,IF($A$1=$W$1,X17,IF($A$1=$Z$1,AA17,IF($A$1=$AC$1,AD17,IF($A$1=$AF$1,AG17,IF($A$1=$AI$1,AJ17))))))))))))</f>
        <v/>
      </c>
    </row>
    <row r="18" ht="15.5" customHeight="1">
      <c r="A18" s="2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110689000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21" t="n"/>
      <c r="AM18" s="22" t="n"/>
      <c r="AO18" s="44">
        <f>IF($A$1=$B$1,B18,IF($A$1=$E$1,E18,IF($A$1=$H$1,H18,IF($A$1=$K$1,K18,IF($A$1=$N$1,N18,IF($A$1=$Q$1,Q18,IF($A$1=$T$1,T18,IF($A$1=$W$1,W18,IF($A$1=$Z$1,Z18,IF($A$1=$AC$1,AC18,IF($A$1=$AF$1,AF18,IF($A$1=$AI$1,AI18))))))))))))</f>
        <v/>
      </c>
      <c r="AP18" s="44">
        <f>IF($A$1=$B$1,C18,IF($A$1=$E$1,F18,IF($A$1=$H$1,I18,IF($A$1=$K$1,L18,IF($A$1=$N$1,O18,IF($A$1=$Q$1,R18,IF($A$1=$T$1,U18,IF($A$1=$W$1,X18,IF($A$1=$Z$1,AA18,IF($A$1=$AC$1,AD18,IF($A$1=$AF$1,AG18,IF($A$1=$AI$1,AJ18))))))))))))</f>
        <v/>
      </c>
    </row>
    <row r="19" ht="17" customFormat="1" customHeight="1" s="51">
      <c r="A19" s="47" t="inlineStr">
        <is>
          <t>SHARE OF SALES (%)</t>
        </is>
      </c>
      <c r="B19" s="411" t="n"/>
      <c r="C19" s="412" t="n"/>
      <c r="D19" s="411" t="n"/>
      <c r="E19" s="411" t="n"/>
      <c r="F19" s="412" t="n"/>
      <c r="G19" s="411" t="n"/>
      <c r="H19" s="411" t="n"/>
      <c r="I19" s="412" t="n"/>
      <c r="J19" s="411" t="n"/>
      <c r="K19" s="411" t="n"/>
      <c r="L19" s="412" t="n"/>
      <c r="M19" s="411" t="n"/>
      <c r="N19" s="411" t="n"/>
      <c r="O19" s="412" t="n"/>
      <c r="P19" s="411" t="n"/>
      <c r="Q19" s="411" t="n"/>
      <c r="R19" s="412" t="n"/>
      <c r="S19" s="411" t="n"/>
      <c r="T19" s="411" t="n"/>
      <c r="U19" s="412" t="n"/>
      <c r="V19" s="411" t="n"/>
      <c r="W19" s="411" t="n"/>
      <c r="X19" s="412" t="n"/>
      <c r="Y19" s="411" t="n"/>
      <c r="Z19" s="411" t="n"/>
      <c r="AA19" s="412" t="n"/>
      <c r="AB19" s="411" t="n"/>
      <c r="AC19" s="411" t="n"/>
      <c r="AD19" s="412" t="n"/>
      <c r="AE19" s="411" t="n"/>
      <c r="AF19" s="411" t="n"/>
      <c r="AG19" s="412" t="n"/>
      <c r="AH19" s="411" t="n"/>
      <c r="AI19" s="411" t="n"/>
      <c r="AJ19" s="412" t="n"/>
      <c r="AK19" s="411" t="n"/>
      <c r="AL19" s="411" t="n"/>
      <c r="AM19" s="50" t="n"/>
    </row>
    <row r="20" ht="15.5" customHeight="1">
      <c r="A20" s="26" t="inlineStr">
        <is>
          <t xml:space="preserve">İnci Holding </t>
        </is>
      </c>
      <c r="B20" s="56">
        <f>B9/B6</f>
        <v/>
      </c>
      <c r="C20" s="56">
        <f>C9/C6</f>
        <v/>
      </c>
      <c r="D20" s="14" t="n"/>
      <c r="E20" s="56">
        <f>E9/E6</f>
        <v/>
      </c>
      <c r="F20" s="56">
        <f>F9/F6</f>
        <v/>
      </c>
      <c r="G20" s="56" t="n"/>
      <c r="H20" s="56">
        <f>H9/H6</f>
        <v/>
      </c>
      <c r="I20" s="56">
        <f>I9/I6</f>
        <v/>
      </c>
      <c r="J20" s="56" t="n"/>
      <c r="K20" s="56">
        <f>K9/K6</f>
        <v/>
      </c>
      <c r="L20" s="56">
        <f>L9/L6</f>
        <v/>
      </c>
      <c r="M20" s="56" t="n"/>
      <c r="N20" s="56">
        <f>N9/N6</f>
        <v/>
      </c>
      <c r="O20" s="56">
        <f>O9/O6</f>
        <v/>
      </c>
      <c r="P20" s="56" t="n"/>
      <c r="Q20" s="470">
        <f>Q9/Q6</f>
        <v/>
      </c>
      <c r="R20" s="470">
        <f>R9/R6</f>
        <v/>
      </c>
      <c r="S20" s="56" t="n"/>
      <c r="T20" s="56">
        <f>T9/T6</f>
        <v/>
      </c>
      <c r="U20" s="56">
        <f>U9/U6</f>
        <v/>
      </c>
      <c r="V20" s="56" t="n"/>
      <c r="W20" s="56">
        <f>W9/W6</f>
        <v/>
      </c>
      <c r="X20" s="56">
        <f>X9/X6</f>
        <v/>
      </c>
      <c r="Y20" s="56" t="n"/>
      <c r="Z20" s="56">
        <f>Z9/Z6</f>
        <v/>
      </c>
      <c r="AA20" s="56">
        <f>AA9/AA6</f>
        <v/>
      </c>
      <c r="AB20" s="56" t="n"/>
      <c r="AC20" s="56">
        <f>AC9/AC6</f>
        <v/>
      </c>
      <c r="AD20" s="56">
        <f>AD9/AD6</f>
        <v/>
      </c>
      <c r="AE20" s="56" t="n"/>
      <c r="AF20" s="135">
        <f>AF9/AF6</f>
        <v/>
      </c>
      <c r="AG20" s="135">
        <f>AG9/AG6</f>
        <v/>
      </c>
      <c r="AH20" s="56" t="n"/>
      <c r="AI20" s="56">
        <f>AI9/AI6</f>
        <v/>
      </c>
      <c r="AJ20" s="56">
        <f>AJ9/AJ6</f>
        <v/>
      </c>
      <c r="AK20" s="56" t="n"/>
      <c r="AL20" s="56">
        <f>AP20-AO20</f>
        <v/>
      </c>
      <c r="AM20" s="56" t="n"/>
      <c r="AO20" s="44">
        <f>IF($A$1=$B$1,B20,IF($A$1=$E$1,E20,IF($A$1=$H$1,H20,IF($A$1=$K$1,K20,IF($A$1=$N$1,N20,IF($A$1=$Q$1,Q20,IF($A$1=$T$1,T20,IF($A$1=$W$1,W20,IF($A$1=$Z$1,Z20,IF($A$1=$AC$1,AC20,IF($A$1=$AF$1,AF20,IF($A$1=$AI$1,AI20))))))))))))</f>
        <v/>
      </c>
      <c r="AP20" s="44">
        <f>IF($A$1=$B$1,C20,IF($A$1=$E$1,F20,IF($A$1=$H$1,I20,IF($A$1=$K$1,L20,IF($A$1=$N$1,O20,IF($A$1=$Q$1,R20,IF($A$1=$T$1,U20,IF($A$1=$W$1,X20,IF($A$1=$Z$1,AA20,IF($A$1=$AC$1,AD20,IF($A$1=$AF$1,AG20,IF($A$1=$AI$1,AJ20))))))))))))</f>
        <v/>
      </c>
    </row>
    <row r="21" ht="15.5" customHeight="1">
      <c r="A21" s="26" t="inlineStr">
        <is>
          <t xml:space="preserve">ISM </t>
        </is>
      </c>
      <c r="B21" s="56">
        <f>B10/B6</f>
        <v/>
      </c>
      <c r="C21" s="56">
        <f>C10/C6</f>
        <v/>
      </c>
      <c r="D21" s="7" t="n"/>
      <c r="E21" s="56">
        <f>E10/E6</f>
        <v/>
      </c>
      <c r="F21" s="56">
        <f>F10/F6</f>
        <v/>
      </c>
      <c r="G21" s="56" t="n"/>
      <c r="H21" s="56">
        <f>H10/H6</f>
        <v/>
      </c>
      <c r="I21" s="56">
        <f>I10/I6</f>
        <v/>
      </c>
      <c r="J21" s="56" t="n"/>
      <c r="K21" s="56">
        <f>K10/K6</f>
        <v/>
      </c>
      <c r="L21" s="56">
        <f>L10/L6</f>
        <v/>
      </c>
      <c r="M21" s="56" t="n"/>
      <c r="N21" s="56">
        <f>N10/N6</f>
        <v/>
      </c>
      <c r="O21" s="56">
        <f>O10/O6</f>
        <v/>
      </c>
      <c r="P21" s="56" t="n"/>
      <c r="Q21" s="470">
        <f>Q10/Q6</f>
        <v/>
      </c>
      <c r="R21" s="470">
        <f>R10/R6</f>
        <v/>
      </c>
      <c r="S21" s="56" t="n"/>
      <c r="T21" s="56">
        <f>T10/T6</f>
        <v/>
      </c>
      <c r="U21" s="56">
        <f>U10/U6</f>
        <v/>
      </c>
      <c r="V21" s="56" t="n"/>
      <c r="W21" s="56">
        <f>W10/W6</f>
        <v/>
      </c>
      <c r="X21" s="56">
        <f>X10/X6</f>
        <v/>
      </c>
      <c r="Y21" s="56" t="n"/>
      <c r="Z21" s="56">
        <f>Z10/Z6</f>
        <v/>
      </c>
      <c r="AA21" s="56">
        <f>AA10/AA6</f>
        <v/>
      </c>
      <c r="AB21" s="56" t="n"/>
      <c r="AC21" s="56">
        <f>AC10/AC6</f>
        <v/>
      </c>
      <c r="AD21" s="56">
        <f>AD10/AD6</f>
        <v/>
      </c>
      <c r="AE21" s="56" t="n"/>
      <c r="AF21" s="135">
        <f>AF10/AF6</f>
        <v/>
      </c>
      <c r="AG21" s="135">
        <f>AG10/AG6</f>
        <v/>
      </c>
      <c r="AH21" s="56" t="n"/>
      <c r="AI21" s="56">
        <f>AI10/AI6</f>
        <v/>
      </c>
      <c r="AJ21" s="56">
        <f>AJ10/AJ6</f>
        <v/>
      </c>
      <c r="AK21" s="56" t="n"/>
      <c r="AL21" s="56">
        <f>AP21-AO21</f>
        <v/>
      </c>
      <c r="AM21" s="56" t="n"/>
      <c r="AO21" s="44">
        <f>IF($A$1=$B$1,B21,IF($A$1=$E$1,E21,IF($A$1=$H$1,H21,IF($A$1=$K$1,K21,IF($A$1=$N$1,N21,IF($A$1=$Q$1,Q21,IF($A$1=$T$1,T21,IF($A$1=$W$1,W21,IF($A$1=$Z$1,Z21,IF($A$1=$AC$1,AC21,IF($A$1=$AF$1,AF21,IF($A$1=$AI$1,AI21))))))))))))</f>
        <v/>
      </c>
      <c r="AP21" s="44">
        <f>IF($A$1=$B$1,C21,IF($A$1=$E$1,F21,IF($A$1=$H$1,I21,IF($A$1=$K$1,L21,IF($A$1=$N$1,O21,IF($A$1=$Q$1,R21,IF($A$1=$T$1,U21,IF($A$1=$W$1,X21,IF($A$1=$Z$1,AA21,IF($A$1=$AC$1,AD21,IF($A$1=$AF$1,AG21,IF($A$1=$AI$1,AJ21))))))))))))</f>
        <v/>
      </c>
    </row>
    <row r="22" ht="15.5" customHeight="1">
      <c r="A22" s="26" t="inlineStr">
        <is>
          <t>İncitaş</t>
        </is>
      </c>
      <c r="B22" s="56">
        <f>B11/B6</f>
        <v/>
      </c>
      <c r="C22" s="56">
        <f>C11/C6</f>
        <v/>
      </c>
      <c r="D22" s="7" t="n"/>
      <c r="E22" s="56">
        <f>E11/E6</f>
        <v/>
      </c>
      <c r="F22" s="56">
        <f>F11/F6</f>
        <v/>
      </c>
      <c r="G22" s="56" t="n"/>
      <c r="H22" s="56">
        <f>H11/H6</f>
        <v/>
      </c>
      <c r="I22" s="56">
        <f>I11/I6</f>
        <v/>
      </c>
      <c r="J22" s="56" t="n"/>
      <c r="K22" s="56">
        <f>K11/K6</f>
        <v/>
      </c>
      <c r="L22" s="56">
        <f>L11/L6</f>
        <v/>
      </c>
      <c r="M22" s="56" t="n"/>
      <c r="N22" s="56">
        <f>N11/N6</f>
        <v/>
      </c>
      <c r="O22" s="56">
        <f>O11/O6</f>
        <v/>
      </c>
      <c r="P22" s="56" t="n"/>
      <c r="Q22" s="470">
        <f>Q11/Q6</f>
        <v/>
      </c>
      <c r="R22" s="470">
        <f>R11/R6</f>
        <v/>
      </c>
      <c r="S22" s="56" t="n"/>
      <c r="T22" s="56">
        <f>T11/T6</f>
        <v/>
      </c>
      <c r="U22" s="56">
        <f>U11/U6</f>
        <v/>
      </c>
      <c r="V22" s="56" t="n"/>
      <c r="W22" s="56">
        <f>W11/W6</f>
        <v/>
      </c>
      <c r="X22" s="56">
        <f>X11/X6</f>
        <v/>
      </c>
      <c r="Y22" s="56" t="n"/>
      <c r="Z22" s="56">
        <f>Z11/Z6</f>
        <v/>
      </c>
      <c r="AA22" s="56">
        <f>AA11/AA6</f>
        <v/>
      </c>
      <c r="AB22" s="56" t="n"/>
      <c r="AC22" s="56">
        <f>AC11/AC6</f>
        <v/>
      </c>
      <c r="AD22" s="56">
        <f>AD11/AD6</f>
        <v/>
      </c>
      <c r="AE22" s="56" t="n"/>
      <c r="AF22" s="135">
        <f>AF11/AF6</f>
        <v/>
      </c>
      <c r="AG22" s="135">
        <f>AG11/AG6</f>
        <v/>
      </c>
      <c r="AH22" s="56" t="n"/>
      <c r="AI22" s="56">
        <f>AI11/AI6</f>
        <v/>
      </c>
      <c r="AJ22" s="56">
        <f>AJ11/AJ6</f>
        <v/>
      </c>
      <c r="AK22" s="56" t="n"/>
      <c r="AL22" s="56">
        <f>AP22-AO22</f>
        <v/>
      </c>
      <c r="AM22" s="56" t="n"/>
      <c r="AO22" s="44">
        <f>IF($A$1=$B$1,B22,IF($A$1=$E$1,E22,IF($A$1=$H$1,H22,IF($A$1=$K$1,K22,IF($A$1=$N$1,N22,IF($A$1=$Q$1,Q22,IF($A$1=$T$1,T22,IF($A$1=$W$1,W22,IF($A$1=$Z$1,Z22,IF($A$1=$AC$1,AC22,IF($A$1=$AF$1,AF22,IF($A$1=$AI$1,AI22))))))))))))</f>
        <v/>
      </c>
      <c r="AP22" s="44">
        <f>IF($A$1=$B$1,C22,IF($A$1=$E$1,F22,IF($A$1=$H$1,I22,IF($A$1=$K$1,L22,IF($A$1=$N$1,O22,IF($A$1=$Q$1,R22,IF($A$1=$T$1,U22,IF($A$1=$W$1,X22,IF($A$1=$Z$1,AA22,IF($A$1=$AC$1,AD22,IF($A$1=$AF$1,AG22,IF($A$1=$AI$1,AJ22))))))))))))</f>
        <v/>
      </c>
    </row>
    <row r="23" ht="15.5" customHeight="1">
      <c r="A23" s="26" t="inlineStr">
        <is>
          <t>İnci GS Yuasa</t>
        </is>
      </c>
      <c r="B23" s="56">
        <f>B12*0.5/B6</f>
        <v/>
      </c>
      <c r="C23" s="56">
        <f>C12*0.5/C6</f>
        <v/>
      </c>
      <c r="D23" s="7" t="n"/>
      <c r="E23" s="56">
        <f>E12*0.5/E6</f>
        <v/>
      </c>
      <c r="F23" s="56">
        <f>F12*0.5/F6</f>
        <v/>
      </c>
      <c r="G23" s="56" t="n"/>
      <c r="H23" s="56">
        <f>H12*0.5/H6</f>
        <v/>
      </c>
      <c r="I23" s="56">
        <f>I12*0.5/I6</f>
        <v/>
      </c>
      <c r="J23" s="56" t="n"/>
      <c r="K23" s="56">
        <f>K12*0.5/K6</f>
        <v/>
      </c>
      <c r="L23" s="56">
        <f>L12*0.5/L6</f>
        <v/>
      </c>
      <c r="M23" s="56" t="n"/>
      <c r="N23" s="56">
        <f>N12*0.5/N6</f>
        <v/>
      </c>
      <c r="O23" s="56">
        <f>O12*0.5/O6</f>
        <v/>
      </c>
      <c r="P23" s="56" t="n"/>
      <c r="Q23" s="470">
        <f>Q12*0.5/Q6</f>
        <v/>
      </c>
      <c r="R23" s="470">
        <f>R12*0.5/R6</f>
        <v/>
      </c>
      <c r="S23" s="56" t="n"/>
      <c r="T23" s="56">
        <f>T12*0.5/T6</f>
        <v/>
      </c>
      <c r="U23" s="56">
        <f>U12*0.5/U6</f>
        <v/>
      </c>
      <c r="V23" s="56" t="n"/>
      <c r="W23" s="56">
        <f>W12*0.5/W6</f>
        <v/>
      </c>
      <c r="X23" s="56">
        <f>X12*0.5/X6</f>
        <v/>
      </c>
      <c r="Y23" s="56" t="n"/>
      <c r="Z23" s="56">
        <f>Z12*0.5/Z6</f>
        <v/>
      </c>
      <c r="AA23" s="56">
        <f>AA12*0.5/AA6</f>
        <v/>
      </c>
      <c r="AB23" s="56" t="n"/>
      <c r="AC23" s="56">
        <f>AC12*0.4/AC6</f>
        <v/>
      </c>
      <c r="AD23" s="56">
        <f>AD12*0.4/AD6</f>
        <v/>
      </c>
      <c r="AE23" s="56" t="n"/>
      <c r="AF23" s="135">
        <f>AF12*0.4/AF6</f>
        <v/>
      </c>
      <c r="AG23" s="135">
        <f>AG12*0.4/AG6</f>
        <v/>
      </c>
      <c r="AH23" s="56" t="n"/>
      <c r="AI23" s="56">
        <f>AI12*0.5/AI6</f>
        <v/>
      </c>
      <c r="AJ23" s="56">
        <f>AJ12*0.5/AJ6</f>
        <v/>
      </c>
      <c r="AK23" s="56" t="n"/>
      <c r="AL23" s="56">
        <f>AP23-AO23</f>
        <v/>
      </c>
      <c r="AM23" s="56" t="n"/>
      <c r="AO23" s="44">
        <f>IF($A$1=$B$1,B23,IF($A$1=$E$1,E23,IF($A$1=$H$1,H23,IF($A$1=$K$1,K23,IF($A$1=$N$1,N23,IF($A$1=$Q$1,Q23,IF($A$1=$T$1,T23,IF($A$1=$W$1,W23,IF($A$1=$Z$1,Z23,IF($A$1=$AC$1,AC23,IF($A$1=$AF$1,AF23,IF($A$1=$AI$1,AI23))))))))))))</f>
        <v/>
      </c>
      <c r="AP23" s="44">
        <f>IF($A$1=$B$1,C23,IF($A$1=$E$1,F23,IF($A$1=$H$1,I23,IF($A$1=$K$1,L23,IF($A$1=$N$1,O23,IF($A$1=$Q$1,R23,IF($A$1=$T$1,U23,IF($A$1=$W$1,X23,IF($A$1=$Z$1,AA23,IF($A$1=$AC$1,AD23,IF($A$1=$AF$1,AG23,IF($A$1=$AI$1,AJ23))))))))))))</f>
        <v/>
      </c>
    </row>
    <row r="24" ht="15.5" customFormat="1" customHeight="1" s="1">
      <c r="A24" s="26" t="inlineStr">
        <is>
          <t>Yusen İnci Loj.</t>
        </is>
      </c>
      <c r="B24" s="56">
        <f>B13*0.4/B6</f>
        <v/>
      </c>
      <c r="C24" s="56">
        <f>C13*0.4/C6</f>
        <v/>
      </c>
      <c r="D24" s="8" t="n"/>
      <c r="E24" s="56">
        <f>E13*0.4/E6</f>
        <v/>
      </c>
      <c r="F24" s="56">
        <f>F13*0.4/F6</f>
        <v/>
      </c>
      <c r="G24" s="57" t="n"/>
      <c r="H24" s="56">
        <f>H13*0.4/H6</f>
        <v/>
      </c>
      <c r="I24" s="56">
        <f>I13*0.4/I6</f>
        <v/>
      </c>
      <c r="J24" s="57" t="n"/>
      <c r="K24" s="56">
        <f>K13*0.4/K6</f>
        <v/>
      </c>
      <c r="L24" s="56">
        <f>L13*0.4/L6</f>
        <v/>
      </c>
      <c r="M24" s="57" t="n"/>
      <c r="N24" s="56">
        <f>N13*0.4/N6</f>
        <v/>
      </c>
      <c r="O24" s="56">
        <f>O13*0.4/O6</f>
        <v/>
      </c>
      <c r="P24" s="57" t="n"/>
      <c r="Q24" s="470">
        <f>Q13*0.4/Q6</f>
        <v/>
      </c>
      <c r="R24" s="470">
        <f>R13*0.4/R6</f>
        <v/>
      </c>
      <c r="S24" s="57" t="n"/>
      <c r="T24" s="56">
        <f>T13*0.4/T6</f>
        <v/>
      </c>
      <c r="U24" s="56">
        <f>U13*0.4/U6</f>
        <v/>
      </c>
      <c r="V24" s="57" t="n"/>
      <c r="W24" s="56">
        <f>W13*0.4/W6</f>
        <v/>
      </c>
      <c r="X24" s="56">
        <f>X13*0.4/X6</f>
        <v/>
      </c>
      <c r="Y24" s="57" t="n"/>
      <c r="Z24" s="56">
        <f>Z13*0.4/Z6</f>
        <v/>
      </c>
      <c r="AA24" s="56">
        <f>AA13*0.4/AA6</f>
        <v/>
      </c>
      <c r="AB24" s="57" t="n"/>
      <c r="AC24" s="56">
        <f>AC13*0.4/AC6</f>
        <v/>
      </c>
      <c r="AD24" s="56">
        <f>AD13*0.4/AD6</f>
        <v/>
      </c>
      <c r="AE24" s="57" t="n"/>
      <c r="AF24" s="135">
        <f>AF13*0.4/AF6</f>
        <v/>
      </c>
      <c r="AG24" s="135">
        <f>AG13*0.4/AG6</f>
        <v/>
      </c>
      <c r="AH24" s="57" t="n"/>
      <c r="AI24" s="56">
        <f>AI13*0.4/AI6</f>
        <v/>
      </c>
      <c r="AJ24" s="56">
        <f>AJ13*0.4/AJ6</f>
        <v/>
      </c>
      <c r="AK24" s="57" t="n"/>
      <c r="AL24" s="56">
        <f>AP24-AO24</f>
        <v/>
      </c>
      <c r="AM24" s="57" t="n"/>
      <c r="AO24" s="44">
        <f>IF($A$1=$B$1,B24,IF($A$1=$E$1,E24,IF($A$1=$H$1,H24,IF($A$1=$K$1,K24,IF($A$1=$N$1,N24,IF($A$1=$Q$1,Q24,IF($A$1=$T$1,T24,IF($A$1=$W$1,W24,IF($A$1=$Z$1,Z24,IF($A$1=$AC$1,AC24,IF($A$1=$AF$1,AF24,IF($A$1=$AI$1,AI24))))))))))))</f>
        <v/>
      </c>
      <c r="AP24" s="44">
        <f>IF($A$1=$B$1,C24,IF($A$1=$E$1,F24,IF($A$1=$H$1,I24,IF($A$1=$K$1,L24,IF($A$1=$N$1,O24,IF($A$1=$Q$1,R24,IF($A$1=$T$1,U24,IF($A$1=$W$1,X24,IF($A$1=$Z$1,AA24,IF($A$1=$AC$1,AD24,IF($A$1=$AF$1,AG24,IF($A$1=$AI$1,AJ24))))))))))))</f>
        <v/>
      </c>
    </row>
    <row r="25" ht="15.5" customHeight="1">
      <c r="A25" s="26" t="inlineStr">
        <is>
          <t>Jantaş</t>
        </is>
      </c>
      <c r="B25" s="56">
        <f>B14*0.4/B6</f>
        <v/>
      </c>
      <c r="C25" s="56">
        <f>C14*0.4/C6</f>
        <v/>
      </c>
      <c r="D25" s="7" t="n"/>
      <c r="E25" s="56">
        <f>E14*0.4/E6</f>
        <v/>
      </c>
      <c r="F25" s="56">
        <f>F14*0.4/F6</f>
        <v/>
      </c>
      <c r="G25" s="56" t="n"/>
      <c r="H25" s="56">
        <f>H14*0.4/H6</f>
        <v/>
      </c>
      <c r="I25" s="56">
        <f>I14*0.4/I6</f>
        <v/>
      </c>
      <c r="J25" s="56" t="n"/>
      <c r="K25" s="56">
        <f>K14*0.4/K6</f>
        <v/>
      </c>
      <c r="L25" s="56">
        <f>L14*0.4/L6</f>
        <v/>
      </c>
      <c r="M25" s="56" t="n"/>
      <c r="N25" s="56">
        <f>N14*0.4/N6</f>
        <v/>
      </c>
      <c r="O25" s="56">
        <f>O14*0.4/O6</f>
        <v/>
      </c>
      <c r="P25" s="56" t="n"/>
      <c r="Q25" s="470">
        <f>Q14*0.4/Q6</f>
        <v/>
      </c>
      <c r="R25" s="470">
        <f>R14*0.4/R6</f>
        <v/>
      </c>
      <c r="S25" s="56" t="n"/>
      <c r="T25" s="56">
        <f>T14*0.4/T6</f>
        <v/>
      </c>
      <c r="U25" s="56">
        <f>U14*0.4/U6</f>
        <v/>
      </c>
      <c r="V25" s="56" t="n"/>
      <c r="W25" s="56">
        <f>W14*0.4/W6</f>
        <v/>
      </c>
      <c r="X25" s="56">
        <f>X14*0.4/X6</f>
        <v/>
      </c>
      <c r="Y25" s="56" t="n"/>
      <c r="Z25" s="56">
        <f>Z14*0.4/Z6</f>
        <v/>
      </c>
      <c r="AA25" s="56">
        <f>AA14*0.4/AA6</f>
        <v/>
      </c>
      <c r="AB25" s="56" t="n"/>
      <c r="AC25" s="56">
        <f>AC14*0.4/AC6</f>
        <v/>
      </c>
      <c r="AD25" s="56">
        <f>AD14*0.4/AD6</f>
        <v/>
      </c>
      <c r="AE25" s="56" t="n"/>
      <c r="AF25" s="135">
        <f>AF14*0.4/AF6</f>
        <v/>
      </c>
      <c r="AG25" s="135">
        <f>AG14*0.4/AG6</f>
        <v/>
      </c>
      <c r="AH25" s="56" t="n"/>
      <c r="AI25" s="56">
        <f>AI14*0.4/AI6</f>
        <v/>
      </c>
      <c r="AJ25" s="56">
        <f>AJ14*0.4/AJ6</f>
        <v/>
      </c>
      <c r="AK25" s="56" t="n"/>
      <c r="AL25" s="56">
        <f>AP25-AO25</f>
        <v/>
      </c>
      <c r="AM25" s="56" t="n"/>
      <c r="AO25" s="44">
        <f>IF($A$1=$B$1,B25,IF($A$1=$E$1,E25,IF($A$1=$H$1,H25,IF($A$1=$K$1,K25,IF($A$1=$N$1,N25,IF($A$1=$Q$1,Q25,IF($A$1=$T$1,T25,IF($A$1=$W$1,W25,IF($A$1=$Z$1,Z25,IF($A$1=$AC$1,AC25,IF($A$1=$AF$1,AF25,IF($A$1=$AI$1,AI25))))))))))))</f>
        <v/>
      </c>
      <c r="AP25" s="44">
        <f>IF($A$1=$B$1,C25,IF($A$1=$E$1,F25,IF($A$1=$H$1,I25,IF($A$1=$K$1,L25,IF($A$1=$N$1,O25,IF($A$1=$Q$1,R25,IF($A$1=$T$1,U25,IF($A$1=$W$1,X25,IF($A$1=$Z$1,AA25,IF($A$1=$AC$1,AD25,IF($A$1=$AF$1,AG25,IF($A$1=$AI$1,AJ25))))))))))))</f>
        <v/>
      </c>
    </row>
    <row r="26" ht="15.5" customHeight="1">
      <c r="A26" s="26" t="inlineStr">
        <is>
          <t>Çelik</t>
        </is>
      </c>
      <c r="B26" s="56">
        <f>B15*0.4/B6</f>
        <v/>
      </c>
      <c r="C26" s="56">
        <f>C15*0.4/C6</f>
        <v/>
      </c>
      <c r="D26" s="7" t="n"/>
      <c r="E26" s="56">
        <f>E15*0.4/E6</f>
        <v/>
      </c>
      <c r="F26" s="56">
        <f>F15*0.4/F6</f>
        <v/>
      </c>
      <c r="G26" s="56" t="n"/>
      <c r="H26" s="56">
        <f>H15*0.4/H6</f>
        <v/>
      </c>
      <c r="I26" s="56">
        <f>I15*0.4/I6</f>
        <v/>
      </c>
      <c r="J26" s="56" t="n"/>
      <c r="K26" s="56">
        <f>K15*0.4/K6</f>
        <v/>
      </c>
      <c r="L26" s="56">
        <f>L15*0.4/L6</f>
        <v/>
      </c>
      <c r="M26" s="56" t="n"/>
      <c r="N26" s="56">
        <f>N15*0.4/N6</f>
        <v/>
      </c>
      <c r="O26" s="56">
        <f>O15*0.4/O6</f>
        <v/>
      </c>
      <c r="P26" s="56" t="n"/>
      <c r="Q26" s="470">
        <f>Q15*0.4/Q6</f>
        <v/>
      </c>
      <c r="R26" s="470">
        <f>R15*0.4/R6</f>
        <v/>
      </c>
      <c r="S26" s="56" t="n"/>
      <c r="T26" s="56">
        <f>T15*0.4/T6</f>
        <v/>
      </c>
      <c r="U26" s="56">
        <f>U15*0.4/U6</f>
        <v/>
      </c>
      <c r="V26" s="56" t="n"/>
      <c r="W26" s="56">
        <f>W15*0.4/W6</f>
        <v/>
      </c>
      <c r="X26" s="56">
        <f>X15*0.4/X6</f>
        <v/>
      </c>
      <c r="Y26" s="56" t="n"/>
      <c r="Z26" s="56">
        <f>Z15*0.4/Z6</f>
        <v/>
      </c>
      <c r="AA26" s="56">
        <f>AA15*0.4/AA6</f>
        <v/>
      </c>
      <c r="AB26" s="56" t="n"/>
      <c r="AC26" s="56">
        <f>AC15*0.4/AC6</f>
        <v/>
      </c>
      <c r="AD26" s="56">
        <f>AD15*0.4/AD6</f>
        <v/>
      </c>
      <c r="AE26" s="56" t="n"/>
      <c r="AF26" s="135">
        <f>AF15*0.4/AF6</f>
        <v/>
      </c>
      <c r="AG26" s="135">
        <f>AG15*0.4/AG6</f>
        <v/>
      </c>
      <c r="AH26" s="56" t="n"/>
      <c r="AI26" s="56">
        <f>AI15*0.4/AI6</f>
        <v/>
      </c>
      <c r="AJ26" s="56">
        <f>AJ15*0.4/AJ6</f>
        <v/>
      </c>
      <c r="AK26" s="56" t="n"/>
      <c r="AL26" s="56">
        <f>AP26-AO26</f>
        <v/>
      </c>
      <c r="AM26" s="56" t="n"/>
      <c r="AO26" s="44">
        <f>IF($A$1=$B$1,B26,IF($A$1=$E$1,E26,IF($A$1=$H$1,H26,IF($A$1=$K$1,K26,IF($A$1=$N$1,N26,IF($A$1=$Q$1,Q26,IF($A$1=$T$1,T26,IF($A$1=$W$1,W26,IF($A$1=$Z$1,Z26,IF($A$1=$AC$1,AC26,IF($A$1=$AF$1,AF26,IF($A$1=$AI$1,AI26))))))))))))</f>
        <v/>
      </c>
      <c r="AP26" s="44">
        <f>IF($A$1=$B$1,C26,IF($A$1=$E$1,F26,IF($A$1=$H$1,I26,IF($A$1=$K$1,L26,IF($A$1=$N$1,O26,IF($A$1=$Q$1,R26,IF($A$1=$T$1,U26,IF($A$1=$W$1,X26,IF($A$1=$Z$1,AA26,IF($A$1=$AC$1,AD26,IF($A$1=$AF$1,AG26,IF($A$1=$AI$1,AJ26))))))))))))</f>
        <v/>
      </c>
    </row>
    <row r="27" ht="15.5" customHeight="1">
      <c r="A27" s="26" t="inlineStr">
        <is>
          <t>Alüminyum</t>
        </is>
      </c>
      <c r="B27" s="56">
        <f>B16*0.4/B6</f>
        <v/>
      </c>
      <c r="C27" s="56">
        <f>C16*0.4/C6</f>
        <v/>
      </c>
      <c r="D27" s="7" t="n"/>
      <c r="E27" s="56">
        <f>E16*0.4/E6</f>
        <v/>
      </c>
      <c r="F27" s="56">
        <f>F16*0.4/F6</f>
        <v/>
      </c>
      <c r="G27" s="56" t="n"/>
      <c r="H27" s="56">
        <f>H16*0.4/H6</f>
        <v/>
      </c>
      <c r="I27" s="56">
        <f>I16*0.4/I6</f>
        <v/>
      </c>
      <c r="J27" s="56" t="n"/>
      <c r="K27" s="56">
        <f>K16*0.4/K6</f>
        <v/>
      </c>
      <c r="L27" s="56">
        <f>L16*0.4/L6</f>
        <v/>
      </c>
      <c r="M27" s="56" t="n"/>
      <c r="N27" s="56">
        <f>N16*0.4/N6</f>
        <v/>
      </c>
      <c r="O27" s="56">
        <f>O16*0.4/O6</f>
        <v/>
      </c>
      <c r="P27" s="56" t="n"/>
      <c r="Q27" s="470">
        <f>Q16*0.4/Q6</f>
        <v/>
      </c>
      <c r="R27" s="470">
        <f>R16*0.4/R6</f>
        <v/>
      </c>
      <c r="S27" s="56" t="n"/>
      <c r="T27" s="56">
        <f>T16*0.4/T6</f>
        <v/>
      </c>
      <c r="U27" s="56">
        <f>U16*0.4/U6</f>
        <v/>
      </c>
      <c r="V27" s="56" t="n"/>
      <c r="W27" s="56">
        <f>W16*0.4/W6</f>
        <v/>
      </c>
      <c r="X27" s="56">
        <f>X16*0.4/X6</f>
        <v/>
      </c>
      <c r="Y27" s="56" t="n"/>
      <c r="Z27" s="56">
        <f>Z16*0.4/Z6</f>
        <v/>
      </c>
      <c r="AA27" s="56">
        <f>AA16*0.4/AA6</f>
        <v/>
      </c>
      <c r="AB27" s="56" t="n"/>
      <c r="AC27" s="56">
        <f>AC16*0.4/AC6</f>
        <v/>
      </c>
      <c r="AD27" s="56">
        <f>AD16*0.4/AD6</f>
        <v/>
      </c>
      <c r="AE27" s="56" t="n"/>
      <c r="AF27" s="135">
        <f>AF16*0.4/AF6</f>
        <v/>
      </c>
      <c r="AG27" s="135">
        <f>AG16*0.4/AG6</f>
        <v/>
      </c>
      <c r="AH27" s="56" t="n"/>
      <c r="AI27" s="56">
        <f>AI16*0.4/AI6</f>
        <v/>
      </c>
      <c r="AJ27" s="56">
        <f>AJ16*0.4/AJ6</f>
        <v/>
      </c>
      <c r="AK27" s="56" t="n"/>
      <c r="AL27" s="56">
        <f>AP27-AO27</f>
        <v/>
      </c>
      <c r="AM27" s="56" t="n"/>
      <c r="AO27" s="44">
        <f>IF($A$1=$B$1,B27,IF($A$1=$E$1,E27,IF($A$1=$H$1,H27,IF($A$1=$K$1,K27,IF($A$1=$N$1,N27,IF($A$1=$Q$1,Q27,IF($A$1=$T$1,T27,IF($A$1=$W$1,W27,IF($A$1=$Z$1,Z27,IF($A$1=$AC$1,AC27,IF($A$1=$AF$1,AF27,IF($A$1=$AI$1,AI27))))))))))))</f>
        <v/>
      </c>
      <c r="AP27" s="44">
        <f>IF($A$1=$B$1,C27,IF($A$1=$E$1,F27,IF($A$1=$H$1,I27,IF($A$1=$K$1,L27,IF($A$1=$N$1,O27,IF($A$1=$Q$1,R27,IF($A$1=$T$1,U27,IF($A$1=$W$1,X27,IF($A$1=$Z$1,AA27,IF($A$1=$AC$1,AD27,IF($A$1=$AF$1,AG27,IF($A$1=$AI$1,AJ27))))))))))))</f>
        <v/>
      </c>
      <c r="AV27">
        <f>135000000*0.0028/31.87</f>
        <v/>
      </c>
    </row>
    <row r="28" ht="15.5" customHeight="1">
      <c r="A28" s="26" t="n"/>
      <c r="B28" s="56" t="n"/>
      <c r="C28" s="56" t="n"/>
      <c r="D28" s="7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>
        <f>AP28-AO28</f>
        <v/>
      </c>
      <c r="AM28" s="56" t="n"/>
      <c r="AO28" s="44">
        <f>IF($A$1=$B$1,B28,IF($A$1=$E$1,E28,IF($A$1=$H$1,H28,IF($A$1=$K$1,K28,IF($A$1=$N$1,N28,IF($A$1=$Q$1,Q28,IF($A$1=$T$1,T28,IF($A$1=$W$1,W28,IF($A$1=$Z$1,Z28,IF($A$1=$AC$1,AC28,IF($A$1=$AF$1,AF28,IF($A$1=$AI$1,AI28))))))))))))</f>
        <v/>
      </c>
      <c r="AP28" s="44">
        <f>IF($A$1=$B$1,C28,IF($A$1=$E$1,F28,IF($A$1=$H$1,I28,IF($A$1=$K$1,L28,IF($A$1=$N$1,O28,IF($A$1=$Q$1,R28,IF($A$1=$T$1,U28,IF($A$1=$W$1,X28,IF($A$1=$Z$1,AA28,IF($A$1=$AC$1,AD28,IF($A$1=$AF$1,AG28,IF($A$1=$AI$1,AJ28))))))))))))</f>
        <v/>
      </c>
    </row>
    <row r="29" ht="15.5" customHeight="1">
      <c r="A29" s="26" t="n"/>
      <c r="B29" s="56" t="n"/>
      <c r="C29" s="56" t="n"/>
      <c r="D29" s="7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>
        <f>AP29-AO29</f>
        <v/>
      </c>
      <c r="AM29" s="56" t="n"/>
      <c r="AO29" s="44">
        <f>IF($A$1=$B$1,B29,IF($A$1=$E$1,E29,IF($A$1=$H$1,H29,IF($A$1=$K$1,K29,IF($A$1=$N$1,N29,IF($A$1=$Q$1,Q29,IF($A$1=$T$1,T29,IF($A$1=$W$1,W29,IF($A$1=$Z$1,Z29,IF($A$1=$AC$1,AC29,IF($A$1=$AF$1,AF29,IF($A$1=$AI$1,AI29))))))))))))</f>
        <v/>
      </c>
      <c r="AP29" s="44">
        <f>IF($A$1=$B$1,C29,IF($A$1=$E$1,F29,IF($A$1=$H$1,I29,IF($A$1=$K$1,L29,IF($A$1=$N$1,O29,IF($A$1=$Q$1,R29,IF($A$1=$T$1,U29,IF($A$1=$W$1,X29,IF($A$1=$Z$1,AA29,IF($A$1=$AC$1,AD29,IF($A$1=$AF$1,AG29,IF($A$1=$AI$1,AJ29))))))))))))</f>
        <v/>
      </c>
    </row>
    <row r="30" ht="15.5" customFormat="1" customHeight="1" s="45">
      <c r="A30" s="35" t="inlineStr">
        <is>
          <t>Net Sales</t>
        </is>
      </c>
      <c r="B30" s="36">
        <f>'A -Döviz'!B30</f>
        <v/>
      </c>
      <c r="C30" s="36">
        <f>'A -Döviz'!C30</f>
        <v/>
      </c>
      <c r="D30" s="72">
        <f>+(C30/B30)-1</f>
        <v/>
      </c>
      <c r="E30" s="36">
        <f>B30+'A -Döviz'!E30</f>
        <v/>
      </c>
      <c r="F30" s="36">
        <f>C30+'A -Döviz'!F30</f>
        <v/>
      </c>
      <c r="G30" s="19" t="n"/>
      <c r="H30" s="36">
        <f>E30+'A -Döviz'!H30</f>
        <v/>
      </c>
      <c r="I30" s="36">
        <f>F30+'A -Döviz'!I30</f>
        <v/>
      </c>
      <c r="J30" s="19" t="n"/>
      <c r="K30" s="36">
        <f>H30+'A -Döviz'!K30</f>
        <v/>
      </c>
      <c r="L30" s="36">
        <f>I30+'A -Döviz'!L30</f>
        <v/>
      </c>
      <c r="M30" s="19" t="n"/>
      <c r="N30" s="36">
        <f>K30+'A -Döviz'!N30</f>
        <v/>
      </c>
      <c r="O30" s="36">
        <f>L30+'A -Döviz'!O30</f>
        <v/>
      </c>
      <c r="P30" s="19" t="n"/>
      <c r="Q30" s="36">
        <f>N30+'A -Döviz'!Q30</f>
        <v/>
      </c>
      <c r="R30" s="36">
        <f>O30+'A -Döviz'!R30</f>
        <v/>
      </c>
      <c r="S30" s="19" t="n"/>
      <c r="T30" s="36">
        <f>Q30+'A -Döviz'!T30</f>
        <v/>
      </c>
      <c r="U30" s="36">
        <f>R30+'A -Döviz'!U30</f>
        <v/>
      </c>
      <c r="V30" s="19" t="n"/>
      <c r="W30" s="36">
        <f>T30+'A -Döviz'!W30</f>
        <v/>
      </c>
      <c r="X30" s="36">
        <f>U30+'A -Döviz'!X30</f>
        <v/>
      </c>
      <c r="Y30" s="19" t="n"/>
      <c r="Z30" s="36">
        <f>W30+'A -Döviz'!Z30</f>
        <v/>
      </c>
      <c r="AA30" s="36">
        <f>X30+'A -Döviz'!AA30</f>
        <v/>
      </c>
      <c r="AB30" s="19" t="n"/>
      <c r="AC30" s="36">
        <f>Z30+'A -Döviz'!AC30</f>
        <v/>
      </c>
      <c r="AD30" s="36">
        <f>AA30+'A -Döviz'!AD30</f>
        <v/>
      </c>
      <c r="AE30" s="19" t="n"/>
      <c r="AF30" s="36">
        <f>AC30+'A -Döviz'!AF30</f>
        <v/>
      </c>
      <c r="AG30" s="36">
        <f>AD30+'A -Döviz'!AG30</f>
        <v/>
      </c>
      <c r="AH30" s="19" t="n"/>
      <c r="AI30" s="36">
        <f>AF30+'A -Döviz'!AI30</f>
        <v/>
      </c>
      <c r="AJ30" s="36">
        <f>AG30+'A -Döviz'!AJ30</f>
        <v/>
      </c>
      <c r="AK30" s="19" t="n"/>
      <c r="AL30" s="37">
        <f>AP30-AO30</f>
        <v/>
      </c>
      <c r="AM30" s="38">
        <f>AP30/AO30-1</f>
        <v/>
      </c>
      <c r="AO30" s="44">
        <f>IF($A$1=$B$1,B30,IF($A$1=$E$1,E30,IF($A$1=$H$1,H30,IF($A$1=$K$1,K30,IF($A$1=$N$1,N30,IF($A$1=$Q$1,Q30,IF($A$1=$T$1,T30,IF($A$1=$W$1,W30,IF($A$1=$Z$1,Z30,IF($A$1=$AC$1,AC30,IF($A$1=$AF$1,AF30,IF($A$1=$AI$1,AI30))))))))))))</f>
        <v/>
      </c>
      <c r="AP30" s="44">
        <f>IF($A$1=$B$1,C30,IF($A$1=$E$1,F30,IF($A$1=$H$1,I30,IF($A$1=$K$1,L30,IF($A$1=$N$1,O30,IF($A$1=$Q$1,R30,IF($A$1=$T$1,U30,IF($A$1=$W$1,X30,IF($A$1=$Z$1,AA30,IF($A$1=$AC$1,AD30,IF($A$1=$AF$1,AG30,IF($A$1=$AI$1,AJ30))))))))))))</f>
        <v/>
      </c>
    </row>
    <row r="31" ht="15.5" customFormat="1" customHeight="1" s="45">
      <c r="A31" s="35" t="inlineStr">
        <is>
          <t>Cost of Sales</t>
        </is>
      </c>
      <c r="B31" s="36">
        <f>'A -Döviz'!B31</f>
        <v/>
      </c>
      <c r="C31" s="36">
        <f>'A -Döviz'!C31</f>
        <v/>
      </c>
      <c r="D31" s="72">
        <f>+(C31/B31)-1</f>
        <v/>
      </c>
      <c r="E31" s="36">
        <f>B31+'A -Döviz'!E31</f>
        <v/>
      </c>
      <c r="F31" s="36">
        <f>C31+'A -Döviz'!F31</f>
        <v/>
      </c>
      <c r="G31" s="19" t="n"/>
      <c r="H31" s="36">
        <f>E31+'A -Döviz'!H31</f>
        <v/>
      </c>
      <c r="I31" s="36">
        <f>F31+'A -Döviz'!I31</f>
        <v/>
      </c>
      <c r="J31" s="19" t="n"/>
      <c r="K31" s="36">
        <f>H31+'A -Döviz'!K31</f>
        <v/>
      </c>
      <c r="L31" s="36">
        <f>I31+'A -Döviz'!L31</f>
        <v/>
      </c>
      <c r="M31" s="19" t="n"/>
      <c r="N31" s="36">
        <f>K31+'A -Döviz'!N31</f>
        <v/>
      </c>
      <c r="O31" s="36">
        <f>L31+'A -Döviz'!O31</f>
        <v/>
      </c>
      <c r="P31" s="19" t="n"/>
      <c r="Q31" s="36">
        <f>N31+'A -Döviz'!Q31</f>
        <v/>
      </c>
      <c r="R31" s="36">
        <f>O31+'A -Döviz'!R31</f>
        <v/>
      </c>
      <c r="S31" s="19" t="n"/>
      <c r="T31" s="36">
        <f>Q31+'A -Döviz'!T31</f>
        <v/>
      </c>
      <c r="U31" s="36">
        <f>R31+'A -Döviz'!U31</f>
        <v/>
      </c>
      <c r="V31" s="84" t="n"/>
      <c r="W31" s="36">
        <f>T31+'A -Döviz'!W31</f>
        <v/>
      </c>
      <c r="X31" s="36">
        <f>U31+'A -Döviz'!X31</f>
        <v/>
      </c>
      <c r="Y31" s="19" t="n"/>
      <c r="Z31" s="36">
        <f>W31+'A -Döviz'!Z31</f>
        <v/>
      </c>
      <c r="AA31" s="36">
        <f>X31+'A -Döviz'!AA31</f>
        <v/>
      </c>
      <c r="AB31" s="19" t="n"/>
      <c r="AC31" s="36">
        <f>Z31+'A -Döviz'!AC31</f>
        <v/>
      </c>
      <c r="AD31" s="36">
        <f>AA31+'A -Döviz'!AD31</f>
        <v/>
      </c>
      <c r="AE31" s="19" t="n"/>
      <c r="AF31" s="36">
        <f>AC31+'A -Döviz'!AF31</f>
        <v/>
      </c>
      <c r="AG31" s="36">
        <f>AD31+'A -Döviz'!AG31</f>
        <v/>
      </c>
      <c r="AH31" s="19" t="n"/>
      <c r="AI31" s="36">
        <f>AF31+'A -Döviz'!AI31</f>
        <v/>
      </c>
      <c r="AJ31" s="36">
        <f>AG31+'A -Döviz'!AJ31</f>
        <v/>
      </c>
      <c r="AK31" s="19" t="n"/>
      <c r="AL31" s="37">
        <f>AP31-AO31</f>
        <v/>
      </c>
      <c r="AM31" s="38">
        <f>AP31/AO31-1</f>
        <v/>
      </c>
      <c r="AO31" s="44">
        <f>IF($A$1=$B$1,B31,IF($A$1=$E$1,E31,IF($A$1=$H$1,H31,IF($A$1=$K$1,K31,IF($A$1=$N$1,N31,IF($A$1=$Q$1,Q31,IF($A$1=$T$1,T31,IF($A$1=$W$1,W31,IF($A$1=$Z$1,Z31,IF($A$1=$AC$1,AC31,IF($A$1=$AF$1,AF31,IF($A$1=$AI$1,AI31))))))))))))</f>
        <v/>
      </c>
      <c r="AP31" s="44">
        <f>IF($A$1=$B$1,C31,IF($A$1=$E$1,F31,IF($A$1=$H$1,I31,IF($A$1=$K$1,L31,IF($A$1=$N$1,O31,IF($A$1=$Q$1,R31,IF($A$1=$T$1,U31,IF($A$1=$W$1,X31,IF($A$1=$Z$1,AA31,IF($A$1=$AC$1,AD31,IF($A$1=$AF$1,AG31,IF($A$1=$AI$1,AJ31))))))))))))</f>
        <v/>
      </c>
    </row>
    <row r="32" ht="15.5" customFormat="1" customHeight="1" s="44">
      <c r="A32" s="31" t="inlineStr">
        <is>
          <t>Gross Profit</t>
        </is>
      </c>
      <c r="B32" s="32">
        <f>'A -Döviz'!B32</f>
        <v/>
      </c>
      <c r="C32" s="32">
        <f>'A -Döviz'!C32</f>
        <v/>
      </c>
      <c r="D32" s="72">
        <f>+(C32/B32)-1</f>
        <v/>
      </c>
      <c r="E32" s="32">
        <f>B32+'A -Döviz'!E32</f>
        <v/>
      </c>
      <c r="F32" s="32">
        <f>C32+'A -Döviz'!F32</f>
        <v/>
      </c>
      <c r="G32" s="18" t="n"/>
      <c r="H32" s="32">
        <f>E32+'A -Döviz'!H32</f>
        <v/>
      </c>
      <c r="I32" s="32">
        <f>F32+'A -Döviz'!I32</f>
        <v/>
      </c>
      <c r="J32" s="18" t="n"/>
      <c r="K32" s="32">
        <f>H32+'A -Döviz'!K32</f>
        <v/>
      </c>
      <c r="L32" s="32">
        <f>I32+'A -Döviz'!L32</f>
        <v/>
      </c>
      <c r="M32" s="18" t="n"/>
      <c r="N32" s="32">
        <f>K32+'A -Döviz'!N32</f>
        <v/>
      </c>
      <c r="O32" s="32">
        <f>L32+'A -Döviz'!O32</f>
        <v/>
      </c>
      <c r="P32" s="18" t="n"/>
      <c r="Q32" s="32">
        <f>N32+'A -Döviz'!Q32</f>
        <v/>
      </c>
      <c r="R32" s="32">
        <f>O32+'A -Döviz'!R32</f>
        <v/>
      </c>
      <c r="S32" s="18" t="n"/>
      <c r="T32" s="32">
        <f>Q32+'A -Döviz'!T32</f>
        <v/>
      </c>
      <c r="U32" s="32">
        <f>R32+'A -Döviz'!U32</f>
        <v/>
      </c>
      <c r="V32" s="18" t="n"/>
      <c r="W32" s="32">
        <f>T32+'A -Döviz'!W32</f>
        <v/>
      </c>
      <c r="X32" s="32">
        <f>U32+'A -Döviz'!X32</f>
        <v/>
      </c>
      <c r="Y32" s="18" t="n"/>
      <c r="Z32" s="32">
        <f>W32+'A -Döviz'!Z32</f>
        <v/>
      </c>
      <c r="AA32" s="32">
        <f>X32+'A -Döviz'!AA32</f>
        <v/>
      </c>
      <c r="AB32" s="18" t="n"/>
      <c r="AC32" s="32">
        <f>Z32+'A -Döviz'!AC32</f>
        <v/>
      </c>
      <c r="AD32" s="32">
        <f>AA32+'A -Döviz'!AD32</f>
        <v/>
      </c>
      <c r="AE32" s="18" t="n"/>
      <c r="AF32" s="32">
        <f>AC32+'A -Döviz'!AF32</f>
        <v/>
      </c>
      <c r="AG32" s="32">
        <f>AD32+'A -Döviz'!AG32</f>
        <v/>
      </c>
      <c r="AH32" s="18" t="n"/>
      <c r="AI32" s="32">
        <f>AF32+'A -Döviz'!AI32</f>
        <v/>
      </c>
      <c r="AJ32" s="32">
        <f>AG32+'A -Döviz'!AJ32</f>
        <v/>
      </c>
      <c r="AK32" s="18" t="n"/>
      <c r="AL32" s="33">
        <f>AP32-AO32</f>
        <v/>
      </c>
      <c r="AM32" s="113">
        <f>AP32/AO32-1</f>
        <v/>
      </c>
      <c r="AO32" s="44">
        <f>IF($A$1=$B$1,B32,IF($A$1=$E$1,E32,IF($A$1=$H$1,H32,IF($A$1=$K$1,K32,IF($A$1=$N$1,N32,IF($A$1=$Q$1,Q32,IF($A$1=$T$1,T32,IF($A$1=$W$1,W32,IF($A$1=$Z$1,Z32,IF($A$1=$AC$1,AC32,IF($A$1=$AF$1,AF32,IF($A$1=$AI$1,AI32))))))))))))</f>
        <v/>
      </c>
      <c r="AP32" s="44">
        <f>IF($A$1=$B$1,C32,IF($A$1=$E$1,F32,IF($A$1=$H$1,I32,IF($A$1=$K$1,L32,IF($A$1=$N$1,O32,IF($A$1=$Q$1,R32,IF($A$1=$T$1,U32,IF($A$1=$W$1,X32,IF($A$1=$Z$1,AA32,IF($A$1=$AC$1,AD32,IF($A$1=$AF$1,AG32,IF($A$1=$AI$1,AJ32))))))))))))</f>
        <v/>
      </c>
    </row>
    <row r="33" ht="15.5" customFormat="1" customHeight="1" s="46">
      <c r="A33" s="29" t="inlineStr">
        <is>
          <t>Gross Profit Margin</t>
        </is>
      </c>
      <c r="B33" s="28">
        <f>B32/B30</f>
        <v/>
      </c>
      <c r="C33" s="28">
        <f>C32/C30</f>
        <v/>
      </c>
      <c r="D33" s="40" t="n"/>
      <c r="E33" s="77">
        <f>E32/E30</f>
        <v/>
      </c>
      <c r="F33" s="77">
        <f>F32/F30</f>
        <v/>
      </c>
      <c r="G33" s="40" t="n"/>
      <c r="H33" s="77">
        <f>H32/H30</f>
        <v/>
      </c>
      <c r="I33" s="77">
        <f>I32/I30</f>
        <v/>
      </c>
      <c r="J33" s="40" t="n"/>
      <c r="K33" s="77">
        <f>K32/K30</f>
        <v/>
      </c>
      <c r="L33" s="77">
        <f>L32/L30</f>
        <v/>
      </c>
      <c r="M33" s="40" t="n"/>
      <c r="N33" s="471">
        <f>N32/N30</f>
        <v/>
      </c>
      <c r="O33" s="471">
        <f>O32/O30</f>
        <v/>
      </c>
      <c r="P33" s="40" t="n"/>
      <c r="Q33" s="77">
        <f>Q32/Q30</f>
        <v/>
      </c>
      <c r="R33" s="77">
        <f>R32/R30</f>
        <v/>
      </c>
      <c r="S33" s="40" t="n"/>
      <c r="T33" s="471">
        <f>T32/T30</f>
        <v/>
      </c>
      <c r="U33" s="471">
        <f>U32/U30</f>
        <v/>
      </c>
      <c r="V33" s="40" t="n"/>
      <c r="W33" s="471">
        <f>W32/W30</f>
        <v/>
      </c>
      <c r="X33" s="471">
        <f>X32/X30</f>
        <v/>
      </c>
      <c r="Y33" s="40" t="n"/>
      <c r="Z33" s="77">
        <f>Z32/Z30</f>
        <v/>
      </c>
      <c r="AA33" s="77">
        <f>AA32/AA30</f>
        <v/>
      </c>
      <c r="AB33" s="40" t="n"/>
      <c r="AC33" s="28">
        <f>AC32/AC30</f>
        <v/>
      </c>
      <c r="AD33" s="28">
        <f>AD32/AD30</f>
        <v/>
      </c>
      <c r="AE33" s="40" t="n"/>
      <c r="AF33" s="471">
        <f>AF32/AF30</f>
        <v/>
      </c>
      <c r="AG33" s="471">
        <f>AG32/AG30</f>
        <v/>
      </c>
      <c r="AH33" s="40" t="n"/>
      <c r="AI33" s="28">
        <f>AI32/AI30</f>
        <v/>
      </c>
      <c r="AJ33" s="28">
        <f>AJ32/AJ30</f>
        <v/>
      </c>
      <c r="AK33" s="40" t="n"/>
      <c r="AL33" s="15" t="n"/>
      <c r="AM33" s="124">
        <f>AP33-AO33</f>
        <v/>
      </c>
      <c r="AO33" s="44">
        <f>IF($A$1=$B$1,B33,IF($A$1=$E$1,E33,IF($A$1=$H$1,H33,IF($A$1=$K$1,K33,IF($A$1=$N$1,N33,IF($A$1=$Q$1,Q33,IF($A$1=$T$1,T33,IF($A$1=$W$1,W33,IF($A$1=$Z$1,Z33,IF($A$1=$AC$1,AC33,IF($A$1=$AF$1,AF33,IF($A$1=$AI$1,AI33))))))))))))</f>
        <v/>
      </c>
      <c r="AP33" s="44">
        <f>IF($A$1=$B$1,C33,IF($A$1=$E$1,F33,IF($A$1=$H$1,I33,IF($A$1=$K$1,L33,IF($A$1=$N$1,O33,IF($A$1=$Q$1,R33,IF($A$1=$T$1,U33,IF($A$1=$W$1,X33,IF($A$1=$Z$1,AA33,IF($A$1=$AC$1,AD33,IF($A$1=$AF$1,AG33,IF($A$1=$AI$1,AJ33))))))))))))</f>
        <v/>
      </c>
    </row>
    <row r="34" ht="15.5" customHeight="1">
      <c r="A34" s="2" t="n"/>
      <c r="B34" s="7" t="n"/>
      <c r="C34" s="7" t="n"/>
      <c r="D34" s="7" t="n"/>
      <c r="E34" s="7" t="n"/>
      <c r="F34" s="471">
        <f>F32/E32-1</f>
        <v/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5" t="n"/>
    </row>
    <row r="35" ht="17" customFormat="1" customHeight="1" s="49">
      <c r="A35" s="47" t="inlineStr">
        <is>
          <t>GROSS PROFIT BY CHANNELS (100%)</t>
        </is>
      </c>
      <c r="B35" s="413" t="n"/>
      <c r="C35" s="413" t="n"/>
      <c r="D35" s="413" t="n"/>
      <c r="E35" s="413" t="n"/>
      <c r="F35" s="413" t="n"/>
      <c r="G35" s="413" t="n"/>
      <c r="H35" s="413" t="n"/>
      <c r="I35" s="413" t="n"/>
      <c r="J35" s="413" t="n"/>
      <c r="K35" s="413" t="n"/>
      <c r="L35" s="413" t="n"/>
      <c r="M35" s="413" t="n"/>
      <c r="N35" s="413" t="n"/>
      <c r="O35" s="413" t="n"/>
      <c r="P35" s="413" t="n"/>
      <c r="Q35" s="413" t="n"/>
      <c r="R35" s="413" t="n"/>
      <c r="S35" s="413" t="n"/>
      <c r="T35" s="413" t="n"/>
      <c r="U35" s="413" t="n"/>
      <c r="V35" s="413" t="n"/>
      <c r="W35" s="413" t="n"/>
      <c r="X35" s="413" t="n"/>
      <c r="Y35" s="413" t="n"/>
      <c r="Z35" s="413" t="n"/>
      <c r="AA35" s="413" t="n"/>
      <c r="AB35" s="413" t="n"/>
      <c r="AC35" s="413" t="n"/>
      <c r="AD35" s="413" t="n"/>
      <c r="AE35" s="413" t="n"/>
      <c r="AF35" s="413" t="n"/>
      <c r="AG35" s="413" t="n"/>
      <c r="AH35" s="413" t="n"/>
      <c r="AI35" s="413" t="n"/>
      <c r="AJ35" s="413" t="n"/>
      <c r="AK35" s="413" t="n"/>
      <c r="AL35" s="413" t="n"/>
      <c r="AM35" s="48" t="n"/>
      <c r="AR35" s="110">
        <f>SUM(AR36:AR43)</f>
        <v/>
      </c>
      <c r="AS35" s="110">
        <f>SUM(AS36:AS43)</f>
        <v/>
      </c>
    </row>
    <row r="36" ht="15.5" customHeight="1">
      <c r="A36" s="26" t="inlineStr">
        <is>
          <t xml:space="preserve">İnci Holding </t>
        </is>
      </c>
      <c r="B36" s="7">
        <f>'A -Döviz'!B36</f>
        <v/>
      </c>
      <c r="C36" s="7">
        <f>'A -Döviz'!C36</f>
        <v/>
      </c>
      <c r="D36" s="72">
        <f>+(C36/B36)-1</f>
        <v/>
      </c>
      <c r="E36" s="7">
        <f>B36+'A -Döviz'!E36</f>
        <v/>
      </c>
      <c r="F36" s="7">
        <f>C36+'A -Döviz'!F36</f>
        <v/>
      </c>
      <c r="G36" s="7" t="n"/>
      <c r="H36" s="7">
        <f>E36+'A -Döviz'!H36</f>
        <v/>
      </c>
      <c r="I36" s="7">
        <f>F36+'A -Döviz'!I36</f>
        <v/>
      </c>
      <c r="J36" s="7" t="n"/>
      <c r="K36" s="7">
        <f>H36+'A -Döviz'!K36</f>
        <v/>
      </c>
      <c r="L36" s="7">
        <f>I36+'A -Döviz'!L36</f>
        <v/>
      </c>
      <c r="M36" s="7" t="n"/>
      <c r="N36" s="7">
        <f>K36+'A -Döviz'!N36</f>
        <v/>
      </c>
      <c r="O36" s="7">
        <f>L36+'A -Döviz'!O36</f>
        <v/>
      </c>
      <c r="P36" s="7" t="n"/>
      <c r="Q36" s="7">
        <f>N36+'A -Döviz'!Q36</f>
        <v/>
      </c>
      <c r="R36" s="7">
        <f>O36+'A -Döviz'!R36</f>
        <v/>
      </c>
      <c r="S36" s="7" t="n"/>
      <c r="T36" s="7">
        <f>Q36+'A -Döviz'!T36</f>
        <v/>
      </c>
      <c r="U36" s="7">
        <f>R36+'A -Döviz'!U36</f>
        <v/>
      </c>
      <c r="V36" s="7" t="n"/>
      <c r="W36" s="7">
        <f>T36+'A -Döviz'!W36</f>
        <v/>
      </c>
      <c r="X36" s="7">
        <f>U36+'A -Döviz'!X36</f>
        <v/>
      </c>
      <c r="Y36" s="7" t="n"/>
      <c r="Z36" s="7">
        <f>W36+'A -Döviz'!Z36</f>
        <v/>
      </c>
      <c r="AA36" s="7">
        <f>X36+'A -Döviz'!AA36</f>
        <v/>
      </c>
      <c r="AB36" s="5">
        <f>Z36/AA36-1</f>
        <v/>
      </c>
      <c r="AC36" s="7">
        <f>Z36+'A -Döviz'!AC36</f>
        <v/>
      </c>
      <c r="AD36" s="7">
        <f>AA36+'A -Döviz'!AD36</f>
        <v/>
      </c>
      <c r="AE36" s="7" t="n"/>
      <c r="AF36" s="7">
        <f>AC36+'A -Döviz'!AF36</f>
        <v/>
      </c>
      <c r="AG36" s="7">
        <f>AD36+'A -Döviz'!AG36</f>
        <v/>
      </c>
      <c r="AH36" s="7" t="n"/>
      <c r="AI36" s="7">
        <f>AF36+'A -Döviz'!AI36</f>
        <v/>
      </c>
      <c r="AJ36" s="7">
        <f>AG36+'A -Döviz'!AJ36</f>
        <v/>
      </c>
      <c r="AK36" s="7" t="n"/>
      <c r="AL36" s="21">
        <f>AP36-AO36</f>
        <v/>
      </c>
      <c r="AM36" s="22">
        <f>AP36/AO36-1</f>
        <v/>
      </c>
      <c r="AO36" s="44">
        <f>IF($A$1=$B$1,B36,IF($A$1=$E$1,E36,IF($A$1=$H$1,H36,IF($A$1=$K$1,K36,IF($A$1=$N$1,N36,IF($A$1=$Q$1,Q36,IF($A$1=$T$1,T36,IF($A$1=$W$1,W36,IF($A$1=$Z$1,Z36,IF($A$1=$AC$1,AC36,IF($A$1=$AF$1,AF36,IF($A$1=$AI$1,AI36))))))))))))</f>
        <v/>
      </c>
      <c r="AP36" s="44">
        <f>IF($A$1=$B$1,C36,IF($A$1=$E$1,F36,IF($A$1=$H$1,I36,IF($A$1=$K$1,L36,IF($A$1=$N$1,O36,IF($A$1=$Q$1,R36,IF($A$1=$T$1,U36,IF($A$1=$W$1,X36,IF($A$1=$Z$1,AA36,IF($A$1=$AC$1,AD36,IF($A$1=$AF$1,AG36,IF($A$1=$AI$1,AJ36))))))))))))</f>
        <v/>
      </c>
      <c r="AR36" s="94">
        <f>W36</f>
        <v/>
      </c>
      <c r="AS36" s="94">
        <f>X36</f>
        <v/>
      </c>
      <c r="AT36" s="94">
        <f>AS36-AR36</f>
        <v/>
      </c>
      <c r="AV36" s="405">
        <f>F36/SUM($F$36:$F$43)</f>
        <v/>
      </c>
    </row>
    <row r="37" ht="15.5" customHeight="1">
      <c r="A37" s="26" t="inlineStr">
        <is>
          <t xml:space="preserve">ISM </t>
        </is>
      </c>
      <c r="B37" s="7">
        <f>'A -Döviz'!B37</f>
        <v/>
      </c>
      <c r="C37" s="7">
        <f>'A -Döviz'!C37</f>
        <v/>
      </c>
      <c r="D37" s="72">
        <f>+(C37/B37)-1</f>
        <v/>
      </c>
      <c r="E37" s="7">
        <f>B37+'A -Döviz'!E37</f>
        <v/>
      </c>
      <c r="F37" s="7">
        <f>C37+'A -Döviz'!F37</f>
        <v/>
      </c>
      <c r="G37" s="7" t="n"/>
      <c r="H37" s="7">
        <f>E37+'A -Döviz'!H37</f>
        <v/>
      </c>
      <c r="I37" s="7">
        <f>F37+'A -Döviz'!I37</f>
        <v/>
      </c>
      <c r="J37" s="7" t="n"/>
      <c r="K37" s="7">
        <f>H37+'A -Döviz'!K37</f>
        <v/>
      </c>
      <c r="L37" s="7">
        <f>I37+'A -Döviz'!L37</f>
        <v/>
      </c>
      <c r="M37" s="7" t="n"/>
      <c r="N37" s="7">
        <f>K37+'A -Döviz'!N37</f>
        <v/>
      </c>
      <c r="O37" s="7">
        <f>L37+'A -Döviz'!O37</f>
        <v/>
      </c>
      <c r="P37" s="7" t="n"/>
      <c r="Q37" s="7">
        <f>N37+'A -Döviz'!Q37</f>
        <v/>
      </c>
      <c r="R37" s="7">
        <f>O37+'A -Döviz'!R37</f>
        <v/>
      </c>
      <c r="S37" s="7" t="n"/>
      <c r="T37" s="7">
        <f>Q37+'A -Döviz'!T37</f>
        <v/>
      </c>
      <c r="U37" s="7">
        <f>R37+'A -Döviz'!U37</f>
        <v/>
      </c>
      <c r="V37" s="7" t="n"/>
      <c r="W37" s="7">
        <f>T37+'A -Döviz'!W37</f>
        <v/>
      </c>
      <c r="X37" s="7">
        <f>U37+'A -Döviz'!X37</f>
        <v/>
      </c>
      <c r="Y37" s="7" t="n"/>
      <c r="Z37" s="7">
        <f>W37+'A -Döviz'!Z37</f>
        <v/>
      </c>
      <c r="AA37" s="7">
        <f>X37+'A -Döviz'!AA37</f>
        <v/>
      </c>
      <c r="AB37" s="5">
        <f>Z37/AA37-1</f>
        <v/>
      </c>
      <c r="AC37" s="7">
        <f>Z37+'A -Döviz'!AC37</f>
        <v/>
      </c>
      <c r="AD37" s="7">
        <f>AA37+'A -Döviz'!AD37</f>
        <v/>
      </c>
      <c r="AE37" s="7" t="n"/>
      <c r="AF37" s="7">
        <f>AC37+'A -Döviz'!AF37</f>
        <v/>
      </c>
      <c r="AG37" s="7">
        <f>AD37+'A -Döviz'!AG37</f>
        <v/>
      </c>
      <c r="AH37" s="7" t="n"/>
      <c r="AI37" s="7">
        <f>AF37+'A -Döviz'!AI37</f>
        <v/>
      </c>
      <c r="AJ37" s="7">
        <f>AG37+'A -Döviz'!AJ37</f>
        <v/>
      </c>
      <c r="AK37" s="7" t="n"/>
      <c r="AL37" s="21">
        <f>AP37-AO37</f>
        <v/>
      </c>
      <c r="AM37" s="22">
        <f>AP37/AO37-1</f>
        <v/>
      </c>
      <c r="AO37" s="44">
        <f>IF($A$1=$B$1,B37,IF($A$1=$E$1,E37,IF($A$1=$H$1,H37,IF($A$1=$K$1,K37,IF($A$1=$N$1,N37,IF($A$1=$Q$1,Q37,IF($A$1=$T$1,T37,IF($A$1=$W$1,W37,IF($A$1=$Z$1,Z37,IF($A$1=$AC$1,AC37,IF($A$1=$AF$1,AF37,IF($A$1=$AI$1,AI37))))))))))))</f>
        <v/>
      </c>
      <c r="AP37" s="44">
        <f>IF($A$1=$B$1,C37,IF($A$1=$E$1,F37,IF($A$1=$H$1,I37,IF($A$1=$K$1,L37,IF($A$1=$N$1,O37,IF($A$1=$Q$1,R37,IF($A$1=$T$1,U37,IF($A$1=$W$1,X37,IF($A$1=$Z$1,AA37,IF($A$1=$AC$1,AD37,IF($A$1=$AF$1,AG37,IF($A$1=$AI$1,AJ37))))))))))))</f>
        <v/>
      </c>
      <c r="AR37" s="94">
        <f>W37</f>
        <v/>
      </c>
      <c r="AS37" s="94">
        <f>X37</f>
        <v/>
      </c>
      <c r="AT37" s="94">
        <f>AS37-AR37</f>
        <v/>
      </c>
      <c r="AV37" s="405">
        <f>F37/SUM($F$36:$F$43)</f>
        <v/>
      </c>
    </row>
    <row r="38" ht="15.5" customHeight="1">
      <c r="A38" s="26" t="inlineStr">
        <is>
          <t>İncitaş</t>
        </is>
      </c>
      <c r="B38" s="7">
        <f>'A -Döviz'!B38</f>
        <v/>
      </c>
      <c r="C38" s="7">
        <f>'A -Döviz'!C38</f>
        <v/>
      </c>
      <c r="D38" s="72">
        <f>+(C38/B38)-1</f>
        <v/>
      </c>
      <c r="E38" s="7">
        <f>B38+'A -Döviz'!E38</f>
        <v/>
      </c>
      <c r="F38" s="7">
        <f>C38+'A -Döviz'!F38</f>
        <v/>
      </c>
      <c r="G38" s="7" t="n"/>
      <c r="H38" s="7">
        <f>E38+'A -Döviz'!H38</f>
        <v/>
      </c>
      <c r="I38" s="7">
        <f>F38+'A -Döviz'!I38</f>
        <v/>
      </c>
      <c r="J38" s="7" t="n"/>
      <c r="K38" s="7">
        <f>H38+'A -Döviz'!K38</f>
        <v/>
      </c>
      <c r="L38" s="7">
        <f>I38+'A -Döviz'!L38</f>
        <v/>
      </c>
      <c r="M38" s="7" t="n"/>
      <c r="N38" s="7">
        <f>K38+'A -Döviz'!N38</f>
        <v/>
      </c>
      <c r="O38" s="7">
        <f>L38+'A -Döviz'!O38</f>
        <v/>
      </c>
      <c r="P38" s="7" t="n"/>
      <c r="Q38" s="7">
        <f>N38+'A -Döviz'!Q38</f>
        <v/>
      </c>
      <c r="R38" s="7">
        <f>O38+'A -Döviz'!R38</f>
        <v/>
      </c>
      <c r="S38" s="7" t="n"/>
      <c r="T38" s="7">
        <f>Q38+'A -Döviz'!T38</f>
        <v/>
      </c>
      <c r="U38" s="7">
        <f>R38+'A -Döviz'!U38</f>
        <v/>
      </c>
      <c r="V38" s="7" t="n"/>
      <c r="W38" s="7">
        <f>T38+'A -Döviz'!W38</f>
        <v/>
      </c>
      <c r="X38" s="7">
        <f>U38+'A -Döviz'!X38</f>
        <v/>
      </c>
      <c r="Y38" s="7" t="n"/>
      <c r="Z38" s="7">
        <f>W38+'A -Döviz'!Z38</f>
        <v/>
      </c>
      <c r="AA38" s="7">
        <f>X38+'A -Döviz'!AA38</f>
        <v/>
      </c>
      <c r="AB38" s="5">
        <f>Z38/AA38-1</f>
        <v/>
      </c>
      <c r="AC38" s="7">
        <f>Z38+'A -Döviz'!AC38</f>
        <v/>
      </c>
      <c r="AD38" s="7">
        <f>AA38+'A -Döviz'!AD38</f>
        <v/>
      </c>
      <c r="AE38" s="7" t="n"/>
      <c r="AF38" s="7">
        <f>AC38+'A -Döviz'!AF38</f>
        <v/>
      </c>
      <c r="AG38" s="7">
        <f>AD38+'A -Döviz'!AG38</f>
        <v/>
      </c>
      <c r="AH38" s="7" t="n"/>
      <c r="AI38" s="7">
        <f>AF38+'A -Döviz'!AI38</f>
        <v/>
      </c>
      <c r="AJ38" s="7">
        <f>AG38+'A -Döviz'!AJ38</f>
        <v/>
      </c>
      <c r="AK38" s="7" t="n"/>
      <c r="AL38" s="21">
        <f>AP38-AO38</f>
        <v/>
      </c>
      <c r="AM38" s="22">
        <f>AP38/AO38-1</f>
        <v/>
      </c>
      <c r="AO38" s="44">
        <f>IF($A$1=$B$1,B38,IF($A$1=$E$1,E38,IF($A$1=$H$1,H38,IF($A$1=$K$1,K38,IF($A$1=$N$1,N38,IF($A$1=$Q$1,Q38,IF($A$1=$T$1,T38,IF($A$1=$W$1,W38,IF($A$1=$Z$1,Z38,IF($A$1=$AC$1,AC38,IF($A$1=$AF$1,AF38,IF($A$1=$AI$1,AI38))))))))))))</f>
        <v/>
      </c>
      <c r="AP38" s="44">
        <f>IF($A$1=$B$1,C38,IF($A$1=$E$1,F38,IF($A$1=$H$1,I38,IF($A$1=$K$1,L38,IF($A$1=$N$1,O38,IF($A$1=$Q$1,R38,IF($A$1=$T$1,U38,IF($A$1=$W$1,X38,IF($A$1=$Z$1,AA38,IF($A$1=$AC$1,AD38,IF($A$1=$AF$1,AG38,IF($A$1=$AI$1,AJ38))))))))))))</f>
        <v/>
      </c>
      <c r="AR38" s="94">
        <f>W38</f>
        <v/>
      </c>
      <c r="AS38" s="94">
        <f>X38</f>
        <v/>
      </c>
      <c r="AT38" s="94">
        <f>AS38-AR38</f>
        <v/>
      </c>
      <c r="AV38" s="405">
        <f>F38/SUM($F$36:$F$43)</f>
        <v/>
      </c>
    </row>
    <row r="39" ht="15.5" customHeight="1">
      <c r="A39" s="26" t="inlineStr">
        <is>
          <t>İnci GS Yuasa</t>
        </is>
      </c>
      <c r="B39" s="7">
        <f>'A -Döviz'!B39</f>
        <v/>
      </c>
      <c r="C39" s="7">
        <f>'A -Döviz'!C39</f>
        <v/>
      </c>
      <c r="D39" s="72">
        <f>+(C39/B39)-1</f>
        <v/>
      </c>
      <c r="E39" s="7">
        <f>B39+'A -Döviz'!E39</f>
        <v/>
      </c>
      <c r="F39" s="7">
        <f>C39+'A -Döviz'!F39</f>
        <v/>
      </c>
      <c r="G39" s="7" t="n"/>
      <c r="H39" s="7">
        <f>E39+'A -Döviz'!H39</f>
        <v/>
      </c>
      <c r="I39" s="7">
        <f>F39+'A -Döviz'!I39</f>
        <v/>
      </c>
      <c r="J39" s="7" t="n"/>
      <c r="K39" s="7">
        <f>H39+'A -Döviz'!K39</f>
        <v/>
      </c>
      <c r="L39" s="7">
        <f>I39+'A -Döviz'!L39</f>
        <v/>
      </c>
      <c r="M39" s="7" t="n"/>
      <c r="N39" s="7">
        <f>K39+'A -Döviz'!N39</f>
        <v/>
      </c>
      <c r="O39" s="7">
        <f>L39+'A -Döviz'!O39</f>
        <v/>
      </c>
      <c r="P39" s="7" t="n"/>
      <c r="Q39" s="7">
        <f>N39+'A -Döviz'!Q39</f>
        <v/>
      </c>
      <c r="R39" s="7">
        <f>O39+'A -Döviz'!R39</f>
        <v/>
      </c>
      <c r="S39" s="7" t="n"/>
      <c r="T39" s="7">
        <f>Q39+'A -Döviz'!T39</f>
        <v/>
      </c>
      <c r="U39" s="7">
        <f>R39+'A -Döviz'!U39</f>
        <v/>
      </c>
      <c r="V39" s="7" t="n"/>
      <c r="W39" s="7">
        <f>T39+'A -Döviz'!W39</f>
        <v/>
      </c>
      <c r="X39" s="7">
        <f>U39+'A -Döviz'!X39</f>
        <v/>
      </c>
      <c r="Y39" s="7" t="n"/>
      <c r="Z39" s="7">
        <f>W39+'A -Döviz'!Z39</f>
        <v/>
      </c>
      <c r="AA39" s="7">
        <f>X39+'A -Döviz'!AA39</f>
        <v/>
      </c>
      <c r="AB39" s="5">
        <f>Z39/AA39-1</f>
        <v/>
      </c>
      <c r="AC39" s="7">
        <f>Z39+'A -Döviz'!AC39</f>
        <v/>
      </c>
      <c r="AD39" s="7">
        <f>AA39+'A -Döviz'!AD39</f>
        <v/>
      </c>
      <c r="AE39" s="7" t="n"/>
      <c r="AF39" s="7">
        <f>AC39+'A -Döviz'!AF39</f>
        <v/>
      </c>
      <c r="AG39" s="7">
        <f>AD39+'A -Döviz'!AG39</f>
        <v/>
      </c>
      <c r="AH39" s="7" t="n"/>
      <c r="AI39" s="7">
        <f>AF39+'A -Döviz'!AI39</f>
        <v/>
      </c>
      <c r="AJ39" s="7">
        <f>AG39+'A -Döviz'!AJ39</f>
        <v/>
      </c>
      <c r="AK39" s="7" t="n"/>
      <c r="AL39" s="21">
        <f>AP39-AO39</f>
        <v/>
      </c>
      <c r="AM39" s="22">
        <f>AP39/AO39-1</f>
        <v/>
      </c>
      <c r="AO39" s="44">
        <f>IF($A$1=$B$1,B39,IF($A$1=$E$1,E39,IF($A$1=$H$1,H39,IF($A$1=$K$1,K39,IF($A$1=$N$1,N39,IF($A$1=$Q$1,Q39,IF($A$1=$T$1,T39,IF($A$1=$W$1,W39,IF($A$1=$Z$1,Z39,IF($A$1=$AC$1,AC39,IF($A$1=$AF$1,AF39,IF($A$1=$AI$1,AI39))))))))))))</f>
        <v/>
      </c>
      <c r="AP39" s="44">
        <f>IF($A$1=$B$1,C39,IF($A$1=$E$1,F39,IF($A$1=$H$1,I39,IF($A$1=$K$1,L39,IF($A$1=$N$1,O39,IF($A$1=$Q$1,R39,IF($A$1=$T$1,U39,IF($A$1=$W$1,X39,IF($A$1=$Z$1,AA39,IF($A$1=$AC$1,AD39,IF($A$1=$AF$1,AG39,IF($A$1=$AI$1,AJ39))))))))))))</f>
        <v/>
      </c>
      <c r="AR39" s="94">
        <f>W39*0.4</f>
        <v/>
      </c>
      <c r="AS39" s="94">
        <f>X39*0.4</f>
        <v/>
      </c>
      <c r="AT39" s="94">
        <f>AS39-AR39</f>
        <v/>
      </c>
      <c r="AV39" s="405">
        <f>F39/SUM($F$36:$F$43)</f>
        <v/>
      </c>
    </row>
    <row r="40" ht="15.5" customFormat="1" customHeight="1" s="1">
      <c r="A40" s="26" t="inlineStr">
        <is>
          <t>Yusen İnci Loj.</t>
        </is>
      </c>
      <c r="B40" s="7">
        <f>'A -Döviz'!B40</f>
        <v/>
      </c>
      <c r="C40" s="7">
        <f>'A -Döviz'!C40</f>
        <v/>
      </c>
      <c r="D40" s="72">
        <f>+(C40/B40)-1</f>
        <v/>
      </c>
      <c r="E40" s="7">
        <f>B40+'A -Döviz'!E40</f>
        <v/>
      </c>
      <c r="F40" s="7">
        <f>C40+'A -Döviz'!F40</f>
        <v/>
      </c>
      <c r="G40" s="8" t="n"/>
      <c r="H40" s="7">
        <f>E40+'A -Döviz'!H40</f>
        <v/>
      </c>
      <c r="I40" s="7">
        <f>F40+'A -Döviz'!I40</f>
        <v/>
      </c>
      <c r="J40" s="8" t="n"/>
      <c r="K40" s="7">
        <f>H40+'A -Döviz'!K40</f>
        <v/>
      </c>
      <c r="L40" s="7">
        <f>I40+'A -Döviz'!L40</f>
        <v/>
      </c>
      <c r="M40" s="8" t="n"/>
      <c r="N40" s="7">
        <f>K40+'A -Döviz'!N40</f>
        <v/>
      </c>
      <c r="O40" s="7">
        <f>L40+'A -Döviz'!O40</f>
        <v/>
      </c>
      <c r="P40" s="8" t="n"/>
      <c r="Q40" s="7">
        <f>N40+'A -Döviz'!Q40</f>
        <v/>
      </c>
      <c r="R40" s="7">
        <f>O40+'A -Döviz'!R40</f>
        <v/>
      </c>
      <c r="S40" s="8" t="n"/>
      <c r="T40" s="7">
        <f>Q40+'A -Döviz'!T40</f>
        <v/>
      </c>
      <c r="U40" s="7">
        <f>R40+'A -Döviz'!U40</f>
        <v/>
      </c>
      <c r="V40" s="8" t="n"/>
      <c r="W40" s="7">
        <f>T40+'A -Döviz'!W40</f>
        <v/>
      </c>
      <c r="X40" s="7">
        <f>U40+'A -Döviz'!X40</f>
        <v/>
      </c>
      <c r="Y40" s="8" t="n"/>
      <c r="Z40" s="7">
        <f>W40+'A -Döviz'!Z40</f>
        <v/>
      </c>
      <c r="AA40" s="7">
        <f>X40+'A -Döviz'!AA40</f>
        <v/>
      </c>
      <c r="AB40" s="5">
        <f>Z40/AA40-1</f>
        <v/>
      </c>
      <c r="AC40" s="7">
        <f>Z40+'A -Döviz'!AC40</f>
        <v/>
      </c>
      <c r="AD40" s="7">
        <f>AA40+'A -Döviz'!AD40</f>
        <v/>
      </c>
      <c r="AE40" s="8" t="n"/>
      <c r="AF40" s="7">
        <f>AC40+'A -Döviz'!AF40</f>
        <v/>
      </c>
      <c r="AG40" s="7">
        <f>AD40+'A -Döviz'!AG40</f>
        <v/>
      </c>
      <c r="AH40" s="8" t="n"/>
      <c r="AI40" s="7">
        <f>AF40+'A -Döviz'!AI40</f>
        <v/>
      </c>
      <c r="AJ40" s="7">
        <f>AG40+'A -Döviz'!AJ40</f>
        <v/>
      </c>
      <c r="AK40" s="8" t="n"/>
      <c r="AL40" s="21">
        <f>AP40-AO40</f>
        <v/>
      </c>
      <c r="AM40" s="22">
        <f>AP40/AO40-1</f>
        <v/>
      </c>
      <c r="AO40" s="44">
        <f>IF($A$1=$B$1,B40,IF($A$1=$E$1,E40,IF($A$1=$H$1,H40,IF($A$1=$K$1,K40,IF($A$1=$N$1,N40,IF($A$1=$Q$1,Q40,IF($A$1=$T$1,T40,IF($A$1=$W$1,W40,IF($A$1=$Z$1,Z40,IF($A$1=$AC$1,AC40,IF($A$1=$AF$1,AF40,IF($A$1=$AI$1,AI40))))))))))))</f>
        <v/>
      </c>
      <c r="AP40" s="44">
        <f>IF($A$1=$B$1,C40,IF($A$1=$E$1,F40,IF($A$1=$H$1,I40,IF($A$1=$K$1,L40,IF($A$1=$N$1,O40,IF($A$1=$Q$1,R40,IF($A$1=$T$1,U40,IF($A$1=$W$1,X40,IF($A$1=$Z$1,AA40,IF($A$1=$AC$1,AD40,IF($A$1=$AF$1,AG40,IF($A$1=$AI$1,AJ40))))))))))))</f>
        <v/>
      </c>
      <c r="AR40" s="94">
        <f>W40*0.4</f>
        <v/>
      </c>
      <c r="AS40" s="94">
        <f>X40*0.4</f>
        <v/>
      </c>
      <c r="AT40" s="94">
        <f>AS40-AR40</f>
        <v/>
      </c>
      <c r="AV40" s="405">
        <f>F40/SUM($F$36:$F$43)</f>
        <v/>
      </c>
    </row>
    <row r="41" ht="15.5" customHeight="1">
      <c r="A41" s="26" t="inlineStr">
        <is>
          <t>Jantaş</t>
        </is>
      </c>
      <c r="B41" s="7">
        <f>'A -Döviz'!B41</f>
        <v/>
      </c>
      <c r="C41" s="7">
        <f>'A -Döviz'!C41</f>
        <v/>
      </c>
      <c r="D41" s="72">
        <f>+(C41/B41)-1</f>
        <v/>
      </c>
      <c r="E41" s="7">
        <f>B41+'A -Döviz'!E41</f>
        <v/>
      </c>
      <c r="F41" s="7">
        <f>C41+'A -Döviz'!F41</f>
        <v/>
      </c>
      <c r="G41" s="7" t="n"/>
      <c r="H41" s="7">
        <f>E41+'A -Döviz'!H41</f>
        <v/>
      </c>
      <c r="I41" s="7">
        <f>F41+'A -Döviz'!I41</f>
        <v/>
      </c>
      <c r="J41" s="7" t="n"/>
      <c r="K41" s="7">
        <f>H41+'A -Döviz'!K41</f>
        <v/>
      </c>
      <c r="L41" s="7">
        <f>I41+'A -Döviz'!L41</f>
        <v/>
      </c>
      <c r="M41" s="7" t="n"/>
      <c r="N41" s="7">
        <f>K41+'A -Döviz'!N41</f>
        <v/>
      </c>
      <c r="O41" s="7">
        <f>L41+'A -Döviz'!O41</f>
        <v/>
      </c>
      <c r="P41" s="7" t="n"/>
      <c r="Q41" s="7">
        <f>N41+'A -Döviz'!Q41</f>
        <v/>
      </c>
      <c r="R41" s="7">
        <f>O41+'A -Döviz'!R41</f>
        <v/>
      </c>
      <c r="S41" s="7" t="n"/>
      <c r="T41" s="7">
        <f>Q41+'A -Döviz'!T41</f>
        <v/>
      </c>
      <c r="U41" s="7">
        <f>R41+'A -Döviz'!U41</f>
        <v/>
      </c>
      <c r="V41" s="7" t="n"/>
      <c r="W41" s="7">
        <f>T41+'A -Döviz'!W41</f>
        <v/>
      </c>
      <c r="X41" s="7">
        <f>U41+'A -Döviz'!X41</f>
        <v/>
      </c>
      <c r="Y41" s="7" t="n"/>
      <c r="Z41" s="7">
        <f>W41+'A -Döviz'!Z41</f>
        <v/>
      </c>
      <c r="AA41" s="7">
        <f>X41+'A -Döviz'!AA41</f>
        <v/>
      </c>
      <c r="AB41" s="5">
        <f>Z41/AA41-1</f>
        <v/>
      </c>
      <c r="AC41" s="7">
        <f>Z41+'A -Döviz'!AC41</f>
        <v/>
      </c>
      <c r="AD41" s="7">
        <f>AA41+'A -Döviz'!AD41</f>
        <v/>
      </c>
      <c r="AE41" s="7" t="n"/>
      <c r="AF41" s="7">
        <f>AC41+'A -Döviz'!AF41</f>
        <v/>
      </c>
      <c r="AG41" s="7">
        <f>AD41+'A -Döviz'!AG41</f>
        <v/>
      </c>
      <c r="AH41" s="7" t="n"/>
      <c r="AI41" s="7">
        <f>AF41+'A -Döviz'!AI41</f>
        <v/>
      </c>
      <c r="AJ41" s="7">
        <f>AG41+'A -Döviz'!AJ41</f>
        <v/>
      </c>
      <c r="AK41" s="7" t="n"/>
      <c r="AL41" s="21">
        <f>AP41-AO41</f>
        <v/>
      </c>
      <c r="AM41" s="22">
        <f>AP41/AO41-1</f>
        <v/>
      </c>
      <c r="AO41" s="44">
        <f>IF($A$1=$B$1,B41,IF($A$1=$E$1,E41,IF($A$1=$H$1,H41,IF($A$1=$K$1,K41,IF($A$1=$N$1,N41,IF($A$1=$Q$1,Q41,IF($A$1=$T$1,T41,IF($A$1=$W$1,W41,IF($A$1=$Z$1,Z41,IF($A$1=$AC$1,AC41,IF($A$1=$AF$1,AF41,IF($A$1=$AI$1,AI41))))))))))))</f>
        <v/>
      </c>
      <c r="AP41" s="44">
        <f>IF($A$1=$B$1,C41,IF($A$1=$E$1,F41,IF($A$1=$H$1,I41,IF($A$1=$K$1,L41,IF($A$1=$N$1,O41,IF($A$1=$Q$1,R41,IF($A$1=$T$1,U41,IF($A$1=$W$1,X41,IF($A$1=$Z$1,AA41,IF($A$1=$AC$1,AD41,IF($A$1=$AF$1,AG41,IF($A$1=$AI$1,AJ41))))))))))))</f>
        <v/>
      </c>
      <c r="AR41" s="94">
        <f>W41*0.4</f>
        <v/>
      </c>
      <c r="AS41" s="94">
        <f>X41*0.4</f>
        <v/>
      </c>
      <c r="AT41" s="94">
        <f>AS41-AR41</f>
        <v/>
      </c>
      <c r="AV41" s="405">
        <f>F41/SUM($F$36:$F$43)</f>
        <v/>
      </c>
    </row>
    <row r="42" ht="15.5" customHeight="1">
      <c r="A42" s="26" t="inlineStr">
        <is>
          <t>Çelik</t>
        </is>
      </c>
      <c r="B42" s="7">
        <f>'A -Döviz'!B42</f>
        <v/>
      </c>
      <c r="C42" s="7">
        <f>'A -Döviz'!C42</f>
        <v/>
      </c>
      <c r="D42" s="72">
        <f>+(C42/B42)-1</f>
        <v/>
      </c>
      <c r="E42" s="7">
        <f>B42+'A -Döviz'!E42</f>
        <v/>
      </c>
      <c r="F42" s="7">
        <f>C42+'A -Döviz'!F42</f>
        <v/>
      </c>
      <c r="G42" s="7" t="n"/>
      <c r="H42" s="7">
        <f>E42+'A -Döviz'!H42</f>
        <v/>
      </c>
      <c r="I42" s="7">
        <f>F42+'A -Döviz'!I42</f>
        <v/>
      </c>
      <c r="J42" s="7" t="n"/>
      <c r="K42" s="7">
        <f>H42+'A -Döviz'!K42</f>
        <v/>
      </c>
      <c r="L42" s="7">
        <f>I42+'A -Döviz'!L42</f>
        <v/>
      </c>
      <c r="M42" s="7" t="n"/>
      <c r="N42" s="7">
        <f>K42+'A -Döviz'!N42</f>
        <v/>
      </c>
      <c r="O42" s="7">
        <f>L42+'A -Döviz'!O42</f>
        <v/>
      </c>
      <c r="P42" s="7" t="n"/>
      <c r="Q42" s="7">
        <f>N42+'A -Döviz'!Q42</f>
        <v/>
      </c>
      <c r="R42" s="7">
        <f>O42+'A -Döviz'!R42</f>
        <v/>
      </c>
      <c r="S42" s="7" t="n"/>
      <c r="T42" s="7">
        <f>Q42+'A -Döviz'!T42</f>
        <v/>
      </c>
      <c r="U42" s="7">
        <f>R42+'A -Döviz'!U42</f>
        <v/>
      </c>
      <c r="V42" s="7" t="n"/>
      <c r="W42" s="7">
        <f>T42+'A -Döviz'!W42</f>
        <v/>
      </c>
      <c r="X42" s="7">
        <f>U42+'A -Döviz'!X42</f>
        <v/>
      </c>
      <c r="Y42" s="7" t="n"/>
      <c r="Z42" s="7">
        <f>W42+'A -Döviz'!Z42</f>
        <v/>
      </c>
      <c r="AA42" s="7">
        <f>X42+'A -Döviz'!AA42</f>
        <v/>
      </c>
      <c r="AB42" s="5">
        <f>Z42/AA42-1</f>
        <v/>
      </c>
      <c r="AC42" s="7">
        <f>Z42+'A -Döviz'!AC42</f>
        <v/>
      </c>
      <c r="AD42" s="7">
        <f>AA42+'A -Döviz'!AD42</f>
        <v/>
      </c>
      <c r="AE42" s="7" t="n"/>
      <c r="AF42" s="7">
        <f>AC42+'A -Döviz'!AF42</f>
        <v/>
      </c>
      <c r="AG42" s="7">
        <f>AD42+'A -Döviz'!AG42</f>
        <v/>
      </c>
      <c r="AH42" s="7" t="n"/>
      <c r="AI42" s="7">
        <f>AF42+'A -Döviz'!AI42</f>
        <v/>
      </c>
      <c r="AJ42" s="7">
        <f>AG42+'A -Döviz'!AJ42</f>
        <v/>
      </c>
      <c r="AK42" s="7" t="n"/>
      <c r="AL42" s="21">
        <f>AP42-AO42</f>
        <v/>
      </c>
      <c r="AM42" s="22">
        <f>AP42/AO42-1</f>
        <v/>
      </c>
      <c r="AO42" s="44">
        <f>IF($A$1=$B$1,B42,IF($A$1=$E$1,E42,IF($A$1=$H$1,H42,IF($A$1=$K$1,K42,IF($A$1=$N$1,N42,IF($A$1=$Q$1,Q42,IF($A$1=$T$1,T42,IF($A$1=$W$1,W42,IF($A$1=$Z$1,Z42,IF($A$1=$AC$1,AC42,IF($A$1=$AF$1,AF42,IF($A$1=$AI$1,AI42))))))))))))</f>
        <v/>
      </c>
      <c r="AP42" s="44">
        <f>IF($A$1=$B$1,C42,IF($A$1=$E$1,F42,IF($A$1=$H$1,I42,IF($A$1=$K$1,L42,IF($A$1=$N$1,O42,IF($A$1=$Q$1,R42,IF($A$1=$T$1,U42,IF($A$1=$W$1,X42,IF($A$1=$Z$1,AA42,IF($A$1=$AC$1,AD42,IF($A$1=$AF$1,AG42,IF($A$1=$AI$1,AJ42))))))))))))</f>
        <v/>
      </c>
      <c r="AR42" s="94">
        <f>W42*0.4</f>
        <v/>
      </c>
      <c r="AS42" s="94">
        <f>X42*0.4</f>
        <v/>
      </c>
      <c r="AT42" s="94">
        <f>AS42-AR42</f>
        <v/>
      </c>
      <c r="AV42" s="405">
        <f>F42/SUM($F$36:$F$43)</f>
        <v/>
      </c>
    </row>
    <row r="43" ht="15.5" customHeight="1">
      <c r="A43" s="26" t="inlineStr">
        <is>
          <t>Alüminyum</t>
        </is>
      </c>
      <c r="B43" s="7">
        <f>'A -Döviz'!B43</f>
        <v/>
      </c>
      <c r="C43" s="7">
        <f>'A -Döviz'!C43</f>
        <v/>
      </c>
      <c r="D43" s="72">
        <f>+(C43/B43)-1</f>
        <v/>
      </c>
      <c r="E43" s="7">
        <f>B43+'A -Döviz'!E43</f>
        <v/>
      </c>
      <c r="F43" s="7">
        <f>C43+'A -Döviz'!F43</f>
        <v/>
      </c>
      <c r="G43" s="7" t="n"/>
      <c r="H43" s="7">
        <f>E43+'A -Döviz'!H43</f>
        <v/>
      </c>
      <c r="I43" s="7">
        <f>F43+'A -Döviz'!I43</f>
        <v/>
      </c>
      <c r="J43" s="7" t="n"/>
      <c r="K43" s="7">
        <f>H43+'A -Döviz'!K43</f>
        <v/>
      </c>
      <c r="L43" s="7">
        <f>I43+'A -Döviz'!L43</f>
        <v/>
      </c>
      <c r="M43" s="7" t="n"/>
      <c r="N43" s="7">
        <f>K43+'A -Döviz'!N43</f>
        <v/>
      </c>
      <c r="O43" s="7">
        <f>L43+'A -Döviz'!O43</f>
        <v/>
      </c>
      <c r="P43" s="7" t="n"/>
      <c r="Q43" s="7">
        <f>N43+'A -Döviz'!Q43</f>
        <v/>
      </c>
      <c r="R43" s="7">
        <f>O43+'A -Döviz'!R43</f>
        <v/>
      </c>
      <c r="S43" s="7" t="n"/>
      <c r="T43" s="7">
        <f>Q43+'A -Döviz'!T43</f>
        <v/>
      </c>
      <c r="U43" s="7">
        <f>R43+'A -Döviz'!U43</f>
        <v/>
      </c>
      <c r="V43" s="7" t="n"/>
      <c r="W43" s="7">
        <f>T43+'A -Döviz'!W43</f>
        <v/>
      </c>
      <c r="X43" s="7">
        <f>U43+'A -Döviz'!X43</f>
        <v/>
      </c>
      <c r="Y43" s="7" t="n"/>
      <c r="Z43" s="7">
        <f>W43+'A -Döviz'!Z43</f>
        <v/>
      </c>
      <c r="AA43" s="7">
        <f>X43+'A -Döviz'!AA43</f>
        <v/>
      </c>
      <c r="AB43" s="5">
        <f>Z43/AA43-1</f>
        <v/>
      </c>
      <c r="AC43" s="7">
        <f>Z43+'A -Döviz'!AC43</f>
        <v/>
      </c>
      <c r="AD43" s="7">
        <f>AA43+'A -Döviz'!AD43</f>
        <v/>
      </c>
      <c r="AE43" s="7" t="n"/>
      <c r="AF43" s="7">
        <f>AC43+'A -Döviz'!AF43</f>
        <v/>
      </c>
      <c r="AG43" s="7">
        <f>AD43+'A -Döviz'!AG43</f>
        <v/>
      </c>
      <c r="AH43" s="7" t="n"/>
      <c r="AI43" s="7">
        <f>AF43+'A -Döviz'!AI43</f>
        <v/>
      </c>
      <c r="AJ43" s="7">
        <f>AG43+'A -Döviz'!AJ43</f>
        <v/>
      </c>
      <c r="AK43" s="7" t="n"/>
      <c r="AL43" s="21">
        <f>AP43-AO43</f>
        <v/>
      </c>
      <c r="AM43" s="22">
        <f>AP43/AO43-1</f>
        <v/>
      </c>
      <c r="AO43" s="44">
        <f>IF($A$1=$B$1,B43,IF($A$1=$E$1,E43,IF($A$1=$H$1,H43,IF($A$1=$K$1,K43,IF($A$1=$N$1,N43,IF($A$1=$Q$1,Q43,IF($A$1=$T$1,T43,IF($A$1=$W$1,W43,IF($A$1=$Z$1,Z43,IF($A$1=$AC$1,AC43,IF($A$1=$AF$1,AF43,IF($A$1=$AI$1,AI43))))))))))))</f>
        <v/>
      </c>
      <c r="AP43" s="44">
        <f>IF($A$1=$B$1,C43,IF($A$1=$E$1,F43,IF($A$1=$H$1,I43,IF($A$1=$K$1,L43,IF($A$1=$N$1,O43,IF($A$1=$Q$1,R43,IF($A$1=$T$1,U43,IF($A$1=$W$1,X43,IF($A$1=$Z$1,AA43,IF($A$1=$AC$1,AD43,IF($A$1=$AF$1,AG43,IF($A$1=$AI$1,AJ43))))))))))))</f>
        <v/>
      </c>
      <c r="AR43" s="94">
        <f>W43*0.4</f>
        <v/>
      </c>
      <c r="AS43" s="94">
        <f>X43*0.4</f>
        <v/>
      </c>
      <c r="AT43" s="94">
        <f>AS43-AR43</f>
        <v/>
      </c>
      <c r="AV43" s="405">
        <f>F43/SUM($F$36:$F$43)</f>
        <v/>
      </c>
    </row>
    <row r="44" ht="15.5" customHeight="1">
      <c r="A44" s="2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21" t="n"/>
      <c r="AM44" s="22" t="n"/>
      <c r="AO44" s="44">
        <f>IF($A$1=$B$1,B44,IF($A$1=$E$1,E44,IF($A$1=$H$1,H44,IF($A$1=$K$1,K44,IF($A$1=$N$1,N44,IF($A$1=$Q$1,Q44,IF($A$1=$T$1,T44,IF($A$1=$W$1,W44,IF($A$1=$Z$1,Z44,IF($A$1=$AC$1,AC44,IF($A$1=$AF$1,AF44,IF($A$1=$AI$1,AI44))))))))))))</f>
        <v/>
      </c>
      <c r="AP44" s="44">
        <f>IF($A$1=$B$1,C44,IF($A$1=$E$1,F44,IF($A$1=$H$1,I44,IF($A$1=$K$1,L44,IF($A$1=$N$1,O44,IF($A$1=$Q$1,R44,IF($A$1=$T$1,U44,IF($A$1=$W$1,X44,IF($A$1=$Z$1,AA44,IF($A$1=$AC$1,AD44,IF($A$1=$AF$1,AG44,IF($A$1=$AI$1,AJ44))))))))))))</f>
        <v/>
      </c>
    </row>
    <row r="45" hidden="1" ht="15.75" customHeight="1">
      <c r="A45" s="2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21">
        <f>AP45-AO45</f>
        <v/>
      </c>
      <c r="AM45" s="22">
        <f>AP45/AO45-1</f>
        <v/>
      </c>
      <c r="AO45" s="44">
        <f>IF($A$1=$B$1,B45,IF($A$1=$E$1,E45,IF($A$1=$H$1,H45,IF($A$1=$K$1,K45,IF($A$1=$N$1,N45,IF($A$1=$Q$1,Q45,IF($A$1=$T$1,T45,IF($A$1=$W$1,W45,IF($A$1=$Z$1,Z45,IF($A$1=$AC$1,AC45,IF($A$1=$AF$1,AF45,IF($A$1=$AI$1,AI45))))))))))))</f>
        <v/>
      </c>
      <c r="AP45" s="44">
        <f>IF($A$1=$B$1,C45,IF($A$1=$E$1,F45,IF($A$1=$H$1,I45,IF($A$1=$K$1,L45,IF($A$1=$N$1,O45,IF($A$1=$Q$1,R45,IF($A$1=$T$1,U45,IF($A$1=$W$1,X45,IF($A$1=$Z$1,AA45,IF($A$1=$AC$1,AD45,IF($A$1=$AF$1,AG45,IF($A$1=$AI$1,AJ45))))))))))))</f>
        <v/>
      </c>
    </row>
    <row r="46" hidden="1" ht="15.75" customFormat="1" customHeight="1" s="1">
      <c r="A46" s="27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15">
        <f>AP46-AO46</f>
        <v/>
      </c>
      <c r="AM46" s="16">
        <f>AP46/AO46-1</f>
        <v/>
      </c>
      <c r="AO46" s="44">
        <f>IF($A$1=$B$1,B46,IF($A$1=$E$1,E46,IF($A$1=$H$1,H46,IF($A$1=$K$1,K46,IF($A$1=$N$1,N46,IF($A$1=$Q$1,Q46,IF($A$1=$T$1,T46,IF($A$1=$W$1,W46,IF($A$1=$Z$1,Z46,IF($A$1=$AC$1,AC46,IF($A$1=$AF$1,AF46,IF($A$1=$AI$1,AI46))))))))))))</f>
        <v/>
      </c>
      <c r="AP46" s="44">
        <f>IF($A$1=$B$1,C46,IF($A$1=$E$1,F46,IF($A$1=$H$1,I46,IF($A$1=$K$1,L46,IF($A$1=$N$1,O46,IF($A$1=$Q$1,R46,IF($A$1=$T$1,U46,IF($A$1=$W$1,X46,IF($A$1=$Z$1,AA46,IF($A$1=$AC$1,AD46,IF($A$1=$AF$1,AG46,IF($A$1=$AI$1,AJ46))))))))))))</f>
        <v/>
      </c>
    </row>
    <row r="47" hidden="1" ht="15.75" customHeight="1">
      <c r="A47" s="2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21">
        <f>AP47-AO47</f>
        <v/>
      </c>
      <c r="AM47" s="22">
        <f>AP47/AO47-1</f>
        <v/>
      </c>
      <c r="AO47" s="44">
        <f>IF($A$1=$B$1,B47,IF($A$1=$E$1,E47,IF($A$1=$H$1,H47,IF($A$1=$K$1,K47,IF($A$1=$N$1,N47,IF($A$1=$Q$1,Q47,IF($A$1=$T$1,T47,IF($A$1=$W$1,W47,IF($A$1=$Z$1,Z47,IF($A$1=$AC$1,AC47,IF($A$1=$AF$1,AF47,IF($A$1=$AI$1,AI47))))))))))))</f>
        <v/>
      </c>
      <c r="AP47" s="44">
        <f>IF($A$1=$B$1,C47,IF($A$1=$E$1,F47,IF($A$1=$H$1,I47,IF($A$1=$K$1,L47,IF($A$1=$N$1,O47,IF($A$1=$Q$1,R47,IF($A$1=$T$1,U47,IF($A$1=$W$1,X47,IF($A$1=$Z$1,AA47,IF($A$1=$AC$1,AD47,IF($A$1=$AF$1,AG47,IF($A$1=$AI$1,AJ47))))))))))))</f>
        <v/>
      </c>
    </row>
    <row r="48" hidden="1" ht="15.75" customFormat="1" customHeight="1" s="1">
      <c r="A48" s="27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15">
        <f>AP48-AO48</f>
        <v/>
      </c>
      <c r="AM48" s="16">
        <f>AP48/AO48-1</f>
        <v/>
      </c>
      <c r="AO48" s="44">
        <f>IF($A$1=$B$1,B48,IF($A$1=$E$1,E48,IF($A$1=$H$1,H48,IF($A$1=$K$1,K48,IF($A$1=$N$1,N48,IF($A$1=$Q$1,Q48,IF($A$1=$T$1,T48,IF($A$1=$W$1,W48,IF($A$1=$Z$1,Z48,IF($A$1=$AC$1,AC48,IF($A$1=$AF$1,AF48,IF($A$1=$AI$1,AI48))))))))))))</f>
        <v/>
      </c>
      <c r="AP48" s="44">
        <f>IF($A$1=$B$1,C48,IF($A$1=$E$1,F48,IF($A$1=$H$1,I48,IF($A$1=$K$1,L48,IF($A$1=$N$1,O48,IF($A$1=$Q$1,R48,IF($A$1=$T$1,U48,IF($A$1=$W$1,X48,IF($A$1=$Z$1,AA48,IF($A$1=$AC$1,AD48,IF($A$1=$AF$1,AG48,IF($A$1=$AI$1,AJ48))))))))))))</f>
        <v/>
      </c>
    </row>
    <row r="49" hidden="1" ht="15.75" customHeight="1">
      <c r="A49" s="2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21" t="n"/>
      <c r="AM49" s="22" t="n"/>
      <c r="AO49" s="44">
        <f>IF($A$1=$B$1,B49,IF($A$1=$E$1,E49,IF($A$1=$H$1,H49,IF($A$1=$K$1,K49,IF($A$1=$N$1,N49,IF($A$1=$Q$1,Q49,IF($A$1=$T$1,T49,IF($A$1=$W$1,W49,IF($A$1=$Z$1,Z49,IF($A$1=$AC$1,AC49,IF($A$1=$AF$1,AF49,IF($A$1=$AI$1,AI49))))))))))))</f>
        <v/>
      </c>
      <c r="AP49" s="44">
        <f>IF($A$1=$B$1,C49,IF($A$1=$E$1,F49,IF($A$1=$H$1,I49,IF($A$1=$K$1,L49,IF($A$1=$N$1,O49,IF($A$1=$Q$1,R49,IF($A$1=$T$1,U49,IF($A$1=$W$1,X49,IF($A$1=$Z$1,AA49,IF($A$1=$AC$1,AD49,IF($A$1=$AF$1,AG49,IF($A$1=$AI$1,AJ49))))))))))))</f>
        <v/>
      </c>
    </row>
    <row r="50" hidden="1" ht="15.75" customHeight="1">
      <c r="A50" s="2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21">
        <f>AP50-AO50</f>
        <v/>
      </c>
      <c r="AM50" s="22">
        <f>AP50/AO50-1</f>
        <v/>
      </c>
      <c r="AO50" s="44">
        <f>IF($A$1=$B$1,B50,IF($A$1=$E$1,E50,IF($A$1=$H$1,H50,IF($A$1=$K$1,K50,IF($A$1=$N$1,N50,IF($A$1=$Q$1,Q50,IF($A$1=$T$1,T50,IF($A$1=$W$1,W50,IF($A$1=$Z$1,Z50,IF($A$1=$AC$1,AC50,IF($A$1=$AF$1,AF50,IF($A$1=$AI$1,AI50))))))))))))</f>
        <v/>
      </c>
      <c r="AP50" s="44">
        <f>IF($A$1=$B$1,C50,IF($A$1=$E$1,F50,IF($A$1=$H$1,I50,IF($A$1=$K$1,L50,IF($A$1=$N$1,O50,IF($A$1=$Q$1,R50,IF($A$1=$T$1,U50,IF($A$1=$W$1,X50,IF($A$1=$Z$1,AA50,IF($A$1=$AC$1,AD50,IF($A$1=$AF$1,AG50,IF($A$1=$AI$1,AJ50))))))))))))</f>
        <v/>
      </c>
    </row>
    <row r="51" hidden="1" ht="15.75" customHeight="1">
      <c r="A51" s="2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21">
        <f>AP51-AO51</f>
        <v/>
      </c>
      <c r="AM51" s="22">
        <f>AP51/AO51-1</f>
        <v/>
      </c>
      <c r="AO51" s="44">
        <f>IF($A$1=$B$1,B51,IF($A$1=$E$1,E51,IF($A$1=$H$1,H51,IF($A$1=$K$1,K51,IF($A$1=$N$1,N51,IF($A$1=$Q$1,Q51,IF($A$1=$T$1,T51,IF($A$1=$W$1,W51,IF($A$1=$Z$1,Z51,IF($A$1=$AC$1,AC51,IF($A$1=$AF$1,AF51,IF($A$1=$AI$1,AI51))))))))))))</f>
        <v/>
      </c>
      <c r="AP51" s="44">
        <f>IF($A$1=$B$1,C51,IF($A$1=$E$1,F51,IF($A$1=$H$1,I51,IF($A$1=$K$1,L51,IF($A$1=$N$1,O51,IF($A$1=$Q$1,R51,IF($A$1=$T$1,U51,IF($A$1=$W$1,X51,IF($A$1=$Z$1,AA51,IF($A$1=$AC$1,AD51,IF($A$1=$AF$1,AG51,IF($A$1=$AI$1,AJ51))))))))))))</f>
        <v/>
      </c>
    </row>
    <row r="52" hidden="1" ht="15.75" customHeight="1">
      <c r="A52" s="2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21">
        <f>AP52-AO52</f>
        <v/>
      </c>
      <c r="AM52" s="22">
        <f>AP52/AO52-1</f>
        <v/>
      </c>
      <c r="AO52" s="44">
        <f>IF($A$1=$B$1,B52,IF($A$1=$E$1,E52,IF($A$1=$H$1,H52,IF($A$1=$K$1,K52,IF($A$1=$N$1,N52,IF($A$1=$Q$1,Q52,IF($A$1=$T$1,T52,IF($A$1=$W$1,W52,IF($A$1=$Z$1,Z52,IF($A$1=$AC$1,AC52,IF($A$1=$AF$1,AF52,IF($A$1=$AI$1,AI52))))))))))))</f>
        <v/>
      </c>
      <c r="AP52" s="44">
        <f>IF($A$1=$B$1,C52,IF($A$1=$E$1,F52,IF($A$1=$H$1,I52,IF($A$1=$K$1,L52,IF($A$1=$N$1,O52,IF($A$1=$Q$1,R52,IF($A$1=$T$1,U52,IF($A$1=$W$1,X52,IF($A$1=$Z$1,AA52,IF($A$1=$AC$1,AD52,IF($A$1=$AF$1,AG52,IF($A$1=$AI$1,AJ52))))))))))))</f>
        <v/>
      </c>
    </row>
    <row r="53" hidden="1" ht="15.75" customHeight="1">
      <c r="A53" s="2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21">
        <f>AP53-AO53</f>
        <v/>
      </c>
      <c r="AM53" s="22">
        <f>AP53/AO53-1</f>
        <v/>
      </c>
      <c r="AO53" s="44">
        <f>IF($A$1=$B$1,B53,IF($A$1=$E$1,E53,IF($A$1=$H$1,H53,IF($A$1=$K$1,K53,IF($A$1=$N$1,N53,IF($A$1=$Q$1,Q53,IF($A$1=$T$1,T53,IF($A$1=$W$1,W53,IF($A$1=$Z$1,Z53,IF($A$1=$AC$1,AC53,IF($A$1=$AF$1,AF53,IF($A$1=$AI$1,AI53))))))))))))</f>
        <v/>
      </c>
      <c r="AP53" s="44">
        <f>IF($A$1=$B$1,C53,IF($A$1=$E$1,F53,IF($A$1=$H$1,I53,IF($A$1=$K$1,L53,IF($A$1=$N$1,O53,IF($A$1=$Q$1,R53,IF($A$1=$T$1,U53,IF($A$1=$W$1,X53,IF($A$1=$Z$1,AA53,IF($A$1=$AC$1,AD53,IF($A$1=$AF$1,AG53,IF($A$1=$AI$1,AJ53))))))))))))</f>
        <v/>
      </c>
    </row>
    <row r="54" hidden="1" ht="15.75" customFormat="1" customHeight="1" s="1">
      <c r="A54" s="27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15">
        <f>AP54-AO54</f>
        <v/>
      </c>
      <c r="AM54" s="16">
        <f>AP54/AO54-1</f>
        <v/>
      </c>
      <c r="AO54" s="44">
        <f>IF($A$1=$B$1,B54,IF($A$1=$E$1,E54,IF($A$1=$H$1,H54,IF($A$1=$K$1,K54,IF($A$1=$N$1,N54,IF($A$1=$Q$1,Q54,IF($A$1=$T$1,T54,IF($A$1=$W$1,W54,IF($A$1=$Z$1,Z54,IF($A$1=$AC$1,AC54,IF($A$1=$AF$1,AF54,IF($A$1=$AI$1,AI54))))))))))))</f>
        <v/>
      </c>
      <c r="AP54" s="44">
        <f>IF($A$1=$B$1,C54,IF($A$1=$E$1,F54,IF($A$1=$H$1,I54,IF($A$1=$K$1,L54,IF($A$1=$N$1,O54,IF($A$1=$Q$1,R54,IF($A$1=$T$1,U54,IF($A$1=$W$1,X54,IF($A$1=$Z$1,AA54,IF($A$1=$AC$1,AD54,IF($A$1=$AF$1,AG54,IF($A$1=$AI$1,AJ54))))))))))))</f>
        <v/>
      </c>
    </row>
    <row r="55" hidden="1" ht="15.75" customHeight="1">
      <c r="A55" s="2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21">
        <f>AP55-AO55</f>
        <v/>
      </c>
      <c r="AM55" s="22">
        <f>AP55/AO55-1</f>
        <v/>
      </c>
      <c r="AO55" s="44">
        <f>IF($A$1=$B$1,B55,IF($A$1=$E$1,E55,IF($A$1=$H$1,H55,IF($A$1=$K$1,K55,IF($A$1=$N$1,N55,IF($A$1=$Q$1,Q55,IF($A$1=$T$1,T55,IF($A$1=$W$1,W55,IF($A$1=$Z$1,Z55,IF($A$1=$AC$1,AC55,IF($A$1=$AF$1,AF55,IF($A$1=$AI$1,AI55))))))))))))</f>
        <v/>
      </c>
      <c r="AP55" s="44">
        <f>IF($A$1=$B$1,C55,IF($A$1=$E$1,F55,IF($A$1=$H$1,I55,IF($A$1=$K$1,L55,IF($A$1=$N$1,O55,IF($A$1=$Q$1,R55,IF($A$1=$T$1,U55,IF($A$1=$W$1,X55,IF($A$1=$Z$1,AA55,IF($A$1=$AC$1,AD55,IF($A$1=$AF$1,AG55,IF($A$1=$AI$1,AJ55))))))))))))</f>
        <v/>
      </c>
    </row>
    <row r="56" hidden="1" ht="15.75" customHeight="1">
      <c r="A56" s="2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21">
        <f>AP56-AO56</f>
        <v/>
      </c>
      <c r="AM56" s="22">
        <f>AP56/AO56-1</f>
        <v/>
      </c>
      <c r="AO56" s="44">
        <f>IF($A$1=$B$1,B56,IF($A$1=$E$1,E56,IF($A$1=$H$1,H56,IF($A$1=$K$1,K56,IF($A$1=$N$1,N56,IF($A$1=$Q$1,Q56,IF($A$1=$T$1,T56,IF($A$1=$W$1,W56,IF($A$1=$Z$1,Z56,IF($A$1=$AC$1,AC56,IF($A$1=$AF$1,AF56,IF($A$1=$AI$1,AI56))))))))))))</f>
        <v/>
      </c>
      <c r="AP56" s="44">
        <f>IF($A$1=$B$1,C56,IF($A$1=$E$1,F56,IF($A$1=$H$1,I56,IF($A$1=$K$1,L56,IF($A$1=$N$1,O56,IF($A$1=$Q$1,R56,IF($A$1=$T$1,U56,IF($A$1=$W$1,X56,IF($A$1=$Z$1,AA56,IF($A$1=$AC$1,AD56,IF($A$1=$AF$1,AG56,IF($A$1=$AI$1,AJ56))))))))))))</f>
        <v/>
      </c>
    </row>
    <row r="57" hidden="1" ht="15.75" customHeight="1">
      <c r="A57" s="2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21">
        <f>AP57-AO57</f>
        <v/>
      </c>
      <c r="AM57" s="22">
        <f>AP57/AO57-1</f>
        <v/>
      </c>
      <c r="AO57" s="44">
        <f>IF($A$1=$B$1,B57,IF($A$1=$E$1,E57,IF($A$1=$H$1,H57,IF($A$1=$K$1,K57,IF($A$1=$N$1,N57,IF($A$1=$Q$1,Q57,IF($A$1=$T$1,T57,IF($A$1=$W$1,W57,IF($A$1=$Z$1,Z57,IF($A$1=$AC$1,AC57,IF($A$1=$AF$1,AF57,IF($A$1=$AI$1,AI57))))))))))))</f>
        <v/>
      </c>
      <c r="AP57" s="44">
        <f>IF($A$1=$B$1,C57,IF($A$1=$E$1,F57,IF($A$1=$H$1,I57,IF($A$1=$K$1,L57,IF($A$1=$N$1,O57,IF($A$1=$Q$1,R57,IF($A$1=$T$1,U57,IF($A$1=$W$1,X57,IF($A$1=$Z$1,AA57,IF($A$1=$AC$1,AD57,IF($A$1=$AF$1,AG57,IF($A$1=$AI$1,AJ57))))))))))))</f>
        <v/>
      </c>
    </row>
    <row r="58" hidden="1" ht="15.75" customHeight="1">
      <c r="A58" s="26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21">
        <f>AP58-AO58</f>
        <v/>
      </c>
      <c r="AM58" s="22">
        <f>AP58/AO58-1</f>
        <v/>
      </c>
      <c r="AO58" s="44">
        <f>IF($A$1=$B$1,B58,IF($A$1=$E$1,E58,IF($A$1=$H$1,H58,IF($A$1=$K$1,K58,IF($A$1=$N$1,N58,IF($A$1=$Q$1,Q58,IF($A$1=$T$1,T58,IF($A$1=$W$1,W58,IF($A$1=$Z$1,Z58,IF($A$1=$AC$1,AC58,IF($A$1=$AF$1,AF58,IF($A$1=$AI$1,AI58))))))))))))</f>
        <v/>
      </c>
      <c r="AP58" s="44">
        <f>IF($A$1=$B$1,C58,IF($A$1=$E$1,F58,IF($A$1=$H$1,I58,IF($A$1=$K$1,L58,IF($A$1=$N$1,O58,IF($A$1=$Q$1,R58,IF($A$1=$T$1,U58,IF($A$1=$W$1,X58,IF($A$1=$Z$1,AA58,IF($A$1=$AC$1,AD58,IF($A$1=$AF$1,AG58,IF($A$1=$AI$1,AJ58))))))))))))</f>
        <v/>
      </c>
    </row>
    <row r="59" hidden="1" ht="15.75" customHeight="1">
      <c r="A59" s="26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21">
        <f>AP59-AO59</f>
        <v/>
      </c>
      <c r="AM59" s="22">
        <f>AP59/AO59-1</f>
        <v/>
      </c>
      <c r="AO59" s="44">
        <f>IF($A$1=$B$1,B59,IF($A$1=$E$1,E59,IF($A$1=$H$1,H59,IF($A$1=$K$1,K59,IF($A$1=$N$1,N59,IF($A$1=$Q$1,Q59,IF($A$1=$T$1,T59,IF($A$1=$W$1,W59,IF($A$1=$Z$1,Z59,IF($A$1=$AC$1,AC59,IF($A$1=$AF$1,AF59,IF($A$1=$AI$1,AI59))))))))))))</f>
        <v/>
      </c>
      <c r="AP59" s="44">
        <f>IF($A$1=$B$1,C59,IF($A$1=$E$1,F59,IF($A$1=$H$1,I59,IF($A$1=$K$1,L59,IF($A$1=$N$1,O59,IF($A$1=$Q$1,R59,IF($A$1=$T$1,U59,IF($A$1=$W$1,X59,IF($A$1=$Z$1,AA59,IF($A$1=$AC$1,AD59,IF($A$1=$AF$1,AG59,IF($A$1=$AI$1,AJ59))))))))))))</f>
        <v/>
      </c>
    </row>
    <row r="60" hidden="1" ht="15.75" customFormat="1" customHeight="1" s="1">
      <c r="A60" s="27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15">
        <f>AP60-AO60</f>
        <v/>
      </c>
      <c r="AM60" s="16">
        <f>AP60/AO60-1</f>
        <v/>
      </c>
      <c r="AO60" s="44">
        <f>IF($A$1=$B$1,B60,IF($A$1=$E$1,E60,IF($A$1=$H$1,H60,IF($A$1=$K$1,K60,IF($A$1=$N$1,N60,IF($A$1=$Q$1,Q60,IF($A$1=$T$1,T60,IF($A$1=$W$1,W60,IF($A$1=$Z$1,Z60,IF($A$1=$AC$1,AC60,IF($A$1=$AF$1,AF60,IF($A$1=$AI$1,AI60))))))))))))</f>
        <v/>
      </c>
      <c r="AP60" s="44">
        <f>IF($A$1=$B$1,C60,IF($A$1=$E$1,F60,IF($A$1=$H$1,I60,IF($A$1=$K$1,L60,IF($A$1=$N$1,O60,IF($A$1=$Q$1,R60,IF($A$1=$T$1,U60,IF($A$1=$W$1,X60,IF($A$1=$Z$1,AA60,IF($A$1=$AC$1,AD60,IF($A$1=$AF$1,AG60,IF($A$1=$AI$1,AJ60))))))))))))</f>
        <v/>
      </c>
    </row>
    <row r="61" hidden="1" ht="15.75" customHeight="1">
      <c r="A61" s="26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21">
        <f>AP61-AO61</f>
        <v/>
      </c>
      <c r="AM61" s="22">
        <f>AP61/AO61-1</f>
        <v/>
      </c>
      <c r="AO61" s="44">
        <f>IF($A$1=$B$1,B61,IF($A$1=$E$1,E61,IF($A$1=$H$1,H61,IF($A$1=$K$1,K61,IF($A$1=$N$1,N61,IF($A$1=$Q$1,Q61,IF($A$1=$T$1,T61,IF($A$1=$W$1,W61,IF($A$1=$Z$1,Z61,IF($A$1=$AC$1,AC61,IF($A$1=$AF$1,AF61,IF($A$1=$AI$1,AI61))))))))))))</f>
        <v/>
      </c>
      <c r="AP61" s="44">
        <f>IF($A$1=$B$1,C61,IF($A$1=$E$1,F61,IF($A$1=$H$1,I61,IF($A$1=$K$1,L61,IF($A$1=$N$1,O61,IF($A$1=$Q$1,R61,IF($A$1=$T$1,U61,IF($A$1=$W$1,X61,IF($A$1=$Z$1,AA61,IF($A$1=$AC$1,AD61,IF($A$1=$AF$1,AG61,IF($A$1=$AI$1,AJ61))))))))))))</f>
        <v/>
      </c>
    </row>
    <row r="62" hidden="1" ht="15.75" customFormat="1" customHeight="1" s="1">
      <c r="A62" s="27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15">
        <f>AP62-AO62</f>
        <v/>
      </c>
      <c r="AM62" s="16">
        <f>AP62/AO62-1</f>
        <v/>
      </c>
      <c r="AO62" s="44">
        <f>IF($A$1=$B$1,B62,IF($A$1=$E$1,E62,IF($A$1=$H$1,H62,IF($A$1=$K$1,K62,IF($A$1=$N$1,N62,IF($A$1=$Q$1,Q62,IF($A$1=$T$1,T62,IF($A$1=$W$1,W62,IF($A$1=$Z$1,Z62,IF($A$1=$AC$1,AC62,IF($A$1=$AF$1,AF62,IF($A$1=$AI$1,AI62))))))))))))</f>
        <v/>
      </c>
      <c r="AP62" s="44">
        <f>IF($A$1=$B$1,C62,IF($A$1=$E$1,F62,IF($A$1=$H$1,I62,IF($A$1=$K$1,L62,IF($A$1=$N$1,O62,IF($A$1=$Q$1,R62,IF($A$1=$T$1,U62,IF($A$1=$W$1,X62,IF($A$1=$Z$1,AA62,IF($A$1=$AC$1,AD62,IF($A$1=$AF$1,AG62,IF($A$1=$AI$1,AJ62))))))))))))</f>
        <v/>
      </c>
    </row>
    <row r="63" hidden="1" ht="15.75" customHeight="1">
      <c r="A63" s="2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21">
        <f>AP63-AO63</f>
        <v/>
      </c>
      <c r="AM63" s="22">
        <f>AP63/AO63-1</f>
        <v/>
      </c>
      <c r="AO63" s="44">
        <f>IF($A$1=$B$1,B63,IF($A$1=$E$1,E63,IF($A$1=$H$1,H63,IF($A$1=$K$1,K63,IF($A$1=$N$1,N63,IF($A$1=$Q$1,Q63,IF($A$1=$T$1,T63,IF($A$1=$W$1,W63,IF($A$1=$Z$1,Z63,IF($A$1=$AC$1,AC63,IF($A$1=$AF$1,AF63,IF($A$1=$AI$1,AI63))))))))))))</f>
        <v/>
      </c>
      <c r="AP63" s="44">
        <f>IF($A$1=$B$1,C63,IF($A$1=$E$1,F63,IF($A$1=$H$1,I63,IF($A$1=$K$1,L63,IF($A$1=$N$1,O63,IF($A$1=$Q$1,R63,IF($A$1=$T$1,U63,IF($A$1=$W$1,X63,IF($A$1=$Z$1,AA63,IF($A$1=$AC$1,AD63,IF($A$1=$AF$1,AG63,IF($A$1=$AI$1,AJ63))))))))))))</f>
        <v/>
      </c>
    </row>
    <row r="64" hidden="1" ht="15.75" customHeight="1">
      <c r="A64" s="2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21">
        <f>AP64-AO64</f>
        <v/>
      </c>
      <c r="AM64" s="22">
        <f>AP64/AO64-1</f>
        <v/>
      </c>
      <c r="AO64" s="44">
        <f>IF($A$1=$B$1,B64,IF($A$1=$E$1,E64,IF($A$1=$H$1,H64,IF($A$1=$K$1,K64,IF($A$1=$N$1,N64,IF($A$1=$Q$1,Q64,IF($A$1=$T$1,T64,IF($A$1=$W$1,W64,IF($A$1=$Z$1,Z64,IF($A$1=$AC$1,AC64,IF($A$1=$AF$1,AF64,IF($A$1=$AI$1,AI64))))))))))))</f>
        <v/>
      </c>
      <c r="AP64" s="44">
        <f>IF($A$1=$B$1,C64,IF($A$1=$E$1,F64,IF($A$1=$H$1,I64,IF($A$1=$K$1,L64,IF($A$1=$N$1,O64,IF($A$1=$Q$1,R64,IF($A$1=$T$1,U64,IF($A$1=$W$1,X64,IF($A$1=$Z$1,AA64,IF($A$1=$AC$1,AD64,IF($A$1=$AF$1,AG64,IF($A$1=$AI$1,AJ64))))))))))))</f>
        <v/>
      </c>
    </row>
    <row r="65" hidden="1" ht="15.75" customHeight="1">
      <c r="A65" s="26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21">
        <f>AP65-AO65</f>
        <v/>
      </c>
      <c r="AM65" s="22">
        <f>AP65/AO65-1</f>
        <v/>
      </c>
      <c r="AO65" s="44">
        <f>IF($A$1=$B$1,B65,IF($A$1=$E$1,E65,IF($A$1=$H$1,H65,IF($A$1=$K$1,K65,IF($A$1=$N$1,N65,IF($A$1=$Q$1,Q65,IF($A$1=$T$1,T65,IF($A$1=$W$1,W65,IF($A$1=$Z$1,Z65,IF($A$1=$AC$1,AC65,IF($A$1=$AF$1,AF65,IF($A$1=$AI$1,AI65))))))))))))</f>
        <v/>
      </c>
      <c r="AP65" s="44">
        <f>IF($A$1=$B$1,C65,IF($A$1=$E$1,F65,IF($A$1=$H$1,I65,IF($A$1=$K$1,L65,IF($A$1=$N$1,O65,IF($A$1=$Q$1,R65,IF($A$1=$T$1,U65,IF($A$1=$W$1,X65,IF($A$1=$Z$1,AA65,IF($A$1=$AC$1,AD65,IF($A$1=$AF$1,AG65,IF($A$1=$AI$1,AJ65))))))))))))</f>
        <v/>
      </c>
    </row>
    <row r="66" hidden="1" ht="15.75" customHeight="1">
      <c r="A66" s="26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21">
        <f>AP66-AO66</f>
        <v/>
      </c>
      <c r="AM66" s="22">
        <f>AP66/AO66-1</f>
        <v/>
      </c>
      <c r="AO66" s="44">
        <f>IF($A$1=$B$1,B66,IF($A$1=$E$1,E66,IF($A$1=$H$1,H66,IF($A$1=$K$1,K66,IF($A$1=$N$1,N66,IF($A$1=$Q$1,Q66,IF($A$1=$T$1,T66,IF($A$1=$W$1,W66,IF($A$1=$Z$1,Z66,IF($A$1=$AC$1,AC66,IF($A$1=$AF$1,AF66,IF($A$1=$AI$1,AI66))))))))))))</f>
        <v/>
      </c>
      <c r="AP66" s="44">
        <f>IF($A$1=$B$1,C66,IF($A$1=$E$1,F66,IF($A$1=$H$1,I66,IF($A$1=$K$1,L66,IF($A$1=$N$1,O66,IF($A$1=$Q$1,R66,IF($A$1=$T$1,U66,IF($A$1=$W$1,X66,IF($A$1=$Z$1,AA66,IF($A$1=$AC$1,AD66,IF($A$1=$AF$1,AG66,IF($A$1=$AI$1,AJ66))))))))))))</f>
        <v/>
      </c>
    </row>
    <row r="67" hidden="1" ht="15.75" customHeight="1">
      <c r="A67" s="2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21">
        <f>AP67-AO67</f>
        <v/>
      </c>
      <c r="AM67" s="22">
        <f>AP67/AO67-1</f>
        <v/>
      </c>
      <c r="AO67" s="44">
        <f>IF($A$1=$B$1,B67,IF($A$1=$E$1,E67,IF($A$1=$H$1,H67,IF($A$1=$K$1,K67,IF($A$1=$N$1,N67,IF($A$1=$Q$1,Q67,IF($A$1=$T$1,T67,IF($A$1=$W$1,W67,IF($A$1=$Z$1,Z67,IF($A$1=$AC$1,AC67,IF($A$1=$AF$1,AF67,IF($A$1=$AI$1,AI67))))))))))))</f>
        <v/>
      </c>
      <c r="AP67" s="44">
        <f>IF($A$1=$B$1,C67,IF($A$1=$E$1,F67,IF($A$1=$H$1,I67,IF($A$1=$K$1,L67,IF($A$1=$N$1,O67,IF($A$1=$Q$1,R67,IF($A$1=$T$1,U67,IF($A$1=$W$1,X67,IF($A$1=$Z$1,AA67,IF($A$1=$AC$1,AD67,IF($A$1=$AF$1,AG67,IF($A$1=$AI$1,AJ67))))))))))))</f>
        <v/>
      </c>
    </row>
    <row r="68" hidden="1" ht="15.75" customFormat="1" customHeight="1" s="1">
      <c r="A68" s="27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15">
        <f>AP68-AO68</f>
        <v/>
      </c>
      <c r="AM68" s="16">
        <f>AP68/AO68-1</f>
        <v/>
      </c>
      <c r="AO68" s="44">
        <f>IF($A$1=$B$1,B68,IF($A$1=$E$1,E68,IF($A$1=$H$1,H68,IF($A$1=$K$1,K68,IF($A$1=$N$1,N68,IF($A$1=$Q$1,Q68,IF($A$1=$T$1,T68,IF($A$1=$W$1,W68,IF($A$1=$Z$1,Z68,IF($A$1=$AC$1,AC68,IF($A$1=$AF$1,AF68,IF($A$1=$AI$1,AI68))))))))))))</f>
        <v/>
      </c>
      <c r="AP68" s="44">
        <f>IF($A$1=$B$1,C68,IF($A$1=$E$1,F68,IF($A$1=$H$1,I68,IF($A$1=$K$1,L68,IF($A$1=$N$1,O68,IF($A$1=$Q$1,R68,IF($A$1=$T$1,U68,IF($A$1=$W$1,X68,IF($A$1=$Z$1,AA68,IF($A$1=$AC$1,AD68,IF($A$1=$AF$1,AG68,IF($A$1=$AI$1,AJ68))))))))))))</f>
        <v/>
      </c>
    </row>
    <row r="69" hidden="1" ht="15.75" customHeight="1">
      <c r="A69" s="26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21">
        <f>AP69-AO69</f>
        <v/>
      </c>
      <c r="AM69" s="22">
        <f>AP69/AO69-1</f>
        <v/>
      </c>
      <c r="AO69" s="44">
        <f>IF($A$1=$B$1,B69,IF($A$1=$E$1,E69,IF($A$1=$H$1,H69,IF($A$1=$K$1,K69,IF($A$1=$N$1,N69,IF($A$1=$Q$1,Q69,IF($A$1=$T$1,T69,IF($A$1=$W$1,W69,IF($A$1=$Z$1,Z69,IF($A$1=$AC$1,AC69,IF($A$1=$AF$1,AF69,IF($A$1=$AI$1,AI69))))))))))))</f>
        <v/>
      </c>
      <c r="AP69" s="44">
        <f>IF($A$1=$B$1,C69,IF($A$1=$E$1,F69,IF($A$1=$H$1,I69,IF($A$1=$K$1,L69,IF($A$1=$N$1,O69,IF($A$1=$Q$1,R69,IF($A$1=$T$1,U69,IF($A$1=$W$1,X69,IF($A$1=$Z$1,AA69,IF($A$1=$AC$1,AD69,IF($A$1=$AF$1,AG69,IF($A$1=$AI$1,AJ69))))))))))))</f>
        <v/>
      </c>
    </row>
    <row r="70" hidden="1" ht="15.75" customHeight="1">
      <c r="A70" s="26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21">
        <f>AP70-AO70</f>
        <v/>
      </c>
      <c r="AM70" s="22">
        <f>AP70/AO70-1</f>
        <v/>
      </c>
      <c r="AO70" s="44">
        <f>IF($A$1=$B$1,B70,IF($A$1=$E$1,E70,IF($A$1=$H$1,H70,IF($A$1=$K$1,K70,IF($A$1=$N$1,N70,IF($A$1=$Q$1,Q70,IF($A$1=$T$1,T70,IF($A$1=$W$1,W70,IF($A$1=$Z$1,Z70,IF($A$1=$AC$1,AC70,IF($A$1=$AF$1,AF70,IF($A$1=$AI$1,AI70))))))))))))</f>
        <v/>
      </c>
      <c r="AP70" s="44">
        <f>IF($A$1=$B$1,C70,IF($A$1=$E$1,F70,IF($A$1=$H$1,I70,IF($A$1=$K$1,L70,IF($A$1=$N$1,O70,IF($A$1=$Q$1,R70,IF($A$1=$T$1,U70,IF($A$1=$W$1,X70,IF($A$1=$Z$1,AA70,IF($A$1=$AC$1,AD70,IF($A$1=$AF$1,AG70,IF($A$1=$AI$1,AJ70))))))))))))</f>
        <v/>
      </c>
    </row>
    <row r="71" hidden="1" ht="15.75" customHeight="1">
      <c r="A71" s="2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21" t="n"/>
      <c r="AM71" s="22" t="n"/>
      <c r="AO71" s="44" t="n"/>
      <c r="AP71" s="44" t="n"/>
    </row>
    <row r="72" hidden="1" ht="15.75" customHeight="1">
      <c r="A72" s="26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21" t="n"/>
      <c r="AM72" s="22" t="n"/>
      <c r="AO72" s="44" t="n"/>
      <c r="AP72" s="44" t="n"/>
    </row>
    <row r="73" hidden="1" ht="15.75" customFormat="1" customHeight="1" s="1">
      <c r="A73" s="2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21">
        <f>AP73-AO73</f>
        <v/>
      </c>
      <c r="AM73" s="22">
        <f>AP73/AO73-1</f>
        <v/>
      </c>
      <c r="AO73" s="44">
        <f>IF($A$1=$B$1,B73,IF($A$1=$E$1,E73,IF($A$1=$H$1,H73,IF($A$1=$K$1,K73,IF($A$1=$N$1,N73,IF($A$1=$Q$1,Q73,IF($A$1=$T$1,T73,IF($A$1=$W$1,W73,IF($A$1=$Z$1,Z73,IF($A$1=$AC$1,AC73,IF($A$1=$AF$1,AF73,IF($A$1=$AI$1,AI73))))))))))))</f>
        <v/>
      </c>
      <c r="AP73" s="44">
        <f>IF($A$1=$B$1,C73,IF($A$1=$E$1,F73,IF($A$1=$H$1,I73,IF($A$1=$K$1,L73,IF($A$1=$N$1,O73,IF($A$1=$Q$1,R73,IF($A$1=$T$1,U73,IF($A$1=$W$1,X73,IF($A$1=$Z$1,AA73,IF($A$1=$AC$1,AD73,IF($A$1=$AF$1,AG73,IF($A$1=$AI$1,AJ73))))))))))))</f>
        <v/>
      </c>
    </row>
    <row r="74" hidden="1" ht="15.75" customHeight="1">
      <c r="A74" s="26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21">
        <f>AP74-AO74</f>
        <v/>
      </c>
      <c r="AM74" s="22">
        <f>AP74/AO74-1</f>
        <v/>
      </c>
      <c r="AO74" s="44">
        <f>IF($A$1=$B$1,B74,IF($A$1=$E$1,E74,IF($A$1=$H$1,H74,IF($A$1=$K$1,K74,IF($A$1=$N$1,N74,IF($A$1=$Q$1,Q74,IF($A$1=$T$1,T74,IF($A$1=$W$1,W74,IF($A$1=$Z$1,Z74,IF($A$1=$AC$1,AC74,IF($A$1=$AF$1,AF74,IF($A$1=$AI$1,AI74))))))))))))</f>
        <v/>
      </c>
      <c r="AP74" s="44">
        <f>IF($A$1=$B$1,C74,IF($A$1=$E$1,F74,IF($A$1=$H$1,I74,IF($A$1=$K$1,L74,IF($A$1=$N$1,O74,IF($A$1=$Q$1,R74,IF($A$1=$T$1,U74,IF($A$1=$W$1,X74,IF($A$1=$Z$1,AA74,IF($A$1=$AC$1,AD74,IF($A$1=$AF$1,AG74,IF($A$1=$AI$1,AJ74))))))))))))</f>
        <v/>
      </c>
    </row>
    <row r="75" hidden="1" ht="15.75" customFormat="1" customHeight="1" s="1">
      <c r="A75" s="2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21">
        <f>AP75-AO75</f>
        <v/>
      </c>
      <c r="AM75" s="22">
        <f>AP75/AO75-1</f>
        <v/>
      </c>
      <c r="AO75" s="44">
        <f>IF($A$1=$B$1,B75,IF($A$1=$E$1,E75,IF($A$1=$H$1,H75,IF($A$1=$K$1,K75,IF($A$1=$N$1,N75,IF($A$1=$Q$1,Q75,IF($A$1=$T$1,T75,IF($A$1=$W$1,W75,IF($A$1=$Z$1,Z75,IF($A$1=$AC$1,AC75,IF($A$1=$AF$1,AF75,IF($A$1=$AI$1,AI75))))))))))))</f>
        <v/>
      </c>
      <c r="AP75" s="44">
        <f>IF($A$1=$B$1,C75,IF($A$1=$E$1,F75,IF($A$1=$H$1,I75,IF($A$1=$K$1,L75,IF($A$1=$N$1,O75,IF($A$1=$Q$1,R75,IF($A$1=$T$1,U75,IF($A$1=$W$1,X75,IF($A$1=$Z$1,AA75,IF($A$1=$AC$1,AD75,IF($A$1=$AF$1,AG75,IF($A$1=$AI$1,AJ75))))))))))))</f>
        <v/>
      </c>
    </row>
    <row r="76" hidden="1" ht="15.75" customHeight="1">
      <c r="A76" s="2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15" t="n"/>
      <c r="AM76" s="16" t="n"/>
    </row>
    <row r="77">
      <c r="A77" s="2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5" t="n"/>
    </row>
    <row r="78" ht="17" customFormat="1" customHeight="1" s="49">
      <c r="A78" s="47" t="inlineStr">
        <is>
          <t>GROSS PROFIT MARGIN BY CHANNELS</t>
        </is>
      </c>
      <c r="B78" s="413" t="n"/>
      <c r="C78" s="413" t="n"/>
      <c r="D78" s="413" t="n"/>
      <c r="E78" s="413" t="n"/>
      <c r="F78" s="413" t="n"/>
      <c r="G78" s="413" t="n"/>
      <c r="H78" s="413" t="n"/>
      <c r="I78" s="413" t="n"/>
      <c r="J78" s="413" t="n"/>
      <c r="K78" s="413" t="n"/>
      <c r="L78" s="413" t="n"/>
      <c r="M78" s="413" t="n"/>
      <c r="N78" s="413" t="n"/>
      <c r="O78" s="413" t="n"/>
      <c r="P78" s="413" t="n"/>
      <c r="Q78" s="413" t="n"/>
      <c r="R78" s="413" t="n"/>
      <c r="S78" s="413" t="n"/>
      <c r="T78" s="413" t="n"/>
      <c r="U78" s="413" t="n"/>
      <c r="V78" s="413" t="n"/>
      <c r="W78" s="413" t="n"/>
      <c r="X78" s="413" t="n"/>
      <c r="Y78" s="413" t="n"/>
      <c r="Z78" s="413" t="n"/>
      <c r="AA78" s="413" t="n"/>
      <c r="AB78" s="413" t="n"/>
      <c r="AC78" s="413" t="n"/>
      <c r="AD78" s="413" t="n"/>
      <c r="AE78" s="413" t="n"/>
      <c r="AF78" s="413" t="n"/>
      <c r="AG78" s="413" t="n"/>
      <c r="AH78" s="413" t="n"/>
      <c r="AI78" s="413" t="n"/>
      <c r="AJ78" s="413" t="n"/>
      <c r="AK78" s="413" t="n"/>
      <c r="AL78" s="413" t="n"/>
      <c r="AM78" s="48" t="n"/>
    </row>
    <row r="79" ht="15.5" customFormat="1" customHeight="1" s="13">
      <c r="A79" s="26" t="inlineStr">
        <is>
          <t xml:space="preserve">İnci Holding </t>
        </is>
      </c>
      <c r="B79" s="12">
        <f>B36/B9</f>
        <v/>
      </c>
      <c r="C79" s="12">
        <f>IFERROR((C36/C9),"")</f>
        <v/>
      </c>
      <c r="D79" s="41" t="n"/>
      <c r="E79" s="12">
        <f>E36/E9</f>
        <v/>
      </c>
      <c r="F79" s="12">
        <f>IFERROR((F36/F9),"")</f>
        <v/>
      </c>
      <c r="G79" s="41" t="n"/>
      <c r="H79" s="12">
        <f>H36/H9</f>
        <v/>
      </c>
      <c r="I79" s="12">
        <f>IFERROR((I36/I9),"")</f>
        <v/>
      </c>
      <c r="J79" s="41" t="n"/>
      <c r="K79" s="472">
        <f>K36/K9</f>
        <v/>
      </c>
      <c r="L79" s="472">
        <f>IFERROR((L36/L9),"")</f>
        <v/>
      </c>
      <c r="M79" s="41" t="n"/>
      <c r="N79" s="12">
        <f>N36/N9</f>
        <v/>
      </c>
      <c r="O79" s="12">
        <f>IFERROR((O36/O9),"")</f>
        <v/>
      </c>
      <c r="P79" s="41" t="n"/>
      <c r="Q79" s="12">
        <f>Q36/Q9</f>
        <v/>
      </c>
      <c r="R79" s="12">
        <f>IFERROR((R36/R9),"")</f>
        <v/>
      </c>
      <c r="S79" s="41" t="n"/>
      <c r="T79" s="12">
        <f>T36/T9</f>
        <v/>
      </c>
      <c r="U79" s="12">
        <f>IFERROR((U36/U9),"")</f>
        <v/>
      </c>
      <c r="V79" s="41" t="n"/>
      <c r="W79" s="58">
        <f>W36/W9</f>
        <v/>
      </c>
      <c r="X79" s="58">
        <f>IFERROR((X36/X9),"")</f>
        <v/>
      </c>
      <c r="Y79" s="41" t="n"/>
      <c r="Z79" s="12">
        <f>Z36/Z9</f>
        <v/>
      </c>
      <c r="AA79" s="12">
        <f>IFERROR((AA36/AA9),"")</f>
        <v/>
      </c>
      <c r="AB79" s="41" t="n"/>
      <c r="AC79" s="12">
        <f>AC36/AC9</f>
        <v/>
      </c>
      <c r="AD79" s="12">
        <f>IFERROR((AD36/AD9),"")</f>
        <v/>
      </c>
      <c r="AE79" s="41" t="n"/>
      <c r="AF79" s="12">
        <f>AF36/AF9</f>
        <v/>
      </c>
      <c r="AG79" s="12">
        <f>IFERROR((AG36/AG9),"")</f>
        <v/>
      </c>
      <c r="AH79" s="41" t="n"/>
      <c r="AI79" s="12">
        <f>AI36/AI9</f>
        <v/>
      </c>
      <c r="AJ79" s="12">
        <f>IFERROR((AJ36/AJ9),"")</f>
        <v/>
      </c>
      <c r="AK79" s="41" t="n"/>
      <c r="AL79" s="15" t="n"/>
      <c r="AM79" s="124">
        <f>AP79-AO79</f>
        <v/>
      </c>
      <c r="AO79" s="44">
        <f>IF($A$1=$B$1,B79,IF($A$1=$E$1,E79,IF($A$1=$H$1,H79,IF($A$1=$K$1,K79,IF($A$1=$N$1,N79,IF($A$1=$Q$1,Q79,IF($A$1=$T$1,T79,IF($A$1=$W$1,W79,IF($A$1=$Z$1,Z79,IF($A$1=$AC$1,AC79,IF($A$1=$AF$1,AF79,IF($A$1=$AI$1,AI79))))))))))))</f>
        <v/>
      </c>
      <c r="AP79" s="44">
        <f>IF($A$1=$B$1,C79,IF($A$1=$E$1,F79,IF($A$1=$H$1,I79,IF($A$1=$K$1,L79,IF($A$1=$N$1,O79,IF($A$1=$Q$1,R79,IF($A$1=$T$1,U79,IF($A$1=$W$1,X79,IF($A$1=$Z$1,AA79,IF($A$1=$AC$1,AD79,IF($A$1=$AF$1,AG79,IF($A$1=$AI$1,AJ79))))))))))))</f>
        <v/>
      </c>
    </row>
    <row r="80" ht="15.5" customFormat="1" customHeight="1" s="13">
      <c r="A80" s="26" t="inlineStr">
        <is>
          <t xml:space="preserve">ISM </t>
        </is>
      </c>
      <c r="B80" s="12">
        <f>B37/B10</f>
        <v/>
      </c>
      <c r="C80" s="12">
        <f>IFERROR((C37/C10),"")</f>
        <v/>
      </c>
      <c r="D80" s="41" t="n"/>
      <c r="E80" s="12">
        <f>E37/E10</f>
        <v/>
      </c>
      <c r="F80" s="12">
        <f>IFERROR((F37/F10),"")</f>
        <v/>
      </c>
      <c r="G80" s="41" t="n"/>
      <c r="H80" s="468">
        <f>H37/H10</f>
        <v/>
      </c>
      <c r="I80" s="468">
        <f>IFERROR((I37/I10),"")</f>
        <v/>
      </c>
      <c r="J80" s="41" t="n"/>
      <c r="K80" s="472">
        <f>K37/K10</f>
        <v/>
      </c>
      <c r="L80" s="472">
        <f>IFERROR((L37/L10),"")</f>
        <v/>
      </c>
      <c r="M80" s="41" t="n"/>
      <c r="N80" s="12">
        <f>N37/N10</f>
        <v/>
      </c>
      <c r="O80" s="12">
        <f>IFERROR((O37/O10),"")</f>
        <v/>
      </c>
      <c r="P80" s="41" t="n"/>
      <c r="Q80" s="12">
        <f>Q37/Q10</f>
        <v/>
      </c>
      <c r="R80" s="12">
        <f>IFERROR((R37/R10),"")</f>
        <v/>
      </c>
      <c r="S80" s="41" t="n"/>
      <c r="T80" s="12">
        <f>T37/T10</f>
        <v/>
      </c>
      <c r="U80" s="12">
        <f>IFERROR((U37/U10),"")</f>
        <v/>
      </c>
      <c r="V80" s="41" t="n"/>
      <c r="W80" s="58">
        <f>W37/W10</f>
        <v/>
      </c>
      <c r="X80" s="58">
        <f>IFERROR((X37/X10),"")</f>
        <v/>
      </c>
      <c r="Y80" s="41" t="n"/>
      <c r="Z80" s="12">
        <f>Z37/Z10</f>
        <v/>
      </c>
      <c r="AA80" s="12">
        <f>IFERROR((AA37/AA10),"")</f>
        <v/>
      </c>
      <c r="AB80" s="41" t="n"/>
      <c r="AC80" s="12">
        <f>AC37/AC10</f>
        <v/>
      </c>
      <c r="AD80" s="12">
        <f>IFERROR((AD37/AD10),"")</f>
        <v/>
      </c>
      <c r="AE80" s="41" t="n"/>
      <c r="AF80" s="12">
        <f>AF37/AF10</f>
        <v/>
      </c>
      <c r="AG80" s="12">
        <f>IFERROR((AG37/AG10),"")</f>
        <v/>
      </c>
      <c r="AH80" s="41" t="n"/>
      <c r="AI80" s="12">
        <f>AI37/AI10</f>
        <v/>
      </c>
      <c r="AJ80" s="12">
        <f>IFERROR((AJ37/AJ10),"")</f>
        <v/>
      </c>
      <c r="AK80" s="41" t="n"/>
      <c r="AL80" s="15" t="n"/>
      <c r="AM80" s="124">
        <f>AP80-AO80</f>
        <v/>
      </c>
      <c r="AO80" s="44">
        <f>IF($A$1=$B$1,B80,IF($A$1=$E$1,E80,IF($A$1=$H$1,H80,IF($A$1=$K$1,K80,IF($A$1=$N$1,N80,IF($A$1=$Q$1,Q80,IF($A$1=$T$1,T80,IF($A$1=$W$1,W80,IF($A$1=$Z$1,Z80,IF($A$1=$AC$1,AC80,IF($A$1=$AF$1,AF80,IF($A$1=$AI$1,AI80))))))))))))</f>
        <v/>
      </c>
      <c r="AP80" s="44">
        <f>IF($A$1=$B$1,C80,IF($A$1=$E$1,F80,IF($A$1=$H$1,I80,IF($A$1=$K$1,L80,IF($A$1=$N$1,O80,IF($A$1=$Q$1,R80,IF($A$1=$T$1,U80,IF($A$1=$W$1,X80,IF($A$1=$Z$1,AA80,IF($A$1=$AC$1,AD80,IF($A$1=$AF$1,AG80,IF($A$1=$AI$1,AJ80))))))))))))</f>
        <v/>
      </c>
    </row>
    <row r="81" ht="15.5" customFormat="1" customHeight="1" s="13">
      <c r="A81" s="26" t="inlineStr">
        <is>
          <t>İncitaş</t>
        </is>
      </c>
      <c r="B81" s="12">
        <f>B38/B11</f>
        <v/>
      </c>
      <c r="C81" s="12">
        <f>IFERROR((C38/C11),"")</f>
        <v/>
      </c>
      <c r="D81" s="41" t="n"/>
      <c r="E81" s="12">
        <f>E38/E11</f>
        <v/>
      </c>
      <c r="F81" s="12">
        <f>IFERROR((F38/F11),"")</f>
        <v/>
      </c>
      <c r="G81" s="41" t="n"/>
      <c r="H81" s="468">
        <f>H38/H11</f>
        <v/>
      </c>
      <c r="I81" s="468">
        <f>IFERROR((I38/I11),"")</f>
        <v/>
      </c>
      <c r="J81" s="41" t="n"/>
      <c r="K81" s="472">
        <f>K38/K11</f>
        <v/>
      </c>
      <c r="L81" s="472">
        <f>IFERROR((L38/L11),"")</f>
        <v/>
      </c>
      <c r="M81" s="41" t="n"/>
      <c r="N81" s="12">
        <f>N38/N11</f>
        <v/>
      </c>
      <c r="O81" s="12">
        <f>IFERROR((O38/O11),"")</f>
        <v/>
      </c>
      <c r="P81" s="41" t="n"/>
      <c r="Q81" s="12">
        <f>Q38/Q11</f>
        <v/>
      </c>
      <c r="R81" s="12">
        <f>IFERROR((R38/R11),"")</f>
        <v/>
      </c>
      <c r="S81" s="41" t="n"/>
      <c r="T81" s="12">
        <f>T38/T11</f>
        <v/>
      </c>
      <c r="U81" s="12">
        <f>IFERROR((U38/U11),"")</f>
        <v/>
      </c>
      <c r="V81" s="41" t="n"/>
      <c r="W81" s="58">
        <f>W38/W11</f>
        <v/>
      </c>
      <c r="X81" s="58">
        <f>IFERROR((X38/X11),"")</f>
        <v/>
      </c>
      <c r="Y81" s="41" t="n"/>
      <c r="Z81" s="12">
        <f>Z38/Z11</f>
        <v/>
      </c>
      <c r="AA81" s="12">
        <f>IFERROR((AA38/AA11),"")</f>
        <v/>
      </c>
      <c r="AB81" s="41" t="n"/>
      <c r="AC81" s="12">
        <f>AC38/AC11</f>
        <v/>
      </c>
      <c r="AD81" s="12">
        <f>IFERROR((AD38/AD11),"")</f>
        <v/>
      </c>
      <c r="AE81" s="41" t="n"/>
      <c r="AF81" s="12">
        <f>AF38/AF11</f>
        <v/>
      </c>
      <c r="AG81" s="12">
        <f>IFERROR((AG38/AG11),"")</f>
        <v/>
      </c>
      <c r="AH81" s="41" t="n"/>
      <c r="AI81" s="12">
        <f>AI38/AI11</f>
        <v/>
      </c>
      <c r="AJ81" s="12">
        <f>IFERROR((AJ38/AJ11),"")</f>
        <v/>
      </c>
      <c r="AK81" s="41" t="n"/>
      <c r="AL81" s="15" t="n"/>
      <c r="AM81" s="124">
        <f>AP81-AO81</f>
        <v/>
      </c>
      <c r="AO81" s="44">
        <f>IF($A$1=$B$1,B81,IF($A$1=$E$1,E81,IF($A$1=$H$1,H81,IF($A$1=$K$1,K81,IF($A$1=$N$1,N81,IF($A$1=$Q$1,Q81,IF($A$1=$T$1,T81,IF($A$1=$W$1,W81,IF($A$1=$Z$1,Z81,IF($A$1=$AC$1,AC81,IF($A$1=$AF$1,AF81,IF($A$1=$AI$1,AI81))))))))))))</f>
        <v/>
      </c>
      <c r="AP81" s="44">
        <f>IF($A$1=$B$1,C81,IF($A$1=$E$1,F81,IF($A$1=$H$1,I81,IF($A$1=$K$1,L81,IF($A$1=$N$1,O81,IF($A$1=$Q$1,R81,IF($A$1=$T$1,U81,IF($A$1=$W$1,X81,IF($A$1=$Z$1,AA81,IF($A$1=$AC$1,AD81,IF($A$1=$AF$1,AG81,IF($A$1=$AI$1,AJ81))))))))))))</f>
        <v/>
      </c>
    </row>
    <row r="82" ht="15.5" customFormat="1" customHeight="1" s="13">
      <c r="A82" s="26" t="inlineStr">
        <is>
          <t>İnci GS Yuasa</t>
        </is>
      </c>
      <c r="B82" s="12">
        <f>B39/B12</f>
        <v/>
      </c>
      <c r="C82" s="12">
        <f>IFERROR((C39/C12),"")</f>
        <v/>
      </c>
      <c r="D82" s="41" t="n"/>
      <c r="E82" s="12">
        <f>E39/E12</f>
        <v/>
      </c>
      <c r="F82" s="12">
        <f>IFERROR((F39/F12),"")</f>
        <v/>
      </c>
      <c r="G82" s="41" t="n"/>
      <c r="H82" s="468">
        <f>H39/H12</f>
        <v/>
      </c>
      <c r="I82" s="468">
        <f>IFERROR((I39/I12),"")</f>
        <v/>
      </c>
      <c r="J82" s="41" t="n"/>
      <c r="K82" s="472">
        <f>K39/K12</f>
        <v/>
      </c>
      <c r="L82" s="472">
        <f>IFERROR((L39/L12),"")</f>
        <v/>
      </c>
      <c r="M82" s="41" t="n"/>
      <c r="N82" s="12">
        <f>N39/N12</f>
        <v/>
      </c>
      <c r="O82" s="12">
        <f>IFERROR((O39/O12),"")</f>
        <v/>
      </c>
      <c r="P82" s="41" t="n"/>
      <c r="Q82" s="12">
        <f>Q39/Q12</f>
        <v/>
      </c>
      <c r="R82" s="12">
        <f>IFERROR((R39/R12),"")</f>
        <v/>
      </c>
      <c r="S82" s="41" t="n"/>
      <c r="T82" s="12">
        <f>T39/T12</f>
        <v/>
      </c>
      <c r="U82" s="12">
        <f>IFERROR((U39/U12),"")</f>
        <v/>
      </c>
      <c r="V82" s="41" t="n"/>
      <c r="W82" s="58">
        <f>W39/W12</f>
        <v/>
      </c>
      <c r="X82" s="58">
        <f>IFERROR((X39/X12),"")</f>
        <v/>
      </c>
      <c r="Y82" s="41" t="n"/>
      <c r="Z82" s="12">
        <f>Z39/Z12</f>
        <v/>
      </c>
      <c r="AA82" s="12">
        <f>IFERROR((AA39/AA12),"")</f>
        <v/>
      </c>
      <c r="AB82" s="41" t="n"/>
      <c r="AC82" s="12">
        <f>AC39/AC12</f>
        <v/>
      </c>
      <c r="AD82" s="12">
        <f>IFERROR((AD39/AD12),"")</f>
        <v/>
      </c>
      <c r="AE82" s="41" t="n"/>
      <c r="AF82" s="12">
        <f>AF39/AF12</f>
        <v/>
      </c>
      <c r="AG82" s="12">
        <f>IFERROR((AG39/AG12),"")</f>
        <v/>
      </c>
      <c r="AH82" s="41" t="n"/>
      <c r="AI82" s="12">
        <f>AI39/AI12</f>
        <v/>
      </c>
      <c r="AJ82" s="12">
        <f>IFERROR((AJ39/AJ12),"")</f>
        <v/>
      </c>
      <c r="AK82" s="41" t="n"/>
      <c r="AL82" s="15" t="n"/>
      <c r="AM82" s="124">
        <f>AP82-AO82</f>
        <v/>
      </c>
      <c r="AO82" s="44">
        <f>IF($A$1=$B$1,B82,IF($A$1=$E$1,E82,IF($A$1=$H$1,H82,IF($A$1=$K$1,K82,IF($A$1=$N$1,N82,IF($A$1=$Q$1,Q82,IF($A$1=$T$1,T82,IF($A$1=$W$1,W82,IF($A$1=$Z$1,Z82,IF($A$1=$AC$1,AC82,IF($A$1=$AF$1,AF82,IF($A$1=$AI$1,AI82))))))))))))</f>
        <v/>
      </c>
      <c r="AP82" s="44">
        <f>IF($A$1=$B$1,C82,IF($A$1=$E$1,F82,IF($A$1=$H$1,I82,IF($A$1=$K$1,L82,IF($A$1=$N$1,O82,IF($A$1=$Q$1,R82,IF($A$1=$T$1,U82,IF($A$1=$W$1,X82,IF($A$1=$Z$1,AA82,IF($A$1=$AC$1,AD82,IF($A$1=$AF$1,AG82,IF($A$1=$AI$1,AJ82))))))))))))</f>
        <v/>
      </c>
    </row>
    <row r="83" ht="15.5" customFormat="1" customHeight="1" s="13">
      <c r="A83" s="26" t="inlineStr">
        <is>
          <t>Yusen İnci Loj.</t>
        </is>
      </c>
      <c r="B83" s="12">
        <f>B40/B13</f>
        <v/>
      </c>
      <c r="C83" s="30">
        <f>IFERROR((C40/C13),"")</f>
        <v/>
      </c>
      <c r="D83" s="41" t="n"/>
      <c r="E83" s="12">
        <f>E40/E13</f>
        <v/>
      </c>
      <c r="F83" s="30">
        <f>IFERROR((F40/F13),"")</f>
        <v/>
      </c>
      <c r="G83" s="41" t="n"/>
      <c r="H83" s="468">
        <f>H40/H13</f>
        <v/>
      </c>
      <c r="I83" s="469">
        <f>IFERROR((I40/I13),"")</f>
        <v/>
      </c>
      <c r="J83" s="41" t="n"/>
      <c r="K83" s="472">
        <f>K40/K13</f>
        <v/>
      </c>
      <c r="L83" s="473">
        <f>IFERROR((L40/L13),"")</f>
        <v/>
      </c>
      <c r="M83" s="41" t="n"/>
      <c r="N83" s="12">
        <f>N40/N13</f>
        <v/>
      </c>
      <c r="O83" s="30">
        <f>IFERROR((O40/O13),"")</f>
        <v/>
      </c>
      <c r="P83" s="41" t="n"/>
      <c r="Q83" s="12">
        <f>Q40/Q13</f>
        <v/>
      </c>
      <c r="R83" s="30">
        <f>IFERROR((R40/R13),"")</f>
        <v/>
      </c>
      <c r="S83" s="41" t="n"/>
      <c r="T83" s="12">
        <f>T40/T13</f>
        <v/>
      </c>
      <c r="U83" s="30">
        <f>IFERROR((U40/U13),"")</f>
        <v/>
      </c>
      <c r="V83" s="41" t="n"/>
      <c r="W83" s="58">
        <f>W40/W13</f>
        <v/>
      </c>
      <c r="X83" s="109">
        <f>IFERROR((X40/X13),"")</f>
        <v/>
      </c>
      <c r="Y83" s="41" t="n"/>
      <c r="Z83" s="12">
        <f>Z40/Z13</f>
        <v/>
      </c>
      <c r="AA83" s="30">
        <f>IFERROR((AA40/AA13),"")</f>
        <v/>
      </c>
      <c r="AB83" s="41" t="n"/>
      <c r="AC83" s="12">
        <f>AC40/AC13</f>
        <v/>
      </c>
      <c r="AD83" s="30">
        <f>IFERROR((AD40/AD13),"")</f>
        <v/>
      </c>
      <c r="AE83" s="41" t="n"/>
      <c r="AF83" s="12">
        <f>AF40/AF13</f>
        <v/>
      </c>
      <c r="AG83" s="30">
        <f>IFERROR((AG40/AG13),"")</f>
        <v/>
      </c>
      <c r="AH83" s="41" t="n"/>
      <c r="AI83" s="12">
        <f>AI40/AI13</f>
        <v/>
      </c>
      <c r="AJ83" s="30">
        <f>IFERROR((AJ40/AJ13),"")</f>
        <v/>
      </c>
      <c r="AK83" s="41" t="n"/>
      <c r="AL83" s="15" t="n"/>
      <c r="AM83" s="124">
        <f>AP83-AO83</f>
        <v/>
      </c>
      <c r="AO83" s="44">
        <f>IF($A$1=$B$1,B83,IF($A$1=$E$1,E83,IF($A$1=$H$1,H83,IF($A$1=$K$1,K83,IF($A$1=$N$1,N83,IF($A$1=$Q$1,Q83,IF($A$1=$T$1,T83,IF($A$1=$W$1,W83,IF($A$1=$Z$1,Z83,IF($A$1=$AC$1,AC83,IF($A$1=$AF$1,AF83,IF($A$1=$AI$1,AI83))))))))))))</f>
        <v/>
      </c>
      <c r="AP83" s="44">
        <f>IF($A$1=$B$1,C83,IF($A$1=$E$1,F83,IF($A$1=$H$1,I83,IF($A$1=$K$1,L83,IF($A$1=$N$1,O83,IF($A$1=$Q$1,R83,IF($A$1=$T$1,U83,IF($A$1=$W$1,X83,IF($A$1=$Z$1,AA83,IF($A$1=$AC$1,AD83,IF($A$1=$AF$1,AG83,IF($A$1=$AI$1,AJ83))))))))))))</f>
        <v/>
      </c>
    </row>
    <row r="84" ht="15.5" customFormat="1" customHeight="1" s="13">
      <c r="A84" s="26" t="inlineStr">
        <is>
          <t>Jantaş</t>
        </is>
      </c>
      <c r="B84" s="12">
        <f>B41/B14</f>
        <v/>
      </c>
      <c r="C84" s="12">
        <f>IFERROR((C41/C14),"")</f>
        <v/>
      </c>
      <c r="D84" s="41" t="n"/>
      <c r="E84" s="12">
        <f>E41/E14</f>
        <v/>
      </c>
      <c r="F84" s="12">
        <f>IFERROR((F41/F14),"")</f>
        <v/>
      </c>
      <c r="G84" s="41" t="n"/>
      <c r="H84" s="468">
        <f>H41/H14</f>
        <v/>
      </c>
      <c r="I84" s="468">
        <f>IFERROR((I41/I14),"")</f>
        <v/>
      </c>
      <c r="J84" s="41" t="n"/>
      <c r="K84" s="472">
        <f>K41/K14</f>
        <v/>
      </c>
      <c r="L84" s="472">
        <f>IFERROR((L41/L14),"")</f>
        <v/>
      </c>
      <c r="M84" s="41" t="n"/>
      <c r="N84" s="12">
        <f>N41/N14</f>
        <v/>
      </c>
      <c r="O84" s="12">
        <f>IFERROR((O41/O14),"")</f>
        <v/>
      </c>
      <c r="P84" s="41" t="n"/>
      <c r="Q84" s="12">
        <f>Q41/Q14</f>
        <v/>
      </c>
      <c r="R84" s="12">
        <f>IFERROR((R41/R14),"")</f>
        <v/>
      </c>
      <c r="S84" s="41" t="n"/>
      <c r="T84" s="12">
        <f>T41/T14</f>
        <v/>
      </c>
      <c r="U84" s="12">
        <f>IFERROR((U41/U14),"")</f>
        <v/>
      </c>
      <c r="V84" s="41" t="n"/>
      <c r="W84" s="58">
        <f>W41/W14</f>
        <v/>
      </c>
      <c r="X84" s="58">
        <f>IFERROR((X41/X14),"")</f>
        <v/>
      </c>
      <c r="Y84" s="41" t="n"/>
      <c r="Z84" s="12">
        <f>Z41/Z14</f>
        <v/>
      </c>
      <c r="AA84" s="12">
        <f>IFERROR((AA41/AA14),"")</f>
        <v/>
      </c>
      <c r="AB84" s="41" t="n"/>
      <c r="AC84" s="12">
        <f>AC41/AC14</f>
        <v/>
      </c>
      <c r="AD84" s="12">
        <f>IFERROR((AD41/AD14),"")</f>
        <v/>
      </c>
      <c r="AE84" s="41" t="n"/>
      <c r="AF84" s="12">
        <f>AF41/AF14</f>
        <v/>
      </c>
      <c r="AG84" s="12">
        <f>IFERROR((AG41/AG14),"")</f>
        <v/>
      </c>
      <c r="AH84" s="41" t="n"/>
      <c r="AI84" s="12">
        <f>AI41/AI14</f>
        <v/>
      </c>
      <c r="AJ84" s="12">
        <f>IFERROR((AJ41/AJ14),"")</f>
        <v/>
      </c>
      <c r="AK84" s="41" t="n"/>
      <c r="AL84" s="15" t="n"/>
      <c r="AM84" s="124">
        <f>AP84-AO84</f>
        <v/>
      </c>
      <c r="AO84" s="44">
        <f>IF($A$1=$B$1,B84,IF($A$1=$E$1,E84,IF($A$1=$H$1,H84,IF($A$1=$K$1,K84,IF($A$1=$N$1,N84,IF($A$1=$Q$1,Q84,IF($A$1=$T$1,T84,IF($A$1=$W$1,W84,IF($A$1=$Z$1,Z84,IF($A$1=$AC$1,AC84,IF($A$1=$AF$1,AF84,IF($A$1=$AI$1,AI84))))))))))))</f>
        <v/>
      </c>
      <c r="AP84" s="44">
        <f>IF($A$1=$B$1,C84,IF($A$1=$E$1,F84,IF($A$1=$H$1,I84,IF($A$1=$K$1,L84,IF($A$1=$N$1,O84,IF($A$1=$Q$1,R84,IF($A$1=$T$1,U84,IF($A$1=$W$1,X84,IF($A$1=$Z$1,AA84,IF($A$1=$AC$1,AD84,IF($A$1=$AF$1,AG84,IF($A$1=$AI$1,AJ84))))))))))))</f>
        <v/>
      </c>
    </row>
    <row r="85" ht="15.5" customFormat="1" customHeight="1" s="13">
      <c r="A85" s="26" t="inlineStr">
        <is>
          <t>Çelik</t>
        </is>
      </c>
      <c r="B85" s="12">
        <f>B42/B15</f>
        <v/>
      </c>
      <c r="C85" s="12">
        <f>IFERROR((C42/C15),"")</f>
        <v/>
      </c>
      <c r="D85" s="41" t="n"/>
      <c r="E85" s="12">
        <f>E42/E15</f>
        <v/>
      </c>
      <c r="F85" s="12">
        <f>IFERROR((F42/F15),"")</f>
        <v/>
      </c>
      <c r="G85" s="41" t="n"/>
      <c r="H85" s="468">
        <f>H42/H15</f>
        <v/>
      </c>
      <c r="I85" s="468">
        <f>IFERROR((I42/I15),"")</f>
        <v/>
      </c>
      <c r="J85" s="41" t="n"/>
      <c r="K85" s="472">
        <f>K42/K15</f>
        <v/>
      </c>
      <c r="L85" s="472">
        <f>IFERROR((L42/L15),"")</f>
        <v/>
      </c>
      <c r="M85" s="41" t="n"/>
      <c r="N85" s="12">
        <f>N42/N15</f>
        <v/>
      </c>
      <c r="O85" s="12">
        <f>IFERROR((O42/O15),"")</f>
        <v/>
      </c>
      <c r="P85" s="41" t="n"/>
      <c r="Q85" s="12">
        <f>Q42/Q15</f>
        <v/>
      </c>
      <c r="R85" s="12">
        <f>IFERROR((R42/R15),"")</f>
        <v/>
      </c>
      <c r="S85" s="41" t="n"/>
      <c r="T85" s="12">
        <f>T42/T15</f>
        <v/>
      </c>
      <c r="U85" s="12">
        <f>IFERROR((U42/U15),"")</f>
        <v/>
      </c>
      <c r="V85" s="41" t="n"/>
      <c r="W85" s="58">
        <f>W42/W15</f>
        <v/>
      </c>
      <c r="X85" s="58">
        <f>IFERROR((X42/X15),"")</f>
        <v/>
      </c>
      <c r="Y85" s="41" t="n"/>
      <c r="Z85" s="12">
        <f>Z42/Z15</f>
        <v/>
      </c>
      <c r="AA85" s="12">
        <f>IFERROR((AA42/AA15),"")</f>
        <v/>
      </c>
      <c r="AB85" s="41" t="n"/>
      <c r="AC85" s="12">
        <f>AC42/AC15</f>
        <v/>
      </c>
      <c r="AD85" s="12">
        <f>IFERROR((AD42/AD15),"")</f>
        <v/>
      </c>
      <c r="AE85" s="41" t="n"/>
      <c r="AF85" s="12">
        <f>AF42/AF15</f>
        <v/>
      </c>
      <c r="AG85" s="12">
        <f>IFERROR((AG42/AG15),"")</f>
        <v/>
      </c>
      <c r="AH85" s="41" t="n"/>
      <c r="AI85" s="12">
        <f>AI42/AI15</f>
        <v/>
      </c>
      <c r="AJ85" s="12">
        <f>IFERROR((AJ42/AJ15),"")</f>
        <v/>
      </c>
      <c r="AK85" s="41" t="n"/>
      <c r="AL85" s="15" t="n"/>
      <c r="AM85" s="124">
        <f>AP85-AO85</f>
        <v/>
      </c>
      <c r="AO85" s="44">
        <f>IF($A$1=$B$1,B85,IF($A$1=$E$1,E85,IF($A$1=$H$1,H85,IF($A$1=$K$1,K85,IF($A$1=$N$1,N85,IF($A$1=$Q$1,Q85,IF($A$1=$T$1,T85,IF($A$1=$W$1,W85,IF($A$1=$Z$1,Z85,IF($A$1=$AC$1,AC85,IF($A$1=$AF$1,AF85,IF($A$1=$AI$1,AI85))))))))))))</f>
        <v/>
      </c>
      <c r="AP85" s="44">
        <f>IF($A$1=$B$1,C85,IF($A$1=$E$1,F85,IF($A$1=$H$1,I85,IF($A$1=$K$1,L85,IF($A$1=$N$1,O85,IF($A$1=$Q$1,R85,IF($A$1=$T$1,U85,IF($A$1=$W$1,X85,IF($A$1=$Z$1,AA85,IF($A$1=$AC$1,AD85,IF($A$1=$AF$1,AG85,IF($A$1=$AI$1,AJ85))))))))))))</f>
        <v/>
      </c>
    </row>
    <row r="86" ht="15.5" customFormat="1" customHeight="1" s="13">
      <c r="A86" s="26" t="inlineStr">
        <is>
          <t>Alüminyum</t>
        </is>
      </c>
      <c r="B86" s="12">
        <f>B43/B16</f>
        <v/>
      </c>
      <c r="C86" s="12">
        <f>IFERROR((C43/C16),"")</f>
        <v/>
      </c>
      <c r="D86" s="41" t="n"/>
      <c r="E86" s="12">
        <f>E43/E16</f>
        <v/>
      </c>
      <c r="F86" s="12">
        <f>IFERROR((F43/F16),"")</f>
        <v/>
      </c>
      <c r="G86" s="41" t="n"/>
      <c r="H86" s="468">
        <f>H43/H16</f>
        <v/>
      </c>
      <c r="I86" s="468">
        <f>IFERROR((I43/I16),"")</f>
        <v/>
      </c>
      <c r="J86" s="41" t="n"/>
      <c r="K86" s="472">
        <f>K43/K16</f>
        <v/>
      </c>
      <c r="L86" s="472">
        <f>IFERROR((L43/L16),"")</f>
        <v/>
      </c>
      <c r="M86" s="41" t="n"/>
      <c r="N86" s="12">
        <f>N43/N16</f>
        <v/>
      </c>
      <c r="O86" s="12">
        <f>IFERROR((O43/O16),"")</f>
        <v/>
      </c>
      <c r="P86" s="41" t="n"/>
      <c r="Q86" s="12">
        <f>Q43/Q16</f>
        <v/>
      </c>
      <c r="R86" s="12">
        <f>IFERROR((R43/R16),"")</f>
        <v/>
      </c>
      <c r="S86" s="41" t="n"/>
      <c r="T86" s="12">
        <f>T43/T16</f>
        <v/>
      </c>
      <c r="U86" s="12">
        <f>IFERROR((U43/U16),"")</f>
        <v/>
      </c>
      <c r="V86" s="41" t="n"/>
      <c r="W86" s="58">
        <f>W43/W16</f>
        <v/>
      </c>
      <c r="X86" s="58">
        <f>IFERROR((X43/X16),"")</f>
        <v/>
      </c>
      <c r="Y86" s="41" t="n"/>
      <c r="Z86" s="12">
        <f>Z43/Z16</f>
        <v/>
      </c>
      <c r="AA86" s="12">
        <f>IFERROR((AA43/AA16),"")</f>
        <v/>
      </c>
      <c r="AB86" s="41" t="n"/>
      <c r="AC86" s="12">
        <f>AC43/AC16</f>
        <v/>
      </c>
      <c r="AD86" s="12">
        <f>IFERROR((AD43/AD16),"")</f>
        <v/>
      </c>
      <c r="AE86" s="41" t="n"/>
      <c r="AF86" s="12">
        <f>AF43/AF16</f>
        <v/>
      </c>
      <c r="AG86" s="12">
        <f>IFERROR((AG43/AG16),"")</f>
        <v/>
      </c>
      <c r="AH86" s="41" t="n"/>
      <c r="AI86" s="12">
        <f>AI43/AI16</f>
        <v/>
      </c>
      <c r="AJ86" s="12">
        <f>IFERROR((AJ43/AJ16),"")</f>
        <v/>
      </c>
      <c r="AK86" s="41" t="n"/>
      <c r="AL86" s="15" t="n"/>
      <c r="AM86" s="124">
        <f>AP86-AO86</f>
        <v/>
      </c>
      <c r="AO86" s="44">
        <f>IF($A$1=$B$1,B86,IF($A$1=$E$1,E86,IF($A$1=$H$1,H86,IF($A$1=$K$1,K86,IF($A$1=$N$1,N86,IF($A$1=$Q$1,Q86,IF($A$1=$T$1,T86,IF($A$1=$W$1,W86,IF($A$1=$Z$1,Z86,IF($A$1=$AC$1,AC86,IF($A$1=$AF$1,AF86,IF($A$1=$AI$1,AI86))))))))))))</f>
        <v/>
      </c>
      <c r="AP86" s="44">
        <f>IF($A$1=$B$1,C86,IF($A$1=$E$1,F86,IF($A$1=$H$1,I86,IF($A$1=$K$1,L86,IF($A$1=$N$1,O86,IF($A$1=$Q$1,R86,IF($A$1=$T$1,U86,IF($A$1=$W$1,X86,IF($A$1=$Z$1,AA86,IF($A$1=$AC$1,AD86,IF($A$1=$AF$1,AG86,IF($A$1=$AI$1,AJ86))))))))))))</f>
        <v/>
      </c>
      <c r="AR86" s="271" t="n"/>
      <c r="AS86" s="271" t="n"/>
    </row>
    <row r="87" ht="15.5" customFormat="1" customHeight="1" s="13">
      <c r="A87" s="26" t="n"/>
      <c r="B87" s="12" t="n"/>
      <c r="C87" s="12">
        <f>IFERROR((C44/C17),"")</f>
        <v/>
      </c>
      <c r="D87" s="41" t="n"/>
      <c r="E87" s="12" t="n"/>
      <c r="F87" s="12">
        <f>IFERROR((F44/F17),"")</f>
        <v/>
      </c>
      <c r="G87" s="41" t="n"/>
      <c r="H87" s="12" t="n"/>
      <c r="I87" s="12">
        <f>IFERROR((I44/I17),"")</f>
        <v/>
      </c>
      <c r="J87" s="41" t="n"/>
      <c r="K87" s="12" t="n"/>
      <c r="L87" s="12">
        <f>IFERROR((L44/L17),"")</f>
        <v/>
      </c>
      <c r="M87" s="41" t="n"/>
      <c r="N87" s="12" t="n"/>
      <c r="O87" s="12">
        <f>IFERROR((O44/O17),"")</f>
        <v/>
      </c>
      <c r="P87" s="41" t="n"/>
      <c r="Q87" s="12" t="n"/>
      <c r="R87" s="12">
        <f>IFERROR((R44/R17),"")</f>
        <v/>
      </c>
      <c r="S87" s="41" t="n"/>
      <c r="T87" s="12" t="n"/>
      <c r="U87" s="12">
        <f>IFERROR((U44/U17),"")</f>
        <v/>
      </c>
      <c r="V87" s="41" t="n"/>
      <c r="W87" s="12" t="n"/>
      <c r="X87" s="12">
        <f>IFERROR((X44/X17),"")</f>
        <v/>
      </c>
      <c r="Y87" s="41" t="n"/>
      <c r="Z87" s="12" t="n"/>
      <c r="AA87" s="294">
        <f>AA88-Z88</f>
        <v/>
      </c>
      <c r="AB87" s="41" t="n"/>
      <c r="AC87" s="12" t="n"/>
      <c r="AD87" s="294">
        <f>AD88-AC88</f>
        <v/>
      </c>
      <c r="AE87" s="41" t="n"/>
      <c r="AF87" s="12" t="n"/>
      <c r="AG87" s="294">
        <f>AG88-AF88</f>
        <v/>
      </c>
      <c r="AH87" s="41" t="n"/>
      <c r="AI87" s="12" t="n"/>
      <c r="AJ87" s="12">
        <f>IFERROR((AJ44/AJ17),"")</f>
        <v/>
      </c>
      <c r="AK87" s="41" t="n"/>
      <c r="AL87" s="15" t="n"/>
      <c r="AM87" s="22" t="n"/>
      <c r="AO87" s="44">
        <f>IF($A$1=$B$1,B87,IF($A$1=$E$1,E87,IF($A$1=$H$1,H87,IF($A$1=$K$1,K87,IF($A$1=$N$1,N87,IF($A$1=$Q$1,Q87,IF($A$1=$T$1,T87,IF($A$1=$W$1,W87,IF($A$1=$Z$1,Z87,IF($A$1=$AC$1,AC87,IF($A$1=$AF$1,AF87,IF($A$1=$AI$1,AI87))))))))))))</f>
        <v/>
      </c>
      <c r="AP87" s="44">
        <f>IF($A$1=$B$1,C87,IF($A$1=$E$1,F87,IF($A$1=$H$1,I87,IF($A$1=$K$1,L87,IF($A$1=$N$1,O87,IF($A$1=$Q$1,R87,IF($A$1=$T$1,U87,IF($A$1=$W$1,X87,IF($A$1=$Z$1,AA87,IF($A$1=$AC$1,AD87,IF($A$1=$AF$1,AG87,IF($A$1=$AI$1,AJ87))))))))))))</f>
        <v/>
      </c>
      <c r="AR87" s="271" t="n"/>
      <c r="AS87" s="271" t="n"/>
    </row>
    <row r="88" ht="15.5" customFormat="1" customHeight="1" s="44">
      <c r="A88" s="31" t="inlineStr">
        <is>
          <t>Operating Expenses</t>
        </is>
      </c>
      <c r="B88" s="32">
        <f>'A -Döviz'!B88</f>
        <v/>
      </c>
      <c r="C88" s="32">
        <f>'A -Döviz'!C88</f>
        <v/>
      </c>
      <c r="D88" s="18" t="n"/>
      <c r="E88" s="32">
        <f>B88+'A -Döviz'!E88</f>
        <v/>
      </c>
      <c r="F88" s="32">
        <f>C88+'A -Döviz'!F88</f>
        <v/>
      </c>
      <c r="G88" s="7">
        <f>F88-E88</f>
        <v/>
      </c>
      <c r="H88" s="32">
        <f>E88+'A -Döviz'!H88</f>
        <v/>
      </c>
      <c r="I88" s="32">
        <f>F88+'A -Döviz'!I88</f>
        <v/>
      </c>
      <c r="J88" s="18" t="n"/>
      <c r="K88" s="32">
        <f>H88+'A -Döviz'!K88</f>
        <v/>
      </c>
      <c r="L88" s="32">
        <f>I88+'A -Döviz'!L88</f>
        <v/>
      </c>
      <c r="M88" s="18" t="n"/>
      <c r="N88" s="32">
        <f>K88+'A -Döviz'!N88</f>
        <v/>
      </c>
      <c r="O88" s="32">
        <f>L88+'A -Döviz'!O88</f>
        <v/>
      </c>
      <c r="P88" s="18" t="n"/>
      <c r="Q88" s="32">
        <f>N88+'A -Döviz'!Q88</f>
        <v/>
      </c>
      <c r="R88" s="32">
        <f>O88+'A -Döviz'!R88</f>
        <v/>
      </c>
      <c r="S88" s="18" t="n"/>
      <c r="T88" s="32">
        <f>Q88+'A -Döviz'!T88</f>
        <v/>
      </c>
      <c r="U88" s="32">
        <f>R88+'A -Döviz'!U88</f>
        <v/>
      </c>
      <c r="V88" s="18" t="n"/>
      <c r="W88" s="32">
        <f>T88+'A -Döviz'!W88</f>
        <v/>
      </c>
      <c r="X88" s="32">
        <f>U88+'A -Döviz'!X88</f>
        <v/>
      </c>
      <c r="Y88" s="18" t="n"/>
      <c r="Z88" s="32">
        <f>W88+'A -Döviz'!Z88</f>
        <v/>
      </c>
      <c r="AA88" s="32">
        <f>X88+'A -Döviz'!AA88</f>
        <v/>
      </c>
      <c r="AB88" s="18" t="n"/>
      <c r="AC88" s="32">
        <f>Z88+'A -Döviz'!AC88</f>
        <v/>
      </c>
      <c r="AD88" s="32">
        <f>AA88+'A -Döviz'!AD88</f>
        <v/>
      </c>
      <c r="AE88" s="18" t="n"/>
      <c r="AF88" s="32">
        <f>AC88+'A -Döviz'!AF88</f>
        <v/>
      </c>
      <c r="AG88" s="32">
        <f>AD88+'A -Döviz'!AG88</f>
        <v/>
      </c>
      <c r="AH88" s="18" t="n"/>
      <c r="AI88" s="32">
        <f>AF88+'A -Döviz'!AI88</f>
        <v/>
      </c>
      <c r="AJ88" s="32">
        <f>AG88+'A -Döviz'!AJ88</f>
        <v/>
      </c>
      <c r="AK88" s="18" t="n"/>
      <c r="AL88" s="33">
        <f>AP88-AO88</f>
        <v/>
      </c>
      <c r="AM88" s="34">
        <f>AP88/AO88-1</f>
        <v/>
      </c>
      <c r="AO88" s="44">
        <f>IF($A$1=$B$1,B88,IF($A$1=$E$1,E88,IF($A$1=$H$1,H88,IF($A$1=$K$1,K88,IF($A$1=$N$1,N88,IF($A$1=$Q$1,Q88,IF($A$1=$T$1,T88,IF($A$1=$W$1,W88,IF($A$1=$Z$1,Z88,IF($A$1=$AC$1,AC88,IF($A$1=$AF$1,AF88,IF($A$1=$AI$1,AI88))))))))))))</f>
        <v/>
      </c>
      <c r="AP88" s="44">
        <f>IF($A$1=$B$1,C88,IF($A$1=$E$1,F88,IF($A$1=$H$1,I88,IF($A$1=$K$1,L88,IF($A$1=$N$1,O88,IF($A$1=$Q$1,R88,IF($A$1=$T$1,U88,IF($A$1=$W$1,X88,IF($A$1=$Z$1,AA88,IF($A$1=$AC$1,AD88,IF($A$1=$AF$1,AG88,IF($A$1=$AI$1,AJ88))))))))))))</f>
        <v/>
      </c>
      <c r="AR88" s="272" t="n"/>
      <c r="AS88" s="272" t="n"/>
    </row>
    <row r="89" ht="15.5" customFormat="1" customHeight="1" s="13">
      <c r="A89" s="27" t="n"/>
      <c r="B89" s="109">
        <f>-B88/B6</f>
        <v/>
      </c>
      <c r="C89" s="109">
        <f>-C88/C6</f>
        <v/>
      </c>
      <c r="D89" s="41" t="n"/>
      <c r="E89" s="109">
        <f>-E88/E6</f>
        <v/>
      </c>
      <c r="F89" s="109">
        <f>-F88/F6</f>
        <v/>
      </c>
      <c r="G89" s="41" t="n"/>
      <c r="H89" s="109">
        <f>-H88/H6</f>
        <v/>
      </c>
      <c r="I89" s="109">
        <f>-I88/I6</f>
        <v/>
      </c>
      <c r="J89" s="41" t="n"/>
      <c r="K89" s="109">
        <f>-K88/K30</f>
        <v/>
      </c>
      <c r="L89" s="109">
        <f>-L88/L30</f>
        <v/>
      </c>
      <c r="M89" s="41" t="n"/>
      <c r="N89" s="469">
        <f>-N88/N30</f>
        <v/>
      </c>
      <c r="O89" s="469">
        <f>-O88/O30</f>
        <v/>
      </c>
      <c r="P89" s="41" t="n"/>
      <c r="Q89" s="469">
        <f>-Q88/Q30</f>
        <v/>
      </c>
      <c r="R89" s="469">
        <f>-R88/R30</f>
        <v/>
      </c>
      <c r="S89" s="41" t="n"/>
      <c r="T89" s="473">
        <f>-T88/T30</f>
        <v/>
      </c>
      <c r="U89" s="473">
        <f>-U88/U30</f>
        <v/>
      </c>
      <c r="V89" s="41" t="n"/>
      <c r="W89" s="109">
        <f>-W88/W30</f>
        <v/>
      </c>
      <c r="X89" s="109">
        <f>-X88/X30</f>
        <v/>
      </c>
      <c r="Y89" s="41" t="n"/>
      <c r="Z89" s="109">
        <f>-Z88/Z30</f>
        <v/>
      </c>
      <c r="AA89" s="109">
        <f>-AA88/AA30</f>
        <v/>
      </c>
      <c r="AB89" s="41" t="n"/>
      <c r="AC89" s="109">
        <f>-AC88/AC30</f>
        <v/>
      </c>
      <c r="AD89" s="109">
        <f>-AD88/AD30</f>
        <v/>
      </c>
      <c r="AE89" s="41" t="n"/>
      <c r="AF89" s="109">
        <f>-AF88/AF30</f>
        <v/>
      </c>
      <c r="AG89" s="109">
        <f>-AG88/AG30</f>
        <v/>
      </c>
      <c r="AH89" s="41" t="n"/>
      <c r="AI89" s="30">
        <f>-AI88/AI30</f>
        <v/>
      </c>
      <c r="AJ89" s="30">
        <f>-AJ88/AJ30</f>
        <v/>
      </c>
      <c r="AK89" s="41" t="n"/>
      <c r="AL89" s="15" t="n"/>
      <c r="AM89" s="113">
        <f>AP89/AO89-1</f>
        <v/>
      </c>
      <c r="AO89" s="44">
        <f>IF($A$1=$B$1,B89,IF($A$1=$E$1,E89,IF($A$1=$H$1,H89,IF($A$1=$K$1,K89,IF($A$1=$N$1,N89,IF($A$1=$Q$1,Q89,IF($A$1=$T$1,T89,IF($A$1=$W$1,W89,IF($A$1=$Z$1,Z89,IF($A$1=$AC$1,AC89,IF($A$1=$AF$1,AF89,IF($A$1=$AI$1,AI89))))))))))))</f>
        <v/>
      </c>
      <c r="AP89" s="44">
        <f>IF($A$1=$B$1,C89,IF($A$1=$E$1,F89,IF($A$1=$H$1,I89,IF($A$1=$K$1,L89,IF($A$1=$N$1,O89,IF($A$1=$Q$1,R89,IF($A$1=$T$1,U89,IF($A$1=$W$1,X89,IF($A$1=$Z$1,AA89,IF($A$1=$AC$1,AD89,IF($A$1=$AF$1,AG89,IF($A$1=$AI$1,AJ89))))))))))))</f>
        <v/>
      </c>
    </row>
    <row r="90" ht="17" customFormat="1" customHeight="1" s="49">
      <c r="A90" s="47" t="inlineStr">
        <is>
          <t>Operating Expenses by channels (100%)</t>
        </is>
      </c>
      <c r="B90" s="413" t="n"/>
      <c r="C90" s="413" t="n"/>
      <c r="D90" s="413" t="n"/>
      <c r="E90" s="413" t="n"/>
      <c r="F90" s="413" t="n"/>
      <c r="G90" s="413" t="n"/>
      <c r="H90" s="413" t="n"/>
      <c r="I90" s="413" t="n"/>
      <c r="J90" s="413" t="n"/>
      <c r="K90" s="413" t="n"/>
      <c r="L90" s="413" t="n"/>
      <c r="M90" s="413" t="n"/>
      <c r="N90" s="413" t="n"/>
      <c r="O90" s="413" t="n"/>
      <c r="P90" s="413" t="n"/>
      <c r="Q90" s="413" t="n"/>
      <c r="R90" s="413" t="n"/>
      <c r="S90" s="413" t="n"/>
      <c r="T90" s="413" t="n"/>
      <c r="U90" s="413" t="n"/>
      <c r="V90" s="413" t="n"/>
      <c r="W90" s="413" t="n"/>
      <c r="X90" s="413" t="n"/>
      <c r="Y90" s="413" t="n"/>
      <c r="Z90" s="413" t="n"/>
      <c r="AA90" s="413" t="n"/>
      <c r="AB90" s="413" t="n"/>
      <c r="AC90" s="413" t="n"/>
      <c r="AD90" s="413" t="n"/>
      <c r="AE90" s="413" t="n"/>
      <c r="AF90" s="413" t="n"/>
      <c r="AG90" s="413" t="n"/>
      <c r="AH90" s="413" t="n"/>
      <c r="AI90" s="413" t="n"/>
      <c r="AJ90" s="413" t="n"/>
      <c r="AK90" s="413" t="n"/>
      <c r="AL90" s="413" t="n"/>
      <c r="AM90" s="48" t="n"/>
      <c r="AR90" s="110">
        <f>SUM(AR91:AR98)</f>
        <v/>
      </c>
      <c r="AS90" s="110">
        <f>SUM(AS91:AS98)</f>
        <v/>
      </c>
      <c r="AT90" s="110">
        <f>AS90-AR90</f>
        <v/>
      </c>
    </row>
    <row r="91" ht="15.5" customHeight="1">
      <c r="A91" s="26" t="inlineStr">
        <is>
          <t xml:space="preserve">İnci Holding </t>
        </is>
      </c>
      <c r="B91" s="7">
        <f>'A -Döviz'!B91</f>
        <v/>
      </c>
      <c r="C91" s="7">
        <f>'A -Döviz'!C91</f>
        <v/>
      </c>
      <c r="D91" s="7" t="n"/>
      <c r="E91" s="7">
        <f>B91+'A -Döviz'!E91</f>
        <v/>
      </c>
      <c r="F91" s="7">
        <f>C91+'A -Döviz'!F91</f>
        <v/>
      </c>
      <c r="G91" s="7">
        <f>F91-E91</f>
        <v/>
      </c>
      <c r="H91" s="7">
        <f>E91+'A -Döviz'!H91</f>
        <v/>
      </c>
      <c r="I91" s="7">
        <f>F91+'A -Döviz'!I91</f>
        <v/>
      </c>
      <c r="J91" s="7" t="n"/>
      <c r="K91" s="7">
        <f>H91+'A -Döviz'!K91</f>
        <v/>
      </c>
      <c r="L91" s="7">
        <f>I91+'A -Döviz'!L91</f>
        <v/>
      </c>
      <c r="M91" s="7" t="n"/>
      <c r="N91" s="7">
        <f>K91+'A -Döviz'!N91</f>
        <v/>
      </c>
      <c r="O91" s="7">
        <f>L91+'A -Döviz'!O91</f>
        <v/>
      </c>
      <c r="P91" s="7" t="n"/>
      <c r="Q91" s="7">
        <f>N91+'A -Döviz'!Q91</f>
        <v/>
      </c>
      <c r="R91" s="7">
        <f>O91+'A -Döviz'!R91</f>
        <v/>
      </c>
      <c r="S91" s="7" t="n"/>
      <c r="T91" s="7">
        <f>Q91+'A -Döviz'!T91</f>
        <v/>
      </c>
      <c r="U91" s="7">
        <f>R91+'A -Döviz'!U91</f>
        <v/>
      </c>
      <c r="V91" s="7" t="n"/>
      <c r="W91" s="7">
        <f>T91+'A -Döviz'!W91</f>
        <v/>
      </c>
      <c r="X91" s="7">
        <f>U91+'A -Döviz'!X91</f>
        <v/>
      </c>
      <c r="Y91" s="7" t="n"/>
      <c r="Z91" s="7">
        <f>W91+'A -Döviz'!Z91</f>
        <v/>
      </c>
      <c r="AA91" s="7">
        <f>X91+'A -Döviz'!AA91</f>
        <v/>
      </c>
      <c r="AB91" s="5">
        <f>Z91/AA91-1</f>
        <v/>
      </c>
      <c r="AC91" s="7">
        <f>Z91+'A -Döviz'!AC91</f>
        <v/>
      </c>
      <c r="AD91" s="7">
        <f>AA91+'A -Döviz'!AD91</f>
        <v/>
      </c>
      <c r="AE91" s="7" t="n"/>
      <c r="AF91" s="7">
        <f>AC91+'A -Döviz'!AF91</f>
        <v/>
      </c>
      <c r="AG91" s="7">
        <f>AD91+'A -Döviz'!AG91</f>
        <v/>
      </c>
      <c r="AH91" s="7" t="n"/>
      <c r="AI91" s="7">
        <f>AF91+'A -Döviz'!AI91</f>
        <v/>
      </c>
      <c r="AJ91" s="7">
        <f>AG91+'A -Döviz'!AJ91</f>
        <v/>
      </c>
      <c r="AK91" s="7" t="n"/>
      <c r="AL91" s="21">
        <f>AP91-AO91</f>
        <v/>
      </c>
      <c r="AM91" s="22">
        <f>AP91/AO91-1</f>
        <v/>
      </c>
      <c r="AO91" s="44">
        <f>IF($A$1=$B$1,B91,IF($A$1=$E$1,E91,IF($A$1=$H$1,H91,IF($A$1=$K$1,K91,IF($A$1=$N$1,N91,IF($A$1=$Q$1,Q91,IF($A$1=$T$1,T91,IF($A$1=$W$1,W91,IF($A$1=$Z$1,Z91,IF($A$1=$AC$1,AC91,IF($A$1=$AF$1,AF91,IF($A$1=$AI$1,AI91))))))))))))</f>
        <v/>
      </c>
      <c r="AP91" s="44">
        <f>IF($A$1=$B$1,C91,IF($A$1=$E$1,F91,IF($A$1=$H$1,I91,IF($A$1=$K$1,L91,IF($A$1=$N$1,O91,IF($A$1=$Q$1,R91,IF($A$1=$T$1,U91,IF($A$1=$W$1,X91,IF($A$1=$Z$1,AA91,IF($A$1=$AC$1,AD91,IF($A$1=$AF$1,AG91,IF($A$1=$AI$1,AJ91))))))))))))</f>
        <v/>
      </c>
      <c r="AR91" s="94">
        <f>AF91</f>
        <v/>
      </c>
      <c r="AS91" s="94">
        <f>AG91</f>
        <v/>
      </c>
      <c r="AT91" s="94">
        <f>AS91-AR91</f>
        <v/>
      </c>
    </row>
    <row r="92" ht="15.5" customHeight="1">
      <c r="A92" s="26" t="inlineStr">
        <is>
          <t xml:space="preserve">ISM </t>
        </is>
      </c>
      <c r="B92" s="7">
        <f>'A -Döviz'!B92</f>
        <v/>
      </c>
      <c r="C92" s="7">
        <f>'A -Döviz'!C92</f>
        <v/>
      </c>
      <c r="D92" s="7" t="n"/>
      <c r="E92" s="7">
        <f>B92+'A -Döviz'!E92</f>
        <v/>
      </c>
      <c r="F92" s="7">
        <f>C92+'A -Döviz'!F92</f>
        <v/>
      </c>
      <c r="G92" s="7">
        <f>F92-E92</f>
        <v/>
      </c>
      <c r="H92" s="7">
        <f>E92+'A -Döviz'!H92</f>
        <v/>
      </c>
      <c r="I92" s="7">
        <f>F92+'A -Döviz'!I92</f>
        <v/>
      </c>
      <c r="J92" s="7" t="n"/>
      <c r="K92" s="7">
        <f>H92+'A -Döviz'!K92</f>
        <v/>
      </c>
      <c r="L92" s="7">
        <f>I92+'A -Döviz'!L92</f>
        <v/>
      </c>
      <c r="M92" s="7" t="n"/>
      <c r="N92" s="7">
        <f>K92+'A -Döviz'!N92</f>
        <v/>
      </c>
      <c r="O92" s="7">
        <f>L92+'A -Döviz'!O92</f>
        <v/>
      </c>
      <c r="P92" s="7" t="n"/>
      <c r="Q92" s="7">
        <f>N92+'A -Döviz'!Q92</f>
        <v/>
      </c>
      <c r="R92" s="7">
        <f>O92+'A -Döviz'!R92</f>
        <v/>
      </c>
      <c r="S92" s="7" t="n"/>
      <c r="T92" s="7">
        <f>Q92+'A -Döviz'!T92</f>
        <v/>
      </c>
      <c r="U92" s="7">
        <f>R92+'A -Döviz'!U92</f>
        <v/>
      </c>
      <c r="V92" s="7" t="n"/>
      <c r="W92" s="7">
        <f>T92+'A -Döviz'!W92</f>
        <v/>
      </c>
      <c r="X92" s="7">
        <f>U92+'A -Döviz'!X92</f>
        <v/>
      </c>
      <c r="Y92" s="7" t="n"/>
      <c r="Z92" s="7">
        <f>W92+'A -Döviz'!Z92</f>
        <v/>
      </c>
      <c r="AA92" s="7">
        <f>X92+'A -Döviz'!AA92</f>
        <v/>
      </c>
      <c r="AB92" s="5">
        <f>Z92/AA92-1</f>
        <v/>
      </c>
      <c r="AC92" s="7">
        <f>Z92+'A -Döviz'!AC92</f>
        <v/>
      </c>
      <c r="AD92" s="7">
        <f>AA92+'A -Döviz'!AD92</f>
        <v/>
      </c>
      <c r="AE92" s="7" t="n"/>
      <c r="AF92" s="7">
        <f>AC92+'A -Döviz'!AF92</f>
        <v/>
      </c>
      <c r="AG92" s="7">
        <f>AD92+'A -Döviz'!AG92</f>
        <v/>
      </c>
      <c r="AH92" s="7" t="n"/>
      <c r="AI92" s="7">
        <f>AF92+'A -Döviz'!AI92</f>
        <v/>
      </c>
      <c r="AJ92" s="7">
        <f>AG92+'A -Döviz'!AJ92</f>
        <v/>
      </c>
      <c r="AK92" s="7" t="n"/>
      <c r="AL92" s="21">
        <f>AP92-AO92</f>
        <v/>
      </c>
      <c r="AM92" s="22">
        <f>AP92/AO92-1</f>
        <v/>
      </c>
      <c r="AO92" s="44">
        <f>IF($A$1=$B$1,B92,IF($A$1=$E$1,E92,IF($A$1=$H$1,H92,IF($A$1=$K$1,K92,IF($A$1=$N$1,N92,IF($A$1=$Q$1,Q92,IF($A$1=$T$1,T92,IF($A$1=$W$1,W92,IF($A$1=$Z$1,Z92,IF($A$1=$AC$1,AC92,IF($A$1=$AF$1,AF92,IF($A$1=$AI$1,AI92))))))))))))</f>
        <v/>
      </c>
      <c r="AP92" s="44">
        <f>IF($A$1=$B$1,C92,IF($A$1=$E$1,F92,IF($A$1=$H$1,I92,IF($A$1=$K$1,L92,IF($A$1=$N$1,O92,IF($A$1=$Q$1,R92,IF($A$1=$T$1,U92,IF($A$1=$W$1,X92,IF($A$1=$Z$1,AA92,IF($A$1=$AC$1,AD92,IF($A$1=$AF$1,AG92,IF($A$1=$AI$1,AJ92))))))))))))</f>
        <v/>
      </c>
      <c r="AR92" s="94">
        <f>AF92</f>
        <v/>
      </c>
      <c r="AS92" s="94">
        <f>AG92</f>
        <v/>
      </c>
      <c r="AT92" s="94">
        <f>AS92-AR92</f>
        <v/>
      </c>
    </row>
    <row r="93" ht="15.5" customHeight="1">
      <c r="A93" s="26" t="inlineStr">
        <is>
          <t>İncitaş</t>
        </is>
      </c>
      <c r="B93" s="7">
        <f>'A -Döviz'!B93</f>
        <v/>
      </c>
      <c r="C93" s="7">
        <f>'A -Döviz'!C93</f>
        <v/>
      </c>
      <c r="D93" s="7" t="n"/>
      <c r="E93" s="7">
        <f>B93+'A -Döviz'!E93</f>
        <v/>
      </c>
      <c r="F93" s="7">
        <f>C93+'A -Döviz'!F93</f>
        <v/>
      </c>
      <c r="G93" s="7">
        <f>F93-E93</f>
        <v/>
      </c>
      <c r="H93" s="7">
        <f>E93+'A -Döviz'!H93</f>
        <v/>
      </c>
      <c r="I93" s="7">
        <f>F93+'A -Döviz'!I93</f>
        <v/>
      </c>
      <c r="J93" s="7" t="n"/>
      <c r="K93" s="7">
        <f>H93+'A -Döviz'!K93</f>
        <v/>
      </c>
      <c r="L93" s="7">
        <f>I93+'A -Döviz'!L93</f>
        <v/>
      </c>
      <c r="M93" s="7" t="n"/>
      <c r="N93" s="7">
        <f>K93+'A -Döviz'!N93</f>
        <v/>
      </c>
      <c r="O93" s="7">
        <f>L93+'A -Döviz'!O93</f>
        <v/>
      </c>
      <c r="P93" s="7" t="n"/>
      <c r="Q93" s="7">
        <f>N93+'A -Döviz'!Q93</f>
        <v/>
      </c>
      <c r="R93" s="7">
        <f>O93+'A -Döviz'!R93</f>
        <v/>
      </c>
      <c r="S93" s="7" t="n"/>
      <c r="T93" s="7">
        <f>Q93+'A -Döviz'!T93</f>
        <v/>
      </c>
      <c r="U93" s="7">
        <f>R93+'A -Döviz'!U93</f>
        <v/>
      </c>
      <c r="V93" s="7" t="n"/>
      <c r="W93" s="7">
        <f>T93+'A -Döviz'!W93</f>
        <v/>
      </c>
      <c r="X93" s="7">
        <f>U93+'A -Döviz'!X93</f>
        <v/>
      </c>
      <c r="Y93" s="7" t="n"/>
      <c r="Z93" s="7">
        <f>W93+'A -Döviz'!Z93</f>
        <v/>
      </c>
      <c r="AA93" s="7">
        <f>X93+'A -Döviz'!AA93</f>
        <v/>
      </c>
      <c r="AB93" s="5">
        <f>Z93/AA93-1</f>
        <v/>
      </c>
      <c r="AC93" s="7">
        <f>Z93+'A -Döviz'!AC93</f>
        <v/>
      </c>
      <c r="AD93" s="7">
        <f>AA93+'A -Döviz'!AD93</f>
        <v/>
      </c>
      <c r="AE93" s="7" t="n"/>
      <c r="AF93" s="7">
        <f>AC93+'A -Döviz'!AF93</f>
        <v/>
      </c>
      <c r="AG93" s="7">
        <f>AD93+'A -Döviz'!AG93</f>
        <v/>
      </c>
      <c r="AH93" s="7" t="n"/>
      <c r="AI93" s="7">
        <f>AF93+'A -Döviz'!AI93</f>
        <v/>
      </c>
      <c r="AJ93" s="7">
        <f>AG93+'A -Döviz'!AJ93</f>
        <v/>
      </c>
      <c r="AK93" s="7" t="n"/>
      <c r="AL93" s="21">
        <f>AP93-AO93</f>
        <v/>
      </c>
      <c r="AM93" s="22">
        <f>AP93/AO93-1</f>
        <v/>
      </c>
      <c r="AO93" s="44">
        <f>IF($A$1=$B$1,B93,IF($A$1=$E$1,E93,IF($A$1=$H$1,H93,IF($A$1=$K$1,K93,IF($A$1=$N$1,N93,IF($A$1=$Q$1,Q93,IF($A$1=$T$1,T93,IF($A$1=$W$1,W93,IF($A$1=$Z$1,Z93,IF($A$1=$AC$1,AC93,IF($A$1=$AF$1,AF93,IF($A$1=$AI$1,AI93))))))))))))</f>
        <v/>
      </c>
      <c r="AP93" s="44">
        <f>IF($A$1=$B$1,C93,IF($A$1=$E$1,F93,IF($A$1=$H$1,I93,IF($A$1=$K$1,L93,IF($A$1=$N$1,O93,IF($A$1=$Q$1,R93,IF($A$1=$T$1,U93,IF($A$1=$W$1,X93,IF($A$1=$Z$1,AA93,IF($A$1=$AC$1,AD93,IF($A$1=$AF$1,AG93,IF($A$1=$AI$1,AJ93))))))))))))</f>
        <v/>
      </c>
      <c r="AR93" s="94">
        <f>AF93</f>
        <v/>
      </c>
      <c r="AS93" s="94">
        <f>AG93</f>
        <v/>
      </c>
      <c r="AT93" s="94">
        <f>AS93-AR93</f>
        <v/>
      </c>
    </row>
    <row r="94" ht="15.5" customHeight="1">
      <c r="A94" s="26" t="inlineStr">
        <is>
          <t>İnci GS Yuasa</t>
        </is>
      </c>
      <c r="B94" s="7">
        <f>'A -Döviz'!B94</f>
        <v/>
      </c>
      <c r="C94" s="7">
        <f>'A -Döviz'!C94</f>
        <v/>
      </c>
      <c r="D94" s="7" t="n"/>
      <c r="E94" s="7">
        <f>B94+'A -Döviz'!E94</f>
        <v/>
      </c>
      <c r="F94" s="7">
        <f>C94+'A -Döviz'!F94</f>
        <v/>
      </c>
      <c r="G94" s="7">
        <f>F94-E94</f>
        <v/>
      </c>
      <c r="H94" s="7">
        <f>E94+'A -Döviz'!H94</f>
        <v/>
      </c>
      <c r="I94" s="7">
        <f>F94+'A -Döviz'!I94</f>
        <v/>
      </c>
      <c r="J94" s="7" t="n"/>
      <c r="K94" s="7">
        <f>H94+'A -Döviz'!K94</f>
        <v/>
      </c>
      <c r="L94" s="7">
        <f>I94+'A -Döviz'!L94</f>
        <v/>
      </c>
      <c r="M94" s="7" t="n"/>
      <c r="N94" s="7">
        <f>K94+'A -Döviz'!N94</f>
        <v/>
      </c>
      <c r="O94" s="7">
        <f>L94+'A -Döviz'!O94</f>
        <v/>
      </c>
      <c r="P94" s="7" t="n"/>
      <c r="Q94" s="7">
        <f>N94+'A -Döviz'!Q94</f>
        <v/>
      </c>
      <c r="R94" s="7">
        <f>O94+'A -Döviz'!R94</f>
        <v/>
      </c>
      <c r="S94" s="7" t="n"/>
      <c r="T94" s="7">
        <f>Q94+'A -Döviz'!T94</f>
        <v/>
      </c>
      <c r="U94" s="7">
        <f>R94+'A -Döviz'!U94</f>
        <v/>
      </c>
      <c r="V94" s="7" t="n"/>
      <c r="W94" s="7">
        <f>T94+'A -Döviz'!W94</f>
        <v/>
      </c>
      <c r="X94" s="7">
        <f>U94+'A -Döviz'!X94</f>
        <v/>
      </c>
      <c r="Y94" s="7" t="n"/>
      <c r="Z94" s="7">
        <f>W94+'A -Döviz'!Z94</f>
        <v/>
      </c>
      <c r="AA94" s="7">
        <f>X94+'A -Döviz'!AA94</f>
        <v/>
      </c>
      <c r="AB94" s="5">
        <f>Z94/AA94-1</f>
        <v/>
      </c>
      <c r="AC94" s="7">
        <f>Z94+'A -Döviz'!AC94</f>
        <v/>
      </c>
      <c r="AD94" s="7">
        <f>AA94+'A -Döviz'!AD94</f>
        <v/>
      </c>
      <c r="AE94" s="7" t="n"/>
      <c r="AF94" s="7">
        <f>AC94+'A -Döviz'!AF94</f>
        <v/>
      </c>
      <c r="AG94" s="7">
        <f>AD94+'A -Döviz'!AG94</f>
        <v/>
      </c>
      <c r="AH94" s="7" t="n"/>
      <c r="AI94" s="7">
        <f>AF94+'A -Döviz'!AI94</f>
        <v/>
      </c>
      <c r="AJ94" s="7">
        <f>AG94+'A -Döviz'!AJ94</f>
        <v/>
      </c>
      <c r="AK94" s="7" t="n"/>
      <c r="AL94" s="21">
        <f>AP94-AO94</f>
        <v/>
      </c>
      <c r="AM94" s="22">
        <f>AP94/AO94-1</f>
        <v/>
      </c>
      <c r="AO94" s="44">
        <f>IF($A$1=$B$1,B94,IF($A$1=$E$1,E94,IF($A$1=$H$1,H94,IF($A$1=$K$1,K94,IF($A$1=$N$1,N94,IF($A$1=$Q$1,Q94,IF($A$1=$T$1,T94,IF($A$1=$W$1,W94,IF($A$1=$Z$1,Z94,IF($A$1=$AC$1,AC94,IF($A$1=$AF$1,AF94,IF($A$1=$AI$1,AI94))))))))))))</f>
        <v/>
      </c>
      <c r="AP94" s="44">
        <f>IF($A$1=$B$1,C94,IF($A$1=$E$1,F94,IF($A$1=$H$1,I94,IF($A$1=$K$1,L94,IF($A$1=$N$1,O94,IF($A$1=$Q$1,R94,IF($A$1=$T$1,U94,IF($A$1=$W$1,X94,IF($A$1=$Z$1,AA94,IF($A$1=$AC$1,AD94,IF($A$1=$AF$1,AG94,IF($A$1=$AI$1,AJ94))))))))))))</f>
        <v/>
      </c>
      <c r="AR94" s="94">
        <f>AF94*0.4</f>
        <v/>
      </c>
      <c r="AS94" s="94">
        <f>AG94*0.4</f>
        <v/>
      </c>
      <c r="AT94" s="94">
        <f>AS94-AR94</f>
        <v/>
      </c>
    </row>
    <row r="95" ht="15.5" customFormat="1" customHeight="1" s="1">
      <c r="A95" s="26" t="inlineStr">
        <is>
          <t>Yusen İnci Loj.</t>
        </is>
      </c>
      <c r="B95" s="7">
        <f>'A -Döviz'!B95</f>
        <v/>
      </c>
      <c r="C95" s="7">
        <f>'A -Döviz'!C95</f>
        <v/>
      </c>
      <c r="D95" s="8" t="n"/>
      <c r="E95" s="7">
        <f>B95+'A -Döviz'!E95</f>
        <v/>
      </c>
      <c r="F95" s="7">
        <f>C95+'A -Döviz'!F95</f>
        <v/>
      </c>
      <c r="G95" s="7">
        <f>F95-E95</f>
        <v/>
      </c>
      <c r="H95" s="7">
        <f>E95+'A -Döviz'!H95</f>
        <v/>
      </c>
      <c r="I95" s="7">
        <f>F95+'A -Döviz'!I95</f>
        <v/>
      </c>
      <c r="J95" s="8" t="n"/>
      <c r="K95" s="7">
        <f>H95+'A -Döviz'!K95</f>
        <v/>
      </c>
      <c r="L95" s="7">
        <f>I95+'A -Döviz'!L95</f>
        <v/>
      </c>
      <c r="M95" s="8" t="n"/>
      <c r="N95" s="7">
        <f>K95+'A -Döviz'!N95</f>
        <v/>
      </c>
      <c r="O95" s="7">
        <f>L95+'A -Döviz'!O95</f>
        <v/>
      </c>
      <c r="P95" s="8" t="n"/>
      <c r="Q95" s="7">
        <f>N95+'A -Döviz'!Q95</f>
        <v/>
      </c>
      <c r="R95" s="7">
        <f>O95+'A -Döviz'!R95</f>
        <v/>
      </c>
      <c r="S95" s="8" t="n"/>
      <c r="T95" s="7">
        <f>Q95+'A -Döviz'!T95</f>
        <v/>
      </c>
      <c r="U95" s="7">
        <f>R95+'A -Döviz'!U95</f>
        <v/>
      </c>
      <c r="V95" s="8" t="n"/>
      <c r="W95" s="7">
        <f>T95+'A -Döviz'!W95</f>
        <v/>
      </c>
      <c r="X95" s="7">
        <f>U95+'A -Döviz'!X95</f>
        <v/>
      </c>
      <c r="Y95" s="8" t="n"/>
      <c r="Z95" s="7">
        <f>W95+'A -Döviz'!Z95</f>
        <v/>
      </c>
      <c r="AA95" s="7">
        <f>X95+'A -Döviz'!AA95</f>
        <v/>
      </c>
      <c r="AB95" s="5">
        <f>Z95/AA95-1</f>
        <v/>
      </c>
      <c r="AC95" s="7">
        <f>Z95+'A -Döviz'!AC95</f>
        <v/>
      </c>
      <c r="AD95" s="7">
        <f>AA95+'A -Döviz'!AD95</f>
        <v/>
      </c>
      <c r="AE95" s="8" t="n"/>
      <c r="AF95" s="7">
        <f>AC95+'A -Döviz'!AF95</f>
        <v/>
      </c>
      <c r="AG95" s="7">
        <f>AD95+'A -Döviz'!AG95</f>
        <v/>
      </c>
      <c r="AH95" s="8" t="n"/>
      <c r="AI95" s="7">
        <f>AF95+'A -Döviz'!AI95</f>
        <v/>
      </c>
      <c r="AJ95" s="7">
        <f>AG95+'A -Döviz'!AJ95</f>
        <v/>
      </c>
      <c r="AK95" s="8" t="n"/>
      <c r="AL95" s="21">
        <f>AP95-AO95</f>
        <v/>
      </c>
      <c r="AM95" s="22">
        <f>AP95/AO95-1</f>
        <v/>
      </c>
      <c r="AO95" s="44">
        <f>IF($A$1=$B$1,B95,IF($A$1=$E$1,E95,IF($A$1=$H$1,H95,IF($A$1=$K$1,K95,IF($A$1=$N$1,N95,IF($A$1=$Q$1,Q95,IF($A$1=$T$1,T95,IF($A$1=$W$1,W95,IF($A$1=$Z$1,Z95,IF($A$1=$AC$1,AC95,IF($A$1=$AF$1,AF95,IF($A$1=$AI$1,AI95))))))))))))</f>
        <v/>
      </c>
      <c r="AP95" s="44">
        <f>IF($A$1=$B$1,C95,IF($A$1=$E$1,F95,IF($A$1=$H$1,I95,IF($A$1=$K$1,L95,IF($A$1=$N$1,O95,IF($A$1=$Q$1,R95,IF($A$1=$T$1,U95,IF($A$1=$W$1,X95,IF($A$1=$Z$1,AA95,IF($A$1=$AC$1,AD95,IF($A$1=$AF$1,AG95,IF($A$1=$AI$1,AJ95))))))))))))</f>
        <v/>
      </c>
      <c r="AR95" s="94">
        <f>AF95*0.4</f>
        <v/>
      </c>
      <c r="AS95" s="94">
        <f>AG95*0.4</f>
        <v/>
      </c>
      <c r="AT95" s="94">
        <f>AS95-AR95</f>
        <v/>
      </c>
    </row>
    <row r="96" ht="15.5" customHeight="1">
      <c r="A96" s="26" t="inlineStr">
        <is>
          <t>Jantaş</t>
        </is>
      </c>
      <c r="B96" s="7">
        <f>'A -Döviz'!B96</f>
        <v/>
      </c>
      <c r="C96" s="7">
        <f>'A -Döviz'!C96</f>
        <v/>
      </c>
      <c r="D96" s="7" t="n"/>
      <c r="E96" s="7">
        <f>B96+'A -Döviz'!E96</f>
        <v/>
      </c>
      <c r="F96" s="7">
        <f>C96+'A -Döviz'!F96</f>
        <v/>
      </c>
      <c r="G96" s="7">
        <f>F96-E96</f>
        <v/>
      </c>
      <c r="H96" s="7">
        <f>E96+'A -Döviz'!H96</f>
        <v/>
      </c>
      <c r="I96" s="7">
        <f>F96+'A -Döviz'!I96</f>
        <v/>
      </c>
      <c r="J96" s="7" t="n"/>
      <c r="K96" s="7">
        <f>H96+'A -Döviz'!K96</f>
        <v/>
      </c>
      <c r="L96" s="7">
        <f>I96+'A -Döviz'!L96</f>
        <v/>
      </c>
      <c r="M96" s="7" t="n"/>
      <c r="N96" s="7">
        <f>K96+'A -Döviz'!N96</f>
        <v/>
      </c>
      <c r="O96" s="7">
        <f>L96+'A -Döviz'!O96</f>
        <v/>
      </c>
      <c r="P96" s="7" t="n"/>
      <c r="Q96" s="7">
        <f>N96+'A -Döviz'!Q96</f>
        <v/>
      </c>
      <c r="R96" s="7">
        <f>O96+'A -Döviz'!R96</f>
        <v/>
      </c>
      <c r="S96" s="7" t="n"/>
      <c r="T96" s="7">
        <f>Q96+'A -Döviz'!T96</f>
        <v/>
      </c>
      <c r="U96" s="7">
        <f>R96+'A -Döviz'!U96</f>
        <v/>
      </c>
      <c r="V96" s="7" t="n"/>
      <c r="W96" s="7">
        <f>T96+'A -Döviz'!W96</f>
        <v/>
      </c>
      <c r="X96" s="7">
        <f>U96+'A -Döviz'!X96</f>
        <v/>
      </c>
      <c r="Y96" s="7" t="n"/>
      <c r="Z96" s="7">
        <f>W96+'A -Döviz'!Z96</f>
        <v/>
      </c>
      <c r="AA96" s="7">
        <f>X96+'A -Döviz'!AA96</f>
        <v/>
      </c>
      <c r="AB96" s="5">
        <f>Z96/AA96-1</f>
        <v/>
      </c>
      <c r="AC96" s="7">
        <f>Z96+'A -Döviz'!AC96</f>
        <v/>
      </c>
      <c r="AD96" s="7">
        <f>AA96+'A -Döviz'!AD96</f>
        <v/>
      </c>
      <c r="AE96" s="7" t="n"/>
      <c r="AF96" s="7">
        <f>AC96+'A -Döviz'!AF96</f>
        <v/>
      </c>
      <c r="AG96" s="7">
        <f>AD96+'A -Döviz'!AG96</f>
        <v/>
      </c>
      <c r="AH96" s="7" t="n"/>
      <c r="AI96" s="7">
        <f>AF96+'A -Döviz'!AI96</f>
        <v/>
      </c>
      <c r="AJ96" s="7">
        <f>AG96+'A -Döviz'!AJ96</f>
        <v/>
      </c>
      <c r="AK96" s="7" t="n"/>
      <c r="AL96" s="21">
        <f>AP96-AO96</f>
        <v/>
      </c>
      <c r="AM96" s="22">
        <f>AP96/AO96-1</f>
        <v/>
      </c>
      <c r="AO96" s="44">
        <f>IF($A$1=$B$1,B96,IF($A$1=$E$1,E96,IF($A$1=$H$1,H96,IF($A$1=$K$1,K96,IF($A$1=$N$1,N96,IF($A$1=$Q$1,Q96,IF($A$1=$T$1,T96,IF($A$1=$W$1,W96,IF($A$1=$Z$1,Z96,IF($A$1=$AC$1,AC96,IF($A$1=$AF$1,AF96,IF($A$1=$AI$1,AI96))))))))))))</f>
        <v/>
      </c>
      <c r="AP96" s="44">
        <f>IF($A$1=$B$1,C96,IF($A$1=$E$1,F96,IF($A$1=$H$1,I96,IF($A$1=$K$1,L96,IF($A$1=$N$1,O96,IF($A$1=$Q$1,R96,IF($A$1=$T$1,U96,IF($A$1=$W$1,X96,IF($A$1=$Z$1,AA96,IF($A$1=$AC$1,AD96,IF($A$1=$AF$1,AG96,IF($A$1=$AI$1,AJ96))))))))))))</f>
        <v/>
      </c>
      <c r="AR96" s="94">
        <f>AF96*0.4</f>
        <v/>
      </c>
      <c r="AS96" s="94">
        <f>AG96*0.4</f>
        <v/>
      </c>
      <c r="AT96" s="94">
        <f>AS96-AR96</f>
        <v/>
      </c>
    </row>
    <row r="97" ht="15.5" customHeight="1">
      <c r="A97" s="26" t="inlineStr">
        <is>
          <t>Çelik</t>
        </is>
      </c>
      <c r="B97" s="7">
        <f>'A -Döviz'!B97</f>
        <v/>
      </c>
      <c r="C97" s="7">
        <f>'A -Döviz'!C97</f>
        <v/>
      </c>
      <c r="D97" s="7" t="n"/>
      <c r="E97" s="7">
        <f>B97+'A -Döviz'!E97</f>
        <v/>
      </c>
      <c r="F97" s="7">
        <f>C97+'A -Döviz'!F97</f>
        <v/>
      </c>
      <c r="G97" s="7">
        <f>F97-E97</f>
        <v/>
      </c>
      <c r="H97" s="7">
        <f>E97+'A -Döviz'!H97</f>
        <v/>
      </c>
      <c r="I97" s="7">
        <f>F97+'A -Döviz'!I97</f>
        <v/>
      </c>
      <c r="J97" s="7" t="n"/>
      <c r="K97" s="7">
        <f>H97+'A -Döviz'!K97</f>
        <v/>
      </c>
      <c r="L97" s="7">
        <f>I97+'A -Döviz'!L97</f>
        <v/>
      </c>
      <c r="M97" s="7" t="n"/>
      <c r="N97" s="7">
        <f>K97+'A -Döviz'!N97</f>
        <v/>
      </c>
      <c r="O97" s="7">
        <f>L97+'A -Döviz'!O97</f>
        <v/>
      </c>
      <c r="P97" s="7" t="n"/>
      <c r="Q97" s="7">
        <f>N97+'A -Döviz'!Q97</f>
        <v/>
      </c>
      <c r="R97" s="7">
        <f>O97+'A -Döviz'!R97</f>
        <v/>
      </c>
      <c r="S97" s="7" t="n"/>
      <c r="T97" s="7">
        <f>Q97+'A -Döviz'!T97</f>
        <v/>
      </c>
      <c r="U97" s="7">
        <f>R97+'A -Döviz'!U97</f>
        <v/>
      </c>
      <c r="V97" s="7" t="n"/>
      <c r="W97" s="7">
        <f>T97+'A -Döviz'!W97</f>
        <v/>
      </c>
      <c r="X97" s="7">
        <f>U97+'A -Döviz'!X97</f>
        <v/>
      </c>
      <c r="Y97" s="7" t="n"/>
      <c r="Z97" s="7">
        <f>W97+'A -Döviz'!Z97</f>
        <v/>
      </c>
      <c r="AA97" s="7">
        <f>X97+'A -Döviz'!AA97</f>
        <v/>
      </c>
      <c r="AB97" s="5">
        <f>Z97/AA97-1</f>
        <v/>
      </c>
      <c r="AC97" s="7">
        <f>Z97+'A -Döviz'!AC97</f>
        <v/>
      </c>
      <c r="AD97" s="7">
        <f>AA97+'A -Döviz'!AD97</f>
        <v/>
      </c>
      <c r="AE97" s="7" t="n"/>
      <c r="AF97" s="76">
        <f>AC97+'A -Döviz'!AF97</f>
        <v/>
      </c>
      <c r="AG97" s="7">
        <f>AD97+'A -Döviz'!AG97</f>
        <v/>
      </c>
      <c r="AH97" s="7" t="n"/>
      <c r="AI97" s="7">
        <f>AF97+'A -Döviz'!AI97</f>
        <v/>
      </c>
      <c r="AJ97" s="7">
        <f>AG97+'A -Döviz'!AJ97</f>
        <v/>
      </c>
      <c r="AK97" s="7" t="n"/>
      <c r="AL97" s="21">
        <f>AP97-AO97</f>
        <v/>
      </c>
      <c r="AM97" s="22">
        <f>AP97/AO97-1</f>
        <v/>
      </c>
      <c r="AO97" s="44">
        <f>IF($A$1=$B$1,B97,IF($A$1=$E$1,E97,IF($A$1=$H$1,H97,IF($A$1=$K$1,K97,IF($A$1=$N$1,N97,IF($A$1=$Q$1,Q97,IF($A$1=$T$1,T97,IF($A$1=$W$1,W97,IF($A$1=$Z$1,Z97,IF($A$1=$AC$1,AC97,IF($A$1=$AF$1,AF97,IF($A$1=$AI$1,AI97))))))))))))</f>
        <v/>
      </c>
      <c r="AP97" s="44">
        <f>IF($A$1=$B$1,C97,IF($A$1=$E$1,F97,IF($A$1=$H$1,I97,IF($A$1=$K$1,L97,IF($A$1=$N$1,O97,IF($A$1=$Q$1,R97,IF($A$1=$T$1,U97,IF($A$1=$W$1,X97,IF($A$1=$Z$1,AA97,IF($A$1=$AC$1,AD97,IF($A$1=$AF$1,AG97,IF($A$1=$AI$1,AJ97))))))))))))</f>
        <v/>
      </c>
      <c r="AR97" s="94">
        <f>AF97*0.4</f>
        <v/>
      </c>
      <c r="AS97" s="94">
        <f>AG97*0.4</f>
        <v/>
      </c>
      <c r="AT97" s="94">
        <f>AS97-AR97</f>
        <v/>
      </c>
    </row>
    <row r="98" ht="15.5" customHeight="1">
      <c r="A98" s="26" t="inlineStr">
        <is>
          <t>Alüminyum</t>
        </is>
      </c>
      <c r="B98" s="7">
        <f>'A -Döviz'!B98</f>
        <v/>
      </c>
      <c r="C98" s="7">
        <f>'A -Döviz'!C98</f>
        <v/>
      </c>
      <c r="D98" s="7" t="n"/>
      <c r="E98" s="7">
        <f>B98+'A -Döviz'!E98</f>
        <v/>
      </c>
      <c r="F98" s="7">
        <f>C98+'A -Döviz'!F98</f>
        <v/>
      </c>
      <c r="G98" s="7">
        <f>F98-E98</f>
        <v/>
      </c>
      <c r="H98" s="7">
        <f>E98+'A -Döviz'!H98</f>
        <v/>
      </c>
      <c r="I98" s="7">
        <f>F98+'A -Döviz'!I98</f>
        <v/>
      </c>
      <c r="J98" s="7" t="n"/>
      <c r="K98" s="7">
        <f>H98+'A -Döviz'!K98</f>
        <v/>
      </c>
      <c r="L98" s="7">
        <f>I98+'A -Döviz'!L98</f>
        <v/>
      </c>
      <c r="M98" s="7" t="n"/>
      <c r="N98" s="7">
        <f>K98+'A -Döviz'!N98</f>
        <v/>
      </c>
      <c r="O98" s="7">
        <f>L98+'A -Döviz'!O98</f>
        <v/>
      </c>
      <c r="P98" s="7" t="n"/>
      <c r="Q98" s="7">
        <f>N98+'A -Döviz'!Q98</f>
        <v/>
      </c>
      <c r="R98" s="7">
        <f>O98+'A -Döviz'!R98</f>
        <v/>
      </c>
      <c r="S98" s="7" t="n"/>
      <c r="T98" s="7">
        <f>Q98+'A -Döviz'!T98</f>
        <v/>
      </c>
      <c r="U98" s="7">
        <f>R98+'A -Döviz'!U98</f>
        <v/>
      </c>
      <c r="V98" s="7" t="n"/>
      <c r="W98" s="7">
        <f>T98+'A -Döviz'!W98</f>
        <v/>
      </c>
      <c r="X98" s="7">
        <f>U98+'A -Döviz'!X98</f>
        <v/>
      </c>
      <c r="Y98" s="7" t="n"/>
      <c r="Z98" s="7">
        <f>W98+'A -Döviz'!Z98</f>
        <v/>
      </c>
      <c r="AA98" s="7">
        <f>X98+'A -Döviz'!AA98</f>
        <v/>
      </c>
      <c r="AB98" s="5">
        <f>Z98/AA98-1</f>
        <v/>
      </c>
      <c r="AC98" s="7">
        <f>Z98+'A -Döviz'!AC98</f>
        <v/>
      </c>
      <c r="AD98" s="7">
        <f>AA98+'A -Döviz'!AD98</f>
        <v/>
      </c>
      <c r="AE98" s="7" t="n"/>
      <c r="AF98" s="7">
        <f>AC98+'A -Döviz'!AF98</f>
        <v/>
      </c>
      <c r="AG98" s="7">
        <f>AD98+'A -Döviz'!AG98</f>
        <v/>
      </c>
      <c r="AH98" s="7" t="n"/>
      <c r="AI98" s="7">
        <f>AF98+'A -Döviz'!AI98</f>
        <v/>
      </c>
      <c r="AJ98" s="7">
        <f>AG98+'A -Döviz'!AJ98</f>
        <v/>
      </c>
      <c r="AK98" s="7" t="n"/>
      <c r="AL98" s="21">
        <f>AP98-AO98</f>
        <v/>
      </c>
      <c r="AM98" s="22">
        <f>AP98/AO98-1</f>
        <v/>
      </c>
      <c r="AO98" s="44">
        <f>IF($A$1=$B$1,B98,IF($A$1=$E$1,E98,IF($A$1=$H$1,H98,IF($A$1=$K$1,K98,IF($A$1=$N$1,N98,IF($A$1=$Q$1,Q98,IF($A$1=$T$1,T98,IF($A$1=$W$1,W98,IF($A$1=$Z$1,Z98,IF($A$1=$AC$1,AC98,IF($A$1=$AF$1,AF98,IF($A$1=$AI$1,AI98))))))))))))</f>
        <v/>
      </c>
      <c r="AP98" s="44">
        <f>IF($A$1=$B$1,C98,IF($A$1=$E$1,F98,IF($A$1=$H$1,I98,IF($A$1=$K$1,L98,IF($A$1=$N$1,O98,IF($A$1=$Q$1,R98,IF($A$1=$T$1,U98,IF($A$1=$W$1,X98,IF($A$1=$Z$1,AA98,IF($A$1=$AC$1,AD98,IF($A$1=$AF$1,AG98,IF($A$1=$AI$1,AJ98))))))))))))</f>
        <v/>
      </c>
      <c r="AR98" s="94">
        <f>AF98*0.4</f>
        <v/>
      </c>
      <c r="AS98" s="94">
        <f>AG98*0.4</f>
        <v/>
      </c>
      <c r="AT98" s="94">
        <f>AS98-AR98</f>
        <v/>
      </c>
    </row>
    <row r="99" ht="15.5" customHeight="1">
      <c r="A99" s="2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>
        <f>AA92-Z92</f>
        <v/>
      </c>
      <c r="AB99" s="7" t="n"/>
      <c r="AC99" s="7" t="n"/>
      <c r="AD99" s="7">
        <f>AD92-AC92</f>
        <v/>
      </c>
      <c r="AE99" s="7" t="n"/>
      <c r="AF99" s="7" t="n"/>
      <c r="AG99" s="7" t="n"/>
      <c r="AH99" s="7" t="n"/>
      <c r="AI99" s="7" t="n"/>
      <c r="AJ99" s="7" t="n"/>
      <c r="AK99" s="7" t="n"/>
      <c r="AL99" s="21" t="n"/>
      <c r="AM99" s="22" t="n"/>
      <c r="AO99" s="44">
        <f>IF($A$1=$B$1,B99,IF($A$1=$E$1,E99,IF($A$1=$H$1,H99,IF($A$1=$K$1,K99,IF($A$1=$N$1,N99,IF($A$1=$Q$1,Q99,IF($A$1=$T$1,T99,IF($A$1=$W$1,W99,IF($A$1=$Z$1,Z99,IF($A$1=$AC$1,AC99,IF($A$1=$AF$1,AF99,IF($A$1=$AI$1,AI99))))))))))))</f>
        <v/>
      </c>
      <c r="AP99" s="44">
        <f>IF($A$1=$B$1,C99,IF($A$1=$E$1,F99,IF($A$1=$H$1,I99,IF($A$1=$K$1,L99,IF($A$1=$N$1,O99,IF($A$1=$Q$1,R99,IF($A$1=$T$1,U99,IF($A$1=$W$1,X99,IF($A$1=$Z$1,AA99,IF($A$1=$AC$1,AD99,IF($A$1=$AF$1,AG99,IF($A$1=$AI$1,AJ99))))))))))))</f>
        <v/>
      </c>
    </row>
    <row r="100">
      <c r="A100" s="2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5" t="n"/>
    </row>
    <row r="101" ht="17" customFormat="1" customHeight="1" s="49">
      <c r="A101" s="47" t="inlineStr">
        <is>
          <t>Operating expense/Sales</t>
        </is>
      </c>
      <c r="B101" s="413" t="n"/>
      <c r="C101" s="413" t="n"/>
      <c r="D101" s="413" t="n"/>
      <c r="E101" s="413" t="n"/>
      <c r="F101" s="413" t="n"/>
      <c r="G101" s="413" t="n"/>
      <c r="H101" s="413" t="n"/>
      <c r="I101" s="413" t="n"/>
      <c r="J101" s="413" t="n"/>
      <c r="K101" s="413" t="n"/>
      <c r="L101" s="413" t="n"/>
      <c r="M101" s="413" t="n"/>
      <c r="N101" s="413" t="n"/>
      <c r="O101" s="413" t="n"/>
      <c r="P101" s="413" t="n"/>
      <c r="Q101" s="413" t="n"/>
      <c r="R101" s="413" t="n"/>
      <c r="S101" s="413" t="n"/>
      <c r="T101" s="413" t="n"/>
      <c r="U101" s="413" t="n"/>
      <c r="V101" s="413" t="n"/>
      <c r="W101" s="413" t="n"/>
      <c r="X101" s="413" t="n"/>
      <c r="Y101" s="413" t="n"/>
      <c r="Z101" s="413" t="n"/>
      <c r="AA101" s="413" t="n"/>
      <c r="AB101" s="413" t="n"/>
      <c r="AC101" s="413" t="n"/>
      <c r="AD101" s="413" t="n"/>
      <c r="AE101" s="413" t="n"/>
      <c r="AF101" s="413" t="n"/>
      <c r="AG101" s="413" t="n"/>
      <c r="AH101" s="413" t="n"/>
      <c r="AI101" s="413" t="n"/>
      <c r="AJ101" s="413" t="n"/>
      <c r="AK101" s="413" t="n"/>
      <c r="AL101" s="413" t="n"/>
      <c r="AM101" s="48" t="n"/>
    </row>
    <row r="102" ht="15.5" customFormat="1" customHeight="1" s="13">
      <c r="A102" s="26" t="inlineStr">
        <is>
          <t xml:space="preserve">İnci Holding </t>
        </is>
      </c>
      <c r="B102" s="12">
        <f>B91*-1/B9</f>
        <v/>
      </c>
      <c r="C102" s="12">
        <f>C91*-1/C9</f>
        <v/>
      </c>
      <c r="D102" s="41" t="n"/>
      <c r="E102" s="12">
        <f>E91*-1/E9</f>
        <v/>
      </c>
      <c r="F102" s="12">
        <f>F91*-1/F9</f>
        <v/>
      </c>
      <c r="G102" s="41" t="n"/>
      <c r="H102" s="468">
        <f>H91*-1/H9</f>
        <v/>
      </c>
      <c r="I102" s="468">
        <f>I91*-1/I9</f>
        <v/>
      </c>
      <c r="J102" s="41" t="n"/>
      <c r="K102" s="118">
        <f>K91*-1/K9</f>
        <v/>
      </c>
      <c r="L102" s="118">
        <f>L91*-1/L9</f>
        <v/>
      </c>
      <c r="M102" s="41" t="n"/>
      <c r="N102" s="12">
        <f>N91*-1/N9</f>
        <v/>
      </c>
      <c r="O102" s="12">
        <f>O91*-1/O9</f>
        <v/>
      </c>
      <c r="P102" s="41" t="n"/>
      <c r="Q102" s="12">
        <f>Q91*-1/Q9</f>
        <v/>
      </c>
      <c r="R102" s="12">
        <f>R91*-1/R9</f>
        <v/>
      </c>
      <c r="S102" s="41" t="n"/>
      <c r="T102" s="12">
        <f>T91*-1/T9</f>
        <v/>
      </c>
      <c r="U102" s="12">
        <f>U91*-1/U9</f>
        <v/>
      </c>
      <c r="V102" s="41" t="n"/>
      <c r="W102" s="468">
        <f>W91*-1/W9</f>
        <v/>
      </c>
      <c r="X102" s="468">
        <f>X91*-1/X9</f>
        <v/>
      </c>
      <c r="Y102" s="41" t="n"/>
      <c r="Z102" s="12">
        <f>Z91*-1/Z9</f>
        <v/>
      </c>
      <c r="AA102" s="12">
        <f>AA91*-1/AA9</f>
        <v/>
      </c>
      <c r="AB102" s="41" t="n"/>
      <c r="AC102" s="12">
        <f>AC91*-1/AC9</f>
        <v/>
      </c>
      <c r="AD102" s="12">
        <f>AD91*-1/AD9</f>
        <v/>
      </c>
      <c r="AE102" s="41" t="n"/>
      <c r="AF102" s="12">
        <f>AF91*-1/AF9</f>
        <v/>
      </c>
      <c r="AG102" s="12">
        <f>AG91*-1/AG9</f>
        <v/>
      </c>
      <c r="AH102" s="41" t="n"/>
      <c r="AI102" s="12">
        <f>AI91*-1/AI9</f>
        <v/>
      </c>
      <c r="AJ102" s="12">
        <f>AJ91*-1/AJ9</f>
        <v/>
      </c>
      <c r="AK102" s="41" t="n"/>
      <c r="AL102" s="15" t="n"/>
      <c r="AM102" s="22">
        <f>AP102-AO102</f>
        <v/>
      </c>
      <c r="AO102" s="44">
        <f>IF($A$1=$B$1,B102,IF($A$1=$E$1,E102,IF($A$1=$H$1,H102,IF($A$1=$K$1,K102,IF($A$1=$N$1,N102,IF($A$1=$Q$1,Q102,IF($A$1=$T$1,T102,IF($A$1=$W$1,W102,IF($A$1=$Z$1,Z102,IF($A$1=$AC$1,AC102,IF($A$1=$AF$1,AF102,IF($A$1=$AI$1,AI102))))))))))))</f>
        <v/>
      </c>
      <c r="AP102" s="44">
        <f>IF($A$1=$B$1,C102,IF($A$1=$E$1,F102,IF($A$1=$H$1,I102,IF($A$1=$K$1,L102,IF($A$1=$N$1,O102,IF($A$1=$Q$1,R102,IF($A$1=$T$1,U102,IF($A$1=$W$1,X102,IF($A$1=$Z$1,AA102,IF($A$1=$AC$1,AD102,IF($A$1=$AF$1,AG102,IF($A$1=$AI$1,AJ102))))))))))))</f>
        <v/>
      </c>
    </row>
    <row r="103" ht="15.5" customFormat="1" customHeight="1" s="13">
      <c r="A103" s="26" t="inlineStr">
        <is>
          <t xml:space="preserve">ISM </t>
        </is>
      </c>
      <c r="B103" s="12">
        <f>B92*-1/B10</f>
        <v/>
      </c>
      <c r="C103" s="12">
        <f>C92*-1/C10</f>
        <v/>
      </c>
      <c r="D103" s="41" t="n"/>
      <c r="E103" s="12">
        <f>E92*-1/E10</f>
        <v/>
      </c>
      <c r="F103" s="12">
        <f>F92*-1/F10</f>
        <v/>
      </c>
      <c r="G103" s="41" t="n"/>
      <c r="H103" s="468">
        <f>H92*-1/H10</f>
        <v/>
      </c>
      <c r="I103" s="468">
        <f>I92*-1/I10</f>
        <v/>
      </c>
      <c r="J103" s="41" t="n"/>
      <c r="K103" s="118">
        <f>K92*-1/K10</f>
        <v/>
      </c>
      <c r="L103" s="118">
        <f>L92*-1/L10</f>
        <v/>
      </c>
      <c r="M103" s="41" t="n"/>
      <c r="N103" s="12">
        <f>N92*-1/N10</f>
        <v/>
      </c>
      <c r="O103" s="12">
        <f>O92*-1/O10</f>
        <v/>
      </c>
      <c r="P103" s="41" t="n"/>
      <c r="Q103" s="12">
        <f>Q92*-1/Q10</f>
        <v/>
      </c>
      <c r="R103" s="12">
        <f>R92*-1/R10</f>
        <v/>
      </c>
      <c r="S103" s="41" t="n"/>
      <c r="T103" s="12">
        <f>T92*-1/T10</f>
        <v/>
      </c>
      <c r="U103" s="12">
        <f>U92*-1/U10</f>
        <v/>
      </c>
      <c r="V103" s="41" t="n"/>
      <c r="W103" s="468">
        <f>W92*-1/W10</f>
        <v/>
      </c>
      <c r="X103" s="468">
        <f>X92*-1/X10</f>
        <v/>
      </c>
      <c r="Y103" s="41" t="n"/>
      <c r="Z103" s="12">
        <f>Z92*-1/Z10</f>
        <v/>
      </c>
      <c r="AA103" s="12">
        <f>AA92*-1/AA10</f>
        <v/>
      </c>
      <c r="AB103" s="41" t="n"/>
      <c r="AC103" s="12">
        <f>AC92*-1/AC10</f>
        <v/>
      </c>
      <c r="AD103" s="12">
        <f>AD92*-1/AD10</f>
        <v/>
      </c>
      <c r="AE103" s="41" t="n"/>
      <c r="AF103" s="12">
        <f>AF92*-1/AF10</f>
        <v/>
      </c>
      <c r="AG103" s="12">
        <f>AG92*-1/AG10</f>
        <v/>
      </c>
      <c r="AH103" s="41" t="n"/>
      <c r="AI103" s="58">
        <f>AI92*-1/AI10</f>
        <v/>
      </c>
      <c r="AJ103" s="12">
        <f>AJ92*-1/AJ10</f>
        <v/>
      </c>
      <c r="AK103" s="41" t="n"/>
      <c r="AL103" s="15" t="n"/>
      <c r="AM103" s="22">
        <f>AP103-AO103</f>
        <v/>
      </c>
      <c r="AO103" s="44">
        <f>IF($A$1=$B$1,B103,IF($A$1=$E$1,E103,IF($A$1=$H$1,H103,IF($A$1=$K$1,K103,IF($A$1=$N$1,N103,IF($A$1=$Q$1,Q103,IF($A$1=$T$1,T103,IF($A$1=$W$1,W103,IF($A$1=$Z$1,Z103,IF($A$1=$AC$1,AC103,IF($A$1=$AF$1,AF103,IF($A$1=$AI$1,AI103))))))))))))</f>
        <v/>
      </c>
      <c r="AP103" s="44">
        <f>IF($A$1=$B$1,C103,IF($A$1=$E$1,F103,IF($A$1=$H$1,I103,IF($A$1=$K$1,L103,IF($A$1=$N$1,O103,IF($A$1=$Q$1,R103,IF($A$1=$T$1,U103,IF($A$1=$W$1,X103,IF($A$1=$Z$1,AA103,IF($A$1=$AC$1,AD103,IF($A$1=$AF$1,AG103,IF($A$1=$AI$1,AJ103))))))))))))</f>
        <v/>
      </c>
    </row>
    <row r="104" ht="15.5" customFormat="1" customHeight="1" s="13">
      <c r="A104" s="26" t="inlineStr">
        <is>
          <t>İncitaş</t>
        </is>
      </c>
      <c r="B104" s="12">
        <f>B93*-1/B11</f>
        <v/>
      </c>
      <c r="C104" s="12">
        <f>C93*-1/C11</f>
        <v/>
      </c>
      <c r="D104" s="41" t="n"/>
      <c r="E104" s="12">
        <f>E93*-1/E11</f>
        <v/>
      </c>
      <c r="F104" s="12">
        <f>F93*-1/F11</f>
        <v/>
      </c>
      <c r="G104" s="41" t="n"/>
      <c r="H104" s="468">
        <f>H93*-1/H11</f>
        <v/>
      </c>
      <c r="I104" s="468">
        <f>I93*-1/I11</f>
        <v/>
      </c>
      <c r="J104" s="41" t="n"/>
      <c r="K104" s="118">
        <f>K93*-1/K11</f>
        <v/>
      </c>
      <c r="L104" s="118">
        <f>L93*-1/L11</f>
        <v/>
      </c>
      <c r="M104" s="41" t="n"/>
      <c r="N104" s="12">
        <f>N93*-1/N11</f>
        <v/>
      </c>
      <c r="O104" s="12">
        <f>O93*-1/O11</f>
        <v/>
      </c>
      <c r="P104" s="41" t="n"/>
      <c r="Q104" s="12">
        <f>Q93*-1/Q11</f>
        <v/>
      </c>
      <c r="R104" s="12">
        <f>R93*-1/R11</f>
        <v/>
      </c>
      <c r="S104" s="41" t="n"/>
      <c r="T104" s="12">
        <f>T93*-1/T11</f>
        <v/>
      </c>
      <c r="U104" s="12">
        <f>U93*-1/U11</f>
        <v/>
      </c>
      <c r="V104" s="41" t="n"/>
      <c r="W104" s="468">
        <f>W93*-1/W11</f>
        <v/>
      </c>
      <c r="X104" s="468">
        <f>X93*-1/X11</f>
        <v/>
      </c>
      <c r="Y104" s="41" t="n"/>
      <c r="Z104" s="12">
        <f>Z93*-1/Z11</f>
        <v/>
      </c>
      <c r="AA104" s="12">
        <f>AA93*-1/AA11</f>
        <v/>
      </c>
      <c r="AB104" s="41" t="n"/>
      <c r="AC104" s="12">
        <f>AC93*-1/AC11</f>
        <v/>
      </c>
      <c r="AD104" s="12">
        <f>AD93*-1/AD11</f>
        <v/>
      </c>
      <c r="AE104" s="41" t="n"/>
      <c r="AF104" s="12">
        <f>AF93*-1/AF11</f>
        <v/>
      </c>
      <c r="AG104" s="12">
        <f>AG93*-1/AG11</f>
        <v/>
      </c>
      <c r="AH104" s="41" t="n"/>
      <c r="AI104" s="468">
        <f>AI93*-1/AI11</f>
        <v/>
      </c>
      <c r="AJ104" s="468">
        <f>AJ93*-1/AJ11</f>
        <v/>
      </c>
      <c r="AK104" s="41" t="n"/>
      <c r="AL104" s="15" t="n"/>
      <c r="AM104" s="22">
        <f>AP104-AO104</f>
        <v/>
      </c>
      <c r="AO104" s="44">
        <f>IF($A$1=$B$1,B104,IF($A$1=$E$1,E104,IF($A$1=$H$1,H104,IF($A$1=$K$1,K104,IF($A$1=$N$1,N104,IF($A$1=$Q$1,Q104,IF($A$1=$T$1,T104,IF($A$1=$W$1,W104,IF($A$1=$Z$1,Z104,IF($A$1=$AC$1,AC104,IF($A$1=$AF$1,AF104,IF($A$1=$AI$1,AI104))))))))))))</f>
        <v/>
      </c>
      <c r="AP104" s="44">
        <f>IF($A$1=$B$1,C104,IF($A$1=$E$1,F104,IF($A$1=$H$1,I104,IF($A$1=$K$1,L104,IF($A$1=$N$1,O104,IF($A$1=$Q$1,R104,IF($A$1=$T$1,U104,IF($A$1=$W$1,X104,IF($A$1=$Z$1,AA104,IF($A$1=$AC$1,AD104,IF($A$1=$AF$1,AG104,IF($A$1=$AI$1,AJ104))))))))))))</f>
        <v/>
      </c>
    </row>
    <row r="105" ht="15.5" customFormat="1" customHeight="1" s="13">
      <c r="A105" s="26" t="inlineStr">
        <is>
          <t>İnci GS Yuasa</t>
        </is>
      </c>
      <c r="B105" s="12">
        <f>B94*-1/B12</f>
        <v/>
      </c>
      <c r="C105" s="12">
        <f>C94*-1/C12</f>
        <v/>
      </c>
      <c r="D105" s="41" t="n"/>
      <c r="E105" s="12">
        <f>E94*-1/E12</f>
        <v/>
      </c>
      <c r="F105" s="12">
        <f>F94*-1/F12</f>
        <v/>
      </c>
      <c r="G105" s="41" t="n"/>
      <c r="H105" s="468">
        <f>H94*-1/H12</f>
        <v/>
      </c>
      <c r="I105" s="468">
        <f>I94*-1/I12</f>
        <v/>
      </c>
      <c r="J105" s="41" t="n"/>
      <c r="K105" s="118">
        <f>K94*-1/K12</f>
        <v/>
      </c>
      <c r="L105" s="118">
        <f>L94*-1/L12</f>
        <v/>
      </c>
      <c r="M105" s="41" t="n"/>
      <c r="N105" s="12">
        <f>N94*-1/N12</f>
        <v/>
      </c>
      <c r="O105" s="12">
        <f>O94*-1/O12</f>
        <v/>
      </c>
      <c r="P105" s="41" t="n"/>
      <c r="Q105" s="12">
        <f>Q94*-1/Q12</f>
        <v/>
      </c>
      <c r="R105" s="12">
        <f>R94*-1/R12</f>
        <v/>
      </c>
      <c r="S105" s="41" t="n"/>
      <c r="T105" s="12">
        <f>T94*-1/T12</f>
        <v/>
      </c>
      <c r="U105" s="12">
        <f>U94*-1/U12</f>
        <v/>
      </c>
      <c r="V105" s="41" t="n"/>
      <c r="W105" s="468">
        <f>W94*-1/W12</f>
        <v/>
      </c>
      <c r="X105" s="468">
        <f>X94*-1/X12</f>
        <v/>
      </c>
      <c r="Y105" s="41" t="n"/>
      <c r="Z105" s="12">
        <f>Z94*-1/Z12</f>
        <v/>
      </c>
      <c r="AA105" s="12">
        <f>AA94*-1/AA12</f>
        <v/>
      </c>
      <c r="AB105" s="41" t="n"/>
      <c r="AC105" s="12">
        <f>AC94*-1/AC12</f>
        <v/>
      </c>
      <c r="AD105" s="12">
        <f>AD94*-1/AD12</f>
        <v/>
      </c>
      <c r="AE105" s="41" t="n"/>
      <c r="AF105" s="12">
        <f>AF94*-1/AF12</f>
        <v/>
      </c>
      <c r="AG105" s="12">
        <f>AG94*-1/AG12</f>
        <v/>
      </c>
      <c r="AH105" s="41" t="n"/>
      <c r="AI105" s="12">
        <f>AI94*-1/AI12</f>
        <v/>
      </c>
      <c r="AJ105" s="12">
        <f>AJ94*-1/AJ12</f>
        <v/>
      </c>
      <c r="AK105" s="41" t="n"/>
      <c r="AL105" s="15" t="n"/>
      <c r="AM105" s="22">
        <f>AP105-AO105</f>
        <v/>
      </c>
      <c r="AO105" s="44">
        <f>IF($A$1=$B$1,B105,IF($A$1=$E$1,E105,IF($A$1=$H$1,H105,IF($A$1=$K$1,K105,IF($A$1=$N$1,N105,IF($A$1=$Q$1,Q105,IF($A$1=$T$1,T105,IF($A$1=$W$1,W105,IF($A$1=$Z$1,Z105,IF($A$1=$AC$1,AC105,IF($A$1=$AF$1,AF105,IF($A$1=$AI$1,AI105))))))))))))</f>
        <v/>
      </c>
      <c r="AP105" s="44">
        <f>IF($A$1=$B$1,C105,IF($A$1=$E$1,F105,IF($A$1=$H$1,I105,IF($A$1=$K$1,L105,IF($A$1=$N$1,O105,IF($A$1=$Q$1,R105,IF($A$1=$T$1,U105,IF($A$1=$W$1,X105,IF($A$1=$Z$1,AA105,IF($A$1=$AC$1,AD105,IF($A$1=$AF$1,AG105,IF($A$1=$AI$1,AJ105))))))))))))</f>
        <v/>
      </c>
    </row>
    <row r="106" ht="15.5" customFormat="1" customHeight="1" s="13">
      <c r="A106" s="26" t="inlineStr">
        <is>
          <t>Yusen İnci Loj.</t>
        </is>
      </c>
      <c r="B106" s="12">
        <f>B95*-1/B13</f>
        <v/>
      </c>
      <c r="C106" s="12">
        <f>C95*-1/C13</f>
        <v/>
      </c>
      <c r="D106" s="41" t="n"/>
      <c r="E106" s="12">
        <f>E95*-1/E13</f>
        <v/>
      </c>
      <c r="F106" s="12">
        <f>F95*-1/F13</f>
        <v/>
      </c>
      <c r="G106" s="41" t="n"/>
      <c r="H106" s="468">
        <f>H95*-1/H13</f>
        <v/>
      </c>
      <c r="I106" s="468">
        <f>I95*-1/I13</f>
        <v/>
      </c>
      <c r="J106" s="41" t="n"/>
      <c r="K106" s="118">
        <f>K95*-1/K13</f>
        <v/>
      </c>
      <c r="L106" s="118">
        <f>L95*-1/L13</f>
        <v/>
      </c>
      <c r="M106" s="41" t="n"/>
      <c r="N106" s="12">
        <f>N95*-1/N13</f>
        <v/>
      </c>
      <c r="O106" s="12">
        <f>O95*-1/O13</f>
        <v/>
      </c>
      <c r="P106" s="41" t="n"/>
      <c r="Q106" s="12">
        <f>Q95*-1/Q13</f>
        <v/>
      </c>
      <c r="R106" s="12">
        <f>R95*-1/R13</f>
        <v/>
      </c>
      <c r="S106" s="41" t="n"/>
      <c r="T106" s="12">
        <f>T95*-1/T13</f>
        <v/>
      </c>
      <c r="U106" s="12">
        <f>U95*-1/U13</f>
        <v/>
      </c>
      <c r="V106" s="41" t="n"/>
      <c r="W106" s="468">
        <f>W95*-1/W13</f>
        <v/>
      </c>
      <c r="X106" s="468">
        <f>X95*-1/X13</f>
        <v/>
      </c>
      <c r="Y106" s="41" t="n"/>
      <c r="Z106" s="12">
        <f>Z95*-1/Z13</f>
        <v/>
      </c>
      <c r="AA106" s="12">
        <f>AA95*-1/AA13</f>
        <v/>
      </c>
      <c r="AB106" s="41" t="n"/>
      <c r="AC106" s="12">
        <f>AC95*-1/AC13</f>
        <v/>
      </c>
      <c r="AD106" s="12">
        <f>AD95*-1/AD13</f>
        <v/>
      </c>
      <c r="AE106" s="41" t="n"/>
      <c r="AF106" s="12">
        <f>AF95*-1/AF13</f>
        <v/>
      </c>
      <c r="AG106" s="12">
        <f>AG95*-1/AG13</f>
        <v/>
      </c>
      <c r="AH106" s="41" t="n"/>
      <c r="AI106" s="12">
        <f>AI95*-1/AI13</f>
        <v/>
      </c>
      <c r="AJ106" s="12">
        <f>AJ95*-1/AJ13</f>
        <v/>
      </c>
      <c r="AK106" s="41" t="n"/>
      <c r="AL106" s="15" t="n"/>
      <c r="AM106" s="22">
        <f>AP106-AO106</f>
        <v/>
      </c>
      <c r="AO106" s="44">
        <f>IF($A$1=$B$1,B106,IF($A$1=$E$1,E106,IF($A$1=$H$1,H106,IF($A$1=$K$1,K106,IF($A$1=$N$1,N106,IF($A$1=$Q$1,Q106,IF($A$1=$T$1,T106,IF($A$1=$W$1,W106,IF($A$1=$Z$1,Z106,IF($A$1=$AC$1,AC106,IF($A$1=$AF$1,AF106,IF($A$1=$AI$1,AI106))))))))))))</f>
        <v/>
      </c>
      <c r="AP106" s="44">
        <f>IF($A$1=$B$1,C106,IF($A$1=$E$1,F106,IF($A$1=$H$1,I106,IF($A$1=$K$1,L106,IF($A$1=$N$1,O106,IF($A$1=$Q$1,R106,IF($A$1=$T$1,U106,IF($A$1=$W$1,X106,IF($A$1=$Z$1,AA106,IF($A$1=$AC$1,AD106,IF($A$1=$AF$1,AG106,IF($A$1=$AI$1,AJ106))))))))))))</f>
        <v/>
      </c>
    </row>
    <row r="107" ht="15.5" customFormat="1" customHeight="1" s="13">
      <c r="A107" s="26" t="inlineStr">
        <is>
          <t>Jantaş</t>
        </is>
      </c>
      <c r="B107" s="12">
        <f>B96*-1/B14</f>
        <v/>
      </c>
      <c r="C107" s="12">
        <f>C96*-1/C14</f>
        <v/>
      </c>
      <c r="D107" s="41" t="n"/>
      <c r="E107" s="12">
        <f>E96*-1/E14</f>
        <v/>
      </c>
      <c r="F107" s="12">
        <f>F96*-1/F14</f>
        <v/>
      </c>
      <c r="G107" s="41" t="n"/>
      <c r="H107" s="468">
        <f>H96*-1/H14</f>
        <v/>
      </c>
      <c r="I107" s="468">
        <f>I96*-1/I14</f>
        <v/>
      </c>
      <c r="J107" s="41" t="n"/>
      <c r="K107" s="118">
        <f>K96*-1/K14</f>
        <v/>
      </c>
      <c r="L107" s="118">
        <f>L96*-1/L14</f>
        <v/>
      </c>
      <c r="M107" s="41" t="n"/>
      <c r="N107" s="12">
        <f>N96*-1/N14</f>
        <v/>
      </c>
      <c r="O107" s="12">
        <f>O96*-1/O14</f>
        <v/>
      </c>
      <c r="P107" s="41" t="n"/>
      <c r="Q107" s="12">
        <f>Q96*-1/Q14</f>
        <v/>
      </c>
      <c r="R107" s="12">
        <f>R96*-1/R14</f>
        <v/>
      </c>
      <c r="S107" s="41" t="n"/>
      <c r="T107" s="12">
        <f>T96*-1/T14</f>
        <v/>
      </c>
      <c r="U107" s="12">
        <f>U96*-1/U14</f>
        <v/>
      </c>
      <c r="V107" s="41" t="n"/>
      <c r="W107" s="468">
        <f>W96*-1/W14</f>
        <v/>
      </c>
      <c r="X107" s="468">
        <f>X96*-1/X14</f>
        <v/>
      </c>
      <c r="Y107" s="41" t="n"/>
      <c r="Z107" s="12">
        <f>Z96*-1/Z14</f>
        <v/>
      </c>
      <c r="AA107" s="12">
        <f>AA96*-1/AA14</f>
        <v/>
      </c>
      <c r="AB107" s="41" t="n"/>
      <c r="AC107" s="12">
        <f>AC96*-1/AC14</f>
        <v/>
      </c>
      <c r="AD107" s="12">
        <f>AD96*-1/AD14</f>
        <v/>
      </c>
      <c r="AE107" s="41" t="n"/>
      <c r="AF107" s="12">
        <f>AF96*-1/AF14</f>
        <v/>
      </c>
      <c r="AG107" s="12">
        <f>AG96*-1/AG14</f>
        <v/>
      </c>
      <c r="AH107" s="41" t="n"/>
      <c r="AI107" s="12">
        <f>AI96*-1/AI14</f>
        <v/>
      </c>
      <c r="AJ107" s="12">
        <f>AJ96*-1/AJ14</f>
        <v/>
      </c>
      <c r="AK107" s="41" t="n"/>
      <c r="AL107" s="15" t="n"/>
      <c r="AM107" s="22">
        <f>AP107-AO107</f>
        <v/>
      </c>
      <c r="AO107" s="44">
        <f>IF($A$1=$B$1,B107,IF($A$1=$E$1,E107,IF($A$1=$H$1,H107,IF($A$1=$K$1,K107,IF($A$1=$N$1,N107,IF($A$1=$Q$1,Q107,IF($A$1=$T$1,T107,IF($A$1=$W$1,W107,IF($A$1=$Z$1,Z107,IF($A$1=$AC$1,AC107,IF($A$1=$AF$1,AF107,IF($A$1=$AI$1,AI107))))))))))))</f>
        <v/>
      </c>
      <c r="AP107" s="44">
        <f>IF($A$1=$B$1,C107,IF($A$1=$E$1,F107,IF($A$1=$H$1,I107,IF($A$1=$K$1,L107,IF($A$1=$N$1,O107,IF($A$1=$Q$1,R107,IF($A$1=$T$1,U107,IF($A$1=$W$1,X107,IF($A$1=$Z$1,AA107,IF($A$1=$AC$1,AD107,IF($A$1=$AF$1,AG107,IF($A$1=$AI$1,AJ107))))))))))))</f>
        <v/>
      </c>
    </row>
    <row r="108" ht="15.5" customFormat="1" customHeight="1" s="13">
      <c r="A108" s="26" t="inlineStr">
        <is>
          <t>Çelik</t>
        </is>
      </c>
      <c r="B108" s="12">
        <f>B97*-1/B15</f>
        <v/>
      </c>
      <c r="C108" s="12">
        <f>C97*-1/C15</f>
        <v/>
      </c>
      <c r="D108" s="41" t="n"/>
      <c r="E108" s="12">
        <f>E97*-1/E15</f>
        <v/>
      </c>
      <c r="F108" s="12">
        <f>F97*-1/F15</f>
        <v/>
      </c>
      <c r="G108" s="41" t="n"/>
      <c r="H108" s="468">
        <f>H97*-1/H15</f>
        <v/>
      </c>
      <c r="I108" s="468">
        <f>I97*-1/I15</f>
        <v/>
      </c>
      <c r="J108" s="41" t="n"/>
      <c r="K108" s="118">
        <f>K97*-1/K15</f>
        <v/>
      </c>
      <c r="L108" s="118">
        <f>L97*-1/L15</f>
        <v/>
      </c>
      <c r="M108" s="41" t="n"/>
      <c r="N108" s="12">
        <f>N97*-1/N15</f>
        <v/>
      </c>
      <c r="O108" s="12">
        <f>O97*-1/O15</f>
        <v/>
      </c>
      <c r="P108" s="41" t="n"/>
      <c r="Q108" s="12">
        <f>Q97*-1/Q15</f>
        <v/>
      </c>
      <c r="R108" s="12">
        <f>R97*-1/R15</f>
        <v/>
      </c>
      <c r="S108" s="41" t="n"/>
      <c r="T108" s="12">
        <f>T97*-1/T15</f>
        <v/>
      </c>
      <c r="U108" s="12">
        <f>U97*-1/U15</f>
        <v/>
      </c>
      <c r="V108" s="41" t="n"/>
      <c r="W108" s="468">
        <f>W97*-1/W15</f>
        <v/>
      </c>
      <c r="X108" s="468">
        <f>X97*-1/X15</f>
        <v/>
      </c>
      <c r="Y108" s="41" t="n"/>
      <c r="Z108" s="12">
        <f>Z97*-1/Z15</f>
        <v/>
      </c>
      <c r="AA108" s="12">
        <f>AA97*-1/AA15</f>
        <v/>
      </c>
      <c r="AB108" s="41" t="n"/>
      <c r="AC108" s="12">
        <f>AC97*-1/AC15</f>
        <v/>
      </c>
      <c r="AD108" s="12">
        <f>AD97*-1/AD15</f>
        <v/>
      </c>
      <c r="AE108" s="41" t="n"/>
      <c r="AF108" s="12">
        <f>AF97*-1/AF15</f>
        <v/>
      </c>
      <c r="AG108" s="12">
        <f>AG97*-1/AG15</f>
        <v/>
      </c>
      <c r="AH108" s="41" t="n"/>
      <c r="AI108" s="12">
        <f>AI97*-1/AI15</f>
        <v/>
      </c>
      <c r="AJ108" s="12">
        <f>AJ97*-1/AJ15</f>
        <v/>
      </c>
      <c r="AK108" s="41" t="n"/>
      <c r="AL108" s="15" t="n"/>
      <c r="AM108" s="22">
        <f>AP108-AO108</f>
        <v/>
      </c>
      <c r="AO108" s="44">
        <f>IF($A$1=$B$1,B108,IF($A$1=$E$1,E108,IF($A$1=$H$1,H108,IF($A$1=$K$1,K108,IF($A$1=$N$1,N108,IF($A$1=$Q$1,Q108,IF($A$1=$T$1,T108,IF($A$1=$W$1,W108,IF($A$1=$Z$1,Z108,IF($A$1=$AC$1,AC108,IF($A$1=$AF$1,AF108,IF($A$1=$AI$1,AI108))))))))))))</f>
        <v/>
      </c>
      <c r="AP108" s="44">
        <f>IF($A$1=$B$1,C108,IF($A$1=$E$1,F108,IF($A$1=$H$1,I108,IF($A$1=$K$1,L108,IF($A$1=$N$1,O108,IF($A$1=$Q$1,R108,IF($A$1=$T$1,U108,IF($A$1=$W$1,X108,IF($A$1=$Z$1,AA108,IF($A$1=$AC$1,AD108,IF($A$1=$AF$1,AG108,IF($A$1=$AI$1,AJ108))))))))))))</f>
        <v/>
      </c>
    </row>
    <row r="109" ht="15.5" customFormat="1" customHeight="1" s="13">
      <c r="A109" s="26" t="inlineStr">
        <is>
          <t>Alüminyum</t>
        </is>
      </c>
      <c r="B109" s="12">
        <f>B98*-1/B16</f>
        <v/>
      </c>
      <c r="C109" s="12">
        <f>C98*-1/C16</f>
        <v/>
      </c>
      <c r="D109" s="41" t="n"/>
      <c r="E109" s="12">
        <f>E98*-1/E16</f>
        <v/>
      </c>
      <c r="F109" s="12">
        <f>F98*-1/F16</f>
        <v/>
      </c>
      <c r="G109" s="41" t="n"/>
      <c r="H109" s="468">
        <f>H98*-1/H16</f>
        <v/>
      </c>
      <c r="I109" s="468">
        <f>I98*-1/I16</f>
        <v/>
      </c>
      <c r="J109" s="41" t="n"/>
      <c r="K109" s="118">
        <f>K98*-1/K16</f>
        <v/>
      </c>
      <c r="L109" s="118">
        <f>L98*-1/L16</f>
        <v/>
      </c>
      <c r="M109" s="41" t="n"/>
      <c r="N109" s="12">
        <f>N98*-1/N16</f>
        <v/>
      </c>
      <c r="O109" s="12">
        <f>O98*-1/O16</f>
        <v/>
      </c>
      <c r="P109" s="41" t="n"/>
      <c r="Q109" s="12">
        <f>Q98*-1/Q16</f>
        <v/>
      </c>
      <c r="R109" s="12">
        <f>R98*-1/R16</f>
        <v/>
      </c>
      <c r="S109" s="41" t="n"/>
      <c r="T109" s="12">
        <f>T98*-1/T16</f>
        <v/>
      </c>
      <c r="U109" s="12">
        <f>U98*-1/U16</f>
        <v/>
      </c>
      <c r="V109" s="41" t="n"/>
      <c r="W109" s="468">
        <f>W98*-1/W16</f>
        <v/>
      </c>
      <c r="X109" s="468">
        <f>X98*-1/X16</f>
        <v/>
      </c>
      <c r="Y109" s="41" t="n"/>
      <c r="Z109" s="12">
        <f>Z98*-1/Z16</f>
        <v/>
      </c>
      <c r="AA109" s="12">
        <f>AA98*-1/AA16</f>
        <v/>
      </c>
      <c r="AB109" s="41" t="n"/>
      <c r="AC109" s="12">
        <f>AC98*-1/AC16</f>
        <v/>
      </c>
      <c r="AD109" s="12">
        <f>AD98*-1/AD16</f>
        <v/>
      </c>
      <c r="AE109" s="41" t="n"/>
      <c r="AF109" s="12">
        <f>AF98*-1/AF16</f>
        <v/>
      </c>
      <c r="AG109" s="12">
        <f>AG98*-1/AG16</f>
        <v/>
      </c>
      <c r="AH109" s="41" t="n"/>
      <c r="AI109" s="12">
        <f>AI98*-1/AI16</f>
        <v/>
      </c>
      <c r="AJ109" s="12">
        <f>AJ98*-1/AJ16</f>
        <v/>
      </c>
      <c r="AK109" s="41" t="n"/>
      <c r="AL109" s="15" t="n"/>
      <c r="AM109" s="22">
        <f>AP109-AO109</f>
        <v/>
      </c>
      <c r="AO109" s="44">
        <f>IF($A$1=$B$1,B109,IF($A$1=$E$1,E109,IF($A$1=$H$1,H109,IF($A$1=$K$1,K109,IF($A$1=$N$1,N109,IF($A$1=$Q$1,Q109,IF($A$1=$T$1,T109,IF($A$1=$W$1,W109,IF($A$1=$Z$1,Z109,IF($A$1=$AC$1,AC109,IF($A$1=$AF$1,AF109,IF($A$1=$AI$1,AI109))))))))))))</f>
        <v/>
      </c>
      <c r="AP109" s="44">
        <f>IF($A$1=$B$1,C109,IF($A$1=$E$1,F109,IF($A$1=$H$1,I109,IF($A$1=$K$1,L109,IF($A$1=$N$1,O109,IF($A$1=$Q$1,R109,IF($A$1=$T$1,U109,IF($A$1=$W$1,X109,IF($A$1=$Z$1,AA109,IF($A$1=$AC$1,AD109,IF($A$1=$AF$1,AG109,IF($A$1=$AI$1,AJ109))))))))))))</f>
        <v/>
      </c>
    </row>
    <row r="110" ht="15.5" customFormat="1" customHeight="1" s="13">
      <c r="A110" s="26" t="n"/>
      <c r="B110" s="12" t="n"/>
      <c r="C110" s="30" t="n"/>
      <c r="D110" s="41" t="n"/>
      <c r="E110" s="12" t="n"/>
      <c r="F110" s="30" t="n"/>
      <c r="G110" s="41" t="n"/>
      <c r="H110" s="12" t="n"/>
      <c r="I110" s="30" t="n"/>
      <c r="J110" s="41" t="n"/>
      <c r="K110" s="12" t="n"/>
      <c r="L110" s="30" t="n"/>
      <c r="M110" s="41" t="n"/>
      <c r="N110" s="12" t="n"/>
      <c r="O110" s="30" t="n"/>
      <c r="P110" s="41" t="n"/>
      <c r="Q110" s="12" t="n"/>
      <c r="R110" s="30" t="n"/>
      <c r="S110" s="41" t="n"/>
      <c r="T110" s="12" t="n"/>
      <c r="U110" s="30" t="n"/>
      <c r="V110" s="41" t="n"/>
      <c r="W110" s="12" t="n"/>
      <c r="X110" s="30" t="n"/>
      <c r="Y110" s="41" t="n"/>
      <c r="Z110" s="12" t="n"/>
      <c r="AA110" s="30" t="n"/>
      <c r="AB110" s="41" t="n"/>
      <c r="AC110" s="12" t="n"/>
      <c r="AD110" s="30" t="n"/>
      <c r="AE110" s="41" t="n"/>
      <c r="AF110" s="12" t="n"/>
      <c r="AG110" s="30" t="n"/>
      <c r="AH110" s="41" t="n"/>
      <c r="AI110" s="12" t="n"/>
      <c r="AJ110" s="30" t="n"/>
      <c r="AK110" s="41" t="n"/>
      <c r="AL110" s="15" t="n"/>
      <c r="AM110" s="22" t="n"/>
      <c r="AO110" s="44" t="n"/>
      <c r="AP110" s="44" t="n"/>
    </row>
    <row r="111" ht="15.5" customFormat="1" customHeight="1" s="13">
      <c r="A111" s="26" t="n"/>
      <c r="B111" s="12" t="n"/>
      <c r="C111" s="30" t="n"/>
      <c r="D111" s="41" t="n"/>
      <c r="E111" s="12" t="n"/>
      <c r="F111" s="30" t="n"/>
      <c r="G111" s="41" t="n"/>
      <c r="H111" s="12" t="n"/>
      <c r="I111" s="30" t="n"/>
      <c r="J111" s="41" t="n"/>
      <c r="K111" s="12" t="n"/>
      <c r="L111" s="30" t="n"/>
      <c r="M111" s="41" t="n"/>
      <c r="N111" s="12" t="n"/>
      <c r="O111" s="30" t="n"/>
      <c r="P111" s="41" t="n"/>
      <c r="Q111" s="12" t="n"/>
      <c r="R111" s="30" t="n"/>
      <c r="S111" s="41" t="n"/>
      <c r="T111" s="12" t="n"/>
      <c r="U111" s="30" t="n"/>
      <c r="V111" s="41" t="n"/>
      <c r="W111" s="12" t="n"/>
      <c r="X111" s="30" t="n"/>
      <c r="Y111" s="41" t="n"/>
      <c r="Z111" s="12" t="n"/>
      <c r="AA111" s="30" t="n"/>
      <c r="AB111" s="41" t="n"/>
      <c r="AC111" s="12" t="n"/>
      <c r="AD111" s="30" t="n"/>
      <c r="AE111" s="41" t="n"/>
      <c r="AF111" s="12" t="n"/>
      <c r="AG111" s="30" t="n"/>
      <c r="AH111" s="41" t="n"/>
      <c r="AI111" s="12" t="n"/>
      <c r="AJ111" s="30" t="n"/>
      <c r="AK111" s="41" t="n"/>
      <c r="AL111" s="15" t="n"/>
      <c r="AM111" s="22" t="n"/>
      <c r="AO111" s="44" t="n"/>
      <c r="AP111" s="44" t="n"/>
    </row>
    <row r="112" ht="15.5" customFormat="1" customHeight="1" s="44">
      <c r="A112" s="31" t="inlineStr">
        <is>
          <t>EBİT</t>
        </is>
      </c>
      <c r="B112" s="32">
        <f>'A -Döviz'!B112</f>
        <v/>
      </c>
      <c r="C112" s="32">
        <f>'A -Döviz'!C112</f>
        <v/>
      </c>
      <c r="D112" s="72">
        <f>+(C112/B112)-1</f>
        <v/>
      </c>
      <c r="E112" s="32">
        <f>B112+'A -Döviz'!E112</f>
        <v/>
      </c>
      <c r="F112" s="32">
        <f>C112+'A -Döviz'!F112</f>
        <v/>
      </c>
      <c r="G112" s="18" t="n"/>
      <c r="H112" s="32">
        <f>E112+'A -Döviz'!H112</f>
        <v/>
      </c>
      <c r="I112" s="32">
        <f>F112+'A -Döviz'!I112</f>
        <v/>
      </c>
      <c r="J112" s="18" t="n"/>
      <c r="K112" s="32">
        <f>H112+'A -Döviz'!K112</f>
        <v/>
      </c>
      <c r="L112" s="32">
        <f>I112+'A -Döviz'!L112</f>
        <v/>
      </c>
      <c r="M112" s="18" t="n"/>
      <c r="N112" s="32">
        <f>K112+'A -Döviz'!N112</f>
        <v/>
      </c>
      <c r="O112" s="32">
        <f>L112+'A -Döviz'!O112</f>
        <v/>
      </c>
      <c r="P112" s="18" t="n"/>
      <c r="Q112" s="32">
        <f>N112+'A -Döviz'!Q112</f>
        <v/>
      </c>
      <c r="R112" s="32">
        <f>O112+'A -Döviz'!R112</f>
        <v/>
      </c>
      <c r="S112" s="18" t="n"/>
      <c r="T112" s="32">
        <f>Q112+'A -Döviz'!T112</f>
        <v/>
      </c>
      <c r="U112" s="32">
        <f>R112+'A -Döviz'!U112</f>
        <v/>
      </c>
      <c r="V112" s="18" t="n"/>
      <c r="W112" s="32">
        <f>T112+'A -Döviz'!W112</f>
        <v/>
      </c>
      <c r="X112" s="32">
        <f>U112+'A -Döviz'!X112</f>
        <v/>
      </c>
      <c r="Y112" s="18" t="n"/>
      <c r="Z112" s="32">
        <f>W112+'A -Döviz'!Z112</f>
        <v/>
      </c>
      <c r="AA112" s="32">
        <f>X112+'A -Döviz'!AA112</f>
        <v/>
      </c>
      <c r="AB112" s="18" t="n"/>
      <c r="AC112" s="32">
        <f>Z112+'A -Döviz'!AC112</f>
        <v/>
      </c>
      <c r="AD112" s="32">
        <f>AA112+'A -Döviz'!AD112</f>
        <v/>
      </c>
      <c r="AE112" s="18" t="n"/>
      <c r="AF112" s="32">
        <f>AC112+'A -Döviz'!AF112</f>
        <v/>
      </c>
      <c r="AG112" s="32">
        <f>AD112+'A -Döviz'!AG112</f>
        <v/>
      </c>
      <c r="AH112" s="18" t="n"/>
      <c r="AI112" s="32">
        <f>AF112+'A -Döviz'!AI112</f>
        <v/>
      </c>
      <c r="AJ112" s="32">
        <f>AG112+'A -Döviz'!AJ112</f>
        <v/>
      </c>
      <c r="AK112" s="18" t="n"/>
      <c r="AL112" s="33">
        <f>AP112-AO112</f>
        <v/>
      </c>
      <c r="AM112" s="113">
        <f>AP112/AO112-1</f>
        <v/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/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/>
      </c>
    </row>
    <row r="113" ht="15.5" customFormat="1" customHeight="1" s="13">
      <c r="A113" s="27" t="n"/>
      <c r="B113" s="30" t="n"/>
      <c r="C113" s="30" t="n"/>
      <c r="D113" s="41" t="n"/>
      <c r="E113" s="109">
        <f>E112/E30</f>
        <v/>
      </c>
      <c r="F113" s="109">
        <f>F112/F30</f>
        <v/>
      </c>
      <c r="G113" s="41" t="n"/>
      <c r="H113" s="109">
        <f>H112/H6</f>
        <v/>
      </c>
      <c r="I113" s="109">
        <f>I112/I6</f>
        <v/>
      </c>
      <c r="J113" s="41" t="n"/>
      <c r="K113" s="109">
        <f>-K112/$K$6</f>
        <v/>
      </c>
      <c r="L113" s="109">
        <f>-L112/$L$6</f>
        <v/>
      </c>
      <c r="M113" s="41" t="n"/>
      <c r="N113" s="109">
        <f>-N112/$N$6</f>
        <v/>
      </c>
      <c r="O113" s="109">
        <f>-O112/$O$6</f>
        <v/>
      </c>
      <c r="P113" s="41" t="n"/>
      <c r="Q113" s="109">
        <f>-Q112/$Q$6</f>
        <v/>
      </c>
      <c r="R113" s="109">
        <f>-R112/$R$6</f>
        <v/>
      </c>
      <c r="S113" s="41" t="n"/>
      <c r="T113" s="109">
        <f>-T112/$T$6</f>
        <v/>
      </c>
      <c r="U113" s="109">
        <f>-U112/$U$6</f>
        <v/>
      </c>
      <c r="V113" s="41" t="n"/>
      <c r="W113" s="109">
        <f>-W112/$W$6</f>
        <v/>
      </c>
      <c r="X113" s="109">
        <f>-X112/$X$6</f>
        <v/>
      </c>
      <c r="Y113" s="41" t="n"/>
      <c r="Z113" s="109">
        <f>-Z112/$W$6</f>
        <v/>
      </c>
      <c r="AA113" s="109">
        <f>-AA112/$X$6</f>
        <v/>
      </c>
      <c r="AB113" s="41" t="n"/>
      <c r="AC113" s="109">
        <f>-AC112/$AC$6</f>
        <v/>
      </c>
      <c r="AD113" s="109">
        <f>-AD112/$AD$6</f>
        <v/>
      </c>
      <c r="AE113" s="41" t="n"/>
      <c r="AF113" s="109">
        <f>-AF112/$AC$6</f>
        <v/>
      </c>
      <c r="AG113" s="109">
        <f>-AG112/$AD$6</f>
        <v/>
      </c>
      <c r="AH113" s="41" t="n"/>
      <c r="AI113" s="30" t="n"/>
      <c r="AJ113" s="30" t="n"/>
      <c r="AK113" s="41" t="n"/>
      <c r="AL113" s="15" t="n"/>
      <c r="AM113" s="22" t="n"/>
      <c r="AO113" s="44">
        <f>IF($A$1=$B$1,B113,IF($A$1=$E$1,E113,IF($A$1=$H$1,H113,IF($A$1=$K$1,K113,IF($A$1=$N$1,N113,IF($A$1=$Q$1,Q113,IF($A$1=$T$1,T113,IF($A$1=$W$1,W113,IF($A$1=$Z$1,Z113,IF($A$1=$AC$1,AC113,IF($A$1=$AF$1,AF113,IF($A$1=$AI$1,AI113))))))))))))</f>
        <v/>
      </c>
      <c r="AP113" s="44">
        <f>IF($A$1=$B$1,C113,IF($A$1=$E$1,F113,IF($A$1=$H$1,I113,IF($A$1=$K$1,L113,IF($A$1=$N$1,O113,IF($A$1=$Q$1,R113,IF($A$1=$T$1,U113,IF($A$1=$W$1,X113,IF($A$1=$Z$1,AA113,IF($A$1=$AC$1,AD113,IF($A$1=$AF$1,AG113,IF($A$1=$AI$1,AJ113))))))))))))</f>
        <v/>
      </c>
      <c r="AR113" s="295">
        <f>AC113-AD113</f>
        <v/>
      </c>
    </row>
    <row r="114" ht="17" customFormat="1" customHeight="1" s="49">
      <c r="A114" s="47" t="inlineStr">
        <is>
          <t>Ebit by channels (100%)</t>
        </is>
      </c>
      <c r="B114" s="413" t="n"/>
      <c r="C114" s="413" t="n"/>
      <c r="D114" s="413" t="n"/>
      <c r="E114" s="413" t="n"/>
      <c r="F114" s="413" t="n"/>
      <c r="G114" s="413" t="n"/>
      <c r="H114" s="413" t="n"/>
      <c r="I114" s="413" t="n"/>
      <c r="J114" s="413" t="n"/>
      <c r="K114" s="413" t="n"/>
      <c r="L114" s="413" t="n"/>
      <c r="M114" s="413" t="n"/>
      <c r="N114" s="413" t="n"/>
      <c r="O114" s="474">
        <f>N113-O113</f>
        <v/>
      </c>
      <c r="P114" s="413" t="n"/>
      <c r="Q114" s="413" t="n"/>
      <c r="R114" s="413" t="n"/>
      <c r="S114" s="413" t="n"/>
      <c r="T114" s="413" t="n"/>
      <c r="U114" s="413" t="n"/>
      <c r="V114" s="413" t="n"/>
      <c r="W114" s="413" t="n"/>
      <c r="X114" s="413" t="n"/>
      <c r="Y114" s="413" t="n"/>
      <c r="Z114" s="413" t="n"/>
      <c r="AA114" s="413" t="n"/>
      <c r="AB114" s="413" t="n"/>
      <c r="AC114" s="413" t="n"/>
      <c r="AD114" s="413" t="n"/>
      <c r="AE114" s="413" t="n"/>
      <c r="AF114" s="413" t="n"/>
      <c r="AG114" s="413" t="n"/>
      <c r="AH114" s="413" t="n"/>
      <c r="AI114" s="413" t="n"/>
      <c r="AJ114" s="413" t="n"/>
      <c r="AK114" s="413" t="n"/>
      <c r="AL114" s="413" t="n"/>
      <c r="AM114" s="48" t="n"/>
      <c r="AR114" s="110">
        <f>SUM(AR115:AR122)</f>
        <v/>
      </c>
      <c r="AS114" s="110">
        <f>SUM(AS115:AS122)</f>
        <v/>
      </c>
    </row>
    <row r="115" ht="15.5" customHeight="1">
      <c r="A115" s="26" t="inlineStr">
        <is>
          <t xml:space="preserve">İnci Holding </t>
        </is>
      </c>
      <c r="B115" s="7">
        <f>'A -Döviz'!B115</f>
        <v/>
      </c>
      <c r="C115" s="7">
        <f>'A -Döviz'!C115</f>
        <v/>
      </c>
      <c r="D115" s="7" t="n"/>
      <c r="E115" s="7">
        <f>B115+'A -Döviz'!E115</f>
        <v/>
      </c>
      <c r="F115" s="7">
        <f>C115+'A -Döviz'!F115</f>
        <v/>
      </c>
      <c r="G115" s="7" t="n"/>
      <c r="H115" s="7">
        <f>E115+'A -Döviz'!H115</f>
        <v/>
      </c>
      <c r="I115" s="7">
        <f>F115+'A -Döviz'!I115</f>
        <v/>
      </c>
      <c r="J115" s="7" t="n"/>
      <c r="K115" s="7">
        <f>H115+'A -Döviz'!K115</f>
        <v/>
      </c>
      <c r="L115" s="7">
        <f>I115+'A -Döviz'!L115</f>
        <v/>
      </c>
      <c r="M115" s="7" t="n"/>
      <c r="N115" s="7">
        <f>K115+'A -Döviz'!N115</f>
        <v/>
      </c>
      <c r="O115" s="7">
        <f>L115+'A -Döviz'!O115</f>
        <v/>
      </c>
      <c r="P115" s="7" t="n"/>
      <c r="Q115" s="7">
        <f>N115+'A -Döviz'!Q115</f>
        <v/>
      </c>
      <c r="R115" s="7">
        <f>O115+'A -Döviz'!R115</f>
        <v/>
      </c>
      <c r="S115" s="7" t="n"/>
      <c r="T115" s="7">
        <f>Q115+'A -Döviz'!T115</f>
        <v/>
      </c>
      <c r="U115" s="7">
        <f>R115+'A -Döviz'!U115</f>
        <v/>
      </c>
      <c r="V115" s="7" t="n"/>
      <c r="W115" s="7">
        <f>T115+'A -Döviz'!W115</f>
        <v/>
      </c>
      <c r="X115" s="7">
        <f>U115+'A -Döviz'!X115</f>
        <v/>
      </c>
      <c r="Y115" s="7" t="n"/>
      <c r="Z115" s="7">
        <f>W115+'A -Döviz'!Z115</f>
        <v/>
      </c>
      <c r="AA115" s="7">
        <f>X115+'A -Döviz'!AA115</f>
        <v/>
      </c>
      <c r="AB115" s="7" t="n"/>
      <c r="AC115" s="7">
        <f>Z115+'A -Döviz'!AC115</f>
        <v/>
      </c>
      <c r="AD115" s="7">
        <f>AA115+'A -Döviz'!AD115</f>
        <v/>
      </c>
      <c r="AE115" s="7" t="n"/>
      <c r="AF115" s="7">
        <f>AC115+'A -Döviz'!AF115</f>
        <v/>
      </c>
      <c r="AG115" s="7">
        <f>AD115+'A -Döviz'!AG115</f>
        <v/>
      </c>
      <c r="AH115" s="7" t="n"/>
      <c r="AI115" s="7">
        <f>AF115+'A -Döviz'!AI115</f>
        <v/>
      </c>
      <c r="AJ115" s="7">
        <f>AG115+'A -Döviz'!AJ115</f>
        <v/>
      </c>
      <c r="AK115" s="7" t="n"/>
      <c r="AL115" s="21">
        <f>AP115-AO115</f>
        <v/>
      </c>
      <c r="AM115" s="22">
        <f>AP115/AO115-1</f>
        <v/>
      </c>
      <c r="AO115" s="44">
        <f>IF($A$1=$B$1,B115,IF($A$1=$E$1,E115,IF($A$1=$H$1,H115,IF($A$1=$K$1,K115,IF($A$1=$N$1,N115,IF($A$1=$Q$1,Q115,IF($A$1=$T$1,T115,IF($A$1=$W$1,W115,IF($A$1=$Z$1,Z115,IF($A$1=$AC$1,AC115,IF($A$1=$AF$1,AF115,IF($A$1=$AI$1,AI115))))))))))))</f>
        <v/>
      </c>
      <c r="AP115" s="44">
        <f>IF($A$1=$B$1,C115,IF($A$1=$E$1,F115,IF($A$1=$H$1,I115,IF($A$1=$K$1,L115,IF($A$1=$N$1,O115,IF($A$1=$Q$1,R115,IF($A$1=$T$1,U115,IF($A$1=$W$1,X115,IF($A$1=$Z$1,AA115,IF($A$1=$AC$1,AD115,IF($A$1=$AF$1,AG115,IF($A$1=$AI$1,AJ115))))))))))))</f>
        <v/>
      </c>
      <c r="AR115" s="94">
        <f>W115</f>
        <v/>
      </c>
      <c r="AS115" s="94">
        <f>X115</f>
        <v/>
      </c>
      <c r="AT115" s="94">
        <f>AS115-AR115</f>
        <v/>
      </c>
    </row>
    <row r="116" ht="15.5" customHeight="1">
      <c r="A116" s="26" t="inlineStr">
        <is>
          <t xml:space="preserve">ISM </t>
        </is>
      </c>
      <c r="B116" s="7">
        <f>'A -Döviz'!B116</f>
        <v/>
      </c>
      <c r="C116" s="7">
        <f>'A -Döviz'!C116</f>
        <v/>
      </c>
      <c r="D116" s="7" t="n"/>
      <c r="E116" s="7">
        <f>B116+'A -Döviz'!E116</f>
        <v/>
      </c>
      <c r="F116" s="7">
        <f>C116+'A -Döviz'!F116</f>
        <v/>
      </c>
      <c r="G116" s="7" t="n"/>
      <c r="H116" s="7">
        <f>E116+'A -Döviz'!H116</f>
        <v/>
      </c>
      <c r="I116" s="7">
        <f>F116+'A -Döviz'!I116</f>
        <v/>
      </c>
      <c r="J116" s="7" t="n"/>
      <c r="K116" s="7">
        <f>H116+'A -Döviz'!K116</f>
        <v/>
      </c>
      <c r="L116" s="7">
        <f>I116+'A -Döviz'!L116</f>
        <v/>
      </c>
      <c r="M116" s="7" t="n"/>
      <c r="N116" s="7">
        <f>K116+'A -Döviz'!N116</f>
        <v/>
      </c>
      <c r="O116" s="7">
        <f>L116+'A -Döviz'!O116</f>
        <v/>
      </c>
      <c r="P116" s="7" t="n"/>
      <c r="Q116" s="7">
        <f>N116+'A -Döviz'!Q116</f>
        <v/>
      </c>
      <c r="R116" s="7">
        <f>O116+'A -Döviz'!R116</f>
        <v/>
      </c>
      <c r="S116" s="7" t="n"/>
      <c r="T116" s="7">
        <f>Q116+'A -Döviz'!T116</f>
        <v/>
      </c>
      <c r="U116" s="7">
        <f>R116+'A -Döviz'!U116</f>
        <v/>
      </c>
      <c r="V116" s="7" t="n"/>
      <c r="W116" s="7">
        <f>T116+'A -Döviz'!W116</f>
        <v/>
      </c>
      <c r="X116" s="7">
        <f>U116+'A -Döviz'!X116</f>
        <v/>
      </c>
      <c r="Y116" s="7" t="n"/>
      <c r="Z116" s="7">
        <f>W116+'A -Döviz'!Z116</f>
        <v/>
      </c>
      <c r="AA116" s="7">
        <f>X116+'A -Döviz'!AA116</f>
        <v/>
      </c>
      <c r="AB116" s="7" t="n"/>
      <c r="AC116" s="7">
        <f>Z116+'A -Döviz'!AC116</f>
        <v/>
      </c>
      <c r="AD116" s="7">
        <f>AA116+'A -Döviz'!AD116</f>
        <v/>
      </c>
      <c r="AE116" s="7" t="n"/>
      <c r="AF116" s="7">
        <f>AC116+'A -Döviz'!AF116</f>
        <v/>
      </c>
      <c r="AG116" s="7">
        <f>AD116+'A -Döviz'!AG116</f>
        <v/>
      </c>
      <c r="AH116" s="7" t="n"/>
      <c r="AI116" s="7">
        <f>AF116+'A -Döviz'!AI116</f>
        <v/>
      </c>
      <c r="AJ116" s="7">
        <f>AG116+'A -Döviz'!AJ116</f>
        <v/>
      </c>
      <c r="AK116" s="7" t="n"/>
      <c r="AL116" s="21">
        <f>AP116-AO116</f>
        <v/>
      </c>
      <c r="AM116" s="22">
        <f>AP116/AO116-1</f>
        <v/>
      </c>
      <c r="AO116" s="44">
        <f>IF($A$1=$B$1,B116,IF($A$1=$E$1,E116,IF($A$1=$H$1,H116,IF($A$1=$K$1,K116,IF($A$1=$N$1,N116,IF($A$1=$Q$1,Q116,IF($A$1=$T$1,T116,IF($A$1=$W$1,W116,IF($A$1=$Z$1,Z116,IF($A$1=$AC$1,AC116,IF($A$1=$AF$1,AF116,IF($A$1=$AI$1,AI116))))))))))))</f>
        <v/>
      </c>
      <c r="AP116" s="44">
        <f>IF($A$1=$B$1,C116,IF($A$1=$E$1,F116,IF($A$1=$H$1,I116,IF($A$1=$K$1,L116,IF($A$1=$N$1,O116,IF($A$1=$Q$1,R116,IF($A$1=$T$1,U116,IF($A$1=$W$1,X116,IF($A$1=$Z$1,AA116,IF($A$1=$AC$1,AD116,IF($A$1=$AF$1,AG116,IF($A$1=$AI$1,AJ116))))))))))))</f>
        <v/>
      </c>
      <c r="AR116" s="94">
        <f>W116</f>
        <v/>
      </c>
      <c r="AS116" s="94">
        <f>X116</f>
        <v/>
      </c>
      <c r="AT116" s="94">
        <f>AS116-AR116</f>
        <v/>
      </c>
    </row>
    <row r="117" ht="15.5" customHeight="1">
      <c r="A117" s="26" t="inlineStr">
        <is>
          <t>İncitaş</t>
        </is>
      </c>
      <c r="B117" s="7">
        <f>'A -Döviz'!B117</f>
        <v/>
      </c>
      <c r="C117" s="7">
        <f>'A -Döviz'!C117</f>
        <v/>
      </c>
      <c r="D117" s="7" t="n"/>
      <c r="E117" s="7">
        <f>B117+'A -Döviz'!E117</f>
        <v/>
      </c>
      <c r="F117" s="7">
        <f>C117+'A -Döviz'!F117</f>
        <v/>
      </c>
      <c r="G117" s="7" t="n"/>
      <c r="H117" s="7">
        <f>E117+'A -Döviz'!H117</f>
        <v/>
      </c>
      <c r="I117" s="7">
        <f>F117+'A -Döviz'!I117</f>
        <v/>
      </c>
      <c r="J117" s="7" t="n"/>
      <c r="K117" s="7">
        <f>H117+'A -Döviz'!K117</f>
        <v/>
      </c>
      <c r="L117" s="7">
        <f>I117+'A -Döviz'!L117</f>
        <v/>
      </c>
      <c r="M117" s="7" t="n"/>
      <c r="N117" s="7">
        <f>K117+'A -Döviz'!N117</f>
        <v/>
      </c>
      <c r="O117" s="7">
        <f>L117+'A -Döviz'!O117</f>
        <v/>
      </c>
      <c r="P117" s="7" t="n"/>
      <c r="Q117" s="7">
        <f>N117+'A -Döviz'!Q117</f>
        <v/>
      </c>
      <c r="R117" s="7">
        <f>O117+'A -Döviz'!R117</f>
        <v/>
      </c>
      <c r="S117" s="7" t="n"/>
      <c r="T117" s="7">
        <f>Q117+'A -Döviz'!T117</f>
        <v/>
      </c>
      <c r="U117" s="7">
        <f>R117+'A -Döviz'!U117</f>
        <v/>
      </c>
      <c r="V117" s="7" t="n"/>
      <c r="W117" s="7">
        <f>T117+'A -Döviz'!W117</f>
        <v/>
      </c>
      <c r="X117" s="7">
        <f>U117+'A -Döviz'!X117</f>
        <v/>
      </c>
      <c r="Y117" s="7" t="n"/>
      <c r="Z117" s="7">
        <f>W117+'A -Döviz'!Z117</f>
        <v/>
      </c>
      <c r="AA117" s="7">
        <f>X117+'A -Döviz'!AA117</f>
        <v/>
      </c>
      <c r="AB117" s="7" t="n"/>
      <c r="AC117" s="7">
        <f>Z117+'A -Döviz'!AC117</f>
        <v/>
      </c>
      <c r="AD117" s="7">
        <f>AA117+'A -Döviz'!AD117</f>
        <v/>
      </c>
      <c r="AE117" s="7" t="n"/>
      <c r="AF117" s="7">
        <f>AC117+'A -Döviz'!AF117</f>
        <v/>
      </c>
      <c r="AG117" s="7">
        <f>AD117+'A -Döviz'!AG117</f>
        <v/>
      </c>
      <c r="AH117" s="7" t="n"/>
      <c r="AI117" s="7">
        <f>AF117+'A -Döviz'!AI117</f>
        <v/>
      </c>
      <c r="AJ117" s="7">
        <f>AG117+'A -Döviz'!AJ117</f>
        <v/>
      </c>
      <c r="AK117" s="7" t="n"/>
      <c r="AL117" s="21">
        <f>AP117-AO117</f>
        <v/>
      </c>
      <c r="AM117" s="22">
        <f>AP117/AO117-1</f>
        <v/>
      </c>
      <c r="AO117" s="44">
        <f>IF($A$1=$B$1,B117,IF($A$1=$E$1,E117,IF($A$1=$H$1,H117,IF($A$1=$K$1,K117,IF($A$1=$N$1,N117,IF($A$1=$Q$1,Q117,IF($A$1=$T$1,T117,IF($A$1=$W$1,W117,IF($A$1=$Z$1,Z117,IF($A$1=$AC$1,AC117,IF($A$1=$AF$1,AF117,IF($A$1=$AI$1,AI117))))))))))))</f>
        <v/>
      </c>
      <c r="AP117" s="44">
        <f>IF($A$1=$B$1,C117,IF($A$1=$E$1,F117,IF($A$1=$H$1,I117,IF($A$1=$K$1,L117,IF($A$1=$N$1,O117,IF($A$1=$Q$1,R117,IF($A$1=$T$1,U117,IF($A$1=$W$1,X117,IF($A$1=$Z$1,AA117,IF($A$1=$AC$1,AD117,IF($A$1=$AF$1,AG117,IF($A$1=$AI$1,AJ117))))))))))))</f>
        <v/>
      </c>
      <c r="AR117" s="94">
        <f>W117</f>
        <v/>
      </c>
      <c r="AS117" s="94">
        <f>X117</f>
        <v/>
      </c>
      <c r="AT117" s="94">
        <f>AS117-AR117</f>
        <v/>
      </c>
    </row>
    <row r="118" ht="15.5" customHeight="1">
      <c r="A118" s="26" t="inlineStr">
        <is>
          <t>İnci GS Yuasa</t>
        </is>
      </c>
      <c r="B118" s="7">
        <f>'A -Döviz'!B118</f>
        <v/>
      </c>
      <c r="C118" s="7">
        <f>'A -Döviz'!C118</f>
        <v/>
      </c>
      <c r="D118" s="7" t="n"/>
      <c r="E118" s="7">
        <f>B118+'A -Döviz'!E118</f>
        <v/>
      </c>
      <c r="F118" s="7">
        <f>C118+'A -Döviz'!F118</f>
        <v/>
      </c>
      <c r="G118" s="7" t="n"/>
      <c r="H118" s="7">
        <f>E118+'A -Döviz'!H118</f>
        <v/>
      </c>
      <c r="I118" s="7">
        <f>F118+'A -Döviz'!I118</f>
        <v/>
      </c>
      <c r="J118" s="7" t="n"/>
      <c r="K118" s="7">
        <f>H118+'A -Döviz'!K118</f>
        <v/>
      </c>
      <c r="L118" s="7">
        <f>I118+'A -Döviz'!L118</f>
        <v/>
      </c>
      <c r="M118" s="7" t="n"/>
      <c r="N118" s="7">
        <f>K118+'A -Döviz'!N118</f>
        <v/>
      </c>
      <c r="O118" s="7">
        <f>L118+'A -Döviz'!O118</f>
        <v/>
      </c>
      <c r="P118" s="7" t="n"/>
      <c r="Q118" s="7">
        <f>N118+'A -Döviz'!Q118</f>
        <v/>
      </c>
      <c r="R118" s="7">
        <f>O118+'A -Döviz'!R118</f>
        <v/>
      </c>
      <c r="S118" s="7" t="n"/>
      <c r="T118" s="7">
        <f>Q118+'A -Döviz'!T118</f>
        <v/>
      </c>
      <c r="U118" s="7">
        <f>R118+'A -Döviz'!U118</f>
        <v/>
      </c>
      <c r="V118" s="7" t="n"/>
      <c r="W118" s="7">
        <f>T118+'A -Döviz'!W118</f>
        <v/>
      </c>
      <c r="X118" s="7">
        <f>U118+'A -Döviz'!X118</f>
        <v/>
      </c>
      <c r="Y118" s="7" t="n"/>
      <c r="Z118" s="7">
        <f>W118+'A -Döviz'!Z118</f>
        <v/>
      </c>
      <c r="AA118" s="7">
        <f>X118+'A -Döviz'!AA118</f>
        <v/>
      </c>
      <c r="AB118" s="7" t="n"/>
      <c r="AC118" s="7">
        <f>Z118+'A -Döviz'!AC118</f>
        <v/>
      </c>
      <c r="AD118" s="7">
        <f>AA118+'A -Döviz'!AD118</f>
        <v/>
      </c>
      <c r="AE118" s="7" t="n"/>
      <c r="AF118" s="7">
        <f>AC118+'A -Döviz'!AF118</f>
        <v/>
      </c>
      <c r="AG118" s="7">
        <f>AD118+'A -Döviz'!AG118</f>
        <v/>
      </c>
      <c r="AH118" s="7" t="n"/>
      <c r="AI118" s="7">
        <f>AF118+'A -Döviz'!AI118</f>
        <v/>
      </c>
      <c r="AJ118" s="7">
        <f>AG118+'A -Döviz'!AJ118</f>
        <v/>
      </c>
      <c r="AK118" s="7" t="n"/>
      <c r="AL118" s="21">
        <f>AP118-AO118</f>
        <v/>
      </c>
      <c r="AM118" s="22">
        <f>AP118/AO118-1</f>
        <v/>
      </c>
      <c r="AO118" s="44">
        <f>IF($A$1=$B$1,B118,IF($A$1=$E$1,E118,IF($A$1=$H$1,H118,IF($A$1=$K$1,K118,IF($A$1=$N$1,N118,IF($A$1=$Q$1,Q118,IF($A$1=$T$1,T118,IF($A$1=$W$1,W118,IF($A$1=$Z$1,Z118,IF($A$1=$AC$1,AC118,IF($A$1=$AF$1,AF118,IF($A$1=$AI$1,AI118))))))))))))</f>
        <v/>
      </c>
      <c r="AP118" s="44">
        <f>IF($A$1=$B$1,C118,IF($A$1=$E$1,F118,IF($A$1=$H$1,I118,IF($A$1=$K$1,L118,IF($A$1=$N$1,O118,IF($A$1=$Q$1,R118,IF($A$1=$T$1,U118,IF($A$1=$W$1,X118,IF($A$1=$Z$1,AA118,IF($A$1=$AC$1,AD118,IF($A$1=$AF$1,AG118,IF($A$1=$AI$1,AJ118))))))))))))</f>
        <v/>
      </c>
      <c r="AR118" s="94">
        <f>W118*0.4</f>
        <v/>
      </c>
      <c r="AS118" s="94">
        <f>X118*0.4</f>
        <v/>
      </c>
      <c r="AT118" s="94">
        <f>AS118-AR118</f>
        <v/>
      </c>
      <c r="AV118" s="404">
        <f>F118/SUM($F$115:$F$122)</f>
        <v/>
      </c>
    </row>
    <row r="119" ht="15.5" customFormat="1" customHeight="1" s="1">
      <c r="A119" s="26" t="inlineStr">
        <is>
          <t>Yusen İnci Loj.</t>
        </is>
      </c>
      <c r="B119" s="7">
        <f>'A -Döviz'!B119</f>
        <v/>
      </c>
      <c r="C119" s="7">
        <f>'A -Döviz'!C119</f>
        <v/>
      </c>
      <c r="D119" s="8" t="n"/>
      <c r="E119" s="7">
        <f>B119+'A -Döviz'!E119</f>
        <v/>
      </c>
      <c r="F119" s="7">
        <f>C119+'A -Döviz'!F119</f>
        <v/>
      </c>
      <c r="G119" s="8" t="n"/>
      <c r="H119" s="7">
        <f>E119+'A -Döviz'!H119</f>
        <v/>
      </c>
      <c r="I119" s="7">
        <f>F119+'A -Döviz'!I119</f>
        <v/>
      </c>
      <c r="J119" s="8" t="n"/>
      <c r="K119" s="7">
        <f>H119+'A -Döviz'!K119</f>
        <v/>
      </c>
      <c r="L119" s="7">
        <f>I119+'A -Döviz'!L119</f>
        <v/>
      </c>
      <c r="M119" s="8" t="n"/>
      <c r="N119" s="7">
        <f>K119+'A -Döviz'!N119</f>
        <v/>
      </c>
      <c r="O119" s="7">
        <f>L119+'A -Döviz'!O119</f>
        <v/>
      </c>
      <c r="P119" s="8" t="n"/>
      <c r="Q119" s="7">
        <f>N119+'A -Döviz'!Q119</f>
        <v/>
      </c>
      <c r="R119" s="7">
        <f>O119+'A -Döviz'!R119</f>
        <v/>
      </c>
      <c r="S119" s="8" t="n"/>
      <c r="T119" s="7">
        <f>Q119+'A -Döviz'!T119</f>
        <v/>
      </c>
      <c r="U119" s="7">
        <f>R119+'A -Döviz'!U119</f>
        <v/>
      </c>
      <c r="V119" s="8" t="n"/>
      <c r="W119" s="7">
        <f>T119+'A -Döviz'!W119</f>
        <v/>
      </c>
      <c r="X119" s="7">
        <f>U119+'A -Döviz'!X119</f>
        <v/>
      </c>
      <c r="Y119" s="8" t="n"/>
      <c r="Z119" s="7">
        <f>W119+'A -Döviz'!Z119</f>
        <v/>
      </c>
      <c r="AA119" s="7">
        <f>X119+'A -Döviz'!AA119</f>
        <v/>
      </c>
      <c r="AB119" s="8" t="n"/>
      <c r="AC119" s="7">
        <f>Z119+'A -Döviz'!AC119</f>
        <v/>
      </c>
      <c r="AD119" s="7">
        <f>AA119+'A -Döviz'!AD119</f>
        <v/>
      </c>
      <c r="AE119" s="8" t="n"/>
      <c r="AF119" s="7">
        <f>AC119+'A -Döviz'!AF119</f>
        <v/>
      </c>
      <c r="AG119" s="7">
        <f>AD119+'A -Döviz'!AG119</f>
        <v/>
      </c>
      <c r="AH119" s="8" t="n"/>
      <c r="AI119" s="7">
        <f>AF119+'A -Döviz'!AI119</f>
        <v/>
      </c>
      <c r="AJ119" s="7">
        <f>AG119+'A -Döviz'!AJ119</f>
        <v/>
      </c>
      <c r="AK119" s="8" t="n"/>
      <c r="AL119" s="21">
        <f>AP119-AO119</f>
        <v/>
      </c>
      <c r="AM119" s="22">
        <f>AP119/AO119-1</f>
        <v/>
      </c>
      <c r="AO119" s="44">
        <f>IF($A$1=$B$1,B119,IF($A$1=$E$1,E119,IF($A$1=$H$1,H119,IF($A$1=$K$1,K119,IF($A$1=$N$1,N119,IF($A$1=$Q$1,Q119,IF($A$1=$T$1,T119,IF($A$1=$W$1,W119,IF($A$1=$Z$1,Z119,IF($A$1=$AC$1,AC119,IF($A$1=$AF$1,AF119,IF($A$1=$AI$1,AI119))))))))))))</f>
        <v/>
      </c>
      <c r="AP119" s="44">
        <f>IF($A$1=$B$1,C119,IF($A$1=$E$1,F119,IF($A$1=$H$1,I119,IF($A$1=$K$1,L119,IF($A$1=$N$1,O119,IF($A$1=$Q$1,R119,IF($A$1=$T$1,U119,IF($A$1=$W$1,X119,IF($A$1=$Z$1,AA119,IF($A$1=$AC$1,AD119,IF($A$1=$AF$1,AG119,IF($A$1=$AI$1,AJ119))))))))))))</f>
        <v/>
      </c>
      <c r="AR119" s="94">
        <f>W119*0.4</f>
        <v/>
      </c>
      <c r="AS119" s="94">
        <f>X119*0.4</f>
        <v/>
      </c>
      <c r="AT119" s="94">
        <f>AS119-AR119</f>
        <v/>
      </c>
      <c r="AV119" s="404">
        <f>F119/SUM($F$115:$F$122)</f>
        <v/>
      </c>
    </row>
    <row r="120" ht="15.5" customHeight="1">
      <c r="A120" s="26" t="inlineStr">
        <is>
          <t>Jantaş</t>
        </is>
      </c>
      <c r="B120" s="7">
        <f>'A -Döviz'!B120</f>
        <v/>
      </c>
      <c r="C120" s="7">
        <f>'A -Döviz'!C120</f>
        <v/>
      </c>
      <c r="D120" s="7" t="n"/>
      <c r="E120" s="7">
        <f>B120+'A -Döviz'!E120</f>
        <v/>
      </c>
      <c r="F120" s="7">
        <f>C120+'A -Döviz'!F120</f>
        <v/>
      </c>
      <c r="G120" s="7" t="n"/>
      <c r="H120" s="7">
        <f>E120+'A -Döviz'!H120</f>
        <v/>
      </c>
      <c r="I120" s="7">
        <f>F120+'A -Döviz'!I120</f>
        <v/>
      </c>
      <c r="J120" s="7" t="n"/>
      <c r="K120" s="7">
        <f>H120+'A -Döviz'!K120</f>
        <v/>
      </c>
      <c r="L120" s="7">
        <f>I120+'A -Döviz'!L120</f>
        <v/>
      </c>
      <c r="M120" s="7" t="n"/>
      <c r="N120" s="7">
        <f>K120+'A -Döviz'!N120</f>
        <v/>
      </c>
      <c r="O120" s="7">
        <f>L120+'A -Döviz'!O120</f>
        <v/>
      </c>
      <c r="P120" s="7" t="n"/>
      <c r="Q120" s="7">
        <f>N120+'A -Döviz'!Q120</f>
        <v/>
      </c>
      <c r="R120" s="7">
        <f>O120+'A -Döviz'!R120</f>
        <v/>
      </c>
      <c r="S120" s="7" t="n"/>
      <c r="T120" s="7">
        <f>Q120+'A -Döviz'!T120</f>
        <v/>
      </c>
      <c r="U120" s="7">
        <f>R120+'A -Döviz'!U120</f>
        <v/>
      </c>
      <c r="V120" s="7" t="n"/>
      <c r="W120" s="7">
        <f>T120+'A -Döviz'!W120</f>
        <v/>
      </c>
      <c r="X120" s="7">
        <f>U120+'A -Döviz'!X120</f>
        <v/>
      </c>
      <c r="Y120" s="7" t="n"/>
      <c r="Z120" s="7">
        <f>W120+'A -Döviz'!Z120</f>
        <v/>
      </c>
      <c r="AA120" s="7">
        <f>X120+'A -Döviz'!AA120</f>
        <v/>
      </c>
      <c r="AB120" s="7" t="n"/>
      <c r="AC120" s="7">
        <f>Z120+'A -Döviz'!AC120</f>
        <v/>
      </c>
      <c r="AD120" s="7">
        <f>AA120+'A -Döviz'!AD120</f>
        <v/>
      </c>
      <c r="AE120" s="7" t="n"/>
      <c r="AF120" s="7">
        <f>AC120+'A -Döviz'!AF120</f>
        <v/>
      </c>
      <c r="AG120" s="7">
        <f>AD120+'A -Döviz'!AG120</f>
        <v/>
      </c>
      <c r="AH120" s="7" t="n"/>
      <c r="AI120" s="7">
        <f>AF120+'A -Döviz'!AI120</f>
        <v/>
      </c>
      <c r="AJ120" s="7">
        <f>AG120+'A -Döviz'!AJ120</f>
        <v/>
      </c>
      <c r="AK120" s="7" t="n"/>
      <c r="AL120" s="21">
        <f>AP120-AO120</f>
        <v/>
      </c>
      <c r="AM120" s="22">
        <f>AP120/AO120-1</f>
        <v/>
      </c>
      <c r="AO120" s="44">
        <f>IF($A$1=$B$1,B120,IF($A$1=$E$1,E120,IF($A$1=$H$1,H120,IF($A$1=$K$1,K120,IF($A$1=$N$1,N120,IF($A$1=$Q$1,Q120,IF($A$1=$T$1,T120,IF($A$1=$W$1,W120,IF($A$1=$Z$1,Z120,IF($A$1=$AC$1,AC120,IF($A$1=$AF$1,AF120,IF($A$1=$AI$1,AI120))))))))))))</f>
        <v/>
      </c>
      <c r="AP120" s="44">
        <f>IF($A$1=$B$1,C120,IF($A$1=$E$1,F120,IF($A$1=$H$1,I120,IF($A$1=$K$1,L120,IF($A$1=$N$1,O120,IF($A$1=$Q$1,R120,IF($A$1=$T$1,U120,IF($A$1=$W$1,X120,IF($A$1=$Z$1,AA120,IF($A$1=$AC$1,AD120,IF($A$1=$AF$1,AG120,IF($A$1=$AI$1,AJ120))))))))))))</f>
        <v/>
      </c>
      <c r="AR120" s="94">
        <f>W120*0.4</f>
        <v/>
      </c>
      <c r="AS120" s="94">
        <f>X120*0.4</f>
        <v/>
      </c>
      <c r="AT120" s="94">
        <f>AS120-AR120</f>
        <v/>
      </c>
      <c r="AV120" s="404">
        <f>F120/SUM($F$115:$F$122)</f>
        <v/>
      </c>
    </row>
    <row r="121" ht="15.5" customHeight="1">
      <c r="A121" s="26" t="inlineStr">
        <is>
          <t>Çelik</t>
        </is>
      </c>
      <c r="B121" s="7">
        <f>'A -Döviz'!B121</f>
        <v/>
      </c>
      <c r="C121" s="7">
        <f>'A -Döviz'!C121</f>
        <v/>
      </c>
      <c r="D121" s="7" t="n"/>
      <c r="E121" s="7">
        <f>B121+'A -Döviz'!E121</f>
        <v/>
      </c>
      <c r="F121" s="7">
        <f>C121+'A -Döviz'!F121</f>
        <v/>
      </c>
      <c r="G121" s="7" t="n"/>
      <c r="H121" s="7">
        <f>E121+'A -Döviz'!H121</f>
        <v/>
      </c>
      <c r="I121" s="7">
        <f>F121+'A -Döviz'!I121</f>
        <v/>
      </c>
      <c r="J121" s="7" t="n"/>
      <c r="K121" s="7">
        <f>H121+'A -Döviz'!K121</f>
        <v/>
      </c>
      <c r="L121" s="7">
        <f>I121+'A -Döviz'!L121</f>
        <v/>
      </c>
      <c r="M121" s="7" t="n"/>
      <c r="N121" s="7">
        <f>K121+'A -Döviz'!N121</f>
        <v/>
      </c>
      <c r="O121" s="7">
        <f>L121+'A -Döviz'!O121</f>
        <v/>
      </c>
      <c r="P121" s="7" t="n"/>
      <c r="Q121" s="7">
        <f>N121+'A -Döviz'!Q121</f>
        <v/>
      </c>
      <c r="R121" s="7">
        <f>O121+'A -Döviz'!R121</f>
        <v/>
      </c>
      <c r="S121" s="7" t="n"/>
      <c r="T121" s="7">
        <f>Q121+'A -Döviz'!T121</f>
        <v/>
      </c>
      <c r="U121" s="7">
        <f>R121+'A -Döviz'!U121</f>
        <v/>
      </c>
      <c r="V121" s="7" t="n"/>
      <c r="W121" s="7">
        <f>T121+'A -Döviz'!W121</f>
        <v/>
      </c>
      <c r="X121" s="7">
        <f>U121+'A -Döviz'!X121</f>
        <v/>
      </c>
      <c r="Y121" s="7" t="n"/>
      <c r="Z121" s="7">
        <f>W121+'A -Döviz'!Z121</f>
        <v/>
      </c>
      <c r="AA121" s="7">
        <f>X121+'A -Döviz'!AA121</f>
        <v/>
      </c>
      <c r="AB121" s="7" t="n"/>
      <c r="AC121" s="7">
        <f>Z121+'A -Döviz'!AC121</f>
        <v/>
      </c>
      <c r="AD121" s="7">
        <f>AA121+'A -Döviz'!AD121</f>
        <v/>
      </c>
      <c r="AE121" s="7" t="n"/>
      <c r="AF121" s="7">
        <f>AC121+'A -Döviz'!AF121</f>
        <v/>
      </c>
      <c r="AG121" s="7">
        <f>AD121+'A -Döviz'!AG121</f>
        <v/>
      </c>
      <c r="AH121" s="7" t="n"/>
      <c r="AI121" s="7">
        <f>AF121+'A -Döviz'!AI121</f>
        <v/>
      </c>
      <c r="AJ121" s="7">
        <f>AG121+'A -Döviz'!AJ121</f>
        <v/>
      </c>
      <c r="AK121" s="7" t="n"/>
      <c r="AL121" s="21">
        <f>AP121-AO121</f>
        <v/>
      </c>
      <c r="AM121" s="22">
        <f>AP121/AO121-1</f>
        <v/>
      </c>
      <c r="AO121" s="44">
        <f>IF($A$1=$B$1,B121,IF($A$1=$E$1,E121,IF($A$1=$H$1,H121,IF($A$1=$K$1,K121,IF($A$1=$N$1,N121,IF($A$1=$Q$1,Q121,IF($A$1=$T$1,T121,IF($A$1=$W$1,W121,IF($A$1=$Z$1,Z121,IF($A$1=$AC$1,AC121,IF($A$1=$AF$1,AF121,IF($A$1=$AI$1,AI121))))))))))))</f>
        <v/>
      </c>
      <c r="AP121" s="44">
        <f>IF($A$1=$B$1,C121,IF($A$1=$E$1,F121,IF($A$1=$H$1,I121,IF($A$1=$K$1,L121,IF($A$1=$N$1,O121,IF($A$1=$Q$1,R121,IF($A$1=$T$1,U121,IF($A$1=$W$1,X121,IF($A$1=$Z$1,AA121,IF($A$1=$AC$1,AD121,IF($A$1=$AF$1,AG121,IF($A$1=$AI$1,AJ121))))))))))))</f>
        <v/>
      </c>
      <c r="AR121" s="94">
        <f>W121*0.4</f>
        <v/>
      </c>
      <c r="AS121" s="94">
        <f>X121*0.4</f>
        <v/>
      </c>
      <c r="AT121" s="94">
        <f>AS121-AR121</f>
        <v/>
      </c>
      <c r="AV121" s="404">
        <f>F121/SUM($F$115:$F$122)</f>
        <v/>
      </c>
    </row>
    <row r="122" ht="15.5" customHeight="1">
      <c r="A122" s="26" t="inlineStr">
        <is>
          <t>Alüminyum</t>
        </is>
      </c>
      <c r="B122" s="7">
        <f>'A -Döviz'!B122</f>
        <v/>
      </c>
      <c r="C122" s="7">
        <f>'A -Döviz'!C122</f>
        <v/>
      </c>
      <c r="D122" s="7" t="n"/>
      <c r="E122" s="7">
        <f>B122+'A -Döviz'!E122</f>
        <v/>
      </c>
      <c r="F122" s="7">
        <f>C122+'A -Döviz'!F122</f>
        <v/>
      </c>
      <c r="G122" s="7" t="n"/>
      <c r="H122" s="7">
        <f>E122+'A -Döviz'!H122</f>
        <v/>
      </c>
      <c r="I122" s="7">
        <f>F122+'A -Döviz'!I122</f>
        <v/>
      </c>
      <c r="J122" s="7" t="n"/>
      <c r="K122" s="7">
        <f>H122+'A -Döviz'!K122</f>
        <v/>
      </c>
      <c r="L122" s="7">
        <f>I122+'A -Döviz'!L122</f>
        <v/>
      </c>
      <c r="M122" s="7" t="n"/>
      <c r="N122" s="7">
        <f>K122+'A -Döviz'!N122</f>
        <v/>
      </c>
      <c r="O122" s="7">
        <f>L122+'A -Döviz'!O122</f>
        <v/>
      </c>
      <c r="P122" s="7" t="n"/>
      <c r="Q122" s="7">
        <f>N122+'A -Döviz'!Q122</f>
        <v/>
      </c>
      <c r="R122" s="7">
        <f>O122+'A -Döviz'!R122</f>
        <v/>
      </c>
      <c r="S122" s="7" t="n"/>
      <c r="T122" s="7">
        <f>Q122+'A -Döviz'!T122</f>
        <v/>
      </c>
      <c r="U122" s="7">
        <f>R122+'A -Döviz'!U122</f>
        <v/>
      </c>
      <c r="V122" s="7" t="n"/>
      <c r="W122" s="7">
        <f>T122+'A -Döviz'!W122</f>
        <v/>
      </c>
      <c r="X122" s="7">
        <f>U122+'A -Döviz'!X122</f>
        <v/>
      </c>
      <c r="Y122" s="7" t="n"/>
      <c r="Z122" s="7">
        <f>W122+'A -Döviz'!Z122</f>
        <v/>
      </c>
      <c r="AA122" s="7">
        <f>X122+'A -Döviz'!AA122</f>
        <v/>
      </c>
      <c r="AB122" s="7" t="n"/>
      <c r="AC122" s="7">
        <f>Z122+'A -Döviz'!AC122</f>
        <v/>
      </c>
      <c r="AD122" s="7">
        <f>AA122+'A -Döviz'!AD122</f>
        <v/>
      </c>
      <c r="AE122" s="7" t="n"/>
      <c r="AF122" s="7">
        <f>AC122+'A -Döviz'!AF122</f>
        <v/>
      </c>
      <c r="AG122" s="7">
        <f>AD122+'A -Döviz'!AG122</f>
        <v/>
      </c>
      <c r="AH122" s="7" t="n"/>
      <c r="AI122" s="7">
        <f>AF122+'A -Döviz'!AI122</f>
        <v/>
      </c>
      <c r="AJ122" s="7">
        <f>AG122+'A -Döviz'!AJ122</f>
        <v/>
      </c>
      <c r="AK122" s="7" t="n"/>
      <c r="AL122" s="21">
        <f>AP122-AO122</f>
        <v/>
      </c>
      <c r="AM122" s="22">
        <f>AP122/AO122-1</f>
        <v/>
      </c>
      <c r="AO122" s="44">
        <f>IF($A$1=$B$1,B122,IF($A$1=$E$1,E122,IF($A$1=$H$1,H122,IF($A$1=$K$1,K122,IF($A$1=$N$1,N122,IF($A$1=$Q$1,Q122,IF($A$1=$T$1,T122,IF($A$1=$W$1,W122,IF($A$1=$Z$1,Z122,IF($A$1=$AC$1,AC122,IF($A$1=$AF$1,AF122,IF($A$1=$AI$1,AI122))))))))))))</f>
        <v/>
      </c>
      <c r="AP122" s="44">
        <f>IF($A$1=$B$1,C122,IF($A$1=$E$1,F122,IF($A$1=$H$1,I122,IF($A$1=$K$1,L122,IF($A$1=$N$1,O122,IF($A$1=$Q$1,R122,IF($A$1=$T$1,U122,IF($A$1=$W$1,X122,IF($A$1=$Z$1,AA122,IF($A$1=$AC$1,AD122,IF($A$1=$AF$1,AG122,IF($A$1=$AI$1,AJ122))))))))))))</f>
        <v/>
      </c>
      <c r="AR122" s="94">
        <f>W122*0.4</f>
        <v/>
      </c>
      <c r="AS122" s="94">
        <f>X122*0.4</f>
        <v/>
      </c>
      <c r="AT122" s="94">
        <f>AS122-AR122</f>
        <v/>
      </c>
      <c r="AV122" s="404">
        <f>F122/SUM($F$115:$F$122)</f>
        <v/>
      </c>
    </row>
    <row r="123" ht="15.5" customHeight="1">
      <c r="A123" s="26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21" t="n"/>
      <c r="AM123" s="22" t="n"/>
      <c r="AO123" s="44">
        <f>IF($A$1=$B$1,B123,IF($A$1=$E$1,E123,IF($A$1=$H$1,H123,IF($A$1=$K$1,K123,IF($A$1=$N$1,N123,IF($A$1=$Q$1,Q123,IF($A$1=$T$1,T123,IF($A$1=$W$1,W123,IF($A$1=$Z$1,Z123,IF($A$1=$AC$1,AC123,IF($A$1=$AF$1,AF123,IF($A$1=$AI$1,AI123))))))))))))</f>
        <v/>
      </c>
      <c r="AP123" s="44">
        <f>IF($A$1=$B$1,C123,IF($A$1=$E$1,F123,IF($A$1=$H$1,I123,IF($A$1=$K$1,L123,IF($A$1=$N$1,O123,IF($A$1=$Q$1,R123,IF($A$1=$T$1,U123,IF($A$1=$W$1,X123,IF($A$1=$Z$1,AA123,IF($A$1=$AC$1,AD123,IF($A$1=$AF$1,AG123,IF($A$1=$AI$1,AJ123))))))))))))</f>
        <v/>
      </c>
    </row>
    <row r="124">
      <c r="A124" s="2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5" t="n"/>
    </row>
    <row r="125" ht="17" customFormat="1" customHeight="1" s="49">
      <c r="A125" s="47" t="inlineStr">
        <is>
          <t>Ebit Margin</t>
        </is>
      </c>
      <c r="B125" s="413" t="n"/>
      <c r="C125" s="413" t="n"/>
      <c r="D125" s="413" t="n"/>
      <c r="E125" s="413" t="n"/>
      <c r="F125" s="413" t="n"/>
      <c r="G125" s="413" t="n"/>
      <c r="H125" s="413" t="n"/>
      <c r="I125" s="413" t="n"/>
      <c r="J125" s="413" t="n"/>
      <c r="K125" s="413" t="n"/>
      <c r="L125" s="413" t="n"/>
      <c r="M125" s="413" t="n"/>
      <c r="N125" s="413" t="n"/>
      <c r="O125" s="413" t="n"/>
      <c r="P125" s="413" t="n"/>
      <c r="Q125" s="413" t="n"/>
      <c r="R125" s="413" t="n"/>
      <c r="S125" s="413" t="n"/>
      <c r="T125" s="413" t="n"/>
      <c r="U125" s="413" t="n"/>
      <c r="V125" s="413" t="n"/>
      <c r="W125" s="413" t="n"/>
      <c r="X125" s="413" t="n"/>
      <c r="Y125" s="413" t="n"/>
      <c r="Z125" s="413" t="n"/>
      <c r="AA125" s="413" t="n"/>
      <c r="AB125" s="413" t="n"/>
      <c r="AC125" s="413" t="n"/>
      <c r="AD125" s="413" t="n"/>
      <c r="AE125" s="413" t="n"/>
      <c r="AF125" s="413" t="n"/>
      <c r="AG125" s="413" t="n"/>
      <c r="AH125" s="413" t="n"/>
      <c r="AI125" s="413" t="n"/>
      <c r="AJ125" s="413" t="n"/>
      <c r="AK125" s="413" t="n"/>
      <c r="AL125" s="413" t="n"/>
      <c r="AM125" s="48" t="n"/>
    </row>
    <row r="126" ht="15.5" customFormat="1" customHeight="1" s="13">
      <c r="A126" s="26" t="inlineStr">
        <is>
          <t xml:space="preserve">İnci Holding </t>
        </is>
      </c>
      <c r="B126" s="12">
        <f>B115/B9</f>
        <v/>
      </c>
      <c r="C126" s="12">
        <f>C115/C9</f>
        <v/>
      </c>
      <c r="D126" s="41" t="n"/>
      <c r="E126" s="12">
        <f>E115/E9</f>
        <v/>
      </c>
      <c r="F126" s="12">
        <f>F115/F9</f>
        <v/>
      </c>
      <c r="G126" s="41" t="n"/>
      <c r="H126" s="12">
        <f>H115/H9</f>
        <v/>
      </c>
      <c r="I126" s="12">
        <f>I115/I9</f>
        <v/>
      </c>
      <c r="J126" s="41" t="n"/>
      <c r="K126" s="12">
        <f>K115/K9</f>
        <v/>
      </c>
      <c r="L126" s="12">
        <f>L115/L9</f>
        <v/>
      </c>
      <c r="M126" s="41" t="n"/>
      <c r="N126" s="12">
        <f>N115/N9</f>
        <v/>
      </c>
      <c r="O126" s="12">
        <f>O115/O9</f>
        <v/>
      </c>
      <c r="P126" s="41" t="n"/>
      <c r="Q126" s="12">
        <f>Q115/Q9</f>
        <v/>
      </c>
      <c r="R126" s="12">
        <f>R115/R9</f>
        <v/>
      </c>
      <c r="S126" s="41" t="n"/>
      <c r="T126" s="12">
        <f>T115/T9</f>
        <v/>
      </c>
      <c r="U126" s="12">
        <f>U115/U9</f>
        <v/>
      </c>
      <c r="V126" s="41" t="n"/>
      <c r="W126" s="12">
        <f>W115/W9</f>
        <v/>
      </c>
      <c r="X126" s="12">
        <f>X115/X9</f>
        <v/>
      </c>
      <c r="Y126" s="41" t="n"/>
      <c r="Z126" s="12">
        <f>Z115/Z9</f>
        <v/>
      </c>
      <c r="AA126" s="12">
        <f>AA115/AA9</f>
        <v/>
      </c>
      <c r="AB126" s="41" t="n"/>
      <c r="AC126" s="12">
        <f>AC115/AC9</f>
        <v/>
      </c>
      <c r="AD126" s="12">
        <f>AD115/AD9</f>
        <v/>
      </c>
      <c r="AE126" s="41" t="n"/>
      <c r="AF126" s="12">
        <f>AF115/AF9</f>
        <v/>
      </c>
      <c r="AG126" s="12">
        <f>AG115/AG9</f>
        <v/>
      </c>
      <c r="AH126" s="41" t="n"/>
      <c r="AI126" s="12">
        <f>AI115/AI9</f>
        <v/>
      </c>
      <c r="AJ126" s="12">
        <f>AJ115/AJ9</f>
        <v/>
      </c>
      <c r="AK126" s="41" t="n"/>
      <c r="AL126" s="15" t="n"/>
      <c r="AM126" s="22">
        <f>AP126-AO126</f>
        <v/>
      </c>
      <c r="AO126" s="44">
        <f>IF($A$1=$B$1,B126,IF($A$1=$E$1,E126,IF($A$1=$H$1,H126,IF($A$1=$K$1,K126,IF($A$1=$N$1,N126,IF($A$1=$Q$1,Q126,IF($A$1=$T$1,T126,IF($A$1=$W$1,W126,IF($A$1=$Z$1,Z126,IF($A$1=$AC$1,AC126,IF($A$1=$AF$1,AF126,IF($A$1=$AI$1,AI126))))))))))))</f>
        <v/>
      </c>
      <c r="AP126" s="44">
        <f>IF($A$1=$B$1,C126,IF($A$1=$E$1,F126,IF($A$1=$H$1,I126,IF($A$1=$K$1,L126,IF($A$1=$N$1,O126,IF($A$1=$Q$1,R126,IF($A$1=$T$1,U126,IF($A$1=$W$1,X126,IF($A$1=$Z$1,AA126,IF($A$1=$AC$1,AD126,IF($A$1=$AF$1,AG126,IF($A$1=$AI$1,AJ126))))))))))))</f>
        <v/>
      </c>
    </row>
    <row r="127" ht="15.5" customFormat="1" customHeight="1" s="13">
      <c r="A127" s="26" t="inlineStr">
        <is>
          <t xml:space="preserve">ISM </t>
        </is>
      </c>
      <c r="B127" s="12">
        <f>B116/B10</f>
        <v/>
      </c>
      <c r="C127" s="12">
        <f>C116/C10</f>
        <v/>
      </c>
      <c r="D127" s="41" t="n"/>
      <c r="E127" s="12">
        <f>E116/E10</f>
        <v/>
      </c>
      <c r="F127" s="12">
        <f>F116/F10</f>
        <v/>
      </c>
      <c r="G127" s="41" t="n"/>
      <c r="H127" s="12">
        <f>H116/H10</f>
        <v/>
      </c>
      <c r="I127" s="12">
        <f>I116/I10</f>
        <v/>
      </c>
      <c r="J127" s="41" t="n"/>
      <c r="K127" s="12">
        <f>K116/K10</f>
        <v/>
      </c>
      <c r="L127" s="12">
        <f>L116/L10</f>
        <v/>
      </c>
      <c r="M127" s="41" t="n"/>
      <c r="N127" s="12">
        <f>N116/N10</f>
        <v/>
      </c>
      <c r="O127" s="12">
        <f>O116/O10</f>
        <v/>
      </c>
      <c r="P127" s="41" t="n"/>
      <c r="Q127" s="12">
        <f>Q116/Q10</f>
        <v/>
      </c>
      <c r="R127" s="12">
        <f>R116/R10</f>
        <v/>
      </c>
      <c r="S127" s="41" t="n"/>
      <c r="T127" s="12">
        <f>T116/T10</f>
        <v/>
      </c>
      <c r="U127" s="12">
        <f>U116/U10</f>
        <v/>
      </c>
      <c r="V127" s="41" t="n"/>
      <c r="W127" s="12">
        <f>W116/W10</f>
        <v/>
      </c>
      <c r="X127" s="12">
        <f>X116/X10</f>
        <v/>
      </c>
      <c r="Y127" s="41" t="n"/>
      <c r="Z127" s="12">
        <f>Z116/Z10</f>
        <v/>
      </c>
      <c r="AA127" s="12">
        <f>AA116/AA10</f>
        <v/>
      </c>
      <c r="AB127" s="41" t="n"/>
      <c r="AC127" s="12">
        <f>AC116/AC10</f>
        <v/>
      </c>
      <c r="AD127" s="12">
        <f>AD116/AD10</f>
        <v/>
      </c>
      <c r="AE127" s="41" t="n"/>
      <c r="AF127" s="12">
        <f>AF116/AF10</f>
        <v/>
      </c>
      <c r="AG127" s="12">
        <f>AG116/AG10</f>
        <v/>
      </c>
      <c r="AH127" s="41" t="n"/>
      <c r="AI127" s="12">
        <f>AI116/AI10</f>
        <v/>
      </c>
      <c r="AJ127" s="12">
        <f>AJ116/AJ10</f>
        <v/>
      </c>
      <c r="AK127" s="41" t="n"/>
      <c r="AL127" s="15" t="n"/>
      <c r="AM127" s="22">
        <f>AP127-AO127</f>
        <v/>
      </c>
      <c r="AO127" s="44">
        <f>IF($A$1=$B$1,B127,IF($A$1=$E$1,E127,IF($A$1=$H$1,H127,IF($A$1=$K$1,K127,IF($A$1=$N$1,N127,IF($A$1=$Q$1,Q127,IF($A$1=$T$1,T127,IF($A$1=$W$1,W127,IF($A$1=$Z$1,Z127,IF($A$1=$AC$1,AC127,IF($A$1=$AF$1,AF127,IF($A$1=$AI$1,AI127))))))))))))</f>
        <v/>
      </c>
      <c r="AP127" s="44">
        <f>IF($A$1=$B$1,C127,IF($A$1=$E$1,F127,IF($A$1=$H$1,I127,IF($A$1=$K$1,L127,IF($A$1=$N$1,O127,IF($A$1=$Q$1,R127,IF($A$1=$T$1,U127,IF($A$1=$W$1,X127,IF($A$1=$Z$1,AA127,IF($A$1=$AC$1,AD127,IF($A$1=$AF$1,AG127,IF($A$1=$AI$1,AJ127))))))))))))</f>
        <v/>
      </c>
    </row>
    <row r="128" ht="15.5" customFormat="1" customHeight="1" s="13">
      <c r="A128" s="26" t="inlineStr">
        <is>
          <t>İncitaş</t>
        </is>
      </c>
      <c r="B128" s="12">
        <f>B117/B11</f>
        <v/>
      </c>
      <c r="C128" s="12">
        <f>C117/C11</f>
        <v/>
      </c>
      <c r="D128" s="41" t="n"/>
      <c r="E128" s="12">
        <f>E117/E11</f>
        <v/>
      </c>
      <c r="F128" s="12">
        <f>F117/F11</f>
        <v/>
      </c>
      <c r="G128" s="41" t="n"/>
      <c r="H128" s="12">
        <f>H117/H11</f>
        <v/>
      </c>
      <c r="I128" s="12">
        <f>I117/I11</f>
        <v/>
      </c>
      <c r="J128" s="41" t="n"/>
      <c r="K128" s="12">
        <f>K117/K11</f>
        <v/>
      </c>
      <c r="L128" s="12">
        <f>L117/L11</f>
        <v/>
      </c>
      <c r="M128" s="41" t="n"/>
      <c r="N128" s="12">
        <f>N117/N11</f>
        <v/>
      </c>
      <c r="O128" s="12">
        <f>O117/O11</f>
        <v/>
      </c>
      <c r="P128" s="41" t="n"/>
      <c r="Q128" s="12">
        <f>Q117/Q11</f>
        <v/>
      </c>
      <c r="R128" s="12">
        <f>R117/R11</f>
        <v/>
      </c>
      <c r="S128" s="41" t="n"/>
      <c r="T128" s="12">
        <f>T117/T11</f>
        <v/>
      </c>
      <c r="U128" s="12">
        <f>U117/U11</f>
        <v/>
      </c>
      <c r="V128" s="41" t="n"/>
      <c r="W128" s="12">
        <f>W117/W11</f>
        <v/>
      </c>
      <c r="X128" s="12">
        <f>X117/X11</f>
        <v/>
      </c>
      <c r="Y128" s="41" t="n"/>
      <c r="Z128" s="12">
        <f>Z117/Z11</f>
        <v/>
      </c>
      <c r="AA128" s="12">
        <f>AA117/AA11</f>
        <v/>
      </c>
      <c r="AB128" s="41" t="n"/>
      <c r="AC128" s="12">
        <f>AC117/AC11</f>
        <v/>
      </c>
      <c r="AD128" s="12">
        <f>AD117/AD11</f>
        <v/>
      </c>
      <c r="AE128" s="41" t="n"/>
      <c r="AF128" s="12">
        <f>AF117/AF11</f>
        <v/>
      </c>
      <c r="AG128" s="12">
        <f>AG117/AG11</f>
        <v/>
      </c>
      <c r="AH128" s="41" t="n"/>
      <c r="AI128" s="12">
        <f>AI117/AI11</f>
        <v/>
      </c>
      <c r="AJ128" s="12">
        <f>AJ117/AJ11</f>
        <v/>
      </c>
      <c r="AK128" s="41" t="n"/>
      <c r="AL128" s="15" t="n"/>
      <c r="AM128" s="22">
        <f>AP128-AO128</f>
        <v/>
      </c>
      <c r="AO128" s="44">
        <f>IF($A$1=$B$1,B128,IF($A$1=$E$1,E128,IF($A$1=$H$1,H128,IF($A$1=$K$1,K128,IF($A$1=$N$1,N128,IF($A$1=$Q$1,Q128,IF($A$1=$T$1,T128,IF($A$1=$W$1,W128,IF($A$1=$Z$1,Z128,IF($A$1=$AC$1,AC128,IF($A$1=$AF$1,AF128,IF($A$1=$AI$1,AI128))))))))))))</f>
        <v/>
      </c>
      <c r="AP128" s="44">
        <f>IF($A$1=$B$1,C128,IF($A$1=$E$1,F128,IF($A$1=$H$1,I128,IF($A$1=$K$1,L128,IF($A$1=$N$1,O128,IF($A$1=$Q$1,R128,IF($A$1=$T$1,U128,IF($A$1=$W$1,X128,IF($A$1=$Z$1,AA128,IF($A$1=$AC$1,AD128,IF($A$1=$AF$1,AG128,IF($A$1=$AI$1,AJ128))))))))))))</f>
        <v/>
      </c>
    </row>
    <row r="129" ht="15.5" customFormat="1" customHeight="1" s="13">
      <c r="A129" s="26" t="inlineStr">
        <is>
          <t>İnci GS Yuasa</t>
        </is>
      </c>
      <c r="B129" s="12">
        <f>B118/B12</f>
        <v/>
      </c>
      <c r="C129" s="12">
        <f>C118/C12</f>
        <v/>
      </c>
      <c r="D129" s="41" t="n"/>
      <c r="E129" s="12">
        <f>E118/E12</f>
        <v/>
      </c>
      <c r="F129" s="12">
        <f>F118/F12</f>
        <v/>
      </c>
      <c r="G129" s="41" t="n"/>
      <c r="H129" s="12">
        <f>H118/H12</f>
        <v/>
      </c>
      <c r="I129" s="12">
        <f>I118/I12</f>
        <v/>
      </c>
      <c r="J129" s="41" t="n"/>
      <c r="K129" s="12">
        <f>K118/K12</f>
        <v/>
      </c>
      <c r="L129" s="12">
        <f>L118/L12</f>
        <v/>
      </c>
      <c r="M129" s="41" t="n"/>
      <c r="N129" s="12">
        <f>N118/N12</f>
        <v/>
      </c>
      <c r="O129" s="12">
        <f>O118/O12</f>
        <v/>
      </c>
      <c r="P129" s="41" t="n"/>
      <c r="Q129" s="12">
        <f>Q118/Q12</f>
        <v/>
      </c>
      <c r="R129" s="12">
        <f>R118/R12</f>
        <v/>
      </c>
      <c r="S129" s="41" t="n"/>
      <c r="T129" s="12">
        <f>T118/T12</f>
        <v/>
      </c>
      <c r="U129" s="12">
        <f>U118/U12</f>
        <v/>
      </c>
      <c r="V129" s="41" t="n"/>
      <c r="W129" s="12">
        <f>W118/W12</f>
        <v/>
      </c>
      <c r="X129" s="12">
        <f>X118/X12</f>
        <v/>
      </c>
      <c r="Y129" s="41" t="n"/>
      <c r="Z129" s="12">
        <f>Z118/Z12</f>
        <v/>
      </c>
      <c r="AA129" s="12">
        <f>AA118/AA12</f>
        <v/>
      </c>
      <c r="AB129" s="41" t="n"/>
      <c r="AC129" s="12">
        <f>AC118/AC12</f>
        <v/>
      </c>
      <c r="AD129" s="12">
        <f>AD118/AD12</f>
        <v/>
      </c>
      <c r="AE129" s="41" t="n"/>
      <c r="AF129" s="12">
        <f>AF118/AF12</f>
        <v/>
      </c>
      <c r="AG129" s="12">
        <f>AG118/AG12</f>
        <v/>
      </c>
      <c r="AH129" s="41" t="n"/>
      <c r="AI129" s="12">
        <f>AI118/AI12</f>
        <v/>
      </c>
      <c r="AJ129" s="12">
        <f>AJ118/AJ12</f>
        <v/>
      </c>
      <c r="AK129" s="41" t="n"/>
      <c r="AL129" s="15" t="n"/>
      <c r="AM129" s="22">
        <f>AP129-AO129</f>
        <v/>
      </c>
      <c r="AO129" s="44">
        <f>IF($A$1=$B$1,B129,IF($A$1=$E$1,E129,IF($A$1=$H$1,H129,IF($A$1=$K$1,K129,IF($A$1=$N$1,N129,IF($A$1=$Q$1,Q129,IF($A$1=$T$1,T129,IF($A$1=$W$1,W129,IF($A$1=$Z$1,Z129,IF($A$1=$AC$1,AC129,IF($A$1=$AF$1,AF129,IF($A$1=$AI$1,AI129))))))))))))</f>
        <v/>
      </c>
      <c r="AP129" s="44">
        <f>IF($A$1=$B$1,C129,IF($A$1=$E$1,F129,IF($A$1=$H$1,I129,IF($A$1=$K$1,L129,IF($A$1=$N$1,O129,IF($A$1=$Q$1,R129,IF($A$1=$T$1,U129,IF($A$1=$W$1,X129,IF($A$1=$Z$1,AA129,IF($A$1=$AC$1,AD129,IF($A$1=$AF$1,AG129,IF($A$1=$AI$1,AJ129))))))))))))</f>
        <v/>
      </c>
    </row>
    <row r="130" ht="15.5" customFormat="1" customHeight="1" s="13">
      <c r="A130" s="26" t="inlineStr">
        <is>
          <t>Yusen İnci Loj.</t>
        </is>
      </c>
      <c r="B130" s="12">
        <f>B119/B13</f>
        <v/>
      </c>
      <c r="C130" s="12">
        <f>C119/C13</f>
        <v/>
      </c>
      <c r="D130" s="41" t="n"/>
      <c r="E130" s="12">
        <f>E119/E13</f>
        <v/>
      </c>
      <c r="F130" s="12">
        <f>F119/F13</f>
        <v/>
      </c>
      <c r="G130" s="41" t="n"/>
      <c r="H130" s="12">
        <f>H119/H13</f>
        <v/>
      </c>
      <c r="I130" s="12">
        <f>I119/I13</f>
        <v/>
      </c>
      <c r="J130" s="41" t="n"/>
      <c r="K130" s="12">
        <f>K119/K13</f>
        <v/>
      </c>
      <c r="L130" s="12">
        <f>L119/L13</f>
        <v/>
      </c>
      <c r="M130" s="41" t="n"/>
      <c r="N130" s="12">
        <f>N119/N13</f>
        <v/>
      </c>
      <c r="O130" s="12">
        <f>O119/O13</f>
        <v/>
      </c>
      <c r="P130" s="41" t="n"/>
      <c r="Q130" s="12">
        <f>Q119/Q13</f>
        <v/>
      </c>
      <c r="R130" s="12">
        <f>R119/R13</f>
        <v/>
      </c>
      <c r="S130" s="41" t="n"/>
      <c r="T130" s="12">
        <f>T119/T13</f>
        <v/>
      </c>
      <c r="U130" s="12">
        <f>U119/U13</f>
        <v/>
      </c>
      <c r="V130" s="41" t="n"/>
      <c r="W130" s="12">
        <f>W119/W13</f>
        <v/>
      </c>
      <c r="X130" s="12">
        <f>X119/X13</f>
        <v/>
      </c>
      <c r="Y130" s="41" t="n"/>
      <c r="Z130" s="12">
        <f>Z119/Z13</f>
        <v/>
      </c>
      <c r="AA130" s="12">
        <f>AA119/AA13</f>
        <v/>
      </c>
      <c r="AB130" s="41" t="n"/>
      <c r="AC130" s="12">
        <f>AC119/AC13</f>
        <v/>
      </c>
      <c r="AD130" s="12">
        <f>AD119/AD13</f>
        <v/>
      </c>
      <c r="AE130" s="41" t="n"/>
      <c r="AF130" s="12">
        <f>AF119/AF13</f>
        <v/>
      </c>
      <c r="AG130" s="12">
        <f>AG119/AG13</f>
        <v/>
      </c>
      <c r="AH130" s="41" t="n"/>
      <c r="AI130" s="12">
        <f>AI119/AI13</f>
        <v/>
      </c>
      <c r="AJ130" s="12">
        <f>AJ119/AJ13</f>
        <v/>
      </c>
      <c r="AK130" s="41" t="n"/>
      <c r="AL130" s="15" t="n"/>
      <c r="AM130" s="22">
        <f>AP130-AO130</f>
        <v/>
      </c>
      <c r="AO130" s="44">
        <f>IF($A$1=$B$1,B130,IF($A$1=$E$1,E130,IF($A$1=$H$1,H130,IF($A$1=$K$1,K130,IF($A$1=$N$1,N130,IF($A$1=$Q$1,Q130,IF($A$1=$T$1,T130,IF($A$1=$W$1,W130,IF($A$1=$Z$1,Z130,IF($A$1=$AC$1,AC130,IF($A$1=$AF$1,AF130,IF($A$1=$AI$1,AI130))))))))))))</f>
        <v/>
      </c>
      <c r="AP130" s="44">
        <f>IF($A$1=$B$1,C130,IF($A$1=$E$1,F130,IF($A$1=$H$1,I130,IF($A$1=$K$1,L130,IF($A$1=$N$1,O130,IF($A$1=$Q$1,R130,IF($A$1=$T$1,U130,IF($A$1=$W$1,X130,IF($A$1=$Z$1,AA130,IF($A$1=$AC$1,AD130,IF($A$1=$AF$1,AG130,IF($A$1=$AI$1,AJ130))))))))))))</f>
        <v/>
      </c>
    </row>
    <row r="131" ht="15.5" customFormat="1" customHeight="1" s="13">
      <c r="A131" s="26" t="inlineStr">
        <is>
          <t>Jantaş</t>
        </is>
      </c>
      <c r="B131" s="12">
        <f>B120/B14</f>
        <v/>
      </c>
      <c r="C131" s="12">
        <f>C120/C14</f>
        <v/>
      </c>
      <c r="D131" s="41" t="n"/>
      <c r="E131" s="12">
        <f>E120/E14</f>
        <v/>
      </c>
      <c r="F131" s="12">
        <f>F120/F14</f>
        <v/>
      </c>
      <c r="G131" s="41" t="n"/>
      <c r="H131" s="12">
        <f>H120/H14</f>
        <v/>
      </c>
      <c r="I131" s="12">
        <f>I120/I14</f>
        <v/>
      </c>
      <c r="J131" s="41" t="n"/>
      <c r="K131" s="12">
        <f>K120/K14</f>
        <v/>
      </c>
      <c r="L131" s="12">
        <f>L120/L14</f>
        <v/>
      </c>
      <c r="M131" s="41" t="n"/>
      <c r="N131" s="12">
        <f>N120/N14</f>
        <v/>
      </c>
      <c r="O131" s="12">
        <f>O120/O14</f>
        <v/>
      </c>
      <c r="P131" s="41" t="n"/>
      <c r="Q131" s="12">
        <f>Q120/Q14</f>
        <v/>
      </c>
      <c r="R131" s="12">
        <f>R120/R14</f>
        <v/>
      </c>
      <c r="S131" s="41" t="n"/>
      <c r="T131" s="12">
        <f>T120/T14</f>
        <v/>
      </c>
      <c r="U131" s="12">
        <f>U120/U14</f>
        <v/>
      </c>
      <c r="V131" s="41" t="n"/>
      <c r="W131" s="12">
        <f>W120/W14</f>
        <v/>
      </c>
      <c r="X131" s="12">
        <f>X120/X14</f>
        <v/>
      </c>
      <c r="Y131" s="41" t="n"/>
      <c r="Z131" s="12">
        <f>Z120/Z14</f>
        <v/>
      </c>
      <c r="AA131" s="12">
        <f>AA120/AA14</f>
        <v/>
      </c>
      <c r="AB131" s="41" t="n"/>
      <c r="AC131" s="12">
        <f>AC120/AC14</f>
        <v/>
      </c>
      <c r="AD131" s="12">
        <f>AD120/AD14</f>
        <v/>
      </c>
      <c r="AE131" s="41" t="n"/>
      <c r="AF131" s="12">
        <f>AF120/AF14</f>
        <v/>
      </c>
      <c r="AG131" s="12">
        <f>AG120/AG14</f>
        <v/>
      </c>
      <c r="AH131" s="41" t="n"/>
      <c r="AI131" s="12">
        <f>AI120/AI14</f>
        <v/>
      </c>
      <c r="AJ131" s="12">
        <f>AJ120/AJ14</f>
        <v/>
      </c>
      <c r="AK131" s="41" t="n"/>
      <c r="AL131" s="15" t="n"/>
      <c r="AM131" s="22">
        <f>AP131-AO131</f>
        <v/>
      </c>
      <c r="AO131" s="44">
        <f>IF($A$1=$B$1,B131,IF($A$1=$E$1,E131,IF($A$1=$H$1,H131,IF($A$1=$K$1,K131,IF($A$1=$N$1,N131,IF($A$1=$Q$1,Q131,IF($A$1=$T$1,T131,IF($A$1=$W$1,W131,IF($A$1=$Z$1,Z131,IF($A$1=$AC$1,AC131,IF($A$1=$AF$1,AF131,IF($A$1=$AI$1,AI131))))))))))))</f>
        <v/>
      </c>
      <c r="AP131" s="44">
        <f>IF($A$1=$B$1,C131,IF($A$1=$E$1,F131,IF($A$1=$H$1,I131,IF($A$1=$K$1,L131,IF($A$1=$N$1,O131,IF($A$1=$Q$1,R131,IF($A$1=$T$1,U131,IF($A$1=$W$1,X131,IF($A$1=$Z$1,AA131,IF($A$1=$AC$1,AD131,IF($A$1=$AF$1,AG131,IF($A$1=$AI$1,AJ131))))))))))))</f>
        <v/>
      </c>
    </row>
    <row r="132" ht="15.5" customFormat="1" customHeight="1" s="13">
      <c r="A132" s="26" t="inlineStr">
        <is>
          <t>Çelik</t>
        </is>
      </c>
      <c r="B132" s="12">
        <f>B121/B15</f>
        <v/>
      </c>
      <c r="C132" s="12">
        <f>C121/C15</f>
        <v/>
      </c>
      <c r="D132" s="41" t="n"/>
      <c r="E132" s="12">
        <f>E121/E15</f>
        <v/>
      </c>
      <c r="F132" s="12">
        <f>F121/F15</f>
        <v/>
      </c>
      <c r="G132" s="41" t="n"/>
      <c r="H132" s="12">
        <f>H121/H15</f>
        <v/>
      </c>
      <c r="I132" s="12">
        <f>I121/I15</f>
        <v/>
      </c>
      <c r="J132" s="41" t="n"/>
      <c r="K132" s="12">
        <f>K121/K15</f>
        <v/>
      </c>
      <c r="L132" s="12">
        <f>L121/L15</f>
        <v/>
      </c>
      <c r="M132" s="41" t="n"/>
      <c r="N132" s="12">
        <f>N121/N15</f>
        <v/>
      </c>
      <c r="O132" s="12">
        <f>O121/O15</f>
        <v/>
      </c>
      <c r="P132" s="41" t="n"/>
      <c r="Q132" s="12">
        <f>Q121/Q15</f>
        <v/>
      </c>
      <c r="R132" s="12">
        <f>R121/R15</f>
        <v/>
      </c>
      <c r="S132" s="41" t="n"/>
      <c r="T132" s="12">
        <f>T121/T15</f>
        <v/>
      </c>
      <c r="U132" s="12">
        <f>U121/U15</f>
        <v/>
      </c>
      <c r="V132" s="41" t="n"/>
      <c r="W132" s="12">
        <f>W121/W15</f>
        <v/>
      </c>
      <c r="X132" s="12">
        <f>X121/X15</f>
        <v/>
      </c>
      <c r="Y132" s="41" t="n"/>
      <c r="Z132" s="12">
        <f>Z121/Z15</f>
        <v/>
      </c>
      <c r="AA132" s="12">
        <f>AA121/AA15</f>
        <v/>
      </c>
      <c r="AB132" s="41" t="n"/>
      <c r="AC132" s="12">
        <f>AC121/AC15</f>
        <v/>
      </c>
      <c r="AD132" s="12">
        <f>AD121/AD15</f>
        <v/>
      </c>
      <c r="AE132" s="41" t="n"/>
      <c r="AF132" s="12">
        <f>AF121/AF15</f>
        <v/>
      </c>
      <c r="AG132" s="12">
        <f>AG121/AG15</f>
        <v/>
      </c>
      <c r="AH132" s="41" t="n"/>
      <c r="AI132" s="12">
        <f>AI121/AI15</f>
        <v/>
      </c>
      <c r="AJ132" s="12">
        <f>AJ121/AJ15</f>
        <v/>
      </c>
      <c r="AK132" s="41" t="n"/>
      <c r="AL132" s="15" t="n"/>
      <c r="AM132" s="22">
        <f>AP132-AO132</f>
        <v/>
      </c>
      <c r="AO132" s="44">
        <f>IF($A$1=$B$1,B132,IF($A$1=$E$1,E132,IF($A$1=$H$1,H132,IF($A$1=$K$1,K132,IF($A$1=$N$1,N132,IF($A$1=$Q$1,Q132,IF($A$1=$T$1,T132,IF($A$1=$W$1,W132,IF($A$1=$Z$1,Z132,IF($A$1=$AC$1,AC132,IF($A$1=$AF$1,AF132,IF($A$1=$AI$1,AI132))))))))))))</f>
        <v/>
      </c>
      <c r="AP132" s="44">
        <f>IF($A$1=$B$1,C132,IF($A$1=$E$1,F132,IF($A$1=$H$1,I132,IF($A$1=$K$1,L132,IF($A$1=$N$1,O132,IF($A$1=$Q$1,R132,IF($A$1=$T$1,U132,IF($A$1=$W$1,X132,IF($A$1=$Z$1,AA132,IF($A$1=$AC$1,AD132,IF($A$1=$AF$1,AG132,IF($A$1=$AI$1,AJ132))))))))))))</f>
        <v/>
      </c>
    </row>
    <row r="133" ht="15.5" customFormat="1" customHeight="1" s="13">
      <c r="A133" s="26" t="inlineStr">
        <is>
          <t>Alüminyum</t>
        </is>
      </c>
      <c r="B133" s="12">
        <f>B122/B16</f>
        <v/>
      </c>
      <c r="C133" s="12">
        <f>C122/C16</f>
        <v/>
      </c>
      <c r="D133" s="41" t="n"/>
      <c r="E133" s="12">
        <f>E122/E16</f>
        <v/>
      </c>
      <c r="F133" s="12">
        <f>F122/F16</f>
        <v/>
      </c>
      <c r="G133" s="41" t="n"/>
      <c r="H133" s="12">
        <f>H122/H16</f>
        <v/>
      </c>
      <c r="I133" s="12">
        <f>I122/I16</f>
        <v/>
      </c>
      <c r="J133" s="41" t="n"/>
      <c r="K133" s="12">
        <f>K122/K16</f>
        <v/>
      </c>
      <c r="L133" s="12">
        <f>L122/L16</f>
        <v/>
      </c>
      <c r="M133" s="41" t="n"/>
      <c r="N133" s="12">
        <f>N122/N16</f>
        <v/>
      </c>
      <c r="O133" s="12">
        <f>O122/O16</f>
        <v/>
      </c>
      <c r="P133" s="41" t="n"/>
      <c r="Q133" s="12">
        <f>Q122/Q16</f>
        <v/>
      </c>
      <c r="R133" s="12">
        <f>R122/R16</f>
        <v/>
      </c>
      <c r="S133" s="41" t="n"/>
      <c r="T133" s="12">
        <f>T122/T16</f>
        <v/>
      </c>
      <c r="U133" s="12">
        <f>U122/U16</f>
        <v/>
      </c>
      <c r="V133" s="41" t="n"/>
      <c r="W133" s="12">
        <f>W122/W16</f>
        <v/>
      </c>
      <c r="X133" s="12">
        <f>X122/X16</f>
        <v/>
      </c>
      <c r="Y133" s="41" t="n"/>
      <c r="Z133" s="12">
        <f>Z122/Z16</f>
        <v/>
      </c>
      <c r="AA133" s="12">
        <f>AA122/AA16</f>
        <v/>
      </c>
      <c r="AB133" s="41" t="n"/>
      <c r="AC133" s="12">
        <f>AC122/AC16</f>
        <v/>
      </c>
      <c r="AD133" s="12">
        <f>AD122/AD16</f>
        <v/>
      </c>
      <c r="AE133" s="41" t="n"/>
      <c r="AF133" s="12">
        <f>AF122/AF16</f>
        <v/>
      </c>
      <c r="AG133" s="12">
        <f>AG122/AG16</f>
        <v/>
      </c>
      <c r="AH133" s="41" t="n"/>
      <c r="AI133" s="12">
        <f>AI122/AI16</f>
        <v/>
      </c>
      <c r="AJ133" s="12">
        <f>AJ122/AJ16</f>
        <v/>
      </c>
      <c r="AK133" s="41" t="n"/>
      <c r="AL133" s="15" t="n"/>
      <c r="AM133" s="22">
        <f>AP133-AO133</f>
        <v/>
      </c>
      <c r="AO133" s="44">
        <f>IF($A$1=$B$1,B133,IF($A$1=$E$1,E133,IF($A$1=$H$1,H133,IF($A$1=$K$1,K133,IF($A$1=$N$1,N133,IF($A$1=$Q$1,Q133,IF($A$1=$T$1,T133,IF($A$1=$W$1,W133,IF($A$1=$Z$1,Z133,IF($A$1=$AC$1,AC133,IF($A$1=$AF$1,AF133,IF($A$1=$AI$1,AI133))))))))))))</f>
        <v/>
      </c>
      <c r="AP133" s="44">
        <f>IF($A$1=$B$1,C133,IF($A$1=$E$1,F133,IF($A$1=$H$1,I133,IF($A$1=$K$1,L133,IF($A$1=$N$1,O133,IF($A$1=$Q$1,R133,IF($A$1=$T$1,U133,IF($A$1=$W$1,X133,IF($A$1=$Z$1,AA133,IF($A$1=$AC$1,AD133,IF($A$1=$AF$1,AG133,IF($A$1=$AI$1,AJ133))))))))))))</f>
        <v/>
      </c>
    </row>
    <row r="134" ht="15.5" customFormat="1" customHeight="1" s="13">
      <c r="A134" s="26" t="n"/>
      <c r="B134" s="12" t="n"/>
      <c r="C134" s="30" t="n"/>
      <c r="D134" s="41" t="n"/>
      <c r="E134" s="12" t="n"/>
      <c r="F134" s="30" t="n"/>
      <c r="G134" s="41" t="n"/>
      <c r="H134" s="12" t="n"/>
      <c r="I134" s="30" t="n"/>
      <c r="J134" s="41" t="n"/>
      <c r="K134" s="12" t="n"/>
      <c r="L134" s="30" t="n"/>
      <c r="M134" s="41" t="n"/>
      <c r="N134" s="12" t="n"/>
      <c r="O134" s="30" t="n"/>
      <c r="P134" s="41" t="n"/>
      <c r="Q134" s="12" t="n"/>
      <c r="R134" s="30" t="n"/>
      <c r="S134" s="41" t="n"/>
      <c r="T134" s="12" t="n"/>
      <c r="U134" s="30" t="n"/>
      <c r="V134" s="41" t="n"/>
      <c r="W134" s="12" t="n"/>
      <c r="X134" s="30" t="n"/>
      <c r="Y134" s="41" t="n"/>
      <c r="Z134" s="12" t="n"/>
      <c r="AA134" s="30" t="n"/>
      <c r="AB134" s="41" t="n"/>
      <c r="AC134" s="12" t="n"/>
      <c r="AD134" s="30" t="n"/>
      <c r="AE134" s="41" t="n"/>
      <c r="AF134" s="12" t="n"/>
      <c r="AG134" s="30" t="n"/>
      <c r="AH134" s="41" t="n"/>
      <c r="AI134" s="12" t="n"/>
      <c r="AJ134" s="30" t="n"/>
      <c r="AK134" s="41" t="n"/>
      <c r="AL134" s="15" t="n"/>
      <c r="AM134" s="22" t="n"/>
      <c r="AO134" s="44" t="n"/>
      <c r="AP134" s="44" t="n"/>
    </row>
    <row r="135" ht="15.5" customFormat="1" customHeight="1" s="13">
      <c r="A135" s="26" t="n"/>
      <c r="B135" s="12" t="n"/>
      <c r="C135" s="30" t="n"/>
      <c r="D135" s="41" t="n"/>
      <c r="E135" s="12" t="n"/>
      <c r="F135" s="30" t="n"/>
      <c r="G135" s="41" t="n"/>
      <c r="H135" s="12" t="n"/>
      <c r="I135" s="30" t="n"/>
      <c r="J135" s="41" t="n"/>
      <c r="K135" s="12" t="n"/>
      <c r="L135" s="30" t="n"/>
      <c r="M135" s="41" t="n"/>
      <c r="N135" s="12" t="n"/>
      <c r="O135" s="30" t="n"/>
      <c r="P135" s="41" t="n"/>
      <c r="Q135" s="12" t="n"/>
      <c r="R135" s="30" t="n"/>
      <c r="S135" s="41" t="n"/>
      <c r="T135" s="12" t="n"/>
      <c r="U135" s="30" t="n"/>
      <c r="V135" s="41" t="n"/>
      <c r="W135" s="12" t="n"/>
      <c r="X135" s="30" t="n"/>
      <c r="Y135" s="41" t="n"/>
      <c r="Z135" s="12" t="n"/>
      <c r="AA135" s="30" t="n"/>
      <c r="AB135" s="41" t="n"/>
      <c r="AC135" s="12" t="n"/>
      <c r="AD135" s="30" t="n"/>
      <c r="AE135" s="41" t="n"/>
      <c r="AF135" s="12" t="n"/>
      <c r="AG135" s="30" t="n"/>
      <c r="AH135" s="41" t="n"/>
      <c r="AI135" s="12" t="n"/>
      <c r="AJ135" s="30" t="n"/>
      <c r="AK135" s="41" t="n"/>
      <c r="AL135" s="15" t="n"/>
      <c r="AM135" s="22" t="n"/>
      <c r="AO135" s="44" t="n"/>
      <c r="AP135" s="44" t="n"/>
    </row>
    <row r="136" ht="15.5" customFormat="1" customHeight="1" s="44">
      <c r="A136" s="31" t="inlineStr">
        <is>
          <t>EBİTDA</t>
        </is>
      </c>
      <c r="B136" s="32">
        <f>'A -Döviz'!B136</f>
        <v/>
      </c>
      <c r="C136" s="32">
        <f>'A -Döviz'!C136</f>
        <v/>
      </c>
      <c r="D136" s="18" t="n"/>
      <c r="E136" s="32">
        <f>B136+'A -Döviz'!E136</f>
        <v/>
      </c>
      <c r="F136" s="32">
        <f>C136+'A -Döviz'!F136</f>
        <v/>
      </c>
      <c r="G136" s="18" t="n"/>
      <c r="H136" s="32">
        <f>E136+'A -Döviz'!H136</f>
        <v/>
      </c>
      <c r="I136" s="32">
        <f>F136+'A -Döviz'!I136</f>
        <v/>
      </c>
      <c r="J136" s="18">
        <f>I136-H136</f>
        <v/>
      </c>
      <c r="K136" s="32">
        <f>H136+'A -Döviz'!K136</f>
        <v/>
      </c>
      <c r="L136" s="32">
        <f>I136+'A -Döviz'!L136</f>
        <v/>
      </c>
      <c r="M136" s="18" t="n"/>
      <c r="N136" s="32">
        <f>K136+'A -Döviz'!N136</f>
        <v/>
      </c>
      <c r="O136" s="32">
        <f>L136+'A -Döviz'!O136</f>
        <v/>
      </c>
      <c r="P136" s="18" t="n"/>
      <c r="Q136" s="32">
        <f>N136+'A -Döviz'!Q136</f>
        <v/>
      </c>
      <c r="R136" s="32">
        <f>O136+'A -Döviz'!R136</f>
        <v/>
      </c>
      <c r="S136" s="18" t="n"/>
      <c r="T136" s="32">
        <f>Q136+'A -Döviz'!T136</f>
        <v/>
      </c>
      <c r="U136" s="32">
        <f>R136+'A -Döviz'!U136</f>
        <v/>
      </c>
      <c r="V136" s="18" t="n"/>
      <c r="W136" s="32">
        <f>T136+'A -Döviz'!W136</f>
        <v/>
      </c>
      <c r="X136" s="32">
        <f>U136+'A -Döviz'!X136</f>
        <v/>
      </c>
      <c r="Y136" s="18" t="n"/>
      <c r="Z136" s="32">
        <f>W136+'A -Döviz'!Z136</f>
        <v/>
      </c>
      <c r="AA136" s="32">
        <f>X136+'A -Döviz'!AA136</f>
        <v/>
      </c>
      <c r="AB136" s="18" t="n"/>
      <c r="AC136" s="32">
        <f>Z136+'A -Döviz'!AC136</f>
        <v/>
      </c>
      <c r="AD136" s="32">
        <f>AA136+'A -Döviz'!AD136</f>
        <v/>
      </c>
      <c r="AE136" s="18" t="n"/>
      <c r="AF136" s="32">
        <f>AC136+'A -Döviz'!AF136</f>
        <v/>
      </c>
      <c r="AG136" s="32">
        <f>AD136+'A -Döviz'!AG136</f>
        <v/>
      </c>
      <c r="AH136" s="18" t="n"/>
      <c r="AI136" s="32">
        <f>AF136+'A -Döviz'!AI136</f>
        <v/>
      </c>
      <c r="AJ136" s="32">
        <f>AG136+'A -Döviz'!AJ136</f>
        <v/>
      </c>
      <c r="AK136" s="18" t="n"/>
      <c r="AL136" s="33">
        <f>AP136-AO136</f>
        <v/>
      </c>
      <c r="AM136" s="113">
        <f>AP136/AO136-1</f>
        <v/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/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/>
      </c>
    </row>
    <row r="137" ht="15.5" customFormat="1" customHeight="1" s="13">
      <c r="A137" s="27" t="n"/>
      <c r="B137" s="30" t="n"/>
      <c r="C137" s="30" t="n"/>
      <c r="D137" s="41" t="n"/>
      <c r="E137" s="469">
        <f>E136/E30</f>
        <v/>
      </c>
      <c r="F137" s="469">
        <f>F136/F30</f>
        <v/>
      </c>
      <c r="G137" s="41" t="n"/>
      <c r="H137" s="109">
        <f>H136/H30</f>
        <v/>
      </c>
      <c r="I137" s="109">
        <f>I136/I30</f>
        <v/>
      </c>
      <c r="J137" s="41" t="n"/>
      <c r="K137" s="109">
        <f>-K136/$K$6</f>
        <v/>
      </c>
      <c r="L137" s="109">
        <f>-L136/$L$6</f>
        <v/>
      </c>
      <c r="M137" s="41" t="n"/>
      <c r="N137" s="109">
        <f>-N136/$N$6</f>
        <v/>
      </c>
      <c r="O137" s="109">
        <f>-O136/$O$6</f>
        <v/>
      </c>
      <c r="P137" s="41" t="n"/>
      <c r="Q137" s="109">
        <f>-Q136/$Q$6</f>
        <v/>
      </c>
      <c r="R137" s="109">
        <f>-R136/$R$6</f>
        <v/>
      </c>
      <c r="S137" s="41" t="n"/>
      <c r="T137" s="469">
        <f>T136/T6</f>
        <v/>
      </c>
      <c r="U137" s="469">
        <f>U136/U6</f>
        <v/>
      </c>
      <c r="V137" s="41" t="n"/>
      <c r="W137" s="109">
        <f>-W136/$W$6</f>
        <v/>
      </c>
      <c r="X137" s="109">
        <f>-X136/$X$6</f>
        <v/>
      </c>
      <c r="Y137" s="41" t="n"/>
      <c r="Z137" s="109">
        <f>-Z136/$W$6</f>
        <v/>
      </c>
      <c r="AA137" s="109">
        <f>-AA136/$X$6</f>
        <v/>
      </c>
      <c r="AB137" s="41" t="n"/>
      <c r="AC137" s="469">
        <f>AC136/AC6</f>
        <v/>
      </c>
      <c r="AD137" s="469">
        <f>AD136/AD6</f>
        <v/>
      </c>
      <c r="AE137" s="41" t="n"/>
      <c r="AF137" s="469">
        <f>AF136/AF6</f>
        <v/>
      </c>
      <c r="AG137" s="469">
        <f>AG136/AG6</f>
        <v/>
      </c>
      <c r="AH137" s="41" t="n"/>
      <c r="AI137" s="469">
        <f>AI136/AI6</f>
        <v/>
      </c>
      <c r="AJ137" s="469">
        <f>AJ136/AJ6</f>
        <v/>
      </c>
      <c r="AK137" s="41" t="n"/>
      <c r="AL137" s="15" t="n"/>
      <c r="AM137" s="22" t="n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/>
      </c>
      <c r="AP137" s="44">
        <f>IF($A$1=$B$1,C137,IF($A$1=$E$1,F137,IF($A$1=$H$1,I137,IF($A$1=$K$1,L137,IF($A$1=$N$1,O137,IF($A$1=$Q$1,R137,IF($A$1=$T$1,U137,IF($A$1=$W$1,X137,IF($A$1=$Z$1,AA137,IF($A$1=$AC$1,AD137,IF($A$1=$AF$1,AG137,IF($A$1=$AI$1,AJ137))))))))))))</f>
        <v/>
      </c>
      <c r="AR137" s="295">
        <f>AC137-AD137</f>
        <v/>
      </c>
    </row>
    <row r="138" ht="17" customFormat="1" customHeight="1" s="49">
      <c r="A138" s="47" t="inlineStr">
        <is>
          <t>Ebitda by channels (100%)</t>
        </is>
      </c>
      <c r="B138" s="413" t="n"/>
      <c r="C138" s="413" t="n"/>
      <c r="D138" s="413" t="n"/>
      <c r="E138" s="413" t="n"/>
      <c r="F138" s="413" t="n"/>
      <c r="G138" s="413" t="n"/>
      <c r="H138" s="413" t="n"/>
      <c r="I138" s="413" t="n"/>
      <c r="J138" s="413" t="n"/>
      <c r="K138" s="413" t="n"/>
      <c r="L138" s="413" t="n"/>
      <c r="M138" s="413" t="n"/>
      <c r="N138" s="413" t="n"/>
      <c r="O138" s="474">
        <f>N137-O137</f>
        <v/>
      </c>
      <c r="P138" s="413" t="n"/>
      <c r="Q138" s="413" t="n"/>
      <c r="R138" s="413" t="n"/>
      <c r="S138" s="413" t="n"/>
      <c r="T138" s="413" t="n"/>
      <c r="U138" s="413" t="n"/>
      <c r="V138" s="413" t="n"/>
      <c r="W138" s="413" t="n"/>
      <c r="X138" s="413" t="n"/>
      <c r="Y138" s="413" t="n"/>
      <c r="Z138" s="413" t="n"/>
      <c r="AA138" s="413" t="n"/>
      <c r="AB138" s="413" t="n"/>
      <c r="AC138" s="413" t="n"/>
      <c r="AD138" s="413" t="n"/>
      <c r="AE138" s="413" t="n"/>
      <c r="AF138" s="413" t="n"/>
      <c r="AG138" s="413" t="n"/>
      <c r="AH138" s="413" t="n"/>
      <c r="AI138" s="413" t="n"/>
      <c r="AJ138" s="413" t="n"/>
      <c r="AK138" s="413" t="n"/>
      <c r="AL138" s="413" t="n"/>
      <c r="AM138" s="48" t="n"/>
      <c r="AR138" s="110">
        <f>SUM(AR139:AR146)</f>
        <v/>
      </c>
      <c r="AS138" s="110">
        <f>SUM(AS139:AS146)</f>
        <v/>
      </c>
    </row>
    <row r="139" ht="15.5" customHeight="1">
      <c r="A139" s="26" t="inlineStr">
        <is>
          <t xml:space="preserve">İnci Holding </t>
        </is>
      </c>
      <c r="B139" s="7">
        <f>'A -Döviz'!B139</f>
        <v/>
      </c>
      <c r="C139" s="7">
        <f>'A -Döviz'!C139</f>
        <v/>
      </c>
      <c r="D139" s="7" t="n"/>
      <c r="E139" s="7">
        <f>B139+'A -Döviz'!E139</f>
        <v/>
      </c>
      <c r="F139" s="7">
        <f>C139+'A -Döviz'!F139</f>
        <v/>
      </c>
      <c r="G139" s="7" t="n"/>
      <c r="H139" s="7">
        <f>E139+'A -Döviz'!H139</f>
        <v/>
      </c>
      <c r="I139" s="7">
        <f>F139+'A -Döviz'!I139</f>
        <v/>
      </c>
      <c r="J139" s="7" t="n"/>
      <c r="K139" s="7">
        <f>H139+'A -Döviz'!K139</f>
        <v/>
      </c>
      <c r="L139" s="7">
        <f>I139+'A -Döviz'!L139</f>
        <v/>
      </c>
      <c r="M139" s="7" t="n"/>
      <c r="N139" s="7">
        <f>K139+'A -Döviz'!N139</f>
        <v/>
      </c>
      <c r="O139" s="7">
        <f>L139+'A -Döviz'!O139</f>
        <v/>
      </c>
      <c r="P139" s="7" t="n"/>
      <c r="Q139" s="7">
        <f>N139+'A -Döviz'!Q139</f>
        <v/>
      </c>
      <c r="R139" s="7">
        <f>O139+'A -Döviz'!R139</f>
        <v/>
      </c>
      <c r="S139" s="7" t="n"/>
      <c r="T139" s="7">
        <f>Q139+'A -Döviz'!T139</f>
        <v/>
      </c>
      <c r="U139" s="7">
        <f>R139+'A -Döviz'!U139</f>
        <v/>
      </c>
      <c r="V139" s="7" t="n"/>
      <c r="W139" s="7">
        <f>T139+'A -Döviz'!W139</f>
        <v/>
      </c>
      <c r="X139" s="7">
        <f>U139+'A -Döviz'!X139</f>
        <v/>
      </c>
      <c r="Y139" s="7" t="n"/>
      <c r="Z139" s="7">
        <f>W139+'A -Döviz'!Z139</f>
        <v/>
      </c>
      <c r="AA139" s="7">
        <f>X139+'A -Döviz'!AA139</f>
        <v/>
      </c>
      <c r="AB139" s="7">
        <f>Z139/AA139-1</f>
        <v/>
      </c>
      <c r="AC139" s="7">
        <f>Z139+'A -Döviz'!AC139</f>
        <v/>
      </c>
      <c r="AD139" s="7">
        <f>AA139+'A -Döviz'!AD139</f>
        <v/>
      </c>
      <c r="AE139" s="7" t="n"/>
      <c r="AF139" s="7">
        <f>AC139+'A -Döviz'!AF139</f>
        <v/>
      </c>
      <c r="AG139" s="7">
        <f>AD139+'A -Döviz'!AG139</f>
        <v/>
      </c>
      <c r="AH139" s="7" t="n"/>
      <c r="AI139" s="7">
        <f>AF139+'A -Döviz'!AI139</f>
        <v/>
      </c>
      <c r="AJ139" s="7">
        <f>AG139+'A -Döviz'!AJ139</f>
        <v/>
      </c>
      <c r="AK139" s="7" t="n"/>
      <c r="AL139" s="21">
        <f>AP139-AO139</f>
        <v/>
      </c>
      <c r="AM139" s="22">
        <f>AP139/AO139-1</f>
        <v/>
      </c>
      <c r="AO139" s="44">
        <f>IF($A$1=$B$1,B139,IF($A$1=$E$1,E139,IF($A$1=$H$1,H139,IF($A$1=$K$1,K139,IF($A$1=$N$1,N139,IF($A$1=$Q$1,Q139,IF($A$1=$T$1,T139,IF($A$1=$W$1,W139,IF($A$1=$Z$1,Z139,IF($A$1=$AC$1,AC139,IF($A$1=$AF$1,AF139,IF($A$1=$AI$1,AI139))))))))))))</f>
        <v/>
      </c>
      <c r="AP139" s="44">
        <f>IF($A$1=$B$1,C139,IF($A$1=$E$1,F139,IF($A$1=$H$1,I139,IF($A$1=$K$1,L139,IF($A$1=$N$1,O139,IF($A$1=$Q$1,R139,IF($A$1=$T$1,U139,IF($A$1=$W$1,X139,IF($A$1=$Z$1,AA139,IF($A$1=$AC$1,AD139,IF($A$1=$AF$1,AG139,IF($A$1=$AI$1,AJ139))))))))))))</f>
        <v/>
      </c>
      <c r="AR139" s="94">
        <f>W139</f>
        <v/>
      </c>
      <c r="AS139" s="94">
        <f>X139</f>
        <v/>
      </c>
      <c r="AT139" s="94">
        <f>AS139-AR139</f>
        <v/>
      </c>
      <c r="AV139" s="9">
        <f>W139-W115</f>
        <v/>
      </c>
      <c r="AW139" s="9">
        <f>X139-X115</f>
        <v/>
      </c>
      <c r="AX139" s="9">
        <f>AV139-AW139</f>
        <v/>
      </c>
    </row>
    <row r="140" ht="15.5" customHeight="1">
      <c r="A140" s="26" t="inlineStr">
        <is>
          <t xml:space="preserve">ISM </t>
        </is>
      </c>
      <c r="B140" s="7">
        <f>'A -Döviz'!B140</f>
        <v/>
      </c>
      <c r="C140" s="7">
        <f>'A -Döviz'!C140</f>
        <v/>
      </c>
      <c r="D140" s="7" t="n"/>
      <c r="E140" s="7">
        <f>B140+'A -Döviz'!E140</f>
        <v/>
      </c>
      <c r="F140" s="7">
        <f>C140+'A -Döviz'!F140</f>
        <v/>
      </c>
      <c r="G140" s="7" t="n"/>
      <c r="H140" s="7">
        <f>E140+'A -Döviz'!H140</f>
        <v/>
      </c>
      <c r="I140" s="7">
        <f>F140+'A -Döviz'!I140</f>
        <v/>
      </c>
      <c r="J140" s="7" t="n"/>
      <c r="K140" s="7">
        <f>H140+'A -Döviz'!K140</f>
        <v/>
      </c>
      <c r="L140" s="7">
        <f>I140+'A -Döviz'!L140</f>
        <v/>
      </c>
      <c r="M140" s="7" t="n"/>
      <c r="N140" s="7">
        <f>K140+'A -Döviz'!N140</f>
        <v/>
      </c>
      <c r="O140" s="7">
        <f>L140+'A -Döviz'!O140</f>
        <v/>
      </c>
      <c r="P140" s="7" t="n"/>
      <c r="Q140" s="7">
        <f>N140+'A -Döviz'!Q140</f>
        <v/>
      </c>
      <c r="R140" s="7">
        <f>O140+'A -Döviz'!R140</f>
        <v/>
      </c>
      <c r="S140" s="7" t="n"/>
      <c r="T140" s="7">
        <f>Q140+'A -Döviz'!T140</f>
        <v/>
      </c>
      <c r="U140" s="7">
        <f>R140+'A -Döviz'!U140</f>
        <v/>
      </c>
      <c r="V140" s="7" t="n"/>
      <c r="W140" s="7">
        <f>T140+'A -Döviz'!W140</f>
        <v/>
      </c>
      <c r="X140" s="7">
        <f>U140+'A -Döviz'!X140</f>
        <v/>
      </c>
      <c r="Y140" s="7" t="n"/>
      <c r="Z140" s="7">
        <f>W140+'A -Döviz'!Z140</f>
        <v/>
      </c>
      <c r="AA140" s="7">
        <f>X140+'A -Döviz'!AA140</f>
        <v/>
      </c>
      <c r="AB140" s="7">
        <f>Z140/AA140-1</f>
        <v/>
      </c>
      <c r="AC140" s="7">
        <f>Z140+'A -Döviz'!AC140</f>
        <v/>
      </c>
      <c r="AD140" s="7">
        <f>AA140+'A -Döviz'!AD140</f>
        <v/>
      </c>
      <c r="AE140" s="7" t="n"/>
      <c r="AF140" s="7">
        <f>AC140+'A -Döviz'!AF140</f>
        <v/>
      </c>
      <c r="AG140" s="7">
        <f>AD140+'A -Döviz'!AG140</f>
        <v/>
      </c>
      <c r="AH140" s="7" t="n"/>
      <c r="AI140" s="7">
        <f>AF140+'A -Döviz'!AI140</f>
        <v/>
      </c>
      <c r="AJ140" s="7">
        <f>AG140+'A -Döviz'!AJ140</f>
        <v/>
      </c>
      <c r="AK140" s="7" t="n"/>
      <c r="AL140" s="21">
        <f>AP140-AO140</f>
        <v/>
      </c>
      <c r="AM140" s="22">
        <f>AP140/AO140-1</f>
        <v/>
      </c>
      <c r="AO140" s="44">
        <f>IF($A$1=$B$1,B140,IF($A$1=$E$1,E140,IF($A$1=$H$1,H140,IF($A$1=$K$1,K140,IF($A$1=$N$1,N140,IF($A$1=$Q$1,Q140,IF($A$1=$T$1,T140,IF($A$1=$W$1,W140,IF($A$1=$Z$1,Z140,IF($A$1=$AC$1,AC140,IF($A$1=$AF$1,AF140,IF($A$1=$AI$1,AI140))))))))))))</f>
        <v/>
      </c>
      <c r="AP140" s="44">
        <f>IF($A$1=$B$1,C140,IF($A$1=$E$1,F140,IF($A$1=$H$1,I140,IF($A$1=$K$1,L140,IF($A$1=$N$1,O140,IF($A$1=$Q$1,R140,IF($A$1=$T$1,U140,IF($A$1=$W$1,X140,IF($A$1=$Z$1,AA140,IF($A$1=$AC$1,AD140,IF($A$1=$AF$1,AG140,IF($A$1=$AI$1,AJ140))))))))))))</f>
        <v/>
      </c>
      <c r="AR140" s="94">
        <f>W140</f>
        <v/>
      </c>
      <c r="AS140" s="94">
        <f>X140</f>
        <v/>
      </c>
      <c r="AT140" s="94">
        <f>AS140-AR140</f>
        <v/>
      </c>
      <c r="AV140" s="9">
        <f>W140-W116</f>
        <v/>
      </c>
      <c r="AW140" s="9">
        <f>X140-X116</f>
        <v/>
      </c>
      <c r="AX140" s="9">
        <f>AV140-AW140</f>
        <v/>
      </c>
    </row>
    <row r="141" ht="15.5" customHeight="1">
      <c r="A141" s="26" t="inlineStr">
        <is>
          <t>İncitaş</t>
        </is>
      </c>
      <c r="B141" s="7">
        <f>'A -Döviz'!B141</f>
        <v/>
      </c>
      <c r="C141" s="7">
        <f>'A -Döviz'!C141</f>
        <v/>
      </c>
      <c r="D141" s="7" t="n"/>
      <c r="E141" s="7">
        <f>B141+'A -Döviz'!E141</f>
        <v/>
      </c>
      <c r="F141" s="7">
        <f>C141+'A -Döviz'!F141</f>
        <v/>
      </c>
      <c r="G141" s="7" t="n"/>
      <c r="H141" s="7">
        <f>E141+'A -Döviz'!H141</f>
        <v/>
      </c>
      <c r="I141" s="7">
        <f>F141+'A -Döviz'!I141</f>
        <v/>
      </c>
      <c r="J141" s="7" t="n"/>
      <c r="K141" s="7">
        <f>H141+'A -Döviz'!K141</f>
        <v/>
      </c>
      <c r="L141" s="7">
        <f>I141+'A -Döviz'!L141</f>
        <v/>
      </c>
      <c r="M141" s="7" t="n"/>
      <c r="N141" s="7">
        <f>K141+'A -Döviz'!N141</f>
        <v/>
      </c>
      <c r="O141" s="7">
        <f>L141+'A -Döviz'!O141</f>
        <v/>
      </c>
      <c r="P141" s="7" t="n"/>
      <c r="Q141" s="7">
        <f>N141+'A -Döviz'!Q141</f>
        <v/>
      </c>
      <c r="R141" s="7">
        <f>O141+'A -Döviz'!R141</f>
        <v/>
      </c>
      <c r="S141" s="7" t="n"/>
      <c r="T141" s="7">
        <f>Q141+'A -Döviz'!T141</f>
        <v/>
      </c>
      <c r="U141" s="7">
        <f>R141+'A -Döviz'!U141</f>
        <v/>
      </c>
      <c r="V141" s="7" t="n"/>
      <c r="W141" s="7">
        <f>T141+'A -Döviz'!W141</f>
        <v/>
      </c>
      <c r="X141" s="7">
        <f>U141+'A -Döviz'!X141</f>
        <v/>
      </c>
      <c r="Y141" s="7" t="n"/>
      <c r="Z141" s="7">
        <f>W141+'A -Döviz'!Z141</f>
        <v/>
      </c>
      <c r="AA141" s="7">
        <f>X141+'A -Döviz'!AA141</f>
        <v/>
      </c>
      <c r="AB141" s="7">
        <f>Z141/AA141-1</f>
        <v/>
      </c>
      <c r="AC141" s="7">
        <f>Z141+'A -Döviz'!AC141</f>
        <v/>
      </c>
      <c r="AD141" s="7">
        <f>AA141+'A -Döviz'!AD141</f>
        <v/>
      </c>
      <c r="AE141" s="7" t="n"/>
      <c r="AF141" s="7">
        <f>AC141+'A -Döviz'!AF141</f>
        <v/>
      </c>
      <c r="AG141" s="7">
        <f>AD141+'A -Döviz'!AG141</f>
        <v/>
      </c>
      <c r="AH141" s="7" t="n"/>
      <c r="AI141" s="7">
        <f>AF141+'A -Döviz'!AI141</f>
        <v/>
      </c>
      <c r="AJ141" s="7">
        <f>AG141+'A -Döviz'!AJ141</f>
        <v/>
      </c>
      <c r="AK141" s="7" t="n"/>
      <c r="AL141" s="21">
        <f>AP141-AO141</f>
        <v/>
      </c>
      <c r="AM141" s="22">
        <f>AP141/AO141-1</f>
        <v/>
      </c>
      <c r="AO141" s="44">
        <f>IF($A$1=$B$1,B141,IF($A$1=$E$1,E141,IF($A$1=$H$1,H141,IF($A$1=$K$1,K141,IF($A$1=$N$1,N141,IF($A$1=$Q$1,Q141,IF($A$1=$T$1,T141,IF($A$1=$W$1,W141,IF($A$1=$Z$1,Z141,IF($A$1=$AC$1,AC141,IF($A$1=$AF$1,AF141,IF($A$1=$AI$1,AI141))))))))))))</f>
        <v/>
      </c>
      <c r="AP141" s="44">
        <f>IF($A$1=$B$1,C141,IF($A$1=$E$1,F141,IF($A$1=$H$1,I141,IF($A$1=$K$1,L141,IF($A$1=$N$1,O141,IF($A$1=$Q$1,R141,IF($A$1=$T$1,U141,IF($A$1=$W$1,X141,IF($A$1=$Z$1,AA141,IF($A$1=$AC$1,AD141,IF($A$1=$AF$1,AG141,IF($A$1=$AI$1,AJ141))))))))))))</f>
        <v/>
      </c>
      <c r="AR141" s="94">
        <f>W141</f>
        <v/>
      </c>
      <c r="AS141" s="94">
        <f>X141</f>
        <v/>
      </c>
      <c r="AT141" s="94">
        <f>AS141-AR141</f>
        <v/>
      </c>
      <c r="AV141" s="9">
        <f>W141-W117</f>
        <v/>
      </c>
      <c r="AW141" s="9">
        <f>X141-X117</f>
        <v/>
      </c>
      <c r="AX141" s="9">
        <f>AV141-AW141</f>
        <v/>
      </c>
    </row>
    <row r="142" ht="15.5" customHeight="1">
      <c r="A142" s="26" t="inlineStr">
        <is>
          <t>İnci GS Yuasa</t>
        </is>
      </c>
      <c r="B142" s="7">
        <f>'A -Döviz'!B142</f>
        <v/>
      </c>
      <c r="C142" s="7">
        <f>'A -Döviz'!C142</f>
        <v/>
      </c>
      <c r="D142" s="7" t="n"/>
      <c r="E142" s="7">
        <f>B142+'A -Döviz'!E142</f>
        <v/>
      </c>
      <c r="F142" s="7">
        <f>C142+'A -Döviz'!F142</f>
        <v/>
      </c>
      <c r="G142" s="7" t="n"/>
      <c r="H142" s="7">
        <f>E142+'A -Döviz'!H142</f>
        <v/>
      </c>
      <c r="I142" s="7">
        <f>F142+'A -Döviz'!I142</f>
        <v/>
      </c>
      <c r="J142" s="7" t="n"/>
      <c r="K142" s="7">
        <f>H142+'A -Döviz'!K142</f>
        <v/>
      </c>
      <c r="L142" s="7">
        <f>I142+'A -Döviz'!L142</f>
        <v/>
      </c>
      <c r="M142" s="7" t="n"/>
      <c r="N142" s="7">
        <f>K142+'A -Döviz'!N142</f>
        <v/>
      </c>
      <c r="O142" s="7">
        <f>L142+'A -Döviz'!O142</f>
        <v/>
      </c>
      <c r="P142" s="7" t="n"/>
      <c r="Q142" s="7">
        <f>N142+'A -Döviz'!Q142</f>
        <v/>
      </c>
      <c r="R142" s="7">
        <f>O142+'A -Döviz'!R142</f>
        <v/>
      </c>
      <c r="S142" s="7" t="n"/>
      <c r="T142" s="7">
        <f>Q142+'A -Döviz'!T142</f>
        <v/>
      </c>
      <c r="U142" s="7">
        <f>R142+'A -Döviz'!U142</f>
        <v/>
      </c>
      <c r="V142" s="7" t="n"/>
      <c r="W142" s="7">
        <f>T142+'A -Döviz'!W142</f>
        <v/>
      </c>
      <c r="X142" s="7">
        <f>U142+'A -Döviz'!X142</f>
        <v/>
      </c>
      <c r="Y142" s="7" t="n"/>
      <c r="Z142" s="7">
        <f>W142+'A -Döviz'!Z142</f>
        <v/>
      </c>
      <c r="AA142" s="7">
        <f>X142+'A -Döviz'!AA142</f>
        <v/>
      </c>
      <c r="AB142" s="7">
        <f>Z142/AA142-1</f>
        <v/>
      </c>
      <c r="AC142" s="7">
        <f>Z142+'A -Döviz'!AC142</f>
        <v/>
      </c>
      <c r="AD142" s="7">
        <f>AA142+'A -Döviz'!AD142</f>
        <v/>
      </c>
      <c r="AE142" s="7" t="n"/>
      <c r="AF142" s="7">
        <f>AC142+'A -Döviz'!AF142</f>
        <v/>
      </c>
      <c r="AG142" s="7">
        <f>AD142+'A -Döviz'!AG142</f>
        <v/>
      </c>
      <c r="AH142" s="7" t="n"/>
      <c r="AI142" s="7">
        <f>AF142+'A -Döviz'!AI142</f>
        <v/>
      </c>
      <c r="AJ142" s="7">
        <f>AG142+'A -Döviz'!AJ142</f>
        <v/>
      </c>
      <c r="AK142" s="7" t="n"/>
      <c r="AL142" s="21">
        <f>AP142-AO142</f>
        <v/>
      </c>
      <c r="AM142" s="22">
        <f>AP142/AO142-1</f>
        <v/>
      </c>
      <c r="AO142" s="44">
        <f>IF($A$1=$B$1,B142,IF($A$1=$E$1,E142,IF($A$1=$H$1,H142,IF($A$1=$K$1,K142,IF($A$1=$N$1,N142,IF($A$1=$Q$1,Q142,IF($A$1=$T$1,T142,IF($A$1=$W$1,W142,IF($A$1=$Z$1,Z142,IF($A$1=$AC$1,AC142,IF($A$1=$AF$1,AF142,IF($A$1=$AI$1,AI142))))))))))))</f>
        <v/>
      </c>
      <c r="AP142" s="44">
        <f>IF($A$1=$B$1,C142,IF($A$1=$E$1,F142,IF($A$1=$H$1,I142,IF($A$1=$K$1,L142,IF($A$1=$N$1,O142,IF($A$1=$Q$1,R142,IF($A$1=$T$1,U142,IF($A$1=$W$1,X142,IF($A$1=$Z$1,AA142,IF($A$1=$AC$1,AD142,IF($A$1=$AF$1,AG142,IF($A$1=$AI$1,AJ142))))))))))))</f>
        <v/>
      </c>
      <c r="AR142" s="94">
        <f>W142*0.4</f>
        <v/>
      </c>
      <c r="AS142" s="94">
        <f>X142*0.4</f>
        <v/>
      </c>
      <c r="AT142" s="94">
        <f>AS142-AR142</f>
        <v/>
      </c>
      <c r="AV142" s="9">
        <f>W142-W118</f>
        <v/>
      </c>
      <c r="AW142" s="9">
        <f>X142-X118</f>
        <v/>
      </c>
      <c r="AX142" s="9">
        <f>AV142-AW142</f>
        <v/>
      </c>
    </row>
    <row r="143" ht="15.5" customFormat="1" customHeight="1" s="1">
      <c r="A143" s="26" t="inlineStr">
        <is>
          <t>Yusen İnci Loj.</t>
        </is>
      </c>
      <c r="B143" s="7">
        <f>'A -Döviz'!B143</f>
        <v/>
      </c>
      <c r="C143" s="7">
        <f>'A -Döviz'!C143</f>
        <v/>
      </c>
      <c r="D143" s="8" t="n"/>
      <c r="E143" s="7">
        <f>B143+'A -Döviz'!E143</f>
        <v/>
      </c>
      <c r="F143" s="7">
        <f>C143+'A -Döviz'!F143</f>
        <v/>
      </c>
      <c r="G143" s="8" t="n"/>
      <c r="H143" s="7">
        <f>E143+'A -Döviz'!H143</f>
        <v/>
      </c>
      <c r="I143" s="7">
        <f>F143+'A -Döviz'!I143</f>
        <v/>
      </c>
      <c r="J143" s="8" t="n"/>
      <c r="K143" s="7">
        <f>H143+'A -Döviz'!K143</f>
        <v/>
      </c>
      <c r="L143" s="7">
        <f>I143+'A -Döviz'!L143</f>
        <v/>
      </c>
      <c r="M143" s="8" t="n"/>
      <c r="N143" s="7">
        <f>K143+'A -Döviz'!N143</f>
        <v/>
      </c>
      <c r="O143" s="7">
        <f>L143+'A -Döviz'!O143</f>
        <v/>
      </c>
      <c r="P143" s="8" t="n"/>
      <c r="Q143" s="7">
        <f>N143+'A -Döviz'!Q143</f>
        <v/>
      </c>
      <c r="R143" s="7">
        <f>O143+'A -Döviz'!R143</f>
        <v/>
      </c>
      <c r="S143" s="8" t="n"/>
      <c r="T143" s="7">
        <f>Q143+'A -Döviz'!T143</f>
        <v/>
      </c>
      <c r="U143" s="7">
        <f>R143+'A -Döviz'!U143</f>
        <v/>
      </c>
      <c r="V143" s="8" t="n"/>
      <c r="W143" s="7">
        <f>T143+'A -Döviz'!W143</f>
        <v/>
      </c>
      <c r="X143" s="7">
        <f>U143+'A -Döviz'!X143</f>
        <v/>
      </c>
      <c r="Y143" s="8" t="n"/>
      <c r="Z143" s="7">
        <f>W143+'A -Döviz'!Z143</f>
        <v/>
      </c>
      <c r="AA143" s="7">
        <f>X143+'A -Döviz'!AA143</f>
        <v/>
      </c>
      <c r="AB143" s="8">
        <f>Z143/AA143-1</f>
        <v/>
      </c>
      <c r="AC143" s="7">
        <f>Z143+'A -Döviz'!AC143</f>
        <v/>
      </c>
      <c r="AD143" s="7">
        <f>AA143+'A -Döviz'!AD143</f>
        <v/>
      </c>
      <c r="AE143" s="8" t="n"/>
      <c r="AF143" s="7">
        <f>AC143+'A -Döviz'!AF143</f>
        <v/>
      </c>
      <c r="AG143" s="7">
        <f>AD143+'A -Döviz'!AG143</f>
        <v/>
      </c>
      <c r="AH143" s="8" t="n"/>
      <c r="AI143" s="7">
        <f>AF143+'A -Döviz'!AI143</f>
        <v/>
      </c>
      <c r="AJ143" s="7">
        <f>AG143+'A -Döviz'!AJ143</f>
        <v/>
      </c>
      <c r="AK143" s="8" t="n"/>
      <c r="AL143" s="21">
        <f>AP143-AO143</f>
        <v/>
      </c>
      <c r="AM143" s="22">
        <f>AP143/AO143-1</f>
        <v/>
      </c>
      <c r="AO143" s="44">
        <f>IF($A$1=$B$1,B143,IF($A$1=$E$1,E143,IF($A$1=$H$1,H143,IF($A$1=$K$1,K143,IF($A$1=$N$1,N143,IF($A$1=$Q$1,Q143,IF($A$1=$T$1,T143,IF($A$1=$W$1,W143,IF($A$1=$Z$1,Z143,IF($A$1=$AC$1,AC143,IF($A$1=$AF$1,AF143,IF($A$1=$AI$1,AI143))))))))))))</f>
        <v/>
      </c>
      <c r="AP143" s="44">
        <f>IF($A$1=$B$1,C143,IF($A$1=$E$1,F143,IF($A$1=$H$1,I143,IF($A$1=$K$1,L143,IF($A$1=$N$1,O143,IF($A$1=$Q$1,R143,IF($A$1=$T$1,U143,IF($A$1=$W$1,X143,IF($A$1=$Z$1,AA143,IF($A$1=$AC$1,AD143,IF($A$1=$AF$1,AG143,IF($A$1=$AI$1,AJ143))))))))))))</f>
        <v/>
      </c>
      <c r="AR143" s="94">
        <f>W143*0.4</f>
        <v/>
      </c>
      <c r="AS143" s="94">
        <f>X143*0.4</f>
        <v/>
      </c>
      <c r="AT143" s="94">
        <f>AS143-AR143</f>
        <v/>
      </c>
      <c r="AV143" s="9">
        <f>W143-W119</f>
        <v/>
      </c>
      <c r="AW143" s="9">
        <f>X143-X119</f>
        <v/>
      </c>
      <c r="AX143" s="9">
        <f>AV143-AW143</f>
        <v/>
      </c>
    </row>
    <row r="144" ht="15.5" customHeight="1">
      <c r="A144" s="26" t="inlineStr">
        <is>
          <t>Jantaş</t>
        </is>
      </c>
      <c r="B144" s="7">
        <f>'A -Döviz'!B144</f>
        <v/>
      </c>
      <c r="C144" s="7">
        <f>'A -Döviz'!C144</f>
        <v/>
      </c>
      <c r="D144" s="7" t="n"/>
      <c r="E144" s="7">
        <f>B144+'A -Döviz'!E144</f>
        <v/>
      </c>
      <c r="F144" s="7">
        <f>C144+'A -Döviz'!F144</f>
        <v/>
      </c>
      <c r="G144" s="7" t="n"/>
      <c r="H144" s="7">
        <f>E144+'A -Döviz'!H144</f>
        <v/>
      </c>
      <c r="I144" s="7">
        <f>F144+'A -Döviz'!I144</f>
        <v/>
      </c>
      <c r="J144" s="7" t="n"/>
      <c r="K144" s="7">
        <f>H144+'A -Döviz'!K144</f>
        <v/>
      </c>
      <c r="L144" s="7">
        <f>I144+'A -Döviz'!L144</f>
        <v/>
      </c>
      <c r="M144" s="7" t="n"/>
      <c r="N144" s="7">
        <f>K144+'A -Döviz'!N144</f>
        <v/>
      </c>
      <c r="O144" s="7">
        <f>L144+'A -Döviz'!O144</f>
        <v/>
      </c>
      <c r="P144" s="7" t="n"/>
      <c r="Q144" s="7">
        <f>N144+'A -Döviz'!Q144</f>
        <v/>
      </c>
      <c r="R144" s="7">
        <f>O144+'A -Döviz'!R144</f>
        <v/>
      </c>
      <c r="S144" s="7" t="n"/>
      <c r="T144" s="7">
        <f>Q144+'A -Döviz'!T144</f>
        <v/>
      </c>
      <c r="U144" s="7">
        <f>R144+'A -Döviz'!U144</f>
        <v/>
      </c>
      <c r="V144" s="7" t="n"/>
      <c r="W144" s="7">
        <f>T144+'A -Döviz'!W144</f>
        <v/>
      </c>
      <c r="X144" s="7">
        <f>U144+'A -Döviz'!X144</f>
        <v/>
      </c>
      <c r="Y144" s="7" t="n"/>
      <c r="Z144" s="7">
        <f>W144+'A -Döviz'!Z144</f>
        <v/>
      </c>
      <c r="AA144" s="7">
        <f>X144+'A -Döviz'!AA144</f>
        <v/>
      </c>
      <c r="AB144" s="7">
        <f>Z144/AA144-1</f>
        <v/>
      </c>
      <c r="AC144" s="7">
        <f>Z144+'A -Döviz'!AC144</f>
        <v/>
      </c>
      <c r="AD144" s="7">
        <f>AA144+'A -Döviz'!AD144</f>
        <v/>
      </c>
      <c r="AE144" s="7" t="n"/>
      <c r="AF144" s="7">
        <f>AC144+'A -Döviz'!AF144</f>
        <v/>
      </c>
      <c r="AG144" s="7">
        <f>AD144+'A -Döviz'!AG144</f>
        <v/>
      </c>
      <c r="AH144" s="7" t="n"/>
      <c r="AI144" s="7">
        <f>AF144+'A -Döviz'!AI144</f>
        <v/>
      </c>
      <c r="AJ144" s="7">
        <f>AG144+'A -Döviz'!AJ144</f>
        <v/>
      </c>
      <c r="AK144" s="7" t="n"/>
      <c r="AL144" s="21">
        <f>AP144-AO144</f>
        <v/>
      </c>
      <c r="AM144" s="22">
        <f>AP144/AO144-1</f>
        <v/>
      </c>
      <c r="AO144" s="44">
        <f>IF($A$1=$B$1,B144,IF($A$1=$E$1,E144,IF($A$1=$H$1,H144,IF($A$1=$K$1,K144,IF($A$1=$N$1,N144,IF($A$1=$Q$1,Q144,IF($A$1=$T$1,T144,IF($A$1=$W$1,W144,IF($A$1=$Z$1,Z144,IF($A$1=$AC$1,AC144,IF($A$1=$AF$1,AF144,IF($A$1=$AI$1,AI144))))))))))))</f>
        <v/>
      </c>
      <c r="AP144" s="44">
        <f>IF($A$1=$B$1,C144,IF($A$1=$E$1,F144,IF($A$1=$H$1,I144,IF($A$1=$K$1,L144,IF($A$1=$N$1,O144,IF($A$1=$Q$1,R144,IF($A$1=$T$1,U144,IF($A$1=$W$1,X144,IF($A$1=$Z$1,AA144,IF($A$1=$AC$1,AD144,IF($A$1=$AF$1,AG144,IF($A$1=$AI$1,AJ144))))))))))))</f>
        <v/>
      </c>
      <c r="AR144" s="94">
        <f>W144*0.4</f>
        <v/>
      </c>
      <c r="AS144" s="94">
        <f>X144*0.4</f>
        <v/>
      </c>
      <c r="AT144" s="94">
        <f>AS144-AR144</f>
        <v/>
      </c>
      <c r="AV144" s="9">
        <f>W144-W120</f>
        <v/>
      </c>
      <c r="AW144" s="9">
        <f>X144-X120</f>
        <v/>
      </c>
      <c r="AX144" s="9">
        <f>AV144-AW144</f>
        <v/>
      </c>
    </row>
    <row r="145" ht="15.5" customHeight="1">
      <c r="A145" s="26" t="inlineStr">
        <is>
          <t>Çelik</t>
        </is>
      </c>
      <c r="B145" s="7">
        <f>'A -Döviz'!B145</f>
        <v/>
      </c>
      <c r="C145" s="7">
        <f>'A -Döviz'!C145</f>
        <v/>
      </c>
      <c r="D145" s="7" t="n"/>
      <c r="E145" s="7">
        <f>B145+'A -Döviz'!E145</f>
        <v/>
      </c>
      <c r="F145" s="7">
        <f>C145+'A -Döviz'!F145</f>
        <v/>
      </c>
      <c r="G145" s="7" t="n"/>
      <c r="H145" s="7">
        <f>E145+'A -Döviz'!H145</f>
        <v/>
      </c>
      <c r="I145" s="7">
        <f>F145+'A -Döviz'!I145</f>
        <v/>
      </c>
      <c r="J145" s="7" t="n"/>
      <c r="K145" s="7">
        <f>H145+'A -Döviz'!K145</f>
        <v/>
      </c>
      <c r="L145" s="7">
        <f>I145+'A -Döviz'!L145</f>
        <v/>
      </c>
      <c r="M145" s="7" t="n"/>
      <c r="N145" s="7">
        <f>K145+'A -Döviz'!N145</f>
        <v/>
      </c>
      <c r="O145" s="7">
        <f>L145+'A -Döviz'!O145</f>
        <v/>
      </c>
      <c r="P145" s="7" t="n"/>
      <c r="Q145" s="7">
        <f>N145+'A -Döviz'!Q145</f>
        <v/>
      </c>
      <c r="R145" s="7">
        <f>O145+'A -Döviz'!R145</f>
        <v/>
      </c>
      <c r="S145" s="7" t="n"/>
      <c r="T145" s="7">
        <f>Q145+'A -Döviz'!T145</f>
        <v/>
      </c>
      <c r="U145" s="7">
        <f>R145+'A -Döviz'!U145</f>
        <v/>
      </c>
      <c r="V145" s="7" t="n"/>
      <c r="W145" s="7">
        <f>T145+'A -Döviz'!W145</f>
        <v/>
      </c>
      <c r="X145" s="7">
        <f>U145+'A -Döviz'!X145</f>
        <v/>
      </c>
      <c r="Y145" s="7" t="n"/>
      <c r="Z145" s="7">
        <f>W145+'A -Döviz'!Z145</f>
        <v/>
      </c>
      <c r="AA145" s="7">
        <f>X145+'A -Döviz'!AA145</f>
        <v/>
      </c>
      <c r="AB145" s="7">
        <f>Z145/AA145-1</f>
        <v/>
      </c>
      <c r="AC145" s="7">
        <f>Z145+'A -Döviz'!AC145</f>
        <v/>
      </c>
      <c r="AD145" s="7">
        <f>AA145+'A -Döviz'!AD145</f>
        <v/>
      </c>
      <c r="AE145" s="7" t="n"/>
      <c r="AF145" s="7">
        <f>AC145+'A -Döviz'!AF145</f>
        <v/>
      </c>
      <c r="AG145" s="7">
        <f>AD145+'A -Döviz'!AG145</f>
        <v/>
      </c>
      <c r="AH145" s="7" t="n"/>
      <c r="AI145" s="7">
        <f>AF145+'A -Döviz'!AI145</f>
        <v/>
      </c>
      <c r="AJ145" s="7">
        <f>AG145+'A -Döviz'!AJ145</f>
        <v/>
      </c>
      <c r="AK145" s="7" t="n"/>
      <c r="AL145" s="21">
        <f>AP145-AO145</f>
        <v/>
      </c>
      <c r="AM145" s="22">
        <f>AP145/AO145-1</f>
        <v/>
      </c>
      <c r="AO145" s="44">
        <f>IF($A$1=$B$1,B145,IF($A$1=$E$1,E145,IF($A$1=$H$1,H145,IF($A$1=$K$1,K145,IF($A$1=$N$1,N145,IF($A$1=$Q$1,Q145,IF($A$1=$T$1,T145,IF($A$1=$W$1,W145,IF($A$1=$Z$1,Z145,IF($A$1=$AC$1,AC145,IF($A$1=$AF$1,AF145,IF($A$1=$AI$1,AI145))))))))))))</f>
        <v/>
      </c>
      <c r="AP145" s="44">
        <f>IF($A$1=$B$1,C145,IF($A$1=$E$1,F145,IF($A$1=$H$1,I145,IF($A$1=$K$1,L145,IF($A$1=$N$1,O145,IF($A$1=$Q$1,R145,IF($A$1=$T$1,U145,IF($A$1=$W$1,X145,IF($A$1=$Z$1,AA145,IF($A$1=$AC$1,AD145,IF($A$1=$AF$1,AG145,IF($A$1=$AI$1,AJ145))))))))))))</f>
        <v/>
      </c>
      <c r="AR145" s="94">
        <f>W145*0.4</f>
        <v/>
      </c>
      <c r="AS145" s="94">
        <f>X145*0.4</f>
        <v/>
      </c>
      <c r="AT145" s="94">
        <f>AS145-AR145</f>
        <v/>
      </c>
      <c r="AV145" s="9">
        <f>W145-W121</f>
        <v/>
      </c>
      <c r="AW145" s="9">
        <f>X145-X121</f>
        <v/>
      </c>
      <c r="AX145" s="9">
        <f>AV145-AW145</f>
        <v/>
      </c>
    </row>
    <row r="146" ht="15.5" customHeight="1">
      <c r="A146" s="26" t="inlineStr">
        <is>
          <t>Alüminyum</t>
        </is>
      </c>
      <c r="B146" s="7">
        <f>'A -Döviz'!B146</f>
        <v/>
      </c>
      <c r="C146" s="7">
        <f>'A -Döviz'!C146</f>
        <v/>
      </c>
      <c r="D146" s="7" t="n"/>
      <c r="E146" s="7">
        <f>B146+'A -Döviz'!E146</f>
        <v/>
      </c>
      <c r="F146" s="7">
        <f>C146+'A -Döviz'!F146</f>
        <v/>
      </c>
      <c r="G146" s="7" t="n"/>
      <c r="H146" s="7">
        <f>E146+'A -Döviz'!H146</f>
        <v/>
      </c>
      <c r="I146" s="7">
        <f>F146+'A -Döviz'!I146</f>
        <v/>
      </c>
      <c r="J146" s="7" t="n"/>
      <c r="K146" s="7">
        <f>H146+'A -Döviz'!K146</f>
        <v/>
      </c>
      <c r="L146" s="7">
        <f>I146+'A -Döviz'!L146</f>
        <v/>
      </c>
      <c r="M146" s="7" t="n"/>
      <c r="N146" s="7">
        <f>K146+'A -Döviz'!N146</f>
        <v/>
      </c>
      <c r="O146" s="7">
        <f>L146+'A -Döviz'!O146</f>
        <v/>
      </c>
      <c r="P146" s="7" t="n"/>
      <c r="Q146" s="7">
        <f>N146+'A -Döviz'!Q146</f>
        <v/>
      </c>
      <c r="R146" s="7">
        <f>O146+'A -Döviz'!R146</f>
        <v/>
      </c>
      <c r="S146" s="7" t="n"/>
      <c r="T146" s="7">
        <f>Q146+'A -Döviz'!T146</f>
        <v/>
      </c>
      <c r="U146" s="7">
        <f>R146+'A -Döviz'!U146</f>
        <v/>
      </c>
      <c r="V146" s="7" t="n"/>
      <c r="W146" s="7">
        <f>T146+'A -Döviz'!W146</f>
        <v/>
      </c>
      <c r="X146" s="7">
        <f>U146+'A -Döviz'!X146</f>
        <v/>
      </c>
      <c r="Y146" s="7" t="n"/>
      <c r="Z146" s="7">
        <f>W146+'A -Döviz'!Z146</f>
        <v/>
      </c>
      <c r="AA146" s="7">
        <f>X146+'A -Döviz'!AA146</f>
        <v/>
      </c>
      <c r="AB146" s="7">
        <f>Z146/AA146-1</f>
        <v/>
      </c>
      <c r="AC146" s="7">
        <f>Z146+'A -Döviz'!AC146</f>
        <v/>
      </c>
      <c r="AD146" s="7">
        <f>AA146+'A -Döviz'!AD146</f>
        <v/>
      </c>
      <c r="AE146" s="7" t="n"/>
      <c r="AF146" s="7">
        <f>AC146+'A -Döviz'!AF146</f>
        <v/>
      </c>
      <c r="AG146" s="7">
        <f>AD146+'A -Döviz'!AG146</f>
        <v/>
      </c>
      <c r="AH146" s="7" t="n"/>
      <c r="AI146" s="7">
        <f>AF146+'A -Döviz'!AI146</f>
        <v/>
      </c>
      <c r="AJ146" s="7">
        <f>AG146+'A -Döviz'!AJ146</f>
        <v/>
      </c>
      <c r="AK146" s="7" t="n"/>
      <c r="AL146" s="21">
        <f>AP146-AO146</f>
        <v/>
      </c>
      <c r="AM146" s="22">
        <f>AP146/AO146-1</f>
        <v/>
      </c>
      <c r="AO146" s="44">
        <f>IF($A$1=$B$1,B146,IF($A$1=$E$1,E146,IF($A$1=$H$1,H146,IF($A$1=$K$1,K146,IF($A$1=$N$1,N146,IF($A$1=$Q$1,Q146,IF($A$1=$T$1,T146,IF($A$1=$W$1,W146,IF($A$1=$Z$1,Z146,IF($A$1=$AC$1,AC146,IF($A$1=$AF$1,AF146,IF($A$1=$AI$1,AI146))))))))))))</f>
        <v/>
      </c>
      <c r="AP146" s="44">
        <f>IF($A$1=$B$1,C146,IF($A$1=$E$1,F146,IF($A$1=$H$1,I146,IF($A$1=$K$1,L146,IF($A$1=$N$1,O146,IF($A$1=$Q$1,R146,IF($A$1=$T$1,U146,IF($A$1=$W$1,X146,IF($A$1=$Z$1,AA146,IF($A$1=$AC$1,AD146,IF($A$1=$AF$1,AG146,IF($A$1=$AI$1,AJ146))))))))))))</f>
        <v/>
      </c>
      <c r="AR146" s="94">
        <f>W146*0.4</f>
        <v/>
      </c>
      <c r="AS146" s="94">
        <f>X146*0.4</f>
        <v/>
      </c>
      <c r="AT146" s="94">
        <f>AS146-AR146</f>
        <v/>
      </c>
      <c r="AV146" s="9">
        <f>W146-W122</f>
        <v/>
      </c>
      <c r="AW146" s="9">
        <f>X146-X122</f>
        <v/>
      </c>
      <c r="AX146" s="9">
        <f>AV146-AW146</f>
        <v/>
      </c>
    </row>
    <row r="147" ht="15.5" customHeight="1">
      <c r="A147" s="26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21" t="n"/>
      <c r="AM147" s="22" t="n"/>
      <c r="AO147" s="44">
        <f>IF($A$1=$B$1,B147,IF($A$1=$E$1,E147,IF($A$1=$H$1,H147,IF($A$1=$K$1,K147,IF($A$1=$N$1,N147,IF($A$1=$Q$1,Q147,IF($A$1=$T$1,T147,IF($A$1=$W$1,W147,IF($A$1=$Z$1,Z147,IF($A$1=$AC$1,AC147,IF($A$1=$AF$1,AF147,IF($A$1=$AI$1,AI147))))))))))))</f>
        <v/>
      </c>
      <c r="AP147" s="44">
        <f>IF($A$1=$B$1,C147,IF($A$1=$E$1,F147,IF($A$1=$H$1,I147,IF($A$1=$K$1,L147,IF($A$1=$N$1,O147,IF($A$1=$Q$1,R147,IF($A$1=$T$1,U147,IF($A$1=$W$1,X147,IF($A$1=$Z$1,AA147,IF($A$1=$AC$1,AD147,IF($A$1=$AF$1,AG147,IF($A$1=$AI$1,AJ147))))))))))))</f>
        <v/>
      </c>
    </row>
    <row r="148">
      <c r="A148" s="2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5" t="n"/>
    </row>
    <row r="149" ht="17" customFormat="1" customHeight="1" s="49">
      <c r="A149" s="47" t="inlineStr">
        <is>
          <t>Ebitda Margin</t>
        </is>
      </c>
      <c r="B149" s="413" t="n"/>
      <c r="C149" s="413" t="n"/>
      <c r="D149" s="413" t="n"/>
      <c r="E149" s="413" t="n"/>
      <c r="F149" s="413" t="n"/>
      <c r="G149" s="413" t="n"/>
      <c r="H149" s="413" t="n"/>
      <c r="I149" s="413" t="n"/>
      <c r="J149" s="413" t="n"/>
      <c r="K149" s="413" t="n"/>
      <c r="L149" s="413" t="n"/>
      <c r="M149" s="413" t="n"/>
      <c r="N149" s="413" t="n"/>
      <c r="O149" s="413" t="n"/>
      <c r="P149" s="413" t="n"/>
      <c r="Q149" s="413" t="n"/>
      <c r="R149" s="413" t="n"/>
      <c r="S149" s="413" t="n"/>
      <c r="T149" s="413" t="n"/>
      <c r="U149" s="413" t="n"/>
      <c r="V149" s="413" t="n"/>
      <c r="W149" s="413" t="n"/>
      <c r="X149" s="413" t="n"/>
      <c r="Y149" s="413" t="n"/>
      <c r="Z149" s="413" t="n"/>
      <c r="AA149" s="413" t="n"/>
      <c r="AB149" s="413" t="n"/>
      <c r="AC149" s="413" t="n"/>
      <c r="AD149" s="413" t="n"/>
      <c r="AE149" s="413" t="n"/>
      <c r="AF149" s="413" t="n"/>
      <c r="AG149" s="413" t="n"/>
      <c r="AH149" s="413" t="n"/>
      <c r="AI149" s="413" t="n"/>
      <c r="AJ149" s="413" t="n"/>
      <c r="AK149" s="413" t="n"/>
      <c r="AL149" s="413" t="n"/>
      <c r="AM149" s="48" t="n"/>
    </row>
    <row r="150" ht="15.5" customFormat="1" customHeight="1" s="13">
      <c r="A150" s="26" t="inlineStr">
        <is>
          <t xml:space="preserve">İnci Holding </t>
        </is>
      </c>
      <c r="B150" s="12">
        <f>B139/B9</f>
        <v/>
      </c>
      <c r="C150" s="12">
        <f>C139/C9</f>
        <v/>
      </c>
      <c r="D150" s="41" t="n"/>
      <c r="E150" s="12">
        <f>E139/E9</f>
        <v/>
      </c>
      <c r="F150" s="12">
        <f>F139/F9</f>
        <v/>
      </c>
      <c r="G150" s="41" t="n"/>
      <c r="H150" s="468">
        <f>H139/H9</f>
        <v/>
      </c>
      <c r="I150" s="468">
        <f>I139/I9</f>
        <v/>
      </c>
      <c r="J150" s="41" t="n"/>
      <c r="K150" s="12">
        <f>K139/K9</f>
        <v/>
      </c>
      <c r="L150" s="12">
        <f>L139/L9</f>
        <v/>
      </c>
      <c r="M150" s="41" t="n"/>
      <c r="N150" s="12">
        <f>N139/N9</f>
        <v/>
      </c>
      <c r="O150" s="12">
        <f>O139/O9</f>
        <v/>
      </c>
      <c r="P150" s="41" t="n"/>
      <c r="Q150" s="12">
        <f>Q139/Q9</f>
        <v/>
      </c>
      <c r="R150" s="12">
        <f>R139/R9</f>
        <v/>
      </c>
      <c r="S150" s="41" t="n"/>
      <c r="T150" s="12">
        <f>T139/T9</f>
        <v/>
      </c>
      <c r="U150" s="12">
        <f>U139/U9</f>
        <v/>
      </c>
      <c r="V150" s="41" t="n"/>
      <c r="W150" s="12">
        <f>W139/W9</f>
        <v/>
      </c>
      <c r="X150" s="12">
        <f>X139/X9</f>
        <v/>
      </c>
      <c r="Y150" s="41" t="n"/>
      <c r="Z150" s="12">
        <f>Z139/Z9</f>
        <v/>
      </c>
      <c r="AA150" s="12">
        <f>AA139/AA9</f>
        <v/>
      </c>
      <c r="AB150" s="41" t="n"/>
      <c r="AC150" s="12">
        <f>AC139/AC9</f>
        <v/>
      </c>
      <c r="AD150" s="12">
        <f>AD139/AD9</f>
        <v/>
      </c>
      <c r="AE150" s="41" t="n"/>
      <c r="AF150" s="12">
        <f>AF139/AF9</f>
        <v/>
      </c>
      <c r="AG150" s="12">
        <f>AG139/AG9</f>
        <v/>
      </c>
      <c r="AH150" s="41" t="n"/>
      <c r="AI150" s="12">
        <f>AI139/AI9</f>
        <v/>
      </c>
      <c r="AJ150" s="12">
        <f>AJ139/AJ9</f>
        <v/>
      </c>
      <c r="AK150" s="41" t="n"/>
      <c r="AL150" s="15" t="n"/>
      <c r="AM150" s="22">
        <f>AP150-AO150</f>
        <v/>
      </c>
      <c r="AO150" s="44">
        <f>IF($A$1=$B$1,B150,IF($A$1=$E$1,E150,IF($A$1=$H$1,H150,IF($A$1=$K$1,K150,IF($A$1=$N$1,N150,IF($A$1=$Q$1,Q150,IF($A$1=$T$1,T150,IF($A$1=$W$1,W150,IF($A$1=$Z$1,Z150,IF($A$1=$AC$1,AC150,IF($A$1=$AF$1,AF150,IF($A$1=$AI$1,AI150))))))))))))</f>
        <v/>
      </c>
      <c r="AP150" s="44">
        <f>IF($A$1=$B$1,C150,IF($A$1=$E$1,F150,IF($A$1=$H$1,I150,IF($A$1=$K$1,L150,IF($A$1=$N$1,O150,IF($A$1=$Q$1,R150,IF($A$1=$T$1,U150,IF($A$1=$W$1,X150,IF($A$1=$Z$1,AA150,IF($A$1=$AC$1,AD150,IF($A$1=$AF$1,AG150,IF($A$1=$AI$1,AJ150))))))))))))</f>
        <v/>
      </c>
    </row>
    <row r="151" ht="15.5" customFormat="1" customHeight="1" s="13">
      <c r="A151" s="26" t="inlineStr">
        <is>
          <t xml:space="preserve">ISM </t>
        </is>
      </c>
      <c r="B151" s="12">
        <f>B140/B10</f>
        <v/>
      </c>
      <c r="C151" s="12">
        <f>C140/C10</f>
        <v/>
      </c>
      <c r="D151" s="41" t="n"/>
      <c r="E151" s="12">
        <f>E140/E10</f>
        <v/>
      </c>
      <c r="F151" s="12">
        <f>F140/F10</f>
        <v/>
      </c>
      <c r="G151" s="41" t="n"/>
      <c r="H151" s="468">
        <f>H140/H10</f>
        <v/>
      </c>
      <c r="I151" s="468">
        <f>I140/I10</f>
        <v/>
      </c>
      <c r="J151" s="41" t="n"/>
      <c r="K151" s="12">
        <f>K140/K10</f>
        <v/>
      </c>
      <c r="L151" s="12">
        <f>L140/L10</f>
        <v/>
      </c>
      <c r="M151" s="41" t="n"/>
      <c r="N151" s="12">
        <f>N140/N10</f>
        <v/>
      </c>
      <c r="O151" s="12">
        <f>O140/O10</f>
        <v/>
      </c>
      <c r="P151" s="41" t="n"/>
      <c r="Q151" s="12">
        <f>Q140/Q10</f>
        <v/>
      </c>
      <c r="R151" s="12">
        <f>R140/R10</f>
        <v/>
      </c>
      <c r="S151" s="41" t="n"/>
      <c r="T151" s="12">
        <f>T140/T10</f>
        <v/>
      </c>
      <c r="U151" s="12">
        <f>U140/U10</f>
        <v/>
      </c>
      <c r="V151" s="41" t="n"/>
      <c r="W151" s="12">
        <f>W140/W10</f>
        <v/>
      </c>
      <c r="X151" s="12">
        <f>X140/X10</f>
        <v/>
      </c>
      <c r="Y151" s="41" t="n"/>
      <c r="Z151" s="12">
        <f>Z140/Z10</f>
        <v/>
      </c>
      <c r="AA151" s="12">
        <f>AA140/AA10</f>
        <v/>
      </c>
      <c r="AB151" s="41" t="n"/>
      <c r="AC151" s="12">
        <f>AC140/AC10</f>
        <v/>
      </c>
      <c r="AD151" s="12">
        <f>AD140/AD10</f>
        <v/>
      </c>
      <c r="AE151" s="41" t="n"/>
      <c r="AF151" s="12">
        <f>AF140/AF10</f>
        <v/>
      </c>
      <c r="AG151" s="12">
        <f>AG140/AG10</f>
        <v/>
      </c>
      <c r="AH151" s="41" t="n"/>
      <c r="AI151" s="12">
        <f>AI140/AI10</f>
        <v/>
      </c>
      <c r="AJ151" s="12">
        <f>AJ140/AJ10</f>
        <v/>
      </c>
      <c r="AK151" s="41" t="n"/>
      <c r="AL151" s="15" t="n"/>
      <c r="AM151" s="22">
        <f>AP151-AO151</f>
        <v/>
      </c>
      <c r="AO151" s="44">
        <f>IF($A$1=$B$1,B151,IF($A$1=$E$1,E151,IF($A$1=$H$1,H151,IF($A$1=$K$1,K151,IF($A$1=$N$1,N151,IF($A$1=$Q$1,Q151,IF($A$1=$T$1,T151,IF($A$1=$W$1,W151,IF($A$1=$Z$1,Z151,IF($A$1=$AC$1,AC151,IF($A$1=$AF$1,AF151,IF($A$1=$AI$1,AI151))))))))))))</f>
        <v/>
      </c>
      <c r="AP151" s="44">
        <f>IF($A$1=$B$1,C151,IF($A$1=$E$1,F151,IF($A$1=$H$1,I151,IF($A$1=$K$1,L151,IF($A$1=$N$1,O151,IF($A$1=$Q$1,R151,IF($A$1=$T$1,U151,IF($A$1=$W$1,X151,IF($A$1=$Z$1,AA151,IF($A$1=$AC$1,AD151,IF($A$1=$AF$1,AG151,IF($A$1=$AI$1,AJ151))))))))))))</f>
        <v/>
      </c>
    </row>
    <row r="152" ht="15.5" customFormat="1" customHeight="1" s="13">
      <c r="A152" s="26" t="inlineStr">
        <is>
          <t>İncitaş</t>
        </is>
      </c>
      <c r="B152" s="12">
        <f>B141/B11</f>
        <v/>
      </c>
      <c r="C152" s="12">
        <f>C141/C11</f>
        <v/>
      </c>
      <c r="D152" s="41" t="n"/>
      <c r="E152" s="12">
        <f>E141/E11</f>
        <v/>
      </c>
      <c r="F152" s="12">
        <f>F141/F11</f>
        <v/>
      </c>
      <c r="G152" s="41" t="n"/>
      <c r="H152" s="468">
        <f>H141/H11</f>
        <v/>
      </c>
      <c r="I152" s="468">
        <f>I141/I11</f>
        <v/>
      </c>
      <c r="J152" s="41" t="n"/>
      <c r="K152" s="12">
        <f>K141/K11</f>
        <v/>
      </c>
      <c r="L152" s="12">
        <f>L141/L11</f>
        <v/>
      </c>
      <c r="M152" s="41" t="n"/>
      <c r="N152" s="12">
        <f>N141/N11</f>
        <v/>
      </c>
      <c r="O152" s="12">
        <f>O141/O11</f>
        <v/>
      </c>
      <c r="P152" s="41" t="n"/>
      <c r="Q152" s="12">
        <f>Q141/Q11</f>
        <v/>
      </c>
      <c r="R152" s="12">
        <f>R141/R11</f>
        <v/>
      </c>
      <c r="S152" s="41" t="n"/>
      <c r="T152" s="12">
        <f>T141/T11</f>
        <v/>
      </c>
      <c r="U152" s="12">
        <f>U141/U11</f>
        <v/>
      </c>
      <c r="V152" s="41" t="n"/>
      <c r="W152" s="12">
        <f>W141/W11</f>
        <v/>
      </c>
      <c r="X152" s="12">
        <f>X141/X11</f>
        <v/>
      </c>
      <c r="Y152" s="41" t="n"/>
      <c r="Z152" s="12">
        <f>Z141/Z11</f>
        <v/>
      </c>
      <c r="AA152" s="12">
        <f>AA141/AA11</f>
        <v/>
      </c>
      <c r="AB152" s="41" t="n"/>
      <c r="AC152" s="12">
        <f>AC141/AC11</f>
        <v/>
      </c>
      <c r="AD152" s="12">
        <f>AD141/AD11</f>
        <v/>
      </c>
      <c r="AE152" s="41" t="n"/>
      <c r="AF152" s="12">
        <f>AF141/AF11</f>
        <v/>
      </c>
      <c r="AG152" s="12">
        <f>AG141/AG11</f>
        <v/>
      </c>
      <c r="AH152" s="41" t="n"/>
      <c r="AI152" s="12">
        <f>AI141/AI11</f>
        <v/>
      </c>
      <c r="AJ152" s="12">
        <f>AJ141/AJ11</f>
        <v/>
      </c>
      <c r="AK152" s="41" t="n"/>
      <c r="AL152" s="15" t="n"/>
      <c r="AM152" s="22">
        <f>AP152-AO152</f>
        <v/>
      </c>
      <c r="AO152" s="44">
        <f>IF($A$1=$B$1,B152,IF($A$1=$E$1,E152,IF($A$1=$H$1,H152,IF($A$1=$K$1,K152,IF($A$1=$N$1,N152,IF($A$1=$Q$1,Q152,IF($A$1=$T$1,T152,IF($A$1=$W$1,W152,IF($A$1=$Z$1,Z152,IF($A$1=$AC$1,AC152,IF($A$1=$AF$1,AF152,IF($A$1=$AI$1,AI152))))))))))))</f>
        <v/>
      </c>
      <c r="AP152" s="44">
        <f>IF($A$1=$B$1,C152,IF($A$1=$E$1,F152,IF($A$1=$H$1,I152,IF($A$1=$K$1,L152,IF($A$1=$N$1,O152,IF($A$1=$Q$1,R152,IF($A$1=$T$1,U152,IF($A$1=$W$1,X152,IF($A$1=$Z$1,AA152,IF($A$1=$AC$1,AD152,IF($A$1=$AF$1,AG152,IF($A$1=$AI$1,AJ152))))))))))))</f>
        <v/>
      </c>
    </row>
    <row r="153" ht="15.5" customFormat="1" customHeight="1" s="13">
      <c r="A153" s="26" t="inlineStr">
        <is>
          <t>İnci GS Yuasa</t>
        </is>
      </c>
      <c r="B153" s="12">
        <f>B142/B12</f>
        <v/>
      </c>
      <c r="C153" s="12">
        <f>C142/C12</f>
        <v/>
      </c>
      <c r="D153" s="41" t="n"/>
      <c r="E153" s="12">
        <f>E142/E12</f>
        <v/>
      </c>
      <c r="F153" s="12">
        <f>F142/F12</f>
        <v/>
      </c>
      <c r="G153" s="41" t="n"/>
      <c r="H153" s="468">
        <f>H142/H12</f>
        <v/>
      </c>
      <c r="I153" s="468">
        <f>I142/I12</f>
        <v/>
      </c>
      <c r="J153" s="41" t="n"/>
      <c r="K153" s="12">
        <f>K142/K12</f>
        <v/>
      </c>
      <c r="L153" s="12">
        <f>L142/L12</f>
        <v/>
      </c>
      <c r="M153" s="41" t="n"/>
      <c r="N153" s="12">
        <f>N142/N12</f>
        <v/>
      </c>
      <c r="O153" s="12">
        <f>O142/O12</f>
        <v/>
      </c>
      <c r="P153" s="41" t="n"/>
      <c r="Q153" s="12">
        <f>Q142/Q12</f>
        <v/>
      </c>
      <c r="R153" s="12">
        <f>R142/R12</f>
        <v/>
      </c>
      <c r="S153" s="41" t="n"/>
      <c r="T153" s="12">
        <f>T142/T12</f>
        <v/>
      </c>
      <c r="U153" s="12">
        <f>U142/U12</f>
        <v/>
      </c>
      <c r="V153" s="41" t="n"/>
      <c r="W153" s="12">
        <f>W142/W12</f>
        <v/>
      </c>
      <c r="X153" s="12">
        <f>X142/X12</f>
        <v/>
      </c>
      <c r="Y153" s="41" t="n"/>
      <c r="Z153" s="12">
        <f>Z142/Z12</f>
        <v/>
      </c>
      <c r="AA153" s="12">
        <f>AA142/AA12</f>
        <v/>
      </c>
      <c r="AB153" s="41" t="n"/>
      <c r="AC153" s="12">
        <f>AC142/AC12</f>
        <v/>
      </c>
      <c r="AD153" s="12">
        <f>AD142/AD12</f>
        <v/>
      </c>
      <c r="AE153" s="41" t="n"/>
      <c r="AF153" s="12">
        <f>AF142/AF12</f>
        <v/>
      </c>
      <c r="AG153" s="12">
        <f>AG142/AG12</f>
        <v/>
      </c>
      <c r="AH153" s="41" t="n"/>
      <c r="AI153" s="12">
        <f>AI142/AI12</f>
        <v/>
      </c>
      <c r="AJ153" s="12">
        <f>AJ142/AJ12</f>
        <v/>
      </c>
      <c r="AK153" s="41" t="n"/>
      <c r="AL153" s="15" t="n"/>
      <c r="AM153" s="22">
        <f>AP153-AO153</f>
        <v/>
      </c>
      <c r="AO153" s="44">
        <f>IF($A$1=$B$1,B153,IF($A$1=$E$1,E153,IF($A$1=$H$1,H153,IF($A$1=$K$1,K153,IF($A$1=$N$1,N153,IF($A$1=$Q$1,Q153,IF($A$1=$T$1,T153,IF($A$1=$W$1,W153,IF($A$1=$Z$1,Z153,IF($A$1=$AC$1,AC153,IF($A$1=$AF$1,AF153,IF($A$1=$AI$1,AI153))))))))))))</f>
        <v/>
      </c>
      <c r="AP153" s="44">
        <f>IF($A$1=$B$1,C153,IF($A$1=$E$1,F153,IF($A$1=$H$1,I153,IF($A$1=$K$1,L153,IF($A$1=$N$1,O153,IF($A$1=$Q$1,R153,IF($A$1=$T$1,U153,IF($A$1=$W$1,X153,IF($A$1=$Z$1,AA153,IF($A$1=$AC$1,AD153,IF($A$1=$AF$1,AG153,IF($A$1=$AI$1,AJ153))))))))))))</f>
        <v/>
      </c>
    </row>
    <row r="154" ht="15.5" customFormat="1" customHeight="1" s="13">
      <c r="A154" s="26" t="inlineStr">
        <is>
          <t>Yusen İnci Loj.</t>
        </is>
      </c>
      <c r="B154" s="12">
        <f>B143/B13</f>
        <v/>
      </c>
      <c r="C154" s="12">
        <f>C143/C13</f>
        <v/>
      </c>
      <c r="D154" s="41" t="n"/>
      <c r="E154" s="12">
        <f>E143/E13</f>
        <v/>
      </c>
      <c r="F154" s="12">
        <f>F143/F13</f>
        <v/>
      </c>
      <c r="G154" s="41" t="n"/>
      <c r="H154" s="468">
        <f>H143/H13</f>
        <v/>
      </c>
      <c r="I154" s="468">
        <f>I143/I13</f>
        <v/>
      </c>
      <c r="J154" s="41" t="n"/>
      <c r="K154" s="12">
        <f>K143/K13</f>
        <v/>
      </c>
      <c r="L154" s="12">
        <f>L143/L13</f>
        <v/>
      </c>
      <c r="M154" s="41" t="n"/>
      <c r="N154" s="12">
        <f>N143/N13</f>
        <v/>
      </c>
      <c r="O154" s="12">
        <f>O143/O13</f>
        <v/>
      </c>
      <c r="P154" s="41" t="n"/>
      <c r="Q154" s="12">
        <f>Q143/Q13</f>
        <v/>
      </c>
      <c r="R154" s="12">
        <f>R143/R13</f>
        <v/>
      </c>
      <c r="S154" s="41" t="n"/>
      <c r="T154" s="12">
        <f>T143/T13</f>
        <v/>
      </c>
      <c r="U154" s="12">
        <f>U143/U13</f>
        <v/>
      </c>
      <c r="V154" s="41" t="n"/>
      <c r="W154" s="12">
        <f>W143/W13</f>
        <v/>
      </c>
      <c r="X154" s="12">
        <f>X143/X13</f>
        <v/>
      </c>
      <c r="Y154" s="41" t="n"/>
      <c r="Z154" s="12">
        <f>Z143/Z13</f>
        <v/>
      </c>
      <c r="AA154" s="12">
        <f>AA143/AA13</f>
        <v/>
      </c>
      <c r="AB154" s="41" t="n"/>
      <c r="AC154" s="12">
        <f>AC143/AC13</f>
        <v/>
      </c>
      <c r="AD154" s="12">
        <f>AD143/AD13</f>
        <v/>
      </c>
      <c r="AE154" s="41" t="n"/>
      <c r="AF154" s="12">
        <f>AF143/AF13</f>
        <v/>
      </c>
      <c r="AG154" s="12">
        <f>AG143/AG13</f>
        <v/>
      </c>
      <c r="AH154" s="41" t="n"/>
      <c r="AI154" s="12">
        <f>AI143/AI13</f>
        <v/>
      </c>
      <c r="AJ154" s="12">
        <f>AJ143/AJ13</f>
        <v/>
      </c>
      <c r="AK154" s="41" t="n"/>
      <c r="AL154" s="15" t="n"/>
      <c r="AM154" s="22">
        <f>AP154-AO154</f>
        <v/>
      </c>
      <c r="AO154" s="44">
        <f>IF($A$1=$B$1,B154,IF($A$1=$E$1,E154,IF($A$1=$H$1,H154,IF($A$1=$K$1,K154,IF($A$1=$N$1,N154,IF($A$1=$Q$1,Q154,IF($A$1=$T$1,T154,IF($A$1=$W$1,W154,IF($A$1=$Z$1,Z154,IF($A$1=$AC$1,AC154,IF($A$1=$AF$1,AF154,IF($A$1=$AI$1,AI154))))))))))))</f>
        <v/>
      </c>
      <c r="AP154" s="44">
        <f>IF($A$1=$B$1,C154,IF($A$1=$E$1,F154,IF($A$1=$H$1,I154,IF($A$1=$K$1,L154,IF($A$1=$N$1,O154,IF($A$1=$Q$1,R154,IF($A$1=$T$1,U154,IF($A$1=$W$1,X154,IF($A$1=$Z$1,AA154,IF($A$1=$AC$1,AD154,IF($A$1=$AF$1,AG154,IF($A$1=$AI$1,AJ154))))))))))))</f>
        <v/>
      </c>
    </row>
    <row r="155" ht="15.5" customFormat="1" customHeight="1" s="13">
      <c r="A155" s="26" t="inlineStr">
        <is>
          <t>Jantaş</t>
        </is>
      </c>
      <c r="B155" s="12">
        <f>B144/B14</f>
        <v/>
      </c>
      <c r="C155" s="12">
        <f>C144/C14</f>
        <v/>
      </c>
      <c r="D155" s="41" t="n"/>
      <c r="E155" s="12">
        <f>E144/E14</f>
        <v/>
      </c>
      <c r="F155" s="12">
        <f>F144/F14</f>
        <v/>
      </c>
      <c r="G155" s="41" t="n"/>
      <c r="H155" s="468">
        <f>H144/H14</f>
        <v/>
      </c>
      <c r="I155" s="468">
        <f>I144/I14</f>
        <v/>
      </c>
      <c r="J155" s="41" t="n"/>
      <c r="K155" s="12">
        <f>K144/K14</f>
        <v/>
      </c>
      <c r="L155" s="12">
        <f>L144/L14</f>
        <v/>
      </c>
      <c r="M155" s="41" t="n"/>
      <c r="N155" s="12">
        <f>N144/N14</f>
        <v/>
      </c>
      <c r="O155" s="12">
        <f>O144/O14</f>
        <v/>
      </c>
      <c r="P155" s="41" t="n"/>
      <c r="Q155" s="12">
        <f>Q144/Q14</f>
        <v/>
      </c>
      <c r="R155" s="12">
        <f>R144/R14</f>
        <v/>
      </c>
      <c r="S155" s="41" t="n"/>
      <c r="T155" s="12">
        <f>T144/T14</f>
        <v/>
      </c>
      <c r="U155" s="12">
        <f>U144/U14</f>
        <v/>
      </c>
      <c r="V155" s="41" t="n"/>
      <c r="W155" s="12">
        <f>W144/W14</f>
        <v/>
      </c>
      <c r="X155" s="12">
        <f>X144/X14</f>
        <v/>
      </c>
      <c r="Y155" s="41" t="n"/>
      <c r="Z155" s="12">
        <f>Z144/Z14</f>
        <v/>
      </c>
      <c r="AA155" s="12">
        <f>AA144/AA14</f>
        <v/>
      </c>
      <c r="AB155" s="41" t="n"/>
      <c r="AC155" s="12">
        <f>AC144/AC14</f>
        <v/>
      </c>
      <c r="AD155" s="12">
        <f>AD144/AD14</f>
        <v/>
      </c>
      <c r="AE155" s="41" t="n"/>
      <c r="AF155" s="12">
        <f>AF144/AF14</f>
        <v/>
      </c>
      <c r="AG155" s="12">
        <f>AG144/AG14</f>
        <v/>
      </c>
      <c r="AH155" s="41" t="n"/>
      <c r="AI155" s="12">
        <f>AI144/AI14</f>
        <v/>
      </c>
      <c r="AJ155" s="12">
        <f>AJ144/AJ14</f>
        <v/>
      </c>
      <c r="AK155" s="41" t="n"/>
      <c r="AL155" s="15" t="n"/>
      <c r="AM155" s="22">
        <f>AP155-AO155</f>
        <v/>
      </c>
      <c r="AO155" s="44">
        <f>IF($A$1=$B$1,B155,IF($A$1=$E$1,E155,IF($A$1=$H$1,H155,IF($A$1=$K$1,K155,IF($A$1=$N$1,N155,IF($A$1=$Q$1,Q155,IF($A$1=$T$1,T155,IF($A$1=$W$1,W155,IF($A$1=$Z$1,Z155,IF($A$1=$AC$1,AC155,IF($A$1=$AF$1,AF155,IF($A$1=$AI$1,AI155))))))))))))</f>
        <v/>
      </c>
      <c r="AP155" s="44">
        <f>IF($A$1=$B$1,C155,IF($A$1=$E$1,F155,IF($A$1=$H$1,I155,IF($A$1=$K$1,L155,IF($A$1=$N$1,O155,IF($A$1=$Q$1,R155,IF($A$1=$T$1,U155,IF($A$1=$W$1,X155,IF($A$1=$Z$1,AA155,IF($A$1=$AC$1,AD155,IF($A$1=$AF$1,AG155,IF($A$1=$AI$1,AJ155))))))))))))</f>
        <v/>
      </c>
    </row>
    <row r="156" ht="15.5" customFormat="1" customHeight="1" s="13">
      <c r="A156" s="26" t="inlineStr">
        <is>
          <t>Çelik</t>
        </is>
      </c>
      <c r="B156" s="12">
        <f>B145/B15</f>
        <v/>
      </c>
      <c r="C156" s="12">
        <f>C145/C15</f>
        <v/>
      </c>
      <c r="D156" s="41" t="n"/>
      <c r="E156" s="12">
        <f>E145/E15</f>
        <v/>
      </c>
      <c r="F156" s="12">
        <f>F145/F15</f>
        <v/>
      </c>
      <c r="G156" s="41" t="n"/>
      <c r="H156" s="468">
        <f>H145/H15</f>
        <v/>
      </c>
      <c r="I156" s="468">
        <f>I145/I15</f>
        <v/>
      </c>
      <c r="J156" s="41" t="n"/>
      <c r="K156" s="12">
        <f>K145/K15</f>
        <v/>
      </c>
      <c r="L156" s="12">
        <f>L145/L15</f>
        <v/>
      </c>
      <c r="M156" s="41" t="n"/>
      <c r="N156" s="12">
        <f>N145/N15</f>
        <v/>
      </c>
      <c r="O156" s="12">
        <f>O145/O15</f>
        <v/>
      </c>
      <c r="P156" s="41" t="n"/>
      <c r="Q156" s="12">
        <f>Q145/Q15</f>
        <v/>
      </c>
      <c r="R156" s="12">
        <f>R145/R15</f>
        <v/>
      </c>
      <c r="S156" s="41" t="n"/>
      <c r="T156" s="12">
        <f>T145/T15</f>
        <v/>
      </c>
      <c r="U156" s="12">
        <f>U145/U15</f>
        <v/>
      </c>
      <c r="V156" s="41" t="n"/>
      <c r="W156" s="12">
        <f>W145/W15</f>
        <v/>
      </c>
      <c r="X156" s="12">
        <f>X145/X15</f>
        <v/>
      </c>
      <c r="Y156" s="41" t="n"/>
      <c r="Z156" s="12">
        <f>Z145/Z15</f>
        <v/>
      </c>
      <c r="AA156" s="12">
        <f>AA145/AA15</f>
        <v/>
      </c>
      <c r="AB156" s="41" t="n"/>
      <c r="AC156" s="12">
        <f>AC145/AC15</f>
        <v/>
      </c>
      <c r="AD156" s="12">
        <f>AD145/AD15</f>
        <v/>
      </c>
      <c r="AE156" s="41" t="n"/>
      <c r="AF156" s="12">
        <f>AF145/AF15</f>
        <v/>
      </c>
      <c r="AG156" s="12">
        <f>AG145/AG15</f>
        <v/>
      </c>
      <c r="AH156" s="41" t="n"/>
      <c r="AI156" s="12">
        <f>AI145/AI15</f>
        <v/>
      </c>
      <c r="AJ156" s="12">
        <f>AJ145/AJ15</f>
        <v/>
      </c>
      <c r="AK156" s="41" t="n"/>
      <c r="AL156" s="15" t="n"/>
      <c r="AM156" s="22">
        <f>AP156-AO156</f>
        <v/>
      </c>
      <c r="AO156" s="44">
        <f>IF($A$1=$B$1,B156,IF($A$1=$E$1,E156,IF($A$1=$H$1,H156,IF($A$1=$K$1,K156,IF($A$1=$N$1,N156,IF($A$1=$Q$1,Q156,IF($A$1=$T$1,T156,IF($A$1=$W$1,W156,IF($A$1=$Z$1,Z156,IF($A$1=$AC$1,AC156,IF($A$1=$AF$1,AF156,IF($A$1=$AI$1,AI156))))))))))))</f>
        <v/>
      </c>
      <c r="AP156" s="44">
        <f>IF($A$1=$B$1,C156,IF($A$1=$E$1,F156,IF($A$1=$H$1,I156,IF($A$1=$K$1,L156,IF($A$1=$N$1,O156,IF($A$1=$Q$1,R156,IF($A$1=$T$1,U156,IF($A$1=$W$1,X156,IF($A$1=$Z$1,AA156,IF($A$1=$AC$1,AD156,IF($A$1=$AF$1,AG156,IF($A$1=$AI$1,AJ156))))))))))))</f>
        <v/>
      </c>
    </row>
    <row r="157" ht="15.5" customFormat="1" customHeight="1" s="13">
      <c r="A157" s="26" t="inlineStr">
        <is>
          <t>Alüminyum</t>
        </is>
      </c>
      <c r="B157" s="12">
        <f>B146/B16</f>
        <v/>
      </c>
      <c r="C157" s="12">
        <f>C146/C16</f>
        <v/>
      </c>
      <c r="D157" s="41" t="n"/>
      <c r="E157" s="12">
        <f>E146/E16</f>
        <v/>
      </c>
      <c r="F157" s="12">
        <f>F146/F16</f>
        <v/>
      </c>
      <c r="G157" s="41" t="n"/>
      <c r="H157" s="468">
        <f>H146/H16</f>
        <v/>
      </c>
      <c r="I157" s="468">
        <f>I146/I16</f>
        <v/>
      </c>
      <c r="J157" s="41" t="n"/>
      <c r="K157" s="12">
        <f>K146/K16</f>
        <v/>
      </c>
      <c r="L157" s="12">
        <f>L146/L16</f>
        <v/>
      </c>
      <c r="M157" s="41" t="n"/>
      <c r="N157" s="12">
        <f>N146/N16</f>
        <v/>
      </c>
      <c r="O157" s="12">
        <f>O146/O16</f>
        <v/>
      </c>
      <c r="P157" s="41" t="n"/>
      <c r="Q157" s="12">
        <f>Q146/Q16</f>
        <v/>
      </c>
      <c r="R157" s="12">
        <f>R146/R16</f>
        <v/>
      </c>
      <c r="S157" s="41" t="n"/>
      <c r="T157" s="12">
        <f>T146/T16</f>
        <v/>
      </c>
      <c r="U157" s="12">
        <f>U146/U16</f>
        <v/>
      </c>
      <c r="V157" s="41" t="n"/>
      <c r="W157" s="12">
        <f>W146/W16</f>
        <v/>
      </c>
      <c r="X157" s="12">
        <f>X146/X16</f>
        <v/>
      </c>
      <c r="Y157" s="41" t="n"/>
      <c r="Z157" s="12">
        <f>Z146/Z16</f>
        <v/>
      </c>
      <c r="AA157" s="12">
        <f>AA146/AA16</f>
        <v/>
      </c>
      <c r="AB157" s="41" t="n"/>
      <c r="AC157" s="12">
        <f>AC146/AC16</f>
        <v/>
      </c>
      <c r="AD157" s="12">
        <f>AD146/AD16</f>
        <v/>
      </c>
      <c r="AE157" s="41" t="n"/>
      <c r="AF157" s="12">
        <f>AF146/AF16</f>
        <v/>
      </c>
      <c r="AG157" s="12">
        <f>AG146/AG16</f>
        <v/>
      </c>
      <c r="AH157" s="41" t="n"/>
      <c r="AI157" s="12">
        <f>AI146/AI16</f>
        <v/>
      </c>
      <c r="AJ157" s="12">
        <f>AJ146/AJ16</f>
        <v/>
      </c>
      <c r="AK157" s="41" t="n"/>
      <c r="AL157" s="15" t="n"/>
      <c r="AM157" s="22">
        <f>AP157-AO157</f>
        <v/>
      </c>
      <c r="AO157" s="44">
        <f>IF($A$1=$B$1,B157,IF($A$1=$E$1,E157,IF($A$1=$H$1,H157,IF($A$1=$K$1,K157,IF($A$1=$N$1,N157,IF($A$1=$Q$1,Q157,IF($A$1=$T$1,T157,IF($A$1=$W$1,W157,IF($A$1=$Z$1,Z157,IF($A$1=$AC$1,AC157,IF($A$1=$AF$1,AF157,IF($A$1=$AI$1,AI157))))))))))))</f>
        <v/>
      </c>
      <c r="AP157" s="44">
        <f>IF($A$1=$B$1,C157,IF($A$1=$E$1,F157,IF($A$1=$H$1,I157,IF($A$1=$K$1,L157,IF($A$1=$N$1,O157,IF($A$1=$Q$1,R157,IF($A$1=$T$1,U157,IF($A$1=$W$1,X157,IF($A$1=$Z$1,AA157,IF($A$1=$AC$1,AD157,IF($A$1=$AF$1,AG157,IF($A$1=$AI$1,AJ157))))))))))))</f>
        <v/>
      </c>
    </row>
    <row r="158" ht="15.5" customFormat="1" customHeight="1" s="13">
      <c r="A158" s="26" t="n"/>
      <c r="B158" s="12" t="n"/>
      <c r="C158" s="30" t="n"/>
      <c r="D158" s="41" t="n"/>
      <c r="E158" s="12" t="n"/>
      <c r="F158" s="30" t="n"/>
      <c r="G158" s="41" t="n"/>
      <c r="H158" s="12" t="n"/>
      <c r="I158" s="30" t="n"/>
      <c r="J158" s="41" t="n"/>
      <c r="K158" s="12" t="n"/>
      <c r="L158" s="30" t="n"/>
      <c r="M158" s="41" t="n"/>
      <c r="N158" s="12" t="n"/>
      <c r="O158" s="30" t="n"/>
      <c r="P158" s="41" t="n"/>
      <c r="Q158" s="12" t="n"/>
      <c r="R158" s="30" t="n"/>
      <c r="S158" s="41" t="n"/>
      <c r="T158" s="12" t="n"/>
      <c r="U158" s="30" t="n"/>
      <c r="V158" s="41" t="n"/>
      <c r="W158" s="12" t="n"/>
      <c r="X158" s="30" t="n"/>
      <c r="Y158" s="41" t="n"/>
      <c r="Z158" s="12" t="n"/>
      <c r="AA158" s="30" t="n"/>
      <c r="AB158" s="41" t="n"/>
      <c r="AC158" s="12" t="n"/>
      <c r="AD158" s="30" t="n"/>
      <c r="AE158" s="41" t="n"/>
      <c r="AF158" s="12" t="n"/>
      <c r="AG158" s="30" t="n"/>
      <c r="AH158" s="41" t="n"/>
      <c r="AI158" s="12" t="n"/>
      <c r="AJ158" s="30" t="n"/>
      <c r="AK158" s="41" t="n"/>
      <c r="AL158" s="15" t="n"/>
      <c r="AM158" s="22" t="n"/>
      <c r="AO158" s="44" t="n"/>
      <c r="AP158" s="44" t="n"/>
    </row>
    <row r="159" ht="15.5" customFormat="1" customHeight="1" s="13">
      <c r="A159" s="26" t="n"/>
      <c r="B159" s="12" t="n"/>
      <c r="C159" s="30" t="n"/>
      <c r="D159" s="41" t="n"/>
      <c r="E159" s="12" t="n"/>
      <c r="F159" s="30" t="n"/>
      <c r="G159" s="41" t="n"/>
      <c r="H159" s="12" t="n"/>
      <c r="I159" s="30" t="n"/>
      <c r="J159" s="41" t="n"/>
      <c r="K159" s="12" t="n"/>
      <c r="L159" s="30" t="n"/>
      <c r="M159" s="41" t="n"/>
      <c r="N159" s="12" t="n"/>
      <c r="O159" s="30" t="n"/>
      <c r="P159" s="41" t="n"/>
      <c r="Q159" s="12" t="n"/>
      <c r="R159" s="30" t="n"/>
      <c r="S159" s="41" t="n"/>
      <c r="T159" s="12" t="n"/>
      <c r="U159" s="30" t="n"/>
      <c r="V159" s="41" t="n"/>
      <c r="W159" s="12" t="n"/>
      <c r="X159" s="30" t="n"/>
      <c r="Y159" s="41" t="n"/>
      <c r="Z159" s="12" t="n"/>
      <c r="AA159" s="30" t="n"/>
      <c r="AB159" s="41" t="n"/>
      <c r="AC159" s="12" t="n"/>
      <c r="AD159" s="30" t="n"/>
      <c r="AE159" s="41" t="n"/>
      <c r="AF159" s="12" t="n"/>
      <c r="AG159" s="30" t="n"/>
      <c r="AH159" s="41" t="n"/>
      <c r="AI159" s="12" t="n"/>
      <c r="AJ159" s="30" t="n"/>
      <c r="AK159" s="41" t="n"/>
      <c r="AL159" s="15" t="n"/>
      <c r="AM159" s="22" t="n"/>
      <c r="AO159" s="44" t="n"/>
      <c r="AP159" s="44" t="n"/>
    </row>
    <row r="160" ht="15.5" customFormat="1" customHeight="1" s="44">
      <c r="A160" s="31" t="inlineStr">
        <is>
          <t>Finansman Gelir(Gideri)</t>
        </is>
      </c>
      <c r="B160" s="32">
        <f>'A -Döviz'!B160</f>
        <v/>
      </c>
      <c r="C160" s="32">
        <f>'A -Döviz'!C160</f>
        <v/>
      </c>
      <c r="D160" s="18" t="n"/>
      <c r="E160" s="32">
        <f>B160+'A -Döviz'!E160</f>
        <v/>
      </c>
      <c r="F160" s="32">
        <f>C160+'A -Döviz'!F160</f>
        <v/>
      </c>
      <c r="G160" s="18" t="n"/>
      <c r="H160" s="32">
        <f>E160+'A -Döviz'!H160</f>
        <v/>
      </c>
      <c r="I160" s="32">
        <f>F160+'A -Döviz'!I160</f>
        <v/>
      </c>
      <c r="J160" s="18" t="n"/>
      <c r="K160" s="32">
        <f>H160+'A -Döviz'!K160</f>
        <v/>
      </c>
      <c r="L160" s="32">
        <f>I160+'A -Döviz'!L160</f>
        <v/>
      </c>
      <c r="M160" s="18" t="n"/>
      <c r="N160" s="32">
        <f>K160+'A -Döviz'!N160</f>
        <v/>
      </c>
      <c r="O160" s="32">
        <f>L160+'A -Döviz'!O160</f>
        <v/>
      </c>
      <c r="P160" s="18" t="n"/>
      <c r="Q160" s="32">
        <f>N160+'A -Döviz'!Q160</f>
        <v/>
      </c>
      <c r="R160" s="32">
        <f>O160+'A -Döviz'!R160</f>
        <v/>
      </c>
      <c r="S160" s="18" t="n"/>
      <c r="T160" s="32">
        <f>Q160+'A -Döviz'!T160</f>
        <v/>
      </c>
      <c r="U160" s="32">
        <f>R160+'A -Döviz'!U160</f>
        <v/>
      </c>
      <c r="V160" s="18" t="n"/>
      <c r="W160" s="32">
        <f>T160+'A -Döviz'!W160</f>
        <v/>
      </c>
      <c r="X160" s="32">
        <f>U160+'A -Döviz'!X160</f>
        <v/>
      </c>
      <c r="Y160" s="18" t="n"/>
      <c r="Z160" s="32">
        <f>W160+'A -Döviz'!Z160</f>
        <v/>
      </c>
      <c r="AA160" s="32">
        <f>X160+'A -Döviz'!AA160</f>
        <v/>
      </c>
      <c r="AB160" s="18" t="n"/>
      <c r="AC160" s="32">
        <f>Z160+'A -Döviz'!AC160</f>
        <v/>
      </c>
      <c r="AD160" s="32">
        <f>AA160+'A -Döviz'!AD160</f>
        <v/>
      </c>
      <c r="AE160" s="18" t="n"/>
      <c r="AF160" s="32">
        <f>AC160+'A -Döviz'!AF160</f>
        <v/>
      </c>
      <c r="AG160" s="32">
        <f>AD160+'A -Döviz'!AG160</f>
        <v/>
      </c>
      <c r="AH160" s="18" t="n"/>
      <c r="AI160" s="32">
        <f>AF160+'A -Döviz'!AI160</f>
        <v/>
      </c>
      <c r="AJ160" s="32">
        <f>AG160+'A -Döviz'!AJ160</f>
        <v/>
      </c>
      <c r="AK160" s="18" t="n"/>
      <c r="AL160" s="33">
        <f>AP160-AO160</f>
        <v/>
      </c>
      <c r="AM160" s="34">
        <f>AP160/AO160-1</f>
        <v/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/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/>
      </c>
    </row>
    <row r="161" ht="15.5" customFormat="1" customHeight="1" s="13">
      <c r="A161" s="27" t="n"/>
      <c r="B161" s="30" t="n"/>
      <c r="C161" s="30" t="n"/>
      <c r="D161" s="41" t="n"/>
      <c r="E161" s="30" t="n"/>
      <c r="F161" s="30" t="n"/>
      <c r="G161" s="41" t="n"/>
      <c r="H161" s="30" t="n"/>
      <c r="I161" s="30" t="n"/>
      <c r="J161" s="41" t="n"/>
      <c r="K161" s="30" t="n"/>
      <c r="L161" s="30" t="n"/>
      <c r="M161" s="41" t="n"/>
      <c r="N161" s="30" t="n"/>
      <c r="O161" s="30" t="n"/>
      <c r="P161" s="41" t="n"/>
      <c r="Q161" s="30" t="n"/>
      <c r="R161" s="30" t="n"/>
      <c r="S161" s="41" t="n"/>
      <c r="T161" s="30" t="n"/>
      <c r="U161" s="30" t="n"/>
      <c r="V161" s="41" t="n"/>
      <c r="W161" s="30" t="n"/>
      <c r="X161" s="30" t="n"/>
      <c r="Y161" s="41" t="n"/>
      <c r="Z161" s="30" t="n"/>
      <c r="AA161" s="30" t="n"/>
      <c r="AB161" s="41" t="n"/>
      <c r="AC161" s="30" t="n"/>
      <c r="AD161" s="30" t="n"/>
      <c r="AE161" s="41" t="n"/>
      <c r="AF161" s="30" t="n"/>
      <c r="AG161" s="475" t="n"/>
      <c r="AH161" s="41" t="n"/>
      <c r="AI161" s="30" t="n"/>
      <c r="AJ161" s="30" t="n"/>
      <c r="AK161" s="41" t="n"/>
      <c r="AL161" s="15" t="n"/>
      <c r="AM161" s="22" t="n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/>
      </c>
      <c r="AP161" s="44">
        <f>IF($A$1=$B$1,C161,IF($A$1=$E$1,F161,IF($A$1=$H$1,I161,IF($A$1=$K$1,L161,IF($A$1=$N$1,O161,IF($A$1=$Q$1,R161,IF($A$1=$T$1,U161,IF($A$1=$W$1,X161,IF($A$1=$Z$1,AA161,IF($A$1=$AC$1,AD161,IF($A$1=$AF$1,AG161,IF($A$1=$AI$1,AJ161))))))))))))</f>
        <v/>
      </c>
    </row>
    <row r="162" ht="17" customFormat="1" customHeight="1" s="49">
      <c r="A162" s="47" t="inlineStr">
        <is>
          <t>Finansman Gelir(Gideri) (100%)</t>
        </is>
      </c>
      <c r="B162" s="413" t="n"/>
      <c r="C162" s="413" t="n"/>
      <c r="D162" s="413" t="n"/>
      <c r="E162" s="413" t="n"/>
      <c r="F162" s="413" t="n"/>
      <c r="G162" s="413" t="n"/>
      <c r="H162" s="413" t="n"/>
      <c r="I162" s="413" t="n"/>
      <c r="J162" s="413" t="n"/>
      <c r="K162" s="413" t="n"/>
      <c r="L162" s="413" t="n"/>
      <c r="M162" s="413" t="n"/>
      <c r="N162" s="413" t="n"/>
      <c r="O162" s="413" t="n"/>
      <c r="P162" s="413" t="n"/>
      <c r="Q162" s="413" t="n"/>
      <c r="R162" s="413" t="n"/>
      <c r="S162" s="413" t="n"/>
      <c r="T162" s="413" t="n"/>
      <c r="U162" s="413" t="n"/>
      <c r="V162" s="413" t="n"/>
      <c r="W162" s="413" t="n"/>
      <c r="X162" s="413" t="n"/>
      <c r="Y162" s="413" t="n"/>
      <c r="Z162" s="413" t="n"/>
      <c r="AA162" s="413" t="n"/>
      <c r="AB162" s="413" t="n"/>
      <c r="AC162" s="413" t="n"/>
      <c r="AD162" s="413" t="n"/>
      <c r="AE162" s="413" t="n"/>
      <c r="AF162" s="413" t="n"/>
      <c r="AG162" s="413" t="n"/>
      <c r="AH162" s="413" t="n"/>
      <c r="AI162" s="413" t="n"/>
      <c r="AJ162" s="413" t="n"/>
      <c r="AK162" s="413" t="n"/>
      <c r="AL162" s="413" t="n"/>
      <c r="AM162" s="48" t="n"/>
    </row>
    <row r="163" ht="15.5" customHeight="1">
      <c r="A163" s="26" t="inlineStr">
        <is>
          <t xml:space="preserve">İnci Holding </t>
        </is>
      </c>
      <c r="B163" s="7">
        <f>'A -Döviz'!B163</f>
        <v/>
      </c>
      <c r="C163" s="7">
        <f>'A -Döviz'!C163</f>
        <v/>
      </c>
      <c r="D163" s="7" t="n"/>
      <c r="E163" s="7">
        <f>B163+'A -Döviz'!E163</f>
        <v/>
      </c>
      <c r="F163" s="7">
        <f>C163+'A -Döviz'!F163</f>
        <v/>
      </c>
      <c r="G163" s="7" t="n"/>
      <c r="H163" s="7">
        <f>E163+'A -Döviz'!H163</f>
        <v/>
      </c>
      <c r="I163" s="7">
        <f>F163+'A -Döviz'!I163</f>
        <v/>
      </c>
      <c r="J163" s="74">
        <f>+I163+I176-H163-H176</f>
        <v/>
      </c>
      <c r="K163" s="7">
        <f>H163+'A -Döviz'!K163</f>
        <v/>
      </c>
      <c r="L163" s="7">
        <f>I163+'A -Döviz'!L163</f>
        <v/>
      </c>
      <c r="M163" s="7" t="n"/>
      <c r="N163" s="7">
        <f>K163+'A -Döviz'!N163</f>
        <v/>
      </c>
      <c r="O163" s="7">
        <f>L163+'A -Döviz'!O163</f>
        <v/>
      </c>
      <c r="P163" s="7" t="n"/>
      <c r="Q163" s="7">
        <f>N163+'A -Döviz'!Q163</f>
        <v/>
      </c>
      <c r="R163" s="7">
        <f>O163+'A -Döviz'!R163</f>
        <v/>
      </c>
      <c r="S163" s="7" t="n"/>
      <c r="T163" s="7">
        <f>Q163+'A -Döviz'!T163</f>
        <v/>
      </c>
      <c r="U163" s="7">
        <f>R163+'A -Döviz'!U163</f>
        <v/>
      </c>
      <c r="V163" s="7" t="n"/>
      <c r="W163" s="7">
        <f>T163+'A -Döviz'!W163</f>
        <v/>
      </c>
      <c r="X163" s="7">
        <f>U163+'A -Döviz'!X163</f>
        <v/>
      </c>
      <c r="Y163" s="7" t="n"/>
      <c r="Z163" s="7">
        <f>W163+'A -Döviz'!Z163</f>
        <v/>
      </c>
      <c r="AA163" s="7">
        <f>X163+'A -Döviz'!AA163</f>
        <v/>
      </c>
      <c r="AB163" s="7" t="n"/>
      <c r="AC163" s="7">
        <f>Z163+'A -Döviz'!AC163</f>
        <v/>
      </c>
      <c r="AD163" s="7">
        <f>AA163+'A -Döviz'!AD163</f>
        <v/>
      </c>
      <c r="AE163" s="7" t="n"/>
      <c r="AF163" s="7">
        <f>AC163+'A -Döviz'!AF163</f>
        <v/>
      </c>
      <c r="AG163" s="7">
        <f>AD163+'A -Döviz'!AG163</f>
        <v/>
      </c>
      <c r="AH163" s="7" t="n"/>
      <c r="AI163" s="7">
        <f>AF163+'A -Döviz'!AI163</f>
        <v/>
      </c>
      <c r="AJ163" s="7">
        <f>AG163+'A -Döviz'!AJ163</f>
        <v/>
      </c>
      <c r="AK163" s="7" t="n"/>
      <c r="AL163" s="21">
        <f>AP163-AO163</f>
        <v/>
      </c>
      <c r="AM163" s="22">
        <f>AP163/AO163-1</f>
        <v/>
      </c>
      <c r="AO163" s="44">
        <f>IF($A$1=$B$1,B163,IF($A$1=$E$1,E163,IF($A$1=$H$1,H163,IF($A$1=$K$1,K163,IF($A$1=$N$1,N163,IF($A$1=$Q$1,Q163,IF($A$1=$T$1,T163,IF($A$1=$W$1,W163,IF($A$1=$Z$1,Z163,IF($A$1=$AC$1,AC163,IF($A$1=$AF$1,AF163,IF($A$1=$AI$1,AI163))))))))))))</f>
        <v/>
      </c>
      <c r="AP163" s="44">
        <f>IF($A$1=$B$1,C163,IF($A$1=$E$1,F163,IF($A$1=$H$1,I163,IF($A$1=$K$1,L163,IF($A$1=$N$1,O163,IF($A$1=$Q$1,R163,IF($A$1=$T$1,U163,IF($A$1=$W$1,X163,IF($A$1=$Z$1,AA163,IF($A$1=$AC$1,AD163,IF($A$1=$AF$1,AG163,IF($A$1=$AI$1,AJ163))))))))))))</f>
        <v/>
      </c>
    </row>
    <row r="164" ht="15.5" customHeight="1">
      <c r="A164" s="26" t="inlineStr">
        <is>
          <t xml:space="preserve">ISM </t>
        </is>
      </c>
      <c r="B164" s="7">
        <f>'A -Döviz'!B164</f>
        <v/>
      </c>
      <c r="C164" s="7">
        <f>'A -Döviz'!C164</f>
        <v/>
      </c>
      <c r="D164" s="7" t="n"/>
      <c r="E164" s="7">
        <f>B164+'A -Döviz'!E164</f>
        <v/>
      </c>
      <c r="F164" s="7">
        <f>C164+'A -Döviz'!F164</f>
        <v/>
      </c>
      <c r="G164" s="7" t="n"/>
      <c r="H164" s="7">
        <f>E164+'A -Döviz'!H164</f>
        <v/>
      </c>
      <c r="I164" s="7">
        <f>F164+'A -Döviz'!I164</f>
        <v/>
      </c>
      <c r="J164" s="7">
        <f>+I164+I177-H164-H177</f>
        <v/>
      </c>
      <c r="K164" s="7">
        <f>H164+'A -Döviz'!K164</f>
        <v/>
      </c>
      <c r="L164" s="7">
        <f>I164+'A -Döviz'!L164</f>
        <v/>
      </c>
      <c r="M164" s="7" t="n"/>
      <c r="N164" s="7">
        <f>K164+'A -Döviz'!N164</f>
        <v/>
      </c>
      <c r="O164" s="7">
        <f>L164+'A -Döviz'!O164</f>
        <v/>
      </c>
      <c r="P164" s="7" t="n"/>
      <c r="Q164" s="7">
        <f>N164+'A -Döviz'!Q164</f>
        <v/>
      </c>
      <c r="R164" s="7">
        <f>O164+'A -Döviz'!R164</f>
        <v/>
      </c>
      <c r="S164" s="7" t="n"/>
      <c r="T164" s="7">
        <f>Q164+'A -Döviz'!T164</f>
        <v/>
      </c>
      <c r="U164" s="7">
        <f>R164+'A -Döviz'!U164</f>
        <v/>
      </c>
      <c r="V164" s="7" t="n"/>
      <c r="W164" s="7">
        <f>T164+'A -Döviz'!W164</f>
        <v/>
      </c>
      <c r="X164" s="7">
        <f>U164+'A -Döviz'!X164</f>
        <v/>
      </c>
      <c r="Y164" s="7" t="n"/>
      <c r="Z164" s="7">
        <f>W164+'A -Döviz'!Z164</f>
        <v/>
      </c>
      <c r="AA164" s="7">
        <f>X164+'A -Döviz'!AA164</f>
        <v/>
      </c>
      <c r="AB164" s="7" t="n"/>
      <c r="AC164" s="7">
        <f>Z164+'A -Döviz'!AC164</f>
        <v/>
      </c>
      <c r="AD164" s="7">
        <f>AA164+'A -Döviz'!AD164</f>
        <v/>
      </c>
      <c r="AE164" s="7" t="n"/>
      <c r="AF164" s="7">
        <f>AC164+'A -Döviz'!AF164</f>
        <v/>
      </c>
      <c r="AG164" s="7">
        <f>AD164+'A -Döviz'!AG164</f>
        <v/>
      </c>
      <c r="AH164" s="7" t="n"/>
      <c r="AI164" s="7">
        <f>AF164+'A -Döviz'!AI164</f>
        <v/>
      </c>
      <c r="AJ164" s="7">
        <f>AG164+'A -Döviz'!AJ164</f>
        <v/>
      </c>
      <c r="AK164" s="7" t="n"/>
      <c r="AL164" s="21">
        <f>AP164-AO164</f>
        <v/>
      </c>
      <c r="AM164" s="22">
        <f>AP164/AO164-1</f>
        <v/>
      </c>
      <c r="AO164" s="44">
        <f>IF($A$1=$B$1,B164,IF($A$1=$E$1,E164,IF($A$1=$H$1,H164,IF($A$1=$K$1,K164,IF($A$1=$N$1,N164,IF($A$1=$Q$1,Q164,IF($A$1=$T$1,T164,IF($A$1=$W$1,W164,IF($A$1=$Z$1,Z164,IF($A$1=$AC$1,AC164,IF($A$1=$AF$1,AF164,IF($A$1=$AI$1,AI164))))))))))))</f>
        <v/>
      </c>
      <c r="AP164" s="44">
        <f>IF($A$1=$B$1,C164,IF($A$1=$E$1,F164,IF($A$1=$H$1,I164,IF($A$1=$K$1,L164,IF($A$1=$N$1,O164,IF($A$1=$Q$1,R164,IF($A$1=$T$1,U164,IF($A$1=$W$1,X164,IF($A$1=$Z$1,AA164,IF($A$1=$AC$1,AD164,IF($A$1=$AF$1,AG164,IF($A$1=$AI$1,AJ164))))))))))))</f>
        <v/>
      </c>
    </row>
    <row r="165" ht="15.5" customHeight="1">
      <c r="A165" s="26" t="inlineStr">
        <is>
          <t>İncitaş</t>
        </is>
      </c>
      <c r="B165" s="7">
        <f>'A -Döviz'!B165</f>
        <v/>
      </c>
      <c r="C165" s="7">
        <f>'A -Döviz'!C165</f>
        <v/>
      </c>
      <c r="D165" s="7" t="n"/>
      <c r="E165" s="7">
        <f>B165+'A -Döviz'!E165</f>
        <v/>
      </c>
      <c r="F165" s="7">
        <f>C165+'A -Döviz'!F165</f>
        <v/>
      </c>
      <c r="G165" s="7" t="n"/>
      <c r="H165" s="7">
        <f>E165+'A -Döviz'!H165</f>
        <v/>
      </c>
      <c r="I165" s="7">
        <f>F165+'A -Döviz'!I165</f>
        <v/>
      </c>
      <c r="J165" s="7">
        <f>+I165+I178-H165-H178</f>
        <v/>
      </c>
      <c r="K165" s="7">
        <f>H165+'A -Döviz'!K165</f>
        <v/>
      </c>
      <c r="L165" s="7">
        <f>I165+'A -Döviz'!L165</f>
        <v/>
      </c>
      <c r="M165" s="7" t="n"/>
      <c r="N165" s="7">
        <f>K165+'A -Döviz'!N165</f>
        <v/>
      </c>
      <c r="O165" s="7">
        <f>L165+'A -Döviz'!O165</f>
        <v/>
      </c>
      <c r="P165" s="7" t="n"/>
      <c r="Q165" s="7">
        <f>N165+'A -Döviz'!Q165</f>
        <v/>
      </c>
      <c r="R165" s="7">
        <f>O165+'A -Döviz'!R165</f>
        <v/>
      </c>
      <c r="S165" s="7" t="n"/>
      <c r="T165" s="7">
        <f>Q165+'A -Döviz'!T165</f>
        <v/>
      </c>
      <c r="U165" s="7">
        <f>R165+'A -Döviz'!U165</f>
        <v/>
      </c>
      <c r="V165" s="7" t="n"/>
      <c r="W165" s="7">
        <f>T165+'A -Döviz'!W165</f>
        <v/>
      </c>
      <c r="X165" s="7">
        <f>U165+'A -Döviz'!X165</f>
        <v/>
      </c>
      <c r="Y165" s="7" t="n"/>
      <c r="Z165" s="7">
        <f>W165+'A -Döviz'!Z165</f>
        <v/>
      </c>
      <c r="AA165" s="7">
        <f>X165+'A -Döviz'!AA165</f>
        <v/>
      </c>
      <c r="AB165" s="7" t="n"/>
      <c r="AC165" s="7">
        <f>Z165+'A -Döviz'!AC165</f>
        <v/>
      </c>
      <c r="AD165" s="7">
        <f>AA165+'A -Döviz'!AD165</f>
        <v/>
      </c>
      <c r="AE165" s="7" t="n"/>
      <c r="AF165" s="7">
        <f>AC165+'A -Döviz'!AF165</f>
        <v/>
      </c>
      <c r="AG165" s="7">
        <f>AD165+'A -Döviz'!AG165</f>
        <v/>
      </c>
      <c r="AH165" s="7" t="n"/>
      <c r="AI165" s="7">
        <f>AF165+'A -Döviz'!AI165</f>
        <v/>
      </c>
      <c r="AJ165" s="7">
        <f>AG165+'A -Döviz'!AJ165</f>
        <v/>
      </c>
      <c r="AK165" s="7" t="n"/>
      <c r="AL165" s="21">
        <f>AP165-AO165</f>
        <v/>
      </c>
      <c r="AM165" s="22">
        <f>AP165/AO165-1</f>
        <v/>
      </c>
      <c r="AO165" s="44">
        <f>IF($A$1=$B$1,B165,IF($A$1=$E$1,E165,IF($A$1=$H$1,H165,IF($A$1=$K$1,K165,IF($A$1=$N$1,N165,IF($A$1=$Q$1,Q165,IF($A$1=$T$1,T165,IF($A$1=$W$1,W165,IF($A$1=$Z$1,Z165,IF($A$1=$AC$1,AC165,IF($A$1=$AF$1,AF165,IF($A$1=$AI$1,AI165))))))))))))</f>
        <v/>
      </c>
      <c r="AP165" s="44">
        <f>IF($A$1=$B$1,C165,IF($A$1=$E$1,F165,IF($A$1=$H$1,I165,IF($A$1=$K$1,L165,IF($A$1=$N$1,O165,IF($A$1=$Q$1,R165,IF($A$1=$T$1,U165,IF($A$1=$W$1,X165,IF($A$1=$Z$1,AA165,IF($A$1=$AC$1,AD165,IF($A$1=$AF$1,AG165,IF($A$1=$AI$1,AJ165))))))))))))</f>
        <v/>
      </c>
    </row>
    <row r="166" ht="15.5" customHeight="1">
      <c r="A166" s="26" t="inlineStr">
        <is>
          <t>İnci GS Yuasa</t>
        </is>
      </c>
      <c r="B166" s="7">
        <f>'A -Döviz'!B166</f>
        <v/>
      </c>
      <c r="C166" s="7">
        <f>'A -Döviz'!C166</f>
        <v/>
      </c>
      <c r="D166" s="7" t="n"/>
      <c r="E166" s="7">
        <f>B166+'A -Döviz'!E166</f>
        <v/>
      </c>
      <c r="F166" s="7">
        <f>C166+'A -Döviz'!F166</f>
        <v/>
      </c>
      <c r="G166" s="7" t="n"/>
      <c r="H166" s="7">
        <f>E166+'A -Döviz'!H166</f>
        <v/>
      </c>
      <c r="I166" s="7">
        <f>F166+'A -Döviz'!I166</f>
        <v/>
      </c>
      <c r="J166" s="7">
        <f>+I166+I179-H166-H179</f>
        <v/>
      </c>
      <c r="K166" s="7">
        <f>H166+'A -Döviz'!K166</f>
        <v/>
      </c>
      <c r="L166" s="7">
        <f>I166+'A -Döviz'!L166</f>
        <v/>
      </c>
      <c r="M166" s="7" t="n"/>
      <c r="N166" s="7">
        <f>K166+'A -Döviz'!N166</f>
        <v/>
      </c>
      <c r="O166" s="7">
        <f>L166+'A -Döviz'!O166</f>
        <v/>
      </c>
      <c r="P166" s="7" t="n"/>
      <c r="Q166" s="7">
        <f>N166+'A -Döviz'!Q166</f>
        <v/>
      </c>
      <c r="R166" s="7">
        <f>O166+'A -Döviz'!R166</f>
        <v/>
      </c>
      <c r="S166" s="7" t="n"/>
      <c r="T166" s="7">
        <f>Q166+'A -Döviz'!T166</f>
        <v/>
      </c>
      <c r="U166" s="7">
        <f>R166+'A -Döviz'!U166</f>
        <v/>
      </c>
      <c r="V166" s="7" t="n"/>
      <c r="W166" s="7">
        <f>T166+'A -Döviz'!W166</f>
        <v/>
      </c>
      <c r="X166" s="7">
        <f>U166+'A -Döviz'!X166</f>
        <v/>
      </c>
      <c r="Y166" s="7" t="n"/>
      <c r="Z166" s="7">
        <f>W166+'A -Döviz'!Z166</f>
        <v/>
      </c>
      <c r="AA166" s="7">
        <f>X166+'A -Döviz'!AA166</f>
        <v/>
      </c>
      <c r="AB166" s="7" t="n"/>
      <c r="AC166" s="7">
        <f>Z166+'A -Döviz'!AC166</f>
        <v/>
      </c>
      <c r="AD166" s="7">
        <f>AA166+'A -Döviz'!AD166</f>
        <v/>
      </c>
      <c r="AE166" s="7" t="n"/>
      <c r="AF166" s="7">
        <f>AC166+'A -Döviz'!AF166</f>
        <v/>
      </c>
      <c r="AG166" s="7">
        <f>AD166+'A -Döviz'!AG166</f>
        <v/>
      </c>
      <c r="AH166" s="7" t="n"/>
      <c r="AI166" s="7">
        <f>AF166+'A -Döviz'!AI166</f>
        <v/>
      </c>
      <c r="AJ166" s="7">
        <f>AG166+'A -Döviz'!AJ166</f>
        <v/>
      </c>
      <c r="AK166" s="7" t="n"/>
      <c r="AL166" s="21">
        <f>AP166-AO166</f>
        <v/>
      </c>
      <c r="AM166" s="22">
        <f>AP166/AO166-1</f>
        <v/>
      </c>
      <c r="AO166" s="44">
        <f>IF($A$1=$B$1,B166,IF($A$1=$E$1,E166,IF($A$1=$H$1,H166,IF($A$1=$K$1,K166,IF($A$1=$N$1,N166,IF($A$1=$Q$1,Q166,IF($A$1=$T$1,T166,IF($A$1=$W$1,W166,IF($A$1=$Z$1,Z166,IF($A$1=$AC$1,AC166,IF($A$1=$AF$1,AF166,IF($A$1=$AI$1,AI166))))))))))))</f>
        <v/>
      </c>
      <c r="AP166" s="44">
        <f>IF($A$1=$B$1,C166,IF($A$1=$E$1,F166,IF($A$1=$H$1,I166,IF($A$1=$K$1,L166,IF($A$1=$N$1,O166,IF($A$1=$Q$1,R166,IF($A$1=$T$1,U166,IF($A$1=$W$1,X166,IF($A$1=$Z$1,AA166,IF($A$1=$AC$1,AD166,IF($A$1=$AF$1,AG166,IF($A$1=$AI$1,AJ166))))))))))))</f>
        <v/>
      </c>
    </row>
    <row r="167" ht="15.5" customFormat="1" customHeight="1" s="1">
      <c r="A167" s="26" t="inlineStr">
        <is>
          <t>Yusen İnci Loj.</t>
        </is>
      </c>
      <c r="B167" s="7">
        <f>'A -Döviz'!B167</f>
        <v/>
      </c>
      <c r="C167" s="7">
        <f>'A -Döviz'!C167</f>
        <v/>
      </c>
      <c r="D167" s="7" t="n"/>
      <c r="E167" s="7">
        <f>B167+'A -Döviz'!E167</f>
        <v/>
      </c>
      <c r="F167" s="7">
        <f>C167+'A -Döviz'!F167</f>
        <v/>
      </c>
      <c r="G167" s="8" t="n"/>
      <c r="H167" s="7">
        <f>E167+'A -Döviz'!H167</f>
        <v/>
      </c>
      <c r="I167" s="7">
        <f>F167+'A -Döviz'!I167</f>
        <v/>
      </c>
      <c r="J167" s="7">
        <f>+I167+I180-H167-H180</f>
        <v/>
      </c>
      <c r="K167" s="7">
        <f>H167+'A -Döviz'!K167</f>
        <v/>
      </c>
      <c r="L167" s="7">
        <f>I167+'A -Döviz'!L167</f>
        <v/>
      </c>
      <c r="M167" s="8" t="n"/>
      <c r="N167" s="7">
        <f>K167+'A -Döviz'!N167</f>
        <v/>
      </c>
      <c r="O167" s="7">
        <f>L167+'A -Döviz'!O167</f>
        <v/>
      </c>
      <c r="P167" s="8" t="n"/>
      <c r="Q167" s="7">
        <f>N167+'A -Döviz'!Q167</f>
        <v/>
      </c>
      <c r="R167" s="7">
        <f>O167+'A -Döviz'!R167</f>
        <v/>
      </c>
      <c r="S167" s="8" t="n"/>
      <c r="T167" s="7">
        <f>Q167+'A -Döviz'!T167</f>
        <v/>
      </c>
      <c r="U167" s="7">
        <f>R167+'A -Döviz'!U167</f>
        <v/>
      </c>
      <c r="V167" s="8" t="n"/>
      <c r="W167" s="7">
        <f>T167+'A -Döviz'!W167</f>
        <v/>
      </c>
      <c r="X167" s="7">
        <f>U167+'A -Döviz'!X167</f>
        <v/>
      </c>
      <c r="Y167" s="8" t="n"/>
      <c r="Z167" s="7">
        <f>W167+'A -Döviz'!Z167</f>
        <v/>
      </c>
      <c r="AA167" s="7">
        <f>X167+'A -Döviz'!AA167</f>
        <v/>
      </c>
      <c r="AB167" s="8" t="n"/>
      <c r="AC167" s="7">
        <f>Z167+'A -Döviz'!AC167</f>
        <v/>
      </c>
      <c r="AD167" s="7">
        <f>AA167+'A -Döviz'!AD167</f>
        <v/>
      </c>
      <c r="AE167" s="8" t="n"/>
      <c r="AF167" s="7">
        <f>AC167+'A -Döviz'!AF167</f>
        <v/>
      </c>
      <c r="AG167" s="7">
        <f>AD167+'A -Döviz'!AG167</f>
        <v/>
      </c>
      <c r="AH167" s="8" t="n"/>
      <c r="AI167" s="7">
        <f>AF167+'A -Döviz'!AI167</f>
        <v/>
      </c>
      <c r="AJ167" s="7">
        <f>AG167+'A -Döviz'!AJ167</f>
        <v/>
      </c>
      <c r="AK167" s="8" t="n"/>
      <c r="AL167" s="21">
        <f>AP167-AO167</f>
        <v/>
      </c>
      <c r="AM167" s="22">
        <f>AP167/AO167-1</f>
        <v/>
      </c>
      <c r="AO167" s="44">
        <f>IF($A$1=$B$1,B167,IF($A$1=$E$1,E167,IF($A$1=$H$1,H167,IF($A$1=$K$1,K167,IF($A$1=$N$1,N167,IF($A$1=$Q$1,Q167,IF($A$1=$T$1,T167,IF($A$1=$W$1,W167,IF($A$1=$Z$1,Z167,IF($A$1=$AC$1,AC167,IF($A$1=$AF$1,AF167,IF($A$1=$AI$1,AI167))))))))))))</f>
        <v/>
      </c>
      <c r="AP167" s="44">
        <f>IF($A$1=$B$1,C167,IF($A$1=$E$1,F167,IF($A$1=$H$1,I167,IF($A$1=$K$1,L167,IF($A$1=$N$1,O167,IF($A$1=$Q$1,R167,IF($A$1=$T$1,U167,IF($A$1=$W$1,X167,IF($A$1=$Z$1,AA167,IF($A$1=$AC$1,AD167,IF($A$1=$AF$1,AG167,IF($A$1=$AI$1,AJ167))))))))))))</f>
        <v/>
      </c>
    </row>
    <row r="168" ht="15.5" customHeight="1">
      <c r="A168" s="26" t="inlineStr">
        <is>
          <t>Jantaş</t>
        </is>
      </c>
      <c r="B168" s="7">
        <f>'A -Döviz'!B168</f>
        <v/>
      </c>
      <c r="C168" s="7">
        <f>'A -Döviz'!C168</f>
        <v/>
      </c>
      <c r="D168" s="7" t="n"/>
      <c r="E168" s="7">
        <f>B168+'A -Döviz'!E168</f>
        <v/>
      </c>
      <c r="F168" s="7">
        <f>C168+'A -Döviz'!F168</f>
        <v/>
      </c>
      <c r="G168" s="7" t="n"/>
      <c r="H168" s="7">
        <f>E168+'A -Döviz'!H168</f>
        <v/>
      </c>
      <c r="I168" s="7">
        <f>F168+'A -Döviz'!I168</f>
        <v/>
      </c>
      <c r="J168" s="7">
        <f>+I168+I181-H168-H181</f>
        <v/>
      </c>
      <c r="K168" s="7">
        <f>H168+'A -Döviz'!K168</f>
        <v/>
      </c>
      <c r="L168" s="7">
        <f>I168+'A -Döviz'!L168</f>
        <v/>
      </c>
      <c r="M168" s="7" t="n"/>
      <c r="N168" s="7">
        <f>K168+'A -Döviz'!N168</f>
        <v/>
      </c>
      <c r="O168" s="7">
        <f>L168+'A -Döviz'!O168</f>
        <v/>
      </c>
      <c r="P168" s="7" t="n"/>
      <c r="Q168" s="7">
        <f>N168+'A -Döviz'!Q168</f>
        <v/>
      </c>
      <c r="R168" s="7">
        <f>O168+'A -Döviz'!R168</f>
        <v/>
      </c>
      <c r="S168" s="7" t="n"/>
      <c r="T168" s="7">
        <f>Q168+'A -Döviz'!T168</f>
        <v/>
      </c>
      <c r="U168" s="7">
        <f>R168+'A -Döviz'!U168</f>
        <v/>
      </c>
      <c r="V168" s="7" t="n"/>
      <c r="W168" s="7">
        <f>T168+'A -Döviz'!W168</f>
        <v/>
      </c>
      <c r="X168" s="7">
        <f>U168+'A -Döviz'!X168</f>
        <v/>
      </c>
      <c r="Y168" s="7" t="n"/>
      <c r="Z168" s="7">
        <f>W168+'A -Döviz'!Z168</f>
        <v/>
      </c>
      <c r="AA168" s="7">
        <f>X168+'A -Döviz'!AA168</f>
        <v/>
      </c>
      <c r="AB168" s="7" t="n"/>
      <c r="AC168" s="7">
        <f>Z168+'A -Döviz'!AC168</f>
        <v/>
      </c>
      <c r="AD168" s="7">
        <f>AA168+'A -Döviz'!AD168</f>
        <v/>
      </c>
      <c r="AE168" s="7" t="n"/>
      <c r="AF168" s="7">
        <f>AC168+'A -Döviz'!AF168</f>
        <v/>
      </c>
      <c r="AG168" s="7">
        <f>AD168+'A -Döviz'!AG168</f>
        <v/>
      </c>
      <c r="AH168" s="7" t="n"/>
      <c r="AI168" s="7">
        <f>AF168+'A -Döviz'!AI168</f>
        <v/>
      </c>
      <c r="AJ168" s="7">
        <f>AG168+'A -Döviz'!AJ168</f>
        <v/>
      </c>
      <c r="AK168" s="7" t="n"/>
      <c r="AL168" s="21">
        <f>AP168-AO168</f>
        <v/>
      </c>
      <c r="AM168" s="22">
        <f>AP168/AO168-1</f>
        <v/>
      </c>
      <c r="AO168" s="44">
        <f>IF($A$1=$B$1,B168,IF($A$1=$E$1,E168,IF($A$1=$H$1,H168,IF($A$1=$K$1,K168,IF($A$1=$N$1,N168,IF($A$1=$Q$1,Q168,IF($A$1=$T$1,T168,IF($A$1=$W$1,W168,IF($A$1=$Z$1,Z168,IF($A$1=$AC$1,AC168,IF($A$1=$AF$1,AF168,IF($A$1=$AI$1,AI168))))))))))))</f>
        <v/>
      </c>
      <c r="AP168" s="44">
        <f>IF($A$1=$B$1,C168,IF($A$1=$E$1,F168,IF($A$1=$H$1,I168,IF($A$1=$K$1,L168,IF($A$1=$N$1,O168,IF($A$1=$Q$1,R168,IF($A$1=$T$1,U168,IF($A$1=$W$1,X168,IF($A$1=$Z$1,AA168,IF($A$1=$AC$1,AD168,IF($A$1=$AF$1,AG168,IF($A$1=$AI$1,AJ168))))))))))))</f>
        <v/>
      </c>
    </row>
    <row r="169" ht="15.5" customHeight="1">
      <c r="A169" s="26" t="inlineStr">
        <is>
          <t>Çelik</t>
        </is>
      </c>
      <c r="B169" s="7">
        <f>'A -Döviz'!B169</f>
        <v/>
      </c>
      <c r="C169" s="7">
        <f>'A -Döviz'!C169</f>
        <v/>
      </c>
      <c r="D169" s="7" t="n"/>
      <c r="E169" s="7">
        <f>B169+'A -Döviz'!E169</f>
        <v/>
      </c>
      <c r="F169" s="7">
        <f>C169+'A -Döviz'!F169</f>
        <v/>
      </c>
      <c r="G169" s="7" t="n"/>
      <c r="H169" s="7">
        <f>E169+'A -Döviz'!H169</f>
        <v/>
      </c>
      <c r="I169" s="7">
        <f>F169+'A -Döviz'!I169</f>
        <v/>
      </c>
      <c r="J169" s="74">
        <f>+I169+I182-H169-H182</f>
        <v/>
      </c>
      <c r="K169" s="7">
        <f>H169+'A -Döviz'!K169</f>
        <v/>
      </c>
      <c r="L169" s="7">
        <f>I169+'A -Döviz'!L169</f>
        <v/>
      </c>
      <c r="M169" s="7" t="n"/>
      <c r="N169" s="7">
        <f>K169+'A -Döviz'!N169</f>
        <v/>
      </c>
      <c r="O169" s="7">
        <f>L169+'A -Döviz'!O169</f>
        <v/>
      </c>
      <c r="P169" s="7" t="n"/>
      <c r="Q169" s="7">
        <f>N169+'A -Döviz'!Q169</f>
        <v/>
      </c>
      <c r="R169" s="7">
        <f>O169+'A -Döviz'!R169</f>
        <v/>
      </c>
      <c r="S169" s="7" t="n"/>
      <c r="T169" s="7">
        <f>Q169+'A -Döviz'!T169</f>
        <v/>
      </c>
      <c r="U169" s="7">
        <f>R169+'A -Döviz'!U169</f>
        <v/>
      </c>
      <c r="V169" s="7" t="n"/>
      <c r="W169" s="7">
        <f>T169+'A -Döviz'!W169</f>
        <v/>
      </c>
      <c r="X169" s="7">
        <f>U169+'A -Döviz'!X169</f>
        <v/>
      </c>
      <c r="Y169" s="7" t="n"/>
      <c r="Z169" s="7">
        <f>W169+'A -Döviz'!Z169</f>
        <v/>
      </c>
      <c r="AA169" s="7">
        <f>X169+'A -Döviz'!AA169</f>
        <v/>
      </c>
      <c r="AB169" s="7" t="n"/>
      <c r="AC169" s="7">
        <f>Z169+'A -Döviz'!AC169</f>
        <v/>
      </c>
      <c r="AD169" s="7">
        <f>AA169+'A -Döviz'!AD169</f>
        <v/>
      </c>
      <c r="AE169" s="7" t="n"/>
      <c r="AF169" s="7">
        <f>AC169+'A -Döviz'!AF169</f>
        <v/>
      </c>
      <c r="AG169" s="7">
        <f>AD169+'A -Döviz'!AG169</f>
        <v/>
      </c>
      <c r="AH169" s="7" t="n"/>
      <c r="AI169" s="7">
        <f>AF169+'A -Döviz'!AI169</f>
        <v/>
      </c>
      <c r="AJ169" s="7">
        <f>AG169+'A -Döviz'!AJ169</f>
        <v/>
      </c>
      <c r="AK169" s="7" t="n"/>
      <c r="AL169" s="21">
        <f>AP169-AO169</f>
        <v/>
      </c>
      <c r="AM169" s="22">
        <f>AP169/AO169-1</f>
        <v/>
      </c>
      <c r="AO169" s="44">
        <f>IF($A$1=$B$1,B169,IF($A$1=$E$1,E169,IF($A$1=$H$1,H169,IF($A$1=$K$1,K169,IF($A$1=$N$1,N169,IF($A$1=$Q$1,Q169,IF($A$1=$T$1,T169,IF($A$1=$W$1,W169,IF($A$1=$Z$1,Z169,IF($A$1=$AC$1,AC169,IF($A$1=$AF$1,AF169,IF($A$1=$AI$1,AI169))))))))))))</f>
        <v/>
      </c>
      <c r="AP169" s="44">
        <f>IF($A$1=$B$1,C169,IF($A$1=$E$1,F169,IF($A$1=$H$1,I169,IF($A$1=$K$1,L169,IF($A$1=$N$1,O169,IF($A$1=$Q$1,R169,IF($A$1=$T$1,U169,IF($A$1=$W$1,X169,IF($A$1=$Z$1,AA169,IF($A$1=$AC$1,AD169,IF($A$1=$AF$1,AG169,IF($A$1=$AI$1,AJ169))))))))))))</f>
        <v/>
      </c>
    </row>
    <row r="170" ht="15.5" customHeight="1">
      <c r="A170" s="26" t="inlineStr">
        <is>
          <t>Alüminyum</t>
        </is>
      </c>
      <c r="B170" s="7">
        <f>'A -Döviz'!B170</f>
        <v/>
      </c>
      <c r="C170" s="7">
        <f>'A -Döviz'!C170</f>
        <v/>
      </c>
      <c r="D170" s="7" t="n"/>
      <c r="E170" s="7">
        <f>B170+'A -Döviz'!E170</f>
        <v/>
      </c>
      <c r="F170" s="7">
        <f>C170+'A -Döviz'!F170</f>
        <v/>
      </c>
      <c r="G170" s="7" t="n"/>
      <c r="H170" s="7">
        <f>E170+'A -Döviz'!H170</f>
        <v/>
      </c>
      <c r="I170" s="7">
        <f>F170+'A -Döviz'!I170</f>
        <v/>
      </c>
      <c r="J170" s="7">
        <f>+I170+I183-H170-H183</f>
        <v/>
      </c>
      <c r="K170" s="7">
        <f>H170+'A -Döviz'!K170</f>
        <v/>
      </c>
      <c r="L170" s="7">
        <f>I170+'A -Döviz'!L170</f>
        <v/>
      </c>
      <c r="M170" s="7" t="n"/>
      <c r="N170" s="7">
        <f>K170+'A -Döviz'!N170</f>
        <v/>
      </c>
      <c r="O170" s="7">
        <f>L170+'A -Döviz'!O170</f>
        <v/>
      </c>
      <c r="P170" s="7" t="n"/>
      <c r="Q170" s="7">
        <f>N170+'A -Döviz'!Q170</f>
        <v/>
      </c>
      <c r="R170" s="7">
        <f>O170+'A -Döviz'!R170</f>
        <v/>
      </c>
      <c r="S170" s="7" t="n"/>
      <c r="T170" s="7">
        <f>Q170+'A -Döviz'!T170</f>
        <v/>
      </c>
      <c r="U170" s="7">
        <f>R170+'A -Döviz'!U170</f>
        <v/>
      </c>
      <c r="V170" s="7" t="n"/>
      <c r="W170" s="7">
        <f>T170+'A -Döviz'!W170</f>
        <v/>
      </c>
      <c r="X170" s="7">
        <f>U170+'A -Döviz'!X170</f>
        <v/>
      </c>
      <c r="Y170" s="7" t="n"/>
      <c r="Z170" s="7">
        <f>W170+'A -Döviz'!Z170</f>
        <v/>
      </c>
      <c r="AA170" s="7">
        <f>X170+'A -Döviz'!AA170</f>
        <v/>
      </c>
      <c r="AB170" s="7" t="n"/>
      <c r="AC170" s="7">
        <f>Z170+'A -Döviz'!AC170</f>
        <v/>
      </c>
      <c r="AD170" s="7">
        <f>AA170+'A -Döviz'!AD170</f>
        <v/>
      </c>
      <c r="AE170" s="7" t="n"/>
      <c r="AF170" s="7">
        <f>AC170+'A -Döviz'!AF170</f>
        <v/>
      </c>
      <c r="AG170" s="7">
        <f>AD170+'A -Döviz'!AG170</f>
        <v/>
      </c>
      <c r="AH170" s="7" t="n"/>
      <c r="AI170" s="7">
        <f>AF170+'A -Döviz'!AI170</f>
        <v/>
      </c>
      <c r="AJ170" s="7">
        <f>AG170+'A -Döviz'!AJ170</f>
        <v/>
      </c>
      <c r="AK170" s="7" t="n"/>
      <c r="AL170" s="21">
        <f>AP170-AO170</f>
        <v/>
      </c>
      <c r="AM170" s="22">
        <f>AP170/AO170-1</f>
        <v/>
      </c>
      <c r="AO170" s="44">
        <f>IF($A$1=$B$1,B170,IF($A$1=$E$1,E170,IF($A$1=$H$1,H170,IF($A$1=$K$1,K170,IF($A$1=$N$1,N170,IF($A$1=$Q$1,Q170,IF($A$1=$T$1,T170,IF($A$1=$W$1,W170,IF($A$1=$Z$1,Z170,IF($A$1=$AC$1,AC170,IF($A$1=$AF$1,AF170,IF($A$1=$AI$1,AI170))))))))))))</f>
        <v/>
      </c>
      <c r="AP170" s="44">
        <f>IF($A$1=$B$1,C170,IF($A$1=$E$1,F170,IF($A$1=$H$1,I170,IF($A$1=$K$1,L170,IF($A$1=$N$1,O170,IF($A$1=$Q$1,R170,IF($A$1=$T$1,U170,IF($A$1=$W$1,X170,IF($A$1=$Z$1,AA170,IF($A$1=$AC$1,AD170,IF($A$1=$AF$1,AG170,IF($A$1=$AI$1,AJ170))))))))))))</f>
        <v/>
      </c>
    </row>
    <row r="171" ht="15.5" customFormat="1" customHeight="1" s="13">
      <c r="A171" s="26" t="n"/>
      <c r="B171" s="12" t="n"/>
      <c r="C171" s="30" t="n"/>
      <c r="D171" s="41" t="n"/>
      <c r="E171" s="12" t="n"/>
      <c r="F171" s="30" t="n"/>
      <c r="G171" s="41" t="n"/>
      <c r="H171" s="12" t="n"/>
      <c r="I171" s="30" t="n"/>
      <c r="J171" s="41" t="n"/>
      <c r="K171" s="12" t="n"/>
      <c r="L171" s="30" t="n"/>
      <c r="M171" s="41" t="n"/>
      <c r="N171" s="12" t="n"/>
      <c r="O171" s="30" t="n"/>
      <c r="P171" s="41" t="n"/>
      <c r="Q171" s="12" t="n"/>
      <c r="R171" s="30" t="n"/>
      <c r="S171" s="41" t="n"/>
      <c r="T171" s="12" t="n"/>
      <c r="U171" s="30" t="n"/>
      <c r="V171" s="41" t="n"/>
      <c r="W171" s="12" t="n"/>
      <c r="X171" s="30" t="n"/>
      <c r="Y171" s="41" t="n"/>
      <c r="Z171" s="12" t="n"/>
      <c r="AA171" s="30" t="n"/>
      <c r="AB171" s="41" t="n"/>
      <c r="AC171" s="12" t="n"/>
      <c r="AD171" s="30" t="n"/>
      <c r="AE171" s="41" t="n"/>
      <c r="AF171" s="12" t="n"/>
      <c r="AG171" s="30" t="n"/>
      <c r="AH171" s="41" t="n"/>
      <c r="AI171" s="12" t="n"/>
      <c r="AJ171" s="30" t="n"/>
      <c r="AK171" s="41" t="n"/>
      <c r="AL171" s="15" t="n"/>
      <c r="AM171" s="22" t="n"/>
      <c r="AO171" s="44" t="n"/>
      <c r="AP171" s="44" t="n"/>
    </row>
    <row r="172" ht="15.5" customFormat="1" customHeight="1" s="13">
      <c r="A172" s="26" t="n"/>
      <c r="B172" s="12" t="n"/>
      <c r="C172" s="30" t="n"/>
      <c r="D172" s="41" t="n"/>
      <c r="E172" s="12" t="n"/>
      <c r="F172" s="30" t="n"/>
      <c r="G172" s="41" t="n"/>
      <c r="H172" s="12" t="n"/>
      <c r="I172" s="30" t="n"/>
      <c r="J172" s="41" t="n"/>
      <c r="K172" s="12" t="n"/>
      <c r="L172" s="30" t="n"/>
      <c r="M172" s="41" t="n"/>
      <c r="N172" s="12" t="n"/>
      <c r="O172" s="30" t="n"/>
      <c r="P172" s="41" t="n"/>
      <c r="Q172" s="12" t="n"/>
      <c r="R172" s="30" t="n"/>
      <c r="S172" s="41" t="n"/>
      <c r="T172" s="12" t="n"/>
      <c r="U172" s="30" t="n"/>
      <c r="V172" s="41" t="n"/>
      <c r="W172" s="12" t="n"/>
      <c r="X172" s="30" t="n"/>
      <c r="Y172" s="41" t="n"/>
      <c r="Z172" s="12" t="n"/>
      <c r="AA172" s="30" t="n"/>
      <c r="AB172" s="41" t="n"/>
      <c r="AC172" s="12" t="n"/>
      <c r="AD172" s="30" t="n"/>
      <c r="AE172" s="41" t="n"/>
      <c r="AF172" s="12" t="n"/>
      <c r="AG172" s="30" t="n"/>
      <c r="AH172" s="41" t="n"/>
      <c r="AI172" s="12" t="n"/>
      <c r="AJ172" s="30" t="n"/>
      <c r="AK172" s="41" t="n"/>
      <c r="AL172" s="15" t="n"/>
      <c r="AM172" s="22" t="n"/>
      <c r="AO172" s="44" t="n"/>
      <c r="AP172" s="44" t="n"/>
    </row>
    <row r="173" ht="15.5" customFormat="1" customHeight="1" s="44">
      <c r="A173" s="31" t="inlineStr">
        <is>
          <t>Diğer Gelir(Gider)</t>
        </is>
      </c>
      <c r="B173" s="32">
        <f>'A -Döviz'!B173</f>
        <v/>
      </c>
      <c r="C173" s="32">
        <f>'A -Döviz'!C173</f>
        <v/>
      </c>
      <c r="D173" s="18" t="n"/>
      <c r="E173" s="32">
        <f>B173+'A -Döviz'!E173</f>
        <v/>
      </c>
      <c r="F173" s="32">
        <f>C173+'A -Döviz'!F173</f>
        <v/>
      </c>
      <c r="G173" s="18" t="n"/>
      <c r="H173" s="32">
        <f>E173+'A -Döviz'!H173</f>
        <v/>
      </c>
      <c r="I173" s="32">
        <f>F173+'A -Döviz'!I173</f>
        <v/>
      </c>
      <c r="J173" s="18" t="n"/>
      <c r="K173" s="32">
        <f>H173+'A -Döviz'!K173</f>
        <v/>
      </c>
      <c r="L173" s="32">
        <f>I173+'A -Döviz'!L173</f>
        <v/>
      </c>
      <c r="M173" s="18" t="n"/>
      <c r="N173" s="32">
        <f>K173+'A -Döviz'!N173</f>
        <v/>
      </c>
      <c r="O173" s="32">
        <f>L173+'A -Döviz'!O173</f>
        <v/>
      </c>
      <c r="P173" s="18" t="n"/>
      <c r="Q173" s="32">
        <f>N173+'A -Döviz'!Q173</f>
        <v/>
      </c>
      <c r="R173" s="32">
        <f>O173+'A -Döviz'!R173</f>
        <v/>
      </c>
      <c r="S173" s="18" t="n"/>
      <c r="T173" s="32">
        <f>Q173+'A -Döviz'!T173</f>
        <v/>
      </c>
      <c r="U173" s="32">
        <f>R173+'A -Döviz'!U173</f>
        <v/>
      </c>
      <c r="V173" s="18" t="n"/>
      <c r="W173" s="32">
        <f>T173+'A -Döviz'!W173</f>
        <v/>
      </c>
      <c r="X173" s="32">
        <f>U173+'A -Döviz'!X173</f>
        <v/>
      </c>
      <c r="Y173" s="18" t="n"/>
      <c r="Z173" s="32">
        <f>W173+'A -Döviz'!Z173</f>
        <v/>
      </c>
      <c r="AA173" s="32">
        <f>X173+'A -Döviz'!AA173</f>
        <v/>
      </c>
      <c r="AB173" s="18" t="n"/>
      <c r="AC173" s="32">
        <f>Z173+'A -Döviz'!AC173</f>
        <v/>
      </c>
      <c r="AD173" s="32">
        <f>AA173+'A -Döviz'!AD173</f>
        <v/>
      </c>
      <c r="AE173" s="18" t="n"/>
      <c r="AF173" s="32">
        <f>AC173+'A -Döviz'!AF173</f>
        <v/>
      </c>
      <c r="AG173" s="32">
        <f>AD173+'A -Döviz'!AG173</f>
        <v/>
      </c>
      <c r="AH173" s="18" t="n"/>
      <c r="AI173" s="32">
        <f>AF173+'A -Döviz'!AI173</f>
        <v/>
      </c>
      <c r="AJ173" s="32">
        <f>AG173+'A -Döviz'!AJ173</f>
        <v/>
      </c>
      <c r="AK173" s="18" t="n"/>
      <c r="AL173" s="33">
        <f>AP173-AO173</f>
        <v/>
      </c>
      <c r="AM173" s="34">
        <f>AP173/AO173-1</f>
        <v/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/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/>
      </c>
    </row>
    <row r="174" ht="15.5" customFormat="1" customHeight="1" s="13">
      <c r="A174" s="27" t="n"/>
      <c r="B174" s="30" t="n"/>
      <c r="C174" s="30" t="n"/>
      <c r="D174" s="41" t="n"/>
      <c r="E174" s="30" t="n"/>
      <c r="F174" s="30" t="n"/>
      <c r="G174" s="41" t="n"/>
      <c r="H174" s="30" t="n"/>
      <c r="I174" s="30" t="n"/>
      <c r="J174" s="41" t="n"/>
      <c r="K174" s="30" t="n"/>
      <c r="L174" s="30" t="n"/>
      <c r="M174" s="41" t="n"/>
      <c r="N174" s="30" t="n"/>
      <c r="O174" s="30" t="n"/>
      <c r="P174" s="41" t="n"/>
      <c r="Q174" s="30" t="n"/>
      <c r="R174" s="30" t="n"/>
      <c r="S174" s="41" t="n"/>
      <c r="T174" s="30" t="n"/>
      <c r="U174" s="30" t="n"/>
      <c r="V174" s="41" t="n"/>
      <c r="W174" s="30" t="n"/>
      <c r="X174" s="30" t="n"/>
      <c r="Y174" s="41" t="n"/>
      <c r="Z174" s="30" t="n"/>
      <c r="AA174" s="30" t="n"/>
      <c r="AB174" s="41" t="n"/>
      <c r="AC174" s="30" t="n"/>
      <c r="AD174" s="30" t="n"/>
      <c r="AE174" s="41" t="n"/>
      <c r="AF174" s="30" t="n"/>
      <c r="AG174" s="30" t="n"/>
      <c r="AH174" s="41" t="n"/>
      <c r="AI174" s="30" t="n"/>
      <c r="AJ174" s="30" t="n"/>
      <c r="AK174" s="41" t="n"/>
      <c r="AL174" s="15" t="n"/>
      <c r="AM174" s="22" t="n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/>
      </c>
      <c r="AP174" s="44">
        <f>IF($A$1=$B$1,C174,IF($A$1=$E$1,F174,IF($A$1=$H$1,I174,IF($A$1=$K$1,L174,IF($A$1=$N$1,O174,IF($A$1=$Q$1,R174,IF($A$1=$T$1,U174,IF($A$1=$W$1,X174,IF($A$1=$Z$1,AA174,IF($A$1=$AC$1,AD174,IF($A$1=$AF$1,AG174,IF($A$1=$AI$1,AJ174))))))))))))</f>
        <v/>
      </c>
    </row>
    <row r="175" ht="17" customFormat="1" customHeight="1" s="49">
      <c r="A175" s="47" t="inlineStr">
        <is>
          <t>Diğer Gelir(Gider) (100%)</t>
        </is>
      </c>
      <c r="B175" s="413" t="n"/>
      <c r="C175" s="413" t="n"/>
      <c r="D175" s="413" t="n"/>
      <c r="E175" s="413" t="n"/>
      <c r="F175" s="413" t="n"/>
      <c r="G175" s="413" t="n"/>
      <c r="H175" s="413" t="n"/>
      <c r="I175" s="413" t="n"/>
      <c r="J175" s="413" t="n"/>
      <c r="K175" s="413" t="n"/>
      <c r="L175" s="413" t="n"/>
      <c r="M175" s="413" t="n"/>
      <c r="N175" s="413" t="n"/>
      <c r="O175" s="413" t="n"/>
      <c r="P175" s="413" t="n"/>
      <c r="Q175" s="413" t="n"/>
      <c r="R175" s="413" t="n"/>
      <c r="S175" s="413" t="n"/>
      <c r="T175" s="413" t="n"/>
      <c r="U175" s="413" t="n"/>
      <c r="V175" s="413" t="n"/>
      <c r="W175" s="413" t="n"/>
      <c r="X175" s="413" t="n"/>
      <c r="Y175" s="413" t="n"/>
      <c r="Z175" s="413" t="n"/>
      <c r="AA175" s="413" t="n"/>
      <c r="AB175" s="413" t="n"/>
      <c r="AC175" s="413" t="n"/>
      <c r="AD175" s="413" t="n"/>
      <c r="AE175" s="413" t="n"/>
      <c r="AF175" s="413" t="n"/>
      <c r="AG175" s="413" t="n"/>
      <c r="AH175" s="413" t="n"/>
      <c r="AI175" s="413" t="n"/>
      <c r="AJ175" s="413" t="n"/>
      <c r="AK175" s="413" t="n"/>
      <c r="AL175" s="413" t="n"/>
      <c r="AM175" s="48" t="n"/>
    </row>
    <row r="176" ht="15.5" customHeight="1">
      <c r="A176" s="26" t="inlineStr">
        <is>
          <t xml:space="preserve">İnci Holding </t>
        </is>
      </c>
      <c r="B176" s="7">
        <f>'A -Döviz'!B176</f>
        <v/>
      </c>
      <c r="C176" s="7">
        <f>'A -Döviz'!C176</f>
        <v/>
      </c>
      <c r="D176" s="7" t="n"/>
      <c r="E176" s="7">
        <f>B176+'A -Döviz'!E176</f>
        <v/>
      </c>
      <c r="F176" s="7">
        <f>C176+'A -Döviz'!F176</f>
        <v/>
      </c>
      <c r="G176" s="7" t="n"/>
      <c r="H176" s="7">
        <f>E176+'A -Döviz'!H176</f>
        <v/>
      </c>
      <c r="I176" s="7">
        <f>F176+'A -Döviz'!I176</f>
        <v/>
      </c>
      <c r="J176" s="7" t="n"/>
      <c r="K176" s="7">
        <f>H176+'A -Döviz'!K176</f>
        <v/>
      </c>
      <c r="L176" s="7">
        <f>I176+'A -Döviz'!L176</f>
        <v/>
      </c>
      <c r="M176" s="7" t="n"/>
      <c r="N176" s="7">
        <f>K176+'A -Döviz'!N176</f>
        <v/>
      </c>
      <c r="O176" s="7">
        <f>L176+'A -Döviz'!O176</f>
        <v/>
      </c>
      <c r="P176" s="7" t="n"/>
      <c r="Q176" s="7">
        <f>N176+'A -Döviz'!Q176</f>
        <v/>
      </c>
      <c r="R176" s="7">
        <f>O176+'A -Döviz'!R176</f>
        <v/>
      </c>
      <c r="S176" s="7" t="n"/>
      <c r="T176" s="7">
        <f>Q176+'A -Döviz'!T176</f>
        <v/>
      </c>
      <c r="U176" s="7">
        <f>R176+'A -Döviz'!U176</f>
        <v/>
      </c>
      <c r="V176" s="7" t="n"/>
      <c r="W176" s="7">
        <f>T176+'A -Döviz'!W176</f>
        <v/>
      </c>
      <c r="X176" s="7">
        <f>U176+'A -Döviz'!X176</f>
        <v/>
      </c>
      <c r="Y176" s="7" t="n"/>
      <c r="Z176" s="7">
        <f>W176+'A -Döviz'!Z176</f>
        <v/>
      </c>
      <c r="AA176" s="7">
        <f>X176+'A -Döviz'!AA176</f>
        <v/>
      </c>
      <c r="AB176" s="7" t="n"/>
      <c r="AC176" s="7">
        <f>Z176+'A -Döviz'!AC176</f>
        <v/>
      </c>
      <c r="AD176" s="7">
        <f>AA176+'A -Döviz'!AD176</f>
        <v/>
      </c>
      <c r="AE176" s="7" t="n"/>
      <c r="AF176" s="7">
        <f>AC176+'A -Döviz'!AF176</f>
        <v/>
      </c>
      <c r="AG176" s="7">
        <f>AD176+'A -Döviz'!AG176</f>
        <v/>
      </c>
      <c r="AH176" s="7" t="n"/>
      <c r="AI176" s="7">
        <f>AF176+'A -Döviz'!AI176</f>
        <v/>
      </c>
      <c r="AJ176" s="7">
        <f>AG176+'A -Döviz'!AJ176</f>
        <v/>
      </c>
      <c r="AK176" s="7" t="n"/>
      <c r="AL176" s="21">
        <f>AP176-AO176</f>
        <v/>
      </c>
      <c r="AM176" s="22">
        <f>AP176/AO176-1</f>
        <v/>
      </c>
      <c r="AO176" s="44">
        <f>IF($A$1=$B$1,B176,IF($A$1=$E$1,E176,IF($A$1=$H$1,H176,IF($A$1=$K$1,K176,IF($A$1=$N$1,N176,IF($A$1=$Q$1,Q176,IF($A$1=$T$1,T176,IF($A$1=$W$1,W176,IF($A$1=$Z$1,Z176,IF($A$1=$AC$1,AC176,IF($A$1=$AF$1,AF176,IF($A$1=$AI$1,AI176))))))))))))</f>
        <v/>
      </c>
      <c r="AP176" s="44">
        <f>IF($A$1=$B$1,C176,IF($A$1=$E$1,F176,IF($A$1=$H$1,I176,IF($A$1=$K$1,L176,IF($A$1=$N$1,O176,IF($A$1=$Q$1,R176,IF($A$1=$T$1,U176,IF($A$1=$W$1,X176,IF($A$1=$Z$1,AA176,IF($A$1=$AC$1,AD176,IF($A$1=$AF$1,AG176,IF($A$1=$AI$1,AJ176))))))))))))</f>
        <v/>
      </c>
    </row>
    <row r="177" ht="15.5" customHeight="1">
      <c r="A177" s="26" t="inlineStr">
        <is>
          <t xml:space="preserve">ISM </t>
        </is>
      </c>
      <c r="B177" s="7">
        <f>'A -Döviz'!B177</f>
        <v/>
      </c>
      <c r="C177" s="7">
        <f>'A -Döviz'!C177</f>
        <v/>
      </c>
      <c r="D177" s="7" t="n"/>
      <c r="E177" s="7">
        <f>B177+'A -Döviz'!E177</f>
        <v/>
      </c>
      <c r="F177" s="7">
        <f>C177+'A -Döviz'!F177</f>
        <v/>
      </c>
      <c r="G177" s="7" t="n"/>
      <c r="H177" s="7">
        <f>E177+'A -Döviz'!H177</f>
        <v/>
      </c>
      <c r="I177" s="7">
        <f>F177+'A -Döviz'!I177</f>
        <v/>
      </c>
      <c r="J177" s="7" t="n"/>
      <c r="K177" s="7">
        <f>H177+'A -Döviz'!K177</f>
        <v/>
      </c>
      <c r="L177" s="7">
        <f>I177+'A -Döviz'!L177</f>
        <v/>
      </c>
      <c r="M177" s="7" t="n"/>
      <c r="N177" s="7">
        <f>K177+'A -Döviz'!N177</f>
        <v/>
      </c>
      <c r="O177" s="7">
        <f>L177+'A -Döviz'!O177</f>
        <v/>
      </c>
      <c r="P177" s="7" t="n"/>
      <c r="Q177" s="7">
        <f>N177+'A -Döviz'!Q177</f>
        <v/>
      </c>
      <c r="R177" s="7">
        <f>O177+'A -Döviz'!R177</f>
        <v/>
      </c>
      <c r="S177" s="7" t="n"/>
      <c r="T177" s="7">
        <f>Q177+'A -Döviz'!T177</f>
        <v/>
      </c>
      <c r="U177" s="7">
        <f>R177+'A -Döviz'!U177</f>
        <v/>
      </c>
      <c r="V177" s="7" t="n"/>
      <c r="W177" s="7">
        <f>T177+'A -Döviz'!W177</f>
        <v/>
      </c>
      <c r="X177" s="7">
        <f>U177+'A -Döviz'!X177</f>
        <v/>
      </c>
      <c r="Y177" s="7" t="n"/>
      <c r="Z177" s="7">
        <f>W177+'A -Döviz'!Z177</f>
        <v/>
      </c>
      <c r="AA177" s="7">
        <f>X177+'A -Döviz'!AA177</f>
        <v/>
      </c>
      <c r="AB177" s="7" t="n"/>
      <c r="AC177" s="7">
        <f>Z177+'A -Döviz'!AC177</f>
        <v/>
      </c>
      <c r="AD177" s="7">
        <f>AA177+'A -Döviz'!AD177</f>
        <v/>
      </c>
      <c r="AE177" s="7" t="n"/>
      <c r="AF177" s="7">
        <f>AC177+'A -Döviz'!AF177</f>
        <v/>
      </c>
      <c r="AG177" s="7">
        <f>AD177+'A -Döviz'!AG177</f>
        <v/>
      </c>
      <c r="AH177" s="7" t="n"/>
      <c r="AI177" s="7">
        <f>AF177+'A -Döviz'!AI177</f>
        <v/>
      </c>
      <c r="AJ177" s="7">
        <f>AG177+'A -Döviz'!AJ177</f>
        <v/>
      </c>
      <c r="AK177" s="7" t="n"/>
      <c r="AL177" s="21">
        <f>AP177-AO177</f>
        <v/>
      </c>
      <c r="AM177" s="22">
        <f>AP177/AO177-1</f>
        <v/>
      </c>
      <c r="AO177" s="44">
        <f>IF($A$1=$B$1,B177,IF($A$1=$E$1,E177,IF($A$1=$H$1,H177,IF($A$1=$K$1,K177,IF($A$1=$N$1,N177,IF($A$1=$Q$1,Q177,IF($A$1=$T$1,T177,IF($A$1=$W$1,W177,IF($A$1=$Z$1,Z177,IF($A$1=$AC$1,AC177,IF($A$1=$AF$1,AF177,IF($A$1=$AI$1,AI177))))))))))))</f>
        <v/>
      </c>
      <c r="AP177" s="44">
        <f>IF($A$1=$B$1,C177,IF($A$1=$E$1,F177,IF($A$1=$H$1,I177,IF($A$1=$K$1,L177,IF($A$1=$N$1,O177,IF($A$1=$Q$1,R177,IF($A$1=$T$1,U177,IF($A$1=$W$1,X177,IF($A$1=$Z$1,AA177,IF($A$1=$AC$1,AD177,IF($A$1=$AF$1,AG177,IF($A$1=$AI$1,AJ177))))))))))))</f>
        <v/>
      </c>
    </row>
    <row r="178" ht="15.5" customHeight="1">
      <c r="A178" s="26" t="inlineStr">
        <is>
          <t>İncitaş</t>
        </is>
      </c>
      <c r="B178" s="7">
        <f>'A -Döviz'!B178</f>
        <v/>
      </c>
      <c r="C178" s="7">
        <f>'A -Döviz'!C178</f>
        <v/>
      </c>
      <c r="D178" s="7" t="n"/>
      <c r="E178" s="7">
        <f>B178+'A -Döviz'!E178</f>
        <v/>
      </c>
      <c r="F178" s="7">
        <f>C178+'A -Döviz'!F178</f>
        <v/>
      </c>
      <c r="G178" s="7" t="n"/>
      <c r="H178" s="7">
        <f>E178+'A -Döviz'!H178</f>
        <v/>
      </c>
      <c r="I178" s="7">
        <f>F178+'A -Döviz'!I178</f>
        <v/>
      </c>
      <c r="J178" s="7" t="n"/>
      <c r="K178" s="7">
        <f>H178+'A -Döviz'!K178</f>
        <v/>
      </c>
      <c r="L178" s="7">
        <f>I178+'A -Döviz'!L178</f>
        <v/>
      </c>
      <c r="M178" s="7" t="n"/>
      <c r="N178" s="7">
        <f>K178+'A -Döviz'!N178</f>
        <v/>
      </c>
      <c r="O178" s="7">
        <f>L178+'A -Döviz'!O178</f>
        <v/>
      </c>
      <c r="P178" s="7" t="n"/>
      <c r="Q178" s="7">
        <f>N178+'A -Döviz'!Q178</f>
        <v/>
      </c>
      <c r="R178" s="7">
        <f>O178+'A -Döviz'!R178</f>
        <v/>
      </c>
      <c r="S178" s="7" t="n"/>
      <c r="T178" s="7">
        <f>Q178+'A -Döviz'!T178</f>
        <v/>
      </c>
      <c r="U178" s="7">
        <f>R178+'A -Döviz'!U178</f>
        <v/>
      </c>
      <c r="V178" s="7" t="n"/>
      <c r="W178" s="7">
        <f>T178+'A -Döviz'!W178</f>
        <v/>
      </c>
      <c r="X178" s="7">
        <f>U178+'A -Döviz'!X178</f>
        <v/>
      </c>
      <c r="Y178" s="7" t="n"/>
      <c r="Z178" s="7">
        <f>W178+'A -Döviz'!Z178</f>
        <v/>
      </c>
      <c r="AA178" s="7">
        <f>X178+'A -Döviz'!AA178</f>
        <v/>
      </c>
      <c r="AB178" s="7" t="n"/>
      <c r="AC178" s="7">
        <f>Z178+'A -Döviz'!AC178</f>
        <v/>
      </c>
      <c r="AD178" s="7">
        <f>AA178+'A -Döviz'!AD178</f>
        <v/>
      </c>
      <c r="AE178" s="7" t="n"/>
      <c r="AF178" s="7">
        <f>AC178+'A -Döviz'!AF178</f>
        <v/>
      </c>
      <c r="AG178" s="7">
        <f>AD178+'A -Döviz'!AG178</f>
        <v/>
      </c>
      <c r="AH178" s="7" t="n"/>
      <c r="AI178" s="7">
        <f>AF178+'A -Döviz'!AI178</f>
        <v/>
      </c>
      <c r="AJ178" s="7">
        <f>AG178+'A -Döviz'!AJ178</f>
        <v/>
      </c>
      <c r="AK178" s="7" t="n"/>
      <c r="AL178" s="21">
        <f>AP178-AO178</f>
        <v/>
      </c>
      <c r="AM178" s="22">
        <f>AP178/AO178-1</f>
        <v/>
      </c>
      <c r="AO178" s="44">
        <f>IF($A$1=$B$1,B178,IF($A$1=$E$1,E178,IF($A$1=$H$1,H178,IF($A$1=$K$1,K178,IF($A$1=$N$1,N178,IF($A$1=$Q$1,Q178,IF($A$1=$T$1,T178,IF($A$1=$W$1,W178,IF($A$1=$Z$1,Z178,IF($A$1=$AC$1,AC178,IF($A$1=$AF$1,AF178,IF($A$1=$AI$1,AI178))))))))))))</f>
        <v/>
      </c>
      <c r="AP178" s="44">
        <f>IF($A$1=$B$1,C178,IF($A$1=$E$1,F178,IF($A$1=$H$1,I178,IF($A$1=$K$1,L178,IF($A$1=$N$1,O178,IF($A$1=$Q$1,R178,IF($A$1=$T$1,U178,IF($A$1=$W$1,X178,IF($A$1=$Z$1,AA178,IF($A$1=$AC$1,AD178,IF($A$1=$AF$1,AG178,IF($A$1=$AI$1,AJ178))))))))))))</f>
        <v/>
      </c>
    </row>
    <row r="179" ht="15.5" customHeight="1">
      <c r="A179" s="26" t="inlineStr">
        <is>
          <t>İnci GS Yuasa</t>
        </is>
      </c>
      <c r="B179" s="7">
        <f>'A -Döviz'!B179</f>
        <v/>
      </c>
      <c r="C179" s="7">
        <f>'A -Döviz'!C179</f>
        <v/>
      </c>
      <c r="D179" s="7" t="n"/>
      <c r="E179" s="7">
        <f>B179+'A -Döviz'!E179</f>
        <v/>
      </c>
      <c r="F179" s="7">
        <f>C179+'A -Döviz'!F179</f>
        <v/>
      </c>
      <c r="G179" s="7" t="n"/>
      <c r="H179" s="7">
        <f>E179+'A -Döviz'!H179</f>
        <v/>
      </c>
      <c r="I179" s="7">
        <f>F179+'A -Döviz'!I179</f>
        <v/>
      </c>
      <c r="J179" s="7" t="n"/>
      <c r="K179" s="7">
        <f>H179+'A -Döviz'!K179</f>
        <v/>
      </c>
      <c r="L179" s="7">
        <f>I179+'A -Döviz'!L179</f>
        <v/>
      </c>
      <c r="M179" s="7" t="n"/>
      <c r="N179" s="7">
        <f>K179+'A -Döviz'!N179</f>
        <v/>
      </c>
      <c r="O179" s="7">
        <f>L179+'A -Döviz'!O179</f>
        <v/>
      </c>
      <c r="P179" s="7" t="n"/>
      <c r="Q179" s="7">
        <f>N179+'A -Döviz'!Q179</f>
        <v/>
      </c>
      <c r="R179" s="7">
        <f>O179+'A -Döviz'!R179</f>
        <v/>
      </c>
      <c r="S179" s="7" t="n"/>
      <c r="T179" s="7">
        <f>Q179+'A -Döviz'!T179</f>
        <v/>
      </c>
      <c r="U179" s="7">
        <f>R179+'A -Döviz'!U179</f>
        <v/>
      </c>
      <c r="V179" s="7" t="n"/>
      <c r="W179" s="7">
        <f>T179+'A -Döviz'!W179</f>
        <v/>
      </c>
      <c r="X179" s="7">
        <f>U179+'A -Döviz'!X179</f>
        <v/>
      </c>
      <c r="Y179" s="7" t="n"/>
      <c r="Z179" s="7">
        <f>W179+'A -Döviz'!Z179</f>
        <v/>
      </c>
      <c r="AA179" s="7">
        <f>X179+'A -Döviz'!AA179</f>
        <v/>
      </c>
      <c r="AB179" s="7" t="n"/>
      <c r="AC179" s="7">
        <f>Z179+'A -Döviz'!AC179</f>
        <v/>
      </c>
      <c r="AD179" s="7">
        <f>AA179+'A -Döviz'!AD179</f>
        <v/>
      </c>
      <c r="AE179" s="7" t="n"/>
      <c r="AF179" s="7">
        <f>AC179+'A -Döviz'!AF179</f>
        <v/>
      </c>
      <c r="AG179" s="7">
        <f>AD179+'A -Döviz'!AG179</f>
        <v/>
      </c>
      <c r="AH179" s="7" t="n"/>
      <c r="AI179" s="7">
        <f>AF179+'A -Döviz'!AI179</f>
        <v/>
      </c>
      <c r="AJ179" s="7">
        <f>AG179+'A -Döviz'!AJ179</f>
        <v/>
      </c>
      <c r="AK179" s="7" t="n"/>
      <c r="AL179" s="21">
        <f>AP179-AO179</f>
        <v/>
      </c>
      <c r="AM179" s="22">
        <f>AP179/AO179-1</f>
        <v/>
      </c>
      <c r="AO179" s="44">
        <f>IF($A$1=$B$1,B179,IF($A$1=$E$1,E179,IF($A$1=$H$1,H179,IF($A$1=$K$1,K179,IF($A$1=$N$1,N179,IF($A$1=$Q$1,Q179,IF($A$1=$T$1,T179,IF($A$1=$W$1,W179,IF($A$1=$Z$1,Z179,IF($A$1=$AC$1,AC179,IF($A$1=$AF$1,AF179,IF($A$1=$AI$1,AI179))))))))))))</f>
        <v/>
      </c>
      <c r="AP179" s="44">
        <f>IF($A$1=$B$1,C179,IF($A$1=$E$1,F179,IF($A$1=$H$1,I179,IF($A$1=$K$1,L179,IF($A$1=$N$1,O179,IF($A$1=$Q$1,R179,IF($A$1=$T$1,U179,IF($A$1=$W$1,X179,IF($A$1=$Z$1,AA179,IF($A$1=$AC$1,AD179,IF($A$1=$AF$1,AG179,IF($A$1=$AI$1,AJ179))))))))))))</f>
        <v/>
      </c>
    </row>
    <row r="180" ht="15.5" customFormat="1" customHeight="1" s="1">
      <c r="A180" s="26" t="inlineStr">
        <is>
          <t>Yusen İnci Loj.</t>
        </is>
      </c>
      <c r="B180" s="7">
        <f>'A -Döviz'!B180</f>
        <v/>
      </c>
      <c r="C180" s="7">
        <f>'A -Döviz'!C180</f>
        <v/>
      </c>
      <c r="D180" s="8" t="n"/>
      <c r="E180" s="7">
        <f>B180+'A -Döviz'!E180</f>
        <v/>
      </c>
      <c r="F180" s="7">
        <f>C180+'A -Döviz'!F180</f>
        <v/>
      </c>
      <c r="G180" s="8" t="n"/>
      <c r="H180" s="7">
        <f>E180+'A -Döviz'!H180</f>
        <v/>
      </c>
      <c r="I180" s="7">
        <f>F180+'A -Döviz'!I180</f>
        <v/>
      </c>
      <c r="J180" s="8" t="n"/>
      <c r="K180" s="7">
        <f>H180+'A -Döviz'!K180</f>
        <v/>
      </c>
      <c r="L180" s="7">
        <f>I180+'A -Döviz'!L180</f>
        <v/>
      </c>
      <c r="M180" s="8" t="n"/>
      <c r="N180" s="7">
        <f>K180+'A -Döviz'!N180</f>
        <v/>
      </c>
      <c r="O180" s="7">
        <f>L180+'A -Döviz'!O180</f>
        <v/>
      </c>
      <c r="P180" s="8" t="n"/>
      <c r="Q180" s="7">
        <f>N180+'A -Döviz'!Q180</f>
        <v/>
      </c>
      <c r="R180" s="7">
        <f>O180+'A -Döviz'!R180</f>
        <v/>
      </c>
      <c r="S180" s="8" t="n"/>
      <c r="T180" s="7">
        <f>Q180+'A -Döviz'!T180</f>
        <v/>
      </c>
      <c r="U180" s="7">
        <f>R180+'A -Döviz'!U180</f>
        <v/>
      </c>
      <c r="V180" s="8" t="n"/>
      <c r="W180" s="7">
        <f>T180+'A -Döviz'!W180</f>
        <v/>
      </c>
      <c r="X180" s="7">
        <f>U180+'A -Döviz'!X180</f>
        <v/>
      </c>
      <c r="Y180" s="8" t="n"/>
      <c r="Z180" s="7">
        <f>W180+'A -Döviz'!Z180</f>
        <v/>
      </c>
      <c r="AA180" s="7">
        <f>X180+'A -Döviz'!AA180</f>
        <v/>
      </c>
      <c r="AB180" s="8" t="n"/>
      <c r="AC180" s="7">
        <f>Z180+'A -Döviz'!AC180</f>
        <v/>
      </c>
      <c r="AD180" s="7">
        <f>AA180+'A -Döviz'!AD180</f>
        <v/>
      </c>
      <c r="AE180" s="8" t="n"/>
      <c r="AF180" s="7">
        <f>AC180+'A -Döviz'!AF180</f>
        <v/>
      </c>
      <c r="AG180" s="7">
        <f>AD180+'A -Döviz'!AG180</f>
        <v/>
      </c>
      <c r="AH180" s="8" t="n"/>
      <c r="AI180" s="7">
        <f>AF180+'A -Döviz'!AI180</f>
        <v/>
      </c>
      <c r="AJ180" s="7">
        <f>AG180+'A -Döviz'!AJ180</f>
        <v/>
      </c>
      <c r="AK180" s="8" t="n"/>
      <c r="AL180" s="21">
        <f>AP180-AO180</f>
        <v/>
      </c>
      <c r="AM180" s="22">
        <f>AP180/AO180-1</f>
        <v/>
      </c>
      <c r="AO180" s="44">
        <f>IF($A$1=$B$1,B180,IF($A$1=$E$1,E180,IF($A$1=$H$1,H180,IF($A$1=$K$1,K180,IF($A$1=$N$1,N180,IF($A$1=$Q$1,Q180,IF($A$1=$T$1,T180,IF($A$1=$W$1,W180,IF($A$1=$Z$1,Z180,IF($A$1=$AC$1,AC180,IF($A$1=$AF$1,AF180,IF($A$1=$AI$1,AI180))))))))))))</f>
        <v/>
      </c>
      <c r="AP180" s="44">
        <f>IF($A$1=$B$1,C180,IF($A$1=$E$1,F180,IF($A$1=$H$1,I180,IF($A$1=$K$1,L180,IF($A$1=$N$1,O180,IF($A$1=$Q$1,R180,IF($A$1=$T$1,U180,IF($A$1=$W$1,X180,IF($A$1=$Z$1,AA180,IF($A$1=$AC$1,AD180,IF($A$1=$AF$1,AG180,IF($A$1=$AI$1,AJ180))))))))))))</f>
        <v/>
      </c>
    </row>
    <row r="181" ht="15.5" customHeight="1">
      <c r="A181" s="26" t="inlineStr">
        <is>
          <t>Jantaş</t>
        </is>
      </c>
      <c r="B181" s="7">
        <f>'A -Döviz'!B181</f>
        <v/>
      </c>
      <c r="C181" s="7">
        <f>'A -Döviz'!C181</f>
        <v/>
      </c>
      <c r="D181" s="7" t="n"/>
      <c r="E181" s="7">
        <f>B181+'A -Döviz'!E181</f>
        <v/>
      </c>
      <c r="F181" s="7">
        <f>C181+'A -Döviz'!F181</f>
        <v/>
      </c>
      <c r="G181" s="7" t="n"/>
      <c r="H181" s="7">
        <f>E181+'A -Döviz'!H181</f>
        <v/>
      </c>
      <c r="I181" s="7">
        <f>F181+'A -Döviz'!I181</f>
        <v/>
      </c>
      <c r="J181" s="7" t="n"/>
      <c r="K181" s="7">
        <f>H181+'A -Döviz'!K181</f>
        <v/>
      </c>
      <c r="L181" s="7">
        <f>I181+'A -Döviz'!L181</f>
        <v/>
      </c>
      <c r="M181" s="7" t="n"/>
      <c r="N181" s="7">
        <f>K181+'A -Döviz'!N181</f>
        <v/>
      </c>
      <c r="O181" s="7">
        <f>L181+'A -Döviz'!O181</f>
        <v/>
      </c>
      <c r="P181" s="7" t="n"/>
      <c r="Q181" s="7">
        <f>N181+'A -Döviz'!Q181</f>
        <v/>
      </c>
      <c r="R181" s="7">
        <f>O181+'A -Döviz'!R181</f>
        <v/>
      </c>
      <c r="S181" s="7" t="n"/>
      <c r="T181" s="7">
        <f>Q181+'A -Döviz'!T181</f>
        <v/>
      </c>
      <c r="U181" s="7">
        <f>R181+'A -Döviz'!U181</f>
        <v/>
      </c>
      <c r="V181" s="7" t="n"/>
      <c r="W181" s="7">
        <f>T181+'A -Döviz'!W181</f>
        <v/>
      </c>
      <c r="X181" s="7">
        <f>U181+'A -Döviz'!X181</f>
        <v/>
      </c>
      <c r="Y181" s="7" t="n"/>
      <c r="Z181" s="7">
        <f>W181+'A -Döviz'!Z181</f>
        <v/>
      </c>
      <c r="AA181" s="7">
        <f>X181+'A -Döviz'!AA181</f>
        <v/>
      </c>
      <c r="AB181" s="7" t="n"/>
      <c r="AC181" s="7">
        <f>Z181+'A -Döviz'!AC181</f>
        <v/>
      </c>
      <c r="AD181" s="7">
        <f>AA181+'A -Döviz'!AD181</f>
        <v/>
      </c>
      <c r="AE181" s="7" t="n"/>
      <c r="AF181" s="7">
        <f>AC181+'A -Döviz'!AF181</f>
        <v/>
      </c>
      <c r="AG181" s="7">
        <f>AD181+'A -Döviz'!AG181</f>
        <v/>
      </c>
      <c r="AH181" s="7" t="n"/>
      <c r="AI181" s="7">
        <f>AF181+'A -Döviz'!AI181</f>
        <v/>
      </c>
      <c r="AJ181" s="7">
        <f>AG181+'A -Döviz'!AJ181</f>
        <v/>
      </c>
      <c r="AK181" s="7" t="n"/>
      <c r="AL181" s="21">
        <f>AP181-AO181</f>
        <v/>
      </c>
      <c r="AM181" s="22">
        <f>AP181/AO181-1</f>
        <v/>
      </c>
      <c r="AO181" s="44">
        <f>IF($A$1=$B$1,B181,IF($A$1=$E$1,E181,IF($A$1=$H$1,H181,IF($A$1=$K$1,K181,IF($A$1=$N$1,N181,IF($A$1=$Q$1,Q181,IF($A$1=$T$1,T181,IF($A$1=$W$1,W181,IF($A$1=$Z$1,Z181,IF($A$1=$AC$1,AC181,IF($A$1=$AF$1,AF181,IF($A$1=$AI$1,AI181))))))))))))</f>
        <v/>
      </c>
      <c r="AP181" s="44">
        <f>IF($A$1=$B$1,C181,IF($A$1=$E$1,F181,IF($A$1=$H$1,I181,IF($A$1=$K$1,L181,IF($A$1=$N$1,O181,IF($A$1=$Q$1,R181,IF($A$1=$T$1,U181,IF($A$1=$W$1,X181,IF($A$1=$Z$1,AA181,IF($A$1=$AC$1,AD181,IF($A$1=$AF$1,AG181,IF($A$1=$AI$1,AJ181))))))))))))</f>
        <v/>
      </c>
    </row>
    <row r="182" ht="15.5" customHeight="1">
      <c r="A182" s="26" t="inlineStr">
        <is>
          <t>Çelik</t>
        </is>
      </c>
      <c r="B182" s="7">
        <f>'A -Döviz'!B182</f>
        <v/>
      </c>
      <c r="C182" s="7">
        <f>'A -Döviz'!C182</f>
        <v/>
      </c>
      <c r="D182" s="7" t="n"/>
      <c r="E182" s="7">
        <f>B182+'A -Döviz'!E182</f>
        <v/>
      </c>
      <c r="F182" s="7">
        <f>C182+'A -Döviz'!F182</f>
        <v/>
      </c>
      <c r="G182" s="7" t="n"/>
      <c r="H182" s="7">
        <f>E182+'A -Döviz'!H182</f>
        <v/>
      </c>
      <c r="I182" s="7">
        <f>F182+'A -Döviz'!I182</f>
        <v/>
      </c>
      <c r="J182" s="7" t="n"/>
      <c r="K182" s="7">
        <f>H182+'A -Döviz'!K182</f>
        <v/>
      </c>
      <c r="L182" s="7">
        <f>I182+'A -Döviz'!L182</f>
        <v/>
      </c>
      <c r="M182" s="7" t="n"/>
      <c r="N182" s="7">
        <f>K182+'A -Döviz'!N182</f>
        <v/>
      </c>
      <c r="O182" s="7">
        <f>L182+'A -Döviz'!O182</f>
        <v/>
      </c>
      <c r="P182" s="7" t="n"/>
      <c r="Q182" s="7">
        <f>N182+'A -Döviz'!Q182</f>
        <v/>
      </c>
      <c r="R182" s="7">
        <f>O182+'A -Döviz'!R182</f>
        <v/>
      </c>
      <c r="S182" s="7" t="n"/>
      <c r="T182" s="7">
        <f>Q182+'A -Döviz'!T182</f>
        <v/>
      </c>
      <c r="U182" s="7">
        <f>R182+'A -Döviz'!U182</f>
        <v/>
      </c>
      <c r="V182" s="7" t="n"/>
      <c r="W182" s="7">
        <f>T182+'A -Döviz'!W182</f>
        <v/>
      </c>
      <c r="X182" s="7">
        <f>U182+'A -Döviz'!X182</f>
        <v/>
      </c>
      <c r="Y182" s="7" t="n"/>
      <c r="Z182" s="7">
        <f>W182+'A -Döviz'!Z182</f>
        <v/>
      </c>
      <c r="AA182" s="7">
        <f>X182+'A -Döviz'!AA182</f>
        <v/>
      </c>
      <c r="AB182" s="7" t="n"/>
      <c r="AC182" s="7">
        <f>Z182+'A -Döviz'!AC182</f>
        <v/>
      </c>
      <c r="AD182" s="7">
        <f>AA182+'A -Döviz'!AD182</f>
        <v/>
      </c>
      <c r="AE182" s="7" t="n"/>
      <c r="AF182" s="7">
        <f>AC182+'A -Döviz'!AF182</f>
        <v/>
      </c>
      <c r="AG182" s="7">
        <f>AD182+'A -Döviz'!AG182</f>
        <v/>
      </c>
      <c r="AH182" s="7" t="n"/>
      <c r="AI182" s="7">
        <f>AF182+'A -Döviz'!AI182</f>
        <v/>
      </c>
      <c r="AJ182" s="7">
        <f>AG182+'A -Döviz'!AJ182</f>
        <v/>
      </c>
      <c r="AK182" s="7" t="n"/>
      <c r="AL182" s="21">
        <f>AP182-AO182</f>
        <v/>
      </c>
      <c r="AM182" s="22">
        <f>AP182/AO182-1</f>
        <v/>
      </c>
      <c r="AO182" s="44">
        <f>IF($A$1=$B$1,B182,IF($A$1=$E$1,E182,IF($A$1=$H$1,H182,IF($A$1=$K$1,K182,IF($A$1=$N$1,N182,IF($A$1=$Q$1,Q182,IF($A$1=$T$1,T182,IF($A$1=$W$1,W182,IF($A$1=$Z$1,Z182,IF($A$1=$AC$1,AC182,IF($A$1=$AF$1,AF182,IF($A$1=$AI$1,AI182))))))))))))</f>
        <v/>
      </c>
      <c r="AP182" s="44">
        <f>IF($A$1=$B$1,C182,IF($A$1=$E$1,F182,IF($A$1=$H$1,I182,IF($A$1=$K$1,L182,IF($A$1=$N$1,O182,IF($A$1=$Q$1,R182,IF($A$1=$T$1,U182,IF($A$1=$W$1,X182,IF($A$1=$Z$1,AA182,IF($A$1=$AC$1,AD182,IF($A$1=$AF$1,AG182,IF($A$1=$AI$1,AJ182))))))))))))</f>
        <v/>
      </c>
    </row>
    <row r="183" ht="15.5" customHeight="1">
      <c r="A183" s="26" t="inlineStr">
        <is>
          <t>Alüminyum</t>
        </is>
      </c>
      <c r="B183" s="7">
        <f>'A -Döviz'!B183</f>
        <v/>
      </c>
      <c r="C183" s="7">
        <f>'A -Döviz'!C183</f>
        <v/>
      </c>
      <c r="D183" s="7" t="n"/>
      <c r="E183" s="7">
        <f>B183+'A -Döviz'!E183</f>
        <v/>
      </c>
      <c r="F183" s="7">
        <f>C183+'A -Döviz'!F183</f>
        <v/>
      </c>
      <c r="G183" s="7" t="n"/>
      <c r="H183" s="7">
        <f>E183+'A -Döviz'!H183</f>
        <v/>
      </c>
      <c r="I183" s="7">
        <f>F183+'A -Döviz'!I183</f>
        <v/>
      </c>
      <c r="J183" s="7" t="n"/>
      <c r="K183" s="7">
        <f>H183+'A -Döviz'!K183</f>
        <v/>
      </c>
      <c r="L183" s="7">
        <f>I183+'A -Döviz'!L183</f>
        <v/>
      </c>
      <c r="M183" s="7" t="n"/>
      <c r="N183" s="7">
        <f>K183+'A -Döviz'!N183</f>
        <v/>
      </c>
      <c r="O183" s="7">
        <f>L183+'A -Döviz'!O183</f>
        <v/>
      </c>
      <c r="P183" s="7" t="n"/>
      <c r="Q183" s="7">
        <f>N183+'A -Döviz'!Q183</f>
        <v/>
      </c>
      <c r="R183" s="7">
        <f>O183+'A -Döviz'!R183</f>
        <v/>
      </c>
      <c r="S183" s="7" t="n"/>
      <c r="T183" s="7">
        <f>Q183+'A -Döviz'!T183</f>
        <v/>
      </c>
      <c r="U183" s="7">
        <f>R183+'A -Döviz'!U183</f>
        <v/>
      </c>
      <c r="V183" s="7" t="n"/>
      <c r="W183" s="7">
        <f>T183+'A -Döviz'!W183</f>
        <v/>
      </c>
      <c r="X183" s="7">
        <f>U183+'A -Döviz'!X183</f>
        <v/>
      </c>
      <c r="Y183" s="7" t="n"/>
      <c r="Z183" s="7">
        <f>W183+'A -Döviz'!Z183</f>
        <v/>
      </c>
      <c r="AA183" s="7">
        <f>X183+'A -Döviz'!AA183</f>
        <v/>
      </c>
      <c r="AB183" s="7" t="n"/>
      <c r="AC183" s="7">
        <f>Z183+'A -Döviz'!AC183</f>
        <v/>
      </c>
      <c r="AD183" s="7">
        <f>AA183+'A -Döviz'!AD183</f>
        <v/>
      </c>
      <c r="AE183" s="7" t="n"/>
      <c r="AF183" s="7">
        <f>AC183+'A -Döviz'!AF183</f>
        <v/>
      </c>
      <c r="AG183" s="7">
        <f>AD183+'A -Döviz'!AG183</f>
        <v/>
      </c>
      <c r="AH183" s="7" t="n"/>
      <c r="AI183" s="7">
        <f>AF183+'A -Döviz'!AI183</f>
        <v/>
      </c>
      <c r="AJ183" s="7">
        <f>AG183+'A -Döviz'!AJ183</f>
        <v/>
      </c>
      <c r="AK183" s="7" t="n"/>
      <c r="AL183" s="21">
        <f>AP183-AO183</f>
        <v/>
      </c>
      <c r="AM183" s="22">
        <f>AP183/AO183-1</f>
        <v/>
      </c>
      <c r="AO183" s="44">
        <f>IF($A$1=$B$1,B183,IF($A$1=$E$1,E183,IF($A$1=$H$1,H183,IF($A$1=$K$1,K183,IF($A$1=$N$1,N183,IF($A$1=$Q$1,Q183,IF($A$1=$T$1,T183,IF($A$1=$W$1,W183,IF($A$1=$Z$1,Z183,IF($A$1=$AC$1,AC183,IF($A$1=$AF$1,AF183,IF($A$1=$AI$1,AI183))))))))))))</f>
        <v/>
      </c>
      <c r="AP183" s="44">
        <f>IF($A$1=$B$1,C183,IF($A$1=$E$1,F183,IF($A$1=$H$1,I183,IF($A$1=$K$1,L183,IF($A$1=$N$1,O183,IF($A$1=$Q$1,R183,IF($A$1=$T$1,U183,IF($A$1=$W$1,X183,IF($A$1=$Z$1,AA183,IF($A$1=$AC$1,AD183,IF($A$1=$AF$1,AG183,IF($A$1=$AI$1,AJ183))))))))))))</f>
        <v/>
      </c>
    </row>
    <row r="184" ht="15.5" customFormat="1" customHeight="1" s="13">
      <c r="A184" s="26" t="n"/>
      <c r="B184" s="12" t="n"/>
      <c r="C184" s="30" t="n"/>
      <c r="D184" s="41" t="n"/>
      <c r="E184" s="12" t="n"/>
      <c r="F184" s="30" t="n"/>
      <c r="G184" s="41" t="n"/>
      <c r="H184" s="12" t="n"/>
      <c r="I184" s="30" t="n"/>
      <c r="J184" s="41" t="n"/>
      <c r="K184" s="12" t="n"/>
      <c r="L184" s="30" t="n"/>
      <c r="M184" s="41" t="n"/>
      <c r="N184" s="12" t="n"/>
      <c r="O184" s="30" t="n"/>
      <c r="P184" s="41" t="n"/>
      <c r="Q184" s="12" t="n"/>
      <c r="R184" s="30" t="n"/>
      <c r="S184" s="41" t="n"/>
      <c r="T184" s="12" t="n"/>
      <c r="U184" s="30" t="n"/>
      <c r="V184" s="41" t="n"/>
      <c r="W184" s="12" t="n"/>
      <c r="X184" s="30" t="n"/>
      <c r="Y184" s="41" t="n"/>
      <c r="Z184" s="12" t="n"/>
      <c r="AA184" s="30" t="n"/>
      <c r="AB184" s="41" t="n"/>
      <c r="AC184" s="12" t="n"/>
      <c r="AD184" s="30" t="n"/>
      <c r="AE184" s="41" t="n"/>
      <c r="AF184" s="12" t="n"/>
      <c r="AG184" s="30" t="n"/>
      <c r="AH184" s="41" t="n"/>
      <c r="AI184" s="12" t="n"/>
      <c r="AJ184" s="30" t="n"/>
      <c r="AK184" s="41" t="n"/>
      <c r="AL184" s="15" t="n"/>
      <c r="AM184" s="22" t="n"/>
      <c r="AO184" s="44" t="n"/>
      <c r="AP184" s="44" t="n"/>
    </row>
    <row r="185" ht="15.5" customFormat="1" customHeight="1" s="13">
      <c r="A185" s="26" t="n"/>
      <c r="B185" s="12" t="n"/>
      <c r="C185" s="30" t="n"/>
      <c r="D185" s="41" t="n"/>
      <c r="E185" s="12" t="n"/>
      <c r="F185" s="30" t="n"/>
      <c r="G185" s="41" t="n"/>
      <c r="H185" s="12" t="n"/>
      <c r="I185" s="30" t="n"/>
      <c r="J185" s="41" t="n"/>
      <c r="K185" s="12" t="n"/>
      <c r="L185" s="30" t="n"/>
      <c r="M185" s="41" t="n"/>
      <c r="N185" s="12" t="n"/>
      <c r="O185" s="30" t="n"/>
      <c r="P185" s="41" t="n"/>
      <c r="Q185" s="12" t="n"/>
      <c r="R185" s="30" t="n"/>
      <c r="S185" s="41" t="n"/>
      <c r="T185" s="12" t="n"/>
      <c r="U185" s="30" t="n"/>
      <c r="V185" s="41" t="n"/>
      <c r="W185" s="12" t="n"/>
      <c r="X185" s="30" t="n"/>
      <c r="Y185" s="41" t="n"/>
      <c r="Z185" s="12" t="n"/>
      <c r="AA185" s="30" t="n"/>
      <c r="AB185" s="41" t="n"/>
      <c r="AC185" s="12" t="n"/>
      <c r="AD185" s="30" t="n"/>
      <c r="AE185" s="41" t="n"/>
      <c r="AF185" s="12" t="n"/>
      <c r="AG185" s="30" t="n"/>
      <c r="AH185" s="41" t="n"/>
      <c r="AI185" s="12" t="n"/>
      <c r="AJ185" s="30" t="n"/>
      <c r="AK185" s="41" t="n"/>
      <c r="AL185" s="15" t="n"/>
      <c r="AM185" s="22" t="n"/>
      <c r="AO185" s="44" t="n"/>
      <c r="AP185" s="44" t="n"/>
    </row>
    <row r="186" ht="15.5" customFormat="1" customHeight="1" s="44">
      <c r="A186" s="31" t="inlineStr">
        <is>
          <t>VÖK</t>
        </is>
      </c>
      <c r="B186" s="32">
        <f>'A -Döviz'!B186</f>
        <v/>
      </c>
      <c r="C186" s="32">
        <f>'A -Döviz'!C186</f>
        <v/>
      </c>
      <c r="D186" s="18" t="n"/>
      <c r="E186" s="32">
        <f>B186+'A -Döviz'!E186</f>
        <v/>
      </c>
      <c r="F186" s="32">
        <f>C186+'A -Döviz'!F186</f>
        <v/>
      </c>
      <c r="G186" s="18" t="n"/>
      <c r="H186" s="32">
        <f>E186+'A -Döviz'!H186</f>
        <v/>
      </c>
      <c r="I186" s="32">
        <f>F186+'A -Döviz'!I186</f>
        <v/>
      </c>
      <c r="J186" s="18" t="n"/>
      <c r="K186" s="32">
        <f>H186+'A -Döviz'!K186</f>
        <v/>
      </c>
      <c r="L186" s="32">
        <f>I186+'A -Döviz'!L186</f>
        <v/>
      </c>
      <c r="M186" s="18" t="n"/>
      <c r="N186" s="32">
        <f>K186+'A -Döviz'!N186</f>
        <v/>
      </c>
      <c r="O186" s="32">
        <f>L186+'A -Döviz'!O186</f>
        <v/>
      </c>
      <c r="P186" s="18" t="n"/>
      <c r="Q186" s="32">
        <f>N186+'A -Döviz'!Q186</f>
        <v/>
      </c>
      <c r="R186" s="32">
        <f>O186+'A -Döviz'!R186</f>
        <v/>
      </c>
      <c r="S186" s="18" t="n"/>
      <c r="T186" s="32">
        <f>Q186+'A -Döviz'!T186</f>
        <v/>
      </c>
      <c r="U186" s="32">
        <f>R186+'A -Döviz'!U186</f>
        <v/>
      </c>
      <c r="V186" s="18" t="n"/>
      <c r="W186" s="32">
        <f>T186+'A -Döviz'!W186</f>
        <v/>
      </c>
      <c r="X186" s="32">
        <f>U186+'A -Döviz'!X186</f>
        <v/>
      </c>
      <c r="Y186" s="18" t="n"/>
      <c r="Z186" s="32">
        <f>W186+'A -Döviz'!Z186</f>
        <v/>
      </c>
      <c r="AA186" s="32">
        <f>X186+'A -Döviz'!AA186</f>
        <v/>
      </c>
      <c r="AB186" s="18" t="n"/>
      <c r="AC186" s="32">
        <f>Z186+'A -Döviz'!AC186</f>
        <v/>
      </c>
      <c r="AD186" s="32">
        <f>AA186+'A -Döviz'!AD186</f>
        <v/>
      </c>
      <c r="AE186" s="18" t="n"/>
      <c r="AF186" s="32">
        <f>AC186+'A -Döviz'!AF186</f>
        <v/>
      </c>
      <c r="AG186" s="32">
        <f>AD186+'A -Döviz'!AG186</f>
        <v/>
      </c>
      <c r="AH186" s="18" t="n"/>
      <c r="AI186" s="32">
        <f>AF186+'A -Döviz'!AI186</f>
        <v/>
      </c>
      <c r="AJ186" s="32">
        <f>AG186+'A -Döviz'!AJ186</f>
        <v/>
      </c>
      <c r="AK186" s="18" t="n"/>
      <c r="AL186" s="33">
        <f>AP186-AO186</f>
        <v/>
      </c>
      <c r="AM186" s="34">
        <f>AP186/AO186-1</f>
        <v/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/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/>
      </c>
    </row>
    <row r="187" ht="15.5" customFormat="1" customHeight="1" s="13">
      <c r="A187" s="27" t="n"/>
      <c r="B187" s="30" t="n"/>
      <c r="C187" s="30" t="n"/>
      <c r="D187" s="41" t="n"/>
      <c r="E187" s="30" t="n"/>
      <c r="F187" s="30" t="n"/>
      <c r="G187" s="41" t="n"/>
      <c r="H187" s="30" t="n"/>
      <c r="I187" s="30" t="n"/>
      <c r="J187" s="41" t="n"/>
      <c r="K187" s="30" t="n"/>
      <c r="L187" s="30" t="n"/>
      <c r="M187" s="41" t="n"/>
      <c r="N187" s="30" t="n"/>
      <c r="O187" s="30" t="n"/>
      <c r="P187" s="41" t="n"/>
      <c r="Q187" s="30" t="n"/>
      <c r="R187" s="30" t="n"/>
      <c r="S187" s="41" t="n"/>
      <c r="T187" s="30" t="n"/>
      <c r="U187" s="30" t="n"/>
      <c r="V187" s="41" t="n"/>
      <c r="W187" s="30" t="n"/>
      <c r="X187" s="30" t="n"/>
      <c r="Y187" s="41" t="n"/>
      <c r="Z187" s="30" t="n"/>
      <c r="AA187" s="30" t="n"/>
      <c r="AB187" s="41" t="n"/>
      <c r="AC187" s="30" t="n"/>
      <c r="AD187" s="30" t="n"/>
      <c r="AE187" s="41" t="n"/>
      <c r="AF187" s="30" t="n"/>
      <c r="AG187" s="30" t="n"/>
      <c r="AH187" s="41" t="n"/>
      <c r="AI187" s="30" t="n"/>
      <c r="AJ187" s="30" t="n"/>
      <c r="AK187" s="41" t="n"/>
      <c r="AL187" s="15" t="n"/>
      <c r="AM187" s="22" t="n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/>
      </c>
      <c r="AP187" s="44">
        <f>IF($A$1=$B$1,C187,IF($A$1=$E$1,F187,IF($A$1=$H$1,I187,IF($A$1=$K$1,L187,IF($A$1=$N$1,O187,IF($A$1=$Q$1,R187,IF($A$1=$T$1,U187,IF($A$1=$W$1,X187,IF($A$1=$Z$1,AA187,IF($A$1=$AC$1,AD187,IF($A$1=$AF$1,AG187,IF($A$1=$AI$1,AJ187))))))))))))</f>
        <v/>
      </c>
    </row>
    <row r="188" ht="17" customFormat="1" customHeight="1" s="49">
      <c r="A188" s="47" t="inlineStr">
        <is>
          <t>VÖK (100%)</t>
        </is>
      </c>
      <c r="B188" s="413" t="n"/>
      <c r="C188" s="413" t="n"/>
      <c r="D188" s="413" t="n"/>
      <c r="E188" s="413" t="n"/>
      <c r="F188" s="413" t="n"/>
      <c r="G188" s="413" t="n"/>
      <c r="H188" s="413" t="n"/>
      <c r="I188" s="413" t="n"/>
      <c r="J188" s="413" t="n"/>
      <c r="K188" s="413" t="n"/>
      <c r="L188" s="413" t="n"/>
      <c r="M188" s="413" t="n"/>
      <c r="N188" s="413" t="n"/>
      <c r="O188" s="413" t="n"/>
      <c r="P188" s="413" t="n"/>
      <c r="Q188" s="413" t="n"/>
      <c r="R188" s="413" t="n"/>
      <c r="S188" s="413" t="n"/>
      <c r="T188" s="413" t="n"/>
      <c r="U188" s="413" t="n"/>
      <c r="V188" s="413" t="n"/>
      <c r="W188" s="413" t="n"/>
      <c r="X188" s="413" t="n"/>
      <c r="Y188" s="413" t="n"/>
      <c r="Z188" s="413" t="n"/>
      <c r="AA188" s="413" t="n"/>
      <c r="AB188" s="413" t="n"/>
      <c r="AC188" s="413" t="n"/>
      <c r="AD188" s="413" t="n"/>
      <c r="AE188" s="413" t="n"/>
      <c r="AF188" s="413" t="n"/>
      <c r="AG188" s="413" t="n"/>
      <c r="AH188" s="413" t="n"/>
      <c r="AI188" s="413" t="n"/>
      <c r="AJ188" s="413" t="n"/>
      <c r="AK188" s="413" t="n"/>
      <c r="AL188" s="413" t="n"/>
      <c r="AM188" s="48" t="n"/>
    </row>
    <row r="189" ht="15.5" customHeight="1">
      <c r="A189" s="26" t="inlineStr">
        <is>
          <t xml:space="preserve">İnci Holding </t>
        </is>
      </c>
      <c r="B189" s="7">
        <f>'A -Döviz'!B189</f>
        <v/>
      </c>
      <c r="C189" s="7">
        <f>'A -Döviz'!C189</f>
        <v/>
      </c>
      <c r="D189" s="7" t="n"/>
      <c r="E189" s="7">
        <f>B189+'A -Döviz'!E189</f>
        <v/>
      </c>
      <c r="F189" s="7">
        <f>C189+'A -Döviz'!F189</f>
        <v/>
      </c>
      <c r="G189" s="7" t="n"/>
      <c r="H189" s="7">
        <f>E189+'A -Döviz'!H189</f>
        <v/>
      </c>
      <c r="I189" s="7">
        <f>F189+'A -Döviz'!I189</f>
        <v/>
      </c>
      <c r="J189" s="7" t="n"/>
      <c r="K189" s="7">
        <f>H189+'A -Döviz'!K189</f>
        <v/>
      </c>
      <c r="L189" s="7">
        <f>I189+'A -Döviz'!L189</f>
        <v/>
      </c>
      <c r="M189" s="7" t="n"/>
      <c r="N189" s="7">
        <f>K189+'A -Döviz'!N189</f>
        <v/>
      </c>
      <c r="O189" s="7">
        <f>L189+'A -Döviz'!O189</f>
        <v/>
      </c>
      <c r="P189" s="7" t="n"/>
      <c r="Q189" s="7">
        <f>N189+'A -Döviz'!Q189</f>
        <v/>
      </c>
      <c r="R189" s="7">
        <f>O189+'A -Döviz'!R189</f>
        <v/>
      </c>
      <c r="S189" s="7" t="n"/>
      <c r="T189" s="7">
        <f>Q189+'A -Döviz'!T189</f>
        <v/>
      </c>
      <c r="U189" s="7">
        <f>R189+'A -Döviz'!U189</f>
        <v/>
      </c>
      <c r="V189" s="7" t="n"/>
      <c r="W189" s="7">
        <f>T189+'A -Döviz'!W189</f>
        <v/>
      </c>
      <c r="X189" s="7">
        <f>U189+'A -Döviz'!X189</f>
        <v/>
      </c>
      <c r="Y189" s="7" t="n"/>
      <c r="Z189" s="7">
        <f>W189+'A -Döviz'!Z189</f>
        <v/>
      </c>
      <c r="AA189" s="7">
        <f>X189+'A -Döviz'!AA189</f>
        <v/>
      </c>
      <c r="AB189" s="7" t="n"/>
      <c r="AC189" s="7">
        <f>Z189+'A -Döviz'!AC189</f>
        <v/>
      </c>
      <c r="AD189" s="7">
        <f>AA189+'A -Döviz'!AD189</f>
        <v/>
      </c>
      <c r="AE189" s="7" t="n"/>
      <c r="AF189" s="7">
        <f>AC189+'A -Döviz'!AF189</f>
        <v/>
      </c>
      <c r="AG189" s="7">
        <f>AD189+'A -Döviz'!AG189</f>
        <v/>
      </c>
      <c r="AH189" s="7" t="n"/>
      <c r="AI189" s="7">
        <f>AF189+'A -Döviz'!AI189</f>
        <v/>
      </c>
      <c r="AJ189" s="7">
        <f>AG189+'A -Döviz'!AJ189</f>
        <v/>
      </c>
      <c r="AK189" s="7" t="n"/>
      <c r="AL189" s="21">
        <f>AP189-AO189</f>
        <v/>
      </c>
      <c r="AM189" s="22">
        <f>AP189/AO189-1</f>
        <v/>
      </c>
      <c r="AO189" s="44">
        <f>IF($A$1=$B$1,B189,IF($A$1=$E$1,E189,IF($A$1=$H$1,H189,IF($A$1=$K$1,K189,IF($A$1=$N$1,N189,IF($A$1=$Q$1,Q189,IF($A$1=$T$1,T189,IF($A$1=$W$1,W189,IF($A$1=$Z$1,Z189,IF($A$1=$AC$1,AC189,IF($A$1=$AF$1,AF189,IF($A$1=$AI$1,AI189))))))))))))</f>
        <v/>
      </c>
      <c r="AP189" s="44">
        <f>IF($A$1=$B$1,C189,IF($A$1=$E$1,F189,IF($A$1=$H$1,I189,IF($A$1=$K$1,L189,IF($A$1=$N$1,O189,IF($A$1=$Q$1,R189,IF($A$1=$T$1,U189,IF($A$1=$W$1,X189,IF($A$1=$Z$1,AA189,IF($A$1=$AC$1,AD189,IF($A$1=$AF$1,AG189,IF($A$1=$AI$1,AJ189))))))))))))</f>
        <v/>
      </c>
    </row>
    <row r="190" ht="15.5" customHeight="1">
      <c r="A190" s="26" t="inlineStr">
        <is>
          <t xml:space="preserve">ISM </t>
        </is>
      </c>
      <c r="B190" s="7">
        <f>'A -Döviz'!B190</f>
        <v/>
      </c>
      <c r="C190" s="7">
        <f>'A -Döviz'!C190</f>
        <v/>
      </c>
      <c r="D190" s="7" t="n"/>
      <c r="E190" s="7">
        <f>B190+'A -Döviz'!E190</f>
        <v/>
      </c>
      <c r="F190" s="7">
        <f>C190+'A -Döviz'!F190</f>
        <v/>
      </c>
      <c r="G190" s="7" t="n"/>
      <c r="H190" s="7">
        <f>E190+'A -Döviz'!H190</f>
        <v/>
      </c>
      <c r="I190" s="7">
        <f>F190+'A -Döviz'!I190</f>
        <v/>
      </c>
      <c r="J190" s="7" t="n"/>
      <c r="K190" s="7">
        <f>H190+'A -Döviz'!K190</f>
        <v/>
      </c>
      <c r="L190" s="7">
        <f>I190+'A -Döviz'!L190</f>
        <v/>
      </c>
      <c r="M190" s="7" t="n"/>
      <c r="N190" s="7">
        <f>K190+'A -Döviz'!N190</f>
        <v/>
      </c>
      <c r="O190" s="7">
        <f>L190+'A -Döviz'!O190</f>
        <v/>
      </c>
      <c r="P190" s="7" t="n"/>
      <c r="Q190" s="7">
        <f>N190+'A -Döviz'!Q190</f>
        <v/>
      </c>
      <c r="R190" s="7">
        <f>O190+'A -Döviz'!R190</f>
        <v/>
      </c>
      <c r="S190" s="7" t="n"/>
      <c r="T190" s="7">
        <f>Q190+'A -Döviz'!T190</f>
        <v/>
      </c>
      <c r="U190" s="7">
        <f>R190+'A -Döviz'!U190</f>
        <v/>
      </c>
      <c r="V190" s="7" t="n"/>
      <c r="W190" s="7">
        <f>T190+'A -Döviz'!W190</f>
        <v/>
      </c>
      <c r="X190" s="7">
        <f>U190+'A -Döviz'!X190</f>
        <v/>
      </c>
      <c r="Y190" s="7" t="n"/>
      <c r="Z190" s="7">
        <f>W190+'A -Döviz'!Z190</f>
        <v/>
      </c>
      <c r="AA190" s="7">
        <f>X190+'A -Döviz'!AA190</f>
        <v/>
      </c>
      <c r="AB190" s="7" t="n"/>
      <c r="AC190" s="7">
        <f>Z190+'A -Döviz'!AC190</f>
        <v/>
      </c>
      <c r="AD190" s="7">
        <f>AA190+'A -Döviz'!AD190</f>
        <v/>
      </c>
      <c r="AE190" s="7" t="n"/>
      <c r="AF190" s="7">
        <f>AC190+'A -Döviz'!AF190</f>
        <v/>
      </c>
      <c r="AG190" s="7">
        <f>AD190+'A -Döviz'!AG190</f>
        <v/>
      </c>
      <c r="AH190" s="7" t="n"/>
      <c r="AI190" s="7">
        <f>AF190+'A -Döviz'!AI190</f>
        <v/>
      </c>
      <c r="AJ190" s="7">
        <f>AG190+'A -Döviz'!AJ190</f>
        <v/>
      </c>
      <c r="AK190" s="7" t="n"/>
      <c r="AL190" s="21">
        <f>AP190-AO190</f>
        <v/>
      </c>
      <c r="AM190" s="22">
        <f>AP190/AO190-1</f>
        <v/>
      </c>
      <c r="AO190" s="44">
        <f>IF($A$1=$B$1,B190,IF($A$1=$E$1,E190,IF($A$1=$H$1,H190,IF($A$1=$K$1,K190,IF($A$1=$N$1,N190,IF($A$1=$Q$1,Q190,IF($A$1=$T$1,T190,IF($A$1=$W$1,W190,IF($A$1=$Z$1,Z190,IF($A$1=$AC$1,AC190,IF($A$1=$AF$1,AF190,IF($A$1=$AI$1,AI190))))))))))))</f>
        <v/>
      </c>
      <c r="AP190" s="44">
        <f>IF($A$1=$B$1,C190,IF($A$1=$E$1,F190,IF($A$1=$H$1,I190,IF($A$1=$K$1,L190,IF($A$1=$N$1,O190,IF($A$1=$Q$1,R190,IF($A$1=$T$1,U190,IF($A$1=$W$1,X190,IF($A$1=$Z$1,AA190,IF($A$1=$AC$1,AD190,IF($A$1=$AF$1,AG190,IF($A$1=$AI$1,AJ190))))))))))))</f>
        <v/>
      </c>
    </row>
    <row r="191" ht="15.5" customHeight="1">
      <c r="A191" s="26" t="inlineStr">
        <is>
          <t>İncitaş</t>
        </is>
      </c>
      <c r="B191" s="7">
        <f>'A -Döviz'!B191</f>
        <v/>
      </c>
      <c r="C191" s="7">
        <f>'A -Döviz'!C191</f>
        <v/>
      </c>
      <c r="D191" s="7" t="n"/>
      <c r="E191" s="7">
        <f>B191+'A -Döviz'!E191</f>
        <v/>
      </c>
      <c r="F191" s="7">
        <f>C191+'A -Döviz'!F191</f>
        <v/>
      </c>
      <c r="G191" s="7" t="n"/>
      <c r="H191" s="7">
        <f>E191+'A -Döviz'!H191</f>
        <v/>
      </c>
      <c r="I191" s="7">
        <f>F191+'A -Döviz'!I191</f>
        <v/>
      </c>
      <c r="J191" s="7" t="n"/>
      <c r="K191" s="7">
        <f>H191+'A -Döviz'!K191</f>
        <v/>
      </c>
      <c r="L191" s="7">
        <f>I191+'A -Döviz'!L191</f>
        <v/>
      </c>
      <c r="M191" s="7" t="n"/>
      <c r="N191" s="7">
        <f>K191+'A -Döviz'!N191</f>
        <v/>
      </c>
      <c r="O191" s="7">
        <f>L191+'A -Döviz'!O191</f>
        <v/>
      </c>
      <c r="P191" s="7" t="n"/>
      <c r="Q191" s="7">
        <f>N191+'A -Döviz'!Q191</f>
        <v/>
      </c>
      <c r="R191" s="7">
        <f>O191+'A -Döviz'!R191</f>
        <v/>
      </c>
      <c r="S191" s="7" t="n"/>
      <c r="T191" s="7">
        <f>Q191+'A -Döviz'!T191</f>
        <v/>
      </c>
      <c r="U191" s="7">
        <f>R191+'A -Döviz'!U191</f>
        <v/>
      </c>
      <c r="V191" s="7" t="n"/>
      <c r="W191" s="7">
        <f>T191+'A -Döviz'!W191</f>
        <v/>
      </c>
      <c r="X191" s="7">
        <f>U191+'A -Döviz'!X191</f>
        <v/>
      </c>
      <c r="Y191" s="7" t="n"/>
      <c r="Z191" s="7">
        <f>W191+'A -Döviz'!Z191</f>
        <v/>
      </c>
      <c r="AA191" s="7">
        <f>X191+'A -Döviz'!AA191</f>
        <v/>
      </c>
      <c r="AB191" s="7" t="n"/>
      <c r="AC191" s="7">
        <f>Z191+'A -Döviz'!AC191</f>
        <v/>
      </c>
      <c r="AD191" s="7">
        <f>AA191+'A -Döviz'!AD191</f>
        <v/>
      </c>
      <c r="AE191" s="7" t="n"/>
      <c r="AF191" s="7">
        <f>AC191+'A -Döviz'!AF191</f>
        <v/>
      </c>
      <c r="AG191" s="7">
        <f>AD191+'A -Döviz'!AG191</f>
        <v/>
      </c>
      <c r="AH191" s="7" t="n"/>
      <c r="AI191" s="7">
        <f>AF191+'A -Döviz'!AI191</f>
        <v/>
      </c>
      <c r="AJ191" s="7">
        <f>AG191+'A -Döviz'!AJ191</f>
        <v/>
      </c>
      <c r="AK191" s="7" t="n"/>
      <c r="AL191" s="21">
        <f>AP191-AO191</f>
        <v/>
      </c>
      <c r="AM191" s="22">
        <f>AP191/AO191-1</f>
        <v/>
      </c>
      <c r="AO191" s="44">
        <f>IF($A$1=$B$1,B191,IF($A$1=$E$1,E191,IF($A$1=$H$1,H191,IF($A$1=$K$1,K191,IF($A$1=$N$1,N191,IF($A$1=$Q$1,Q191,IF($A$1=$T$1,T191,IF($A$1=$W$1,W191,IF($A$1=$Z$1,Z191,IF($A$1=$AC$1,AC191,IF($A$1=$AF$1,AF191,IF($A$1=$AI$1,AI191))))))))))))</f>
        <v/>
      </c>
      <c r="AP191" s="44">
        <f>IF($A$1=$B$1,C191,IF($A$1=$E$1,F191,IF($A$1=$H$1,I191,IF($A$1=$K$1,L191,IF($A$1=$N$1,O191,IF($A$1=$Q$1,R191,IF($A$1=$T$1,U191,IF($A$1=$W$1,X191,IF($A$1=$Z$1,AA191,IF($A$1=$AC$1,AD191,IF($A$1=$AF$1,AG191,IF($A$1=$AI$1,AJ191))))))))))))</f>
        <v/>
      </c>
    </row>
    <row r="192" ht="15.5" customHeight="1">
      <c r="A192" s="26" t="inlineStr">
        <is>
          <t>İnci GS Yuasa</t>
        </is>
      </c>
      <c r="B192" s="7">
        <f>'A -Döviz'!B192</f>
        <v/>
      </c>
      <c r="C192" s="7">
        <f>'A -Döviz'!C192</f>
        <v/>
      </c>
      <c r="D192" s="7" t="n"/>
      <c r="E192" s="7">
        <f>B192+'A -Döviz'!E192</f>
        <v/>
      </c>
      <c r="F192" s="7">
        <f>C192+'A -Döviz'!F192</f>
        <v/>
      </c>
      <c r="G192" s="7" t="n"/>
      <c r="H192" s="7">
        <f>E192+'A -Döviz'!H192</f>
        <v/>
      </c>
      <c r="I192" s="7">
        <f>F192+'A -Döviz'!I192</f>
        <v/>
      </c>
      <c r="J192" s="7" t="n"/>
      <c r="K192" s="7">
        <f>H192+'A -Döviz'!K192</f>
        <v/>
      </c>
      <c r="L192" s="7">
        <f>I192+'A -Döviz'!L192</f>
        <v/>
      </c>
      <c r="M192" s="7" t="n"/>
      <c r="N192" s="7">
        <f>K192+'A -Döviz'!N192</f>
        <v/>
      </c>
      <c r="O192" s="7">
        <f>L192+'A -Döviz'!O192</f>
        <v/>
      </c>
      <c r="P192" s="7" t="n"/>
      <c r="Q192" s="7">
        <f>N192+'A -Döviz'!Q192</f>
        <v/>
      </c>
      <c r="R192" s="7">
        <f>O192+'A -Döviz'!R192</f>
        <v/>
      </c>
      <c r="S192" s="7" t="n"/>
      <c r="T192" s="7">
        <f>Q192+'A -Döviz'!T192</f>
        <v/>
      </c>
      <c r="U192" s="7">
        <f>R192+'A -Döviz'!U192</f>
        <v/>
      </c>
      <c r="V192" s="7" t="n"/>
      <c r="W192" s="7">
        <f>T192+'A -Döviz'!W192</f>
        <v/>
      </c>
      <c r="X192" s="7">
        <f>U192+'A -Döviz'!X192</f>
        <v/>
      </c>
      <c r="Y192" s="7" t="n"/>
      <c r="Z192" s="7">
        <f>W192+'A -Döviz'!Z192</f>
        <v/>
      </c>
      <c r="AA192" s="7">
        <f>X192+'A -Döviz'!AA192</f>
        <v/>
      </c>
      <c r="AB192" s="7" t="n"/>
      <c r="AC192" s="7">
        <f>Z192+'A -Döviz'!AC192</f>
        <v/>
      </c>
      <c r="AD192" s="7">
        <f>AA192+'A -Döviz'!AD192</f>
        <v/>
      </c>
      <c r="AE192" s="7" t="n"/>
      <c r="AF192" s="7">
        <f>AC192+'A -Döviz'!AF192</f>
        <v/>
      </c>
      <c r="AG192" s="7">
        <f>AD192+'A -Döviz'!AG192</f>
        <v/>
      </c>
      <c r="AH192" s="7" t="n"/>
      <c r="AI192" s="7">
        <f>AF192+'A -Döviz'!AI192</f>
        <v/>
      </c>
      <c r="AJ192" s="7">
        <f>AG192+'A -Döviz'!AJ192</f>
        <v/>
      </c>
      <c r="AK192" s="7" t="n"/>
      <c r="AL192" s="21">
        <f>AP192-AO192</f>
        <v/>
      </c>
      <c r="AM192" s="22">
        <f>AP192/AO192-1</f>
        <v/>
      </c>
      <c r="AO192" s="44">
        <f>IF($A$1=$B$1,B192,IF($A$1=$E$1,E192,IF($A$1=$H$1,H192,IF($A$1=$K$1,K192,IF($A$1=$N$1,N192,IF($A$1=$Q$1,Q192,IF($A$1=$T$1,T192,IF($A$1=$W$1,W192,IF($A$1=$Z$1,Z192,IF($A$1=$AC$1,AC192,IF($A$1=$AF$1,AF192,IF($A$1=$AI$1,AI192))))))))))))</f>
        <v/>
      </c>
      <c r="AP192" s="44">
        <f>IF($A$1=$B$1,C192,IF($A$1=$E$1,F192,IF($A$1=$H$1,I192,IF($A$1=$K$1,L192,IF($A$1=$N$1,O192,IF($A$1=$Q$1,R192,IF($A$1=$T$1,U192,IF($A$1=$W$1,X192,IF($A$1=$Z$1,AA192,IF($A$1=$AC$1,AD192,IF($A$1=$AF$1,AG192,IF($A$1=$AI$1,AJ192))))))))))))</f>
        <v/>
      </c>
    </row>
    <row r="193" ht="15.5" customFormat="1" customHeight="1" s="1">
      <c r="A193" s="26" t="inlineStr">
        <is>
          <t>Yusen İnci Loj.</t>
        </is>
      </c>
      <c r="B193" s="7">
        <f>'A -Döviz'!B193</f>
        <v/>
      </c>
      <c r="C193" s="7">
        <f>'A -Döviz'!C193</f>
        <v/>
      </c>
      <c r="D193" s="8" t="n"/>
      <c r="E193" s="7">
        <f>B193+'A -Döviz'!E193</f>
        <v/>
      </c>
      <c r="F193" s="7">
        <f>C193+'A -Döviz'!F193</f>
        <v/>
      </c>
      <c r="G193" s="8" t="n"/>
      <c r="H193" s="7">
        <f>E193+'A -Döviz'!H193</f>
        <v/>
      </c>
      <c r="I193" s="7">
        <f>F193+'A -Döviz'!I193</f>
        <v/>
      </c>
      <c r="J193" s="8" t="n"/>
      <c r="K193" s="7">
        <f>H193+'A -Döviz'!K193</f>
        <v/>
      </c>
      <c r="L193" s="7">
        <f>I193+'A -Döviz'!L193</f>
        <v/>
      </c>
      <c r="M193" s="8" t="n"/>
      <c r="N193" s="7">
        <f>K193+'A -Döviz'!N193</f>
        <v/>
      </c>
      <c r="O193" s="7">
        <f>L193+'A -Döviz'!O193</f>
        <v/>
      </c>
      <c r="P193" s="8" t="n"/>
      <c r="Q193" s="7">
        <f>N193+'A -Döviz'!Q193</f>
        <v/>
      </c>
      <c r="R193" s="7">
        <f>O193+'A -Döviz'!R193</f>
        <v/>
      </c>
      <c r="S193" s="8" t="n"/>
      <c r="T193" s="7">
        <f>Q193+'A -Döviz'!T193</f>
        <v/>
      </c>
      <c r="U193" s="7">
        <f>R193+'A -Döviz'!U193</f>
        <v/>
      </c>
      <c r="V193" s="8" t="n"/>
      <c r="W193" s="7">
        <f>T193+'A -Döviz'!W193</f>
        <v/>
      </c>
      <c r="X193" s="7">
        <f>U193+'A -Döviz'!X193</f>
        <v/>
      </c>
      <c r="Y193" s="8" t="n"/>
      <c r="Z193" s="7">
        <f>W193+'A -Döviz'!Z193</f>
        <v/>
      </c>
      <c r="AA193" s="7">
        <f>X193+'A -Döviz'!AA193</f>
        <v/>
      </c>
      <c r="AB193" s="8" t="n"/>
      <c r="AC193" s="7">
        <f>Z193+'A -Döviz'!AC193</f>
        <v/>
      </c>
      <c r="AD193" s="7">
        <f>AA193+'A -Döviz'!AD193</f>
        <v/>
      </c>
      <c r="AE193" s="8" t="n"/>
      <c r="AF193" s="7">
        <f>AC193+'A -Döviz'!AF193</f>
        <v/>
      </c>
      <c r="AG193" s="7">
        <f>AD193+'A -Döviz'!AG193</f>
        <v/>
      </c>
      <c r="AH193" s="8" t="n"/>
      <c r="AI193" s="7">
        <f>AF193+'A -Döviz'!AI193</f>
        <v/>
      </c>
      <c r="AJ193" s="7">
        <f>AG193+'A -Döviz'!AJ193</f>
        <v/>
      </c>
      <c r="AK193" s="8" t="n"/>
      <c r="AL193" s="21">
        <f>AP193-AO193</f>
        <v/>
      </c>
      <c r="AM193" s="22">
        <f>AP193/AO193-1</f>
        <v/>
      </c>
      <c r="AO193" s="44">
        <f>IF($A$1=$B$1,B193,IF($A$1=$E$1,E193,IF($A$1=$H$1,H193,IF($A$1=$K$1,K193,IF($A$1=$N$1,N193,IF($A$1=$Q$1,Q193,IF($A$1=$T$1,T193,IF($A$1=$W$1,W193,IF($A$1=$Z$1,Z193,IF($A$1=$AC$1,AC193,IF($A$1=$AF$1,AF193,IF($A$1=$AI$1,AI193))))))))))))</f>
        <v/>
      </c>
      <c r="AP193" s="44">
        <f>IF($A$1=$B$1,C193,IF($A$1=$E$1,F193,IF($A$1=$H$1,I193,IF($A$1=$K$1,L193,IF($A$1=$N$1,O193,IF($A$1=$Q$1,R193,IF($A$1=$T$1,U193,IF($A$1=$W$1,X193,IF($A$1=$Z$1,AA193,IF($A$1=$AC$1,AD193,IF($A$1=$AF$1,AG193,IF($A$1=$AI$1,AJ193))))))))))))</f>
        <v/>
      </c>
    </row>
    <row r="194" ht="15.5" customHeight="1">
      <c r="A194" s="26" t="inlineStr">
        <is>
          <t>Jantaş</t>
        </is>
      </c>
      <c r="B194" s="7">
        <f>'A -Döviz'!B194</f>
        <v/>
      </c>
      <c r="C194" s="7">
        <f>'A -Döviz'!C194</f>
        <v/>
      </c>
      <c r="D194" s="7" t="n"/>
      <c r="E194" s="7">
        <f>B194+'A -Döviz'!E194</f>
        <v/>
      </c>
      <c r="F194" s="7">
        <f>C194+'A -Döviz'!F194</f>
        <v/>
      </c>
      <c r="G194" s="7" t="n"/>
      <c r="H194" s="7">
        <f>E194+'A -Döviz'!H194</f>
        <v/>
      </c>
      <c r="I194" s="7">
        <f>F194+'A -Döviz'!I194</f>
        <v/>
      </c>
      <c r="J194" s="7" t="n"/>
      <c r="K194" s="7">
        <f>H194+'A -Döviz'!K194</f>
        <v/>
      </c>
      <c r="L194" s="7">
        <f>I194+'A -Döviz'!L194</f>
        <v/>
      </c>
      <c r="M194" s="7" t="n"/>
      <c r="N194" s="7">
        <f>K194+'A -Döviz'!N194</f>
        <v/>
      </c>
      <c r="O194" s="7">
        <f>L194+'A -Döviz'!O194</f>
        <v/>
      </c>
      <c r="P194" s="7" t="n"/>
      <c r="Q194" s="7">
        <f>N194+'A -Döviz'!Q194</f>
        <v/>
      </c>
      <c r="R194" s="7">
        <f>O194+'A -Döviz'!R194</f>
        <v/>
      </c>
      <c r="S194" s="7" t="n"/>
      <c r="T194" s="7">
        <f>Q194+'A -Döviz'!T194</f>
        <v/>
      </c>
      <c r="U194" s="7">
        <f>R194+'A -Döviz'!U194</f>
        <v/>
      </c>
      <c r="V194" s="7" t="n"/>
      <c r="W194" s="7">
        <f>T194+'A -Döviz'!W194</f>
        <v/>
      </c>
      <c r="X194" s="7">
        <f>U194+'A -Döviz'!X194</f>
        <v/>
      </c>
      <c r="Y194" s="7" t="n"/>
      <c r="Z194" s="7">
        <f>W194+'A -Döviz'!Z194</f>
        <v/>
      </c>
      <c r="AA194" s="7">
        <f>X194+'A -Döviz'!AA194</f>
        <v/>
      </c>
      <c r="AB194" s="7" t="n"/>
      <c r="AC194" s="7">
        <f>Z194+'A -Döviz'!AC194</f>
        <v/>
      </c>
      <c r="AD194" s="7">
        <f>AA194+'A -Döviz'!AD194</f>
        <v/>
      </c>
      <c r="AE194" s="7" t="n"/>
      <c r="AF194" s="7">
        <f>AC194+'A -Döviz'!AF194</f>
        <v/>
      </c>
      <c r="AG194" s="7">
        <f>AD194+'A -Döviz'!AG194</f>
        <v/>
      </c>
      <c r="AH194" s="7" t="n"/>
      <c r="AI194" s="7">
        <f>AF194+'A -Döviz'!AI194</f>
        <v/>
      </c>
      <c r="AJ194" s="7">
        <f>AG194+'A -Döviz'!AJ194</f>
        <v/>
      </c>
      <c r="AK194" s="7" t="n"/>
      <c r="AL194" s="21">
        <f>AP194-AO194</f>
        <v/>
      </c>
      <c r="AM194" s="22">
        <f>AP194/AO194-1</f>
        <v/>
      </c>
      <c r="AO194" s="44">
        <f>IF($A$1=$B$1,B194,IF($A$1=$E$1,E194,IF($A$1=$H$1,H194,IF($A$1=$K$1,K194,IF($A$1=$N$1,N194,IF($A$1=$Q$1,Q194,IF($A$1=$T$1,T194,IF($A$1=$W$1,W194,IF($A$1=$Z$1,Z194,IF($A$1=$AC$1,AC194,IF($A$1=$AF$1,AF194,IF($A$1=$AI$1,AI194))))))))))))</f>
        <v/>
      </c>
      <c r="AP194" s="44">
        <f>IF($A$1=$B$1,C194,IF($A$1=$E$1,F194,IF($A$1=$H$1,I194,IF($A$1=$K$1,L194,IF($A$1=$N$1,O194,IF($A$1=$Q$1,R194,IF($A$1=$T$1,U194,IF($A$1=$W$1,X194,IF($A$1=$Z$1,AA194,IF($A$1=$AC$1,AD194,IF($A$1=$AF$1,AG194,IF($A$1=$AI$1,AJ194))))))))))))</f>
        <v/>
      </c>
    </row>
    <row r="195" ht="15.5" customFormat="1" customHeight="1" s="1">
      <c r="A195" s="26" t="inlineStr">
        <is>
          <t>Çelik</t>
        </is>
      </c>
      <c r="B195" s="7">
        <f>'A -Döviz'!B195</f>
        <v/>
      </c>
      <c r="C195" s="7">
        <f>'A -Döviz'!C195</f>
        <v/>
      </c>
      <c r="D195" s="8" t="n"/>
      <c r="E195" s="7">
        <f>B195+'A -Döviz'!E195</f>
        <v/>
      </c>
      <c r="F195" s="7">
        <f>C195+'A -Döviz'!F195</f>
        <v/>
      </c>
      <c r="G195" s="8" t="n"/>
      <c r="H195" s="7">
        <f>E195+'A -Döviz'!H195</f>
        <v/>
      </c>
      <c r="I195" s="7">
        <f>F195+'A -Döviz'!I195</f>
        <v/>
      </c>
      <c r="J195" s="8" t="n"/>
      <c r="K195" s="7">
        <f>H195+'A -Döviz'!K195</f>
        <v/>
      </c>
      <c r="L195" s="7">
        <f>I195+'A -Döviz'!L195</f>
        <v/>
      </c>
      <c r="M195" s="8" t="n"/>
      <c r="N195" s="7">
        <f>K195+'A -Döviz'!N195</f>
        <v/>
      </c>
      <c r="O195" s="7">
        <f>L195+'A -Döviz'!O195</f>
        <v/>
      </c>
      <c r="P195" s="8" t="n"/>
      <c r="Q195" s="7">
        <f>N195+'A -Döviz'!Q195</f>
        <v/>
      </c>
      <c r="R195" s="7">
        <f>O195+'A -Döviz'!R195</f>
        <v/>
      </c>
      <c r="S195" s="8" t="n"/>
      <c r="T195" s="7">
        <f>Q195+'A -Döviz'!T195</f>
        <v/>
      </c>
      <c r="U195" s="7">
        <f>R195+'A -Döviz'!U195</f>
        <v/>
      </c>
      <c r="V195" s="8" t="n"/>
      <c r="W195" s="7">
        <f>T195+'A -Döviz'!W195</f>
        <v/>
      </c>
      <c r="X195" s="7">
        <f>U195+'A -Döviz'!X195</f>
        <v/>
      </c>
      <c r="Y195" s="8" t="n"/>
      <c r="Z195" s="7">
        <f>W195+'A -Döviz'!Z195</f>
        <v/>
      </c>
      <c r="AA195" s="7">
        <f>X195+'A -Döviz'!AA195</f>
        <v/>
      </c>
      <c r="AB195" s="8" t="n"/>
      <c r="AC195" s="7">
        <f>Z195+'A -Döviz'!AC195</f>
        <v/>
      </c>
      <c r="AD195" s="7">
        <f>AA195+'A -Döviz'!AD195</f>
        <v/>
      </c>
      <c r="AE195" s="8" t="n"/>
      <c r="AF195" s="7">
        <f>AC195+'A -Döviz'!AF195</f>
        <v/>
      </c>
      <c r="AG195" s="7">
        <f>AD195+'A -Döviz'!AG195</f>
        <v/>
      </c>
      <c r="AH195" s="8" t="n"/>
      <c r="AI195" s="7">
        <f>AF195+'A -Döviz'!AI195</f>
        <v/>
      </c>
      <c r="AJ195" s="7">
        <f>AG195+'A -Döviz'!AJ195</f>
        <v/>
      </c>
      <c r="AK195" s="8" t="n"/>
      <c r="AL195" s="21">
        <f>AP195-AO195</f>
        <v/>
      </c>
      <c r="AM195" s="22">
        <f>AP195/AO195-1</f>
        <v/>
      </c>
      <c r="AO195" s="44">
        <f>IF($A$1=$B$1,B195,IF($A$1=$E$1,E195,IF($A$1=$H$1,H195,IF($A$1=$K$1,K195,IF($A$1=$N$1,N195,IF($A$1=$Q$1,Q195,IF($A$1=$T$1,T195,IF($A$1=$W$1,W195,IF($A$1=$Z$1,Z195,IF($A$1=$AC$1,AC195,IF($A$1=$AF$1,AF195,IF($A$1=$AI$1,AI195))))))))))))</f>
        <v/>
      </c>
      <c r="AP195" s="44">
        <f>IF($A$1=$B$1,C195,IF($A$1=$E$1,F195,IF($A$1=$H$1,I195,IF($A$1=$K$1,L195,IF($A$1=$N$1,O195,IF($A$1=$Q$1,R195,IF($A$1=$T$1,U195,IF($A$1=$W$1,X195,IF($A$1=$Z$1,AA195,IF($A$1=$AC$1,AD195,IF($A$1=$AF$1,AG195,IF($A$1=$AI$1,AJ195))))))))))))</f>
        <v/>
      </c>
    </row>
    <row r="196" ht="15.5" customFormat="1" customHeight="1" s="1">
      <c r="A196" s="26" t="inlineStr">
        <is>
          <t>Alüminyum</t>
        </is>
      </c>
      <c r="B196" s="7">
        <f>'A -Döviz'!B196</f>
        <v/>
      </c>
      <c r="C196" s="7">
        <f>'A -Döviz'!C196</f>
        <v/>
      </c>
      <c r="D196" s="8" t="n"/>
      <c r="E196" s="7">
        <f>B196+'A -Döviz'!E196</f>
        <v/>
      </c>
      <c r="F196" s="7">
        <f>C196+'A -Döviz'!F196</f>
        <v/>
      </c>
      <c r="G196" s="8" t="n"/>
      <c r="H196" s="7">
        <f>E196+'A -Döviz'!H196</f>
        <v/>
      </c>
      <c r="I196" s="7">
        <f>F196+'A -Döviz'!I196</f>
        <v/>
      </c>
      <c r="J196" s="8" t="n"/>
      <c r="K196" s="7">
        <f>H196+'A -Döviz'!K196</f>
        <v/>
      </c>
      <c r="L196" s="7">
        <f>I196+'A -Döviz'!L196</f>
        <v/>
      </c>
      <c r="M196" s="8" t="n"/>
      <c r="N196" s="7">
        <f>K196+'A -Döviz'!N196</f>
        <v/>
      </c>
      <c r="O196" s="7">
        <f>L196+'A -Döviz'!O196</f>
        <v/>
      </c>
      <c r="P196" s="8" t="n"/>
      <c r="Q196" s="7">
        <f>N196+'A -Döviz'!Q196</f>
        <v/>
      </c>
      <c r="R196" s="7">
        <f>O196+'A -Döviz'!R196</f>
        <v/>
      </c>
      <c r="S196" s="8" t="n"/>
      <c r="T196" s="7">
        <f>Q196+'A -Döviz'!T196</f>
        <v/>
      </c>
      <c r="U196" s="7">
        <f>R196+'A -Döviz'!U196</f>
        <v/>
      </c>
      <c r="V196" s="8" t="n"/>
      <c r="W196" s="7">
        <f>T196+'A -Döviz'!W196</f>
        <v/>
      </c>
      <c r="X196" s="7">
        <f>U196+'A -Döviz'!X196</f>
        <v/>
      </c>
      <c r="Y196" s="8" t="n"/>
      <c r="Z196" s="7">
        <f>W196+'A -Döviz'!Z196</f>
        <v/>
      </c>
      <c r="AA196" s="7">
        <f>X196+'A -Döviz'!AA196</f>
        <v/>
      </c>
      <c r="AB196" s="8" t="n"/>
      <c r="AC196" s="7">
        <f>Z196+'A -Döviz'!AC196</f>
        <v/>
      </c>
      <c r="AD196" s="7">
        <f>AA196+'A -Döviz'!AD196</f>
        <v/>
      </c>
      <c r="AE196" s="8" t="n"/>
      <c r="AF196" s="7">
        <f>AC196+'A -Döviz'!AF196</f>
        <v/>
      </c>
      <c r="AG196" s="7">
        <f>AD196+'A -Döviz'!AG196</f>
        <v/>
      </c>
      <c r="AH196" s="8" t="n"/>
      <c r="AI196" s="7">
        <f>AF196+'A -Döviz'!AI196</f>
        <v/>
      </c>
      <c r="AJ196" s="7">
        <f>AG196+'A -Döviz'!AJ196</f>
        <v/>
      </c>
      <c r="AK196" s="8" t="n"/>
      <c r="AL196" s="21">
        <f>AP196-AO196</f>
        <v/>
      </c>
      <c r="AM196" s="22">
        <f>AP196/AO196-1</f>
        <v/>
      </c>
      <c r="AO196" s="44">
        <f>IF($A$1=$B$1,B196,IF($A$1=$E$1,E196,IF($A$1=$H$1,H196,IF($A$1=$K$1,K196,IF($A$1=$N$1,N196,IF($A$1=$Q$1,Q196,IF($A$1=$T$1,T196,IF($A$1=$W$1,W196,IF($A$1=$Z$1,Z196,IF($A$1=$AC$1,AC196,IF($A$1=$AF$1,AF196,IF($A$1=$AI$1,AI196))))))))))))</f>
        <v/>
      </c>
      <c r="AP196" s="44">
        <f>IF($A$1=$B$1,C196,IF($A$1=$E$1,F196,IF($A$1=$H$1,I196,IF($A$1=$K$1,L196,IF($A$1=$N$1,O196,IF($A$1=$Q$1,R196,IF($A$1=$T$1,U196,IF($A$1=$W$1,X196,IF($A$1=$Z$1,AA196,IF($A$1=$AC$1,AD196,IF($A$1=$AF$1,AG196,IF($A$1=$AI$1,AJ196))))))))))))</f>
        <v/>
      </c>
    </row>
    <row r="197" ht="15.5" customFormat="1" customHeight="1" s="1">
      <c r="A197" s="26" t="n"/>
      <c r="B197" s="7" t="n"/>
      <c r="C197" s="8" t="n"/>
      <c r="D197" s="8" t="n"/>
      <c r="E197" s="7" t="n"/>
      <c r="F197" s="8" t="n"/>
      <c r="G197" s="8" t="n"/>
      <c r="H197" s="7" t="n"/>
      <c r="I197" s="8" t="n"/>
      <c r="J197" s="8" t="n"/>
      <c r="K197" s="7" t="n"/>
      <c r="L197" s="8" t="n"/>
      <c r="M197" s="8" t="n"/>
      <c r="N197" s="7" t="n"/>
      <c r="O197" s="8" t="n"/>
      <c r="P197" s="8" t="n"/>
      <c r="Q197" s="7" t="n"/>
      <c r="R197" s="8" t="n"/>
      <c r="S197" s="8" t="n"/>
      <c r="T197" s="7" t="n"/>
      <c r="U197" s="8" t="n"/>
      <c r="V197" s="8" t="n"/>
      <c r="W197" s="7" t="n"/>
      <c r="X197" s="8" t="n"/>
      <c r="Y197" s="8" t="n"/>
      <c r="Z197" s="7" t="n"/>
      <c r="AA197" s="8" t="n"/>
      <c r="AB197" s="8" t="n"/>
      <c r="AC197" s="7" t="n"/>
      <c r="AD197" s="8" t="n"/>
      <c r="AE197" s="8" t="n"/>
      <c r="AF197" s="7" t="n"/>
      <c r="AG197" s="8" t="n"/>
      <c r="AH197" s="8" t="n"/>
      <c r="AI197" s="7" t="n"/>
      <c r="AJ197" s="8" t="n"/>
      <c r="AK197" s="8" t="n"/>
      <c r="AL197" s="15" t="n"/>
      <c r="AM197" s="16" t="n"/>
      <c r="AO197" s="44" t="n"/>
      <c r="AP197" s="44" t="n"/>
    </row>
    <row r="198" ht="15.5" customFormat="1" customHeight="1" s="1">
      <c r="A198" s="26" t="n"/>
      <c r="B198" s="7" t="n"/>
      <c r="C198" s="8" t="n"/>
      <c r="D198" s="8" t="n"/>
      <c r="E198" s="7" t="n"/>
      <c r="F198" s="8" t="n"/>
      <c r="G198" s="8" t="n"/>
      <c r="H198" s="7" t="n"/>
      <c r="I198" s="8" t="n"/>
      <c r="J198" s="8" t="n"/>
      <c r="K198" s="7" t="n"/>
      <c r="L198" s="8" t="n"/>
      <c r="M198" s="8" t="n"/>
      <c r="N198" s="7" t="n"/>
      <c r="O198" s="8" t="n"/>
      <c r="P198" s="8" t="n"/>
      <c r="Q198" s="7" t="n"/>
      <c r="R198" s="8" t="n"/>
      <c r="S198" s="8" t="n"/>
      <c r="T198" s="7" t="n"/>
      <c r="U198" s="8" t="n"/>
      <c r="V198" s="8" t="n"/>
      <c r="W198" s="7" t="n"/>
      <c r="X198" s="8" t="n"/>
      <c r="Y198" s="8" t="n"/>
      <c r="Z198" s="7" t="n"/>
      <c r="AA198" s="8" t="n"/>
      <c r="AB198" s="8" t="n"/>
      <c r="AC198" s="7" t="n"/>
      <c r="AD198" s="8" t="n"/>
      <c r="AE198" s="8" t="n"/>
      <c r="AF198" s="7" t="n"/>
      <c r="AG198" s="8" t="n"/>
      <c r="AH198" s="8" t="n"/>
      <c r="AI198" s="7" t="n"/>
      <c r="AJ198" s="8" t="n"/>
      <c r="AK198" s="8" t="n"/>
      <c r="AL198" s="15" t="n"/>
      <c r="AM198" s="16" t="n"/>
      <c r="AO198" s="44" t="n"/>
      <c r="AP198" s="44" t="n"/>
    </row>
    <row r="199" ht="15.5" customFormat="1" customHeight="1" s="44">
      <c r="A199" s="31" t="inlineStr">
        <is>
          <t>Vergi</t>
        </is>
      </c>
      <c r="B199" s="32">
        <f>'A -Döviz'!B199</f>
        <v/>
      </c>
      <c r="C199" s="32">
        <f>'A -Döviz'!C199</f>
        <v/>
      </c>
      <c r="D199" s="18" t="n"/>
      <c r="E199" s="32">
        <f>B199+'A -Döviz'!E199</f>
        <v/>
      </c>
      <c r="F199" s="32">
        <f>C199+'A -Döviz'!F199</f>
        <v/>
      </c>
      <c r="G199" s="18" t="n"/>
      <c r="H199" s="32">
        <f>E199+'A -Döviz'!H199</f>
        <v/>
      </c>
      <c r="I199" s="32">
        <f>F199+'A -Döviz'!I199</f>
        <v/>
      </c>
      <c r="J199" s="18" t="n"/>
      <c r="K199" s="32">
        <f>H199+'A -Döviz'!K199</f>
        <v/>
      </c>
      <c r="L199" s="32">
        <f>I199+'A -Döviz'!L199</f>
        <v/>
      </c>
      <c r="M199" s="18" t="n"/>
      <c r="N199" s="32">
        <f>K199+'A -Döviz'!N199</f>
        <v/>
      </c>
      <c r="O199" s="32">
        <f>L199+'A -Döviz'!O199</f>
        <v/>
      </c>
      <c r="P199" s="18" t="n"/>
      <c r="Q199" s="32">
        <f>N199+'A -Döviz'!Q199</f>
        <v/>
      </c>
      <c r="R199" s="32">
        <f>O199+'A -Döviz'!R199</f>
        <v/>
      </c>
      <c r="S199" s="18" t="n"/>
      <c r="T199" s="32">
        <f>Q199+'A -Döviz'!T199</f>
        <v/>
      </c>
      <c r="U199" s="32">
        <f>R199+'A -Döviz'!U199</f>
        <v/>
      </c>
      <c r="V199" s="18" t="n"/>
      <c r="W199" s="32">
        <f>T199+'A -Döviz'!W199</f>
        <v/>
      </c>
      <c r="X199" s="32">
        <f>U199+'A -Döviz'!X199</f>
        <v/>
      </c>
      <c r="Y199" s="18" t="n"/>
      <c r="Z199" s="32">
        <f>W199+'A -Döviz'!Z199</f>
        <v/>
      </c>
      <c r="AA199" s="32">
        <f>X199+'A -Döviz'!AA199</f>
        <v/>
      </c>
      <c r="AB199" s="18" t="n"/>
      <c r="AC199" s="32">
        <f>Z199+'A -Döviz'!AC199</f>
        <v/>
      </c>
      <c r="AD199" s="32">
        <f>AA199+'A -Döviz'!AD199</f>
        <v/>
      </c>
      <c r="AE199" s="18" t="n"/>
      <c r="AF199" s="32">
        <f>AC199+'A -Döviz'!AF199</f>
        <v/>
      </c>
      <c r="AG199" s="32">
        <f>AD199+'A -Döviz'!AG199</f>
        <v/>
      </c>
      <c r="AH199" s="18" t="n"/>
      <c r="AI199" s="32">
        <f>AF199+'A -Döviz'!AI199</f>
        <v/>
      </c>
      <c r="AJ199" s="32">
        <f>AG199+'A -Döviz'!AJ199</f>
        <v/>
      </c>
      <c r="AK199" s="18" t="n"/>
      <c r="AL199" s="33">
        <f>AP199-AO199</f>
        <v/>
      </c>
      <c r="AM199" s="34">
        <f>AP199/AO199-1</f>
        <v/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/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/>
      </c>
    </row>
    <row r="200" ht="15.5" customFormat="1" customHeight="1" s="13">
      <c r="A200" s="27" t="n"/>
      <c r="B200" s="30" t="n"/>
      <c r="C200" s="30" t="n"/>
      <c r="D200" s="41" t="n"/>
      <c r="E200" s="30" t="n"/>
      <c r="F200" s="30" t="n"/>
      <c r="G200" s="41" t="n"/>
      <c r="H200" s="30" t="n"/>
      <c r="I200" s="30" t="n"/>
      <c r="J200" s="41" t="n"/>
      <c r="K200" s="30" t="n"/>
      <c r="L200" s="30" t="n"/>
      <c r="M200" s="41" t="n"/>
      <c r="N200" s="30" t="n"/>
      <c r="O200" s="30" t="n"/>
      <c r="P200" s="41" t="n"/>
      <c r="Q200" s="30" t="n"/>
      <c r="R200" s="30" t="n"/>
      <c r="S200" s="41" t="n"/>
      <c r="T200" s="30" t="n"/>
      <c r="U200" s="30" t="n"/>
      <c r="V200" s="41" t="n"/>
      <c r="W200" s="30" t="n"/>
      <c r="X200" s="30" t="n"/>
      <c r="Y200" s="41" t="n"/>
      <c r="Z200" s="30" t="n"/>
      <c r="AA200" s="30" t="n"/>
      <c r="AB200" s="41" t="n"/>
      <c r="AC200" s="30" t="n"/>
      <c r="AD200" s="30" t="n"/>
      <c r="AE200" s="41" t="n"/>
      <c r="AF200" s="30" t="n"/>
      <c r="AG200" s="30" t="n"/>
      <c r="AH200" s="41" t="n"/>
      <c r="AI200" s="30" t="n"/>
      <c r="AJ200" s="30" t="n"/>
      <c r="AK200" s="41" t="n"/>
      <c r="AL200" s="15" t="n"/>
      <c r="AM200" s="22" t="n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/>
      </c>
      <c r="AP200" s="44">
        <f>IF($A$1=$B$1,C200,IF($A$1=$E$1,F200,IF($A$1=$H$1,I200,IF($A$1=$K$1,L200,IF($A$1=$N$1,O200,IF($A$1=$Q$1,R200,IF($A$1=$T$1,U200,IF($A$1=$W$1,X200,IF($A$1=$Z$1,AA200,IF($A$1=$AC$1,AD200,IF($A$1=$AF$1,AG200,IF($A$1=$AI$1,AJ200))))))))))))</f>
        <v/>
      </c>
    </row>
    <row r="201" ht="17" customFormat="1" customHeight="1" s="49">
      <c r="A201" s="47" t="inlineStr">
        <is>
          <t>Vergi (100%)</t>
        </is>
      </c>
      <c r="B201" s="413" t="n"/>
      <c r="C201" s="413" t="n"/>
      <c r="D201" s="413" t="n"/>
      <c r="E201" s="413" t="n"/>
      <c r="F201" s="413" t="n"/>
      <c r="G201" s="413" t="n"/>
      <c r="H201" s="413" t="n"/>
      <c r="I201" s="413" t="n"/>
      <c r="J201" s="413" t="n"/>
      <c r="K201" s="413" t="n"/>
      <c r="L201" s="413" t="n"/>
      <c r="M201" s="413" t="n"/>
      <c r="N201" s="413" t="n"/>
      <c r="O201" s="413" t="n"/>
      <c r="P201" s="413" t="n"/>
      <c r="Q201" s="413" t="n"/>
      <c r="R201" s="413" t="n"/>
      <c r="S201" s="413" t="n"/>
      <c r="T201" s="413" t="n"/>
      <c r="U201" s="413" t="n"/>
      <c r="V201" s="413" t="n"/>
      <c r="W201" s="413" t="n"/>
      <c r="X201" s="413" t="n"/>
      <c r="Y201" s="413" t="n"/>
      <c r="Z201" s="413" t="n"/>
      <c r="AA201" s="413" t="n"/>
      <c r="AB201" s="413" t="n"/>
      <c r="AC201" s="413" t="n"/>
      <c r="AD201" s="413" t="n"/>
      <c r="AE201" s="413" t="n"/>
      <c r="AF201" s="413" t="n"/>
      <c r="AG201" s="413" t="n"/>
      <c r="AH201" s="413" t="n"/>
      <c r="AI201" s="413" t="n"/>
      <c r="AJ201" s="413" t="n"/>
      <c r="AK201" s="413" t="n"/>
      <c r="AL201" s="413" t="n"/>
      <c r="AM201" s="48" t="n"/>
    </row>
    <row r="202" ht="15.5" customHeight="1">
      <c r="A202" s="26" t="inlineStr">
        <is>
          <t xml:space="preserve">İnci Holding </t>
        </is>
      </c>
      <c r="B202" s="7">
        <f>'A -Döviz'!B202</f>
        <v/>
      </c>
      <c r="C202" s="7">
        <f>'A -Döviz'!C202</f>
        <v/>
      </c>
      <c r="D202" s="7" t="n"/>
      <c r="E202" s="7">
        <f>B202+'A -Döviz'!E202</f>
        <v/>
      </c>
      <c r="F202" s="7">
        <f>C202+'A -Döviz'!F202</f>
        <v/>
      </c>
      <c r="G202" s="7" t="n"/>
      <c r="H202" s="7">
        <f>E202+'A -Döviz'!H202</f>
        <v/>
      </c>
      <c r="I202" s="7">
        <f>F202+'A -Döviz'!I202</f>
        <v/>
      </c>
      <c r="J202" s="7" t="n"/>
      <c r="K202" s="7">
        <f>H202+'A -Döviz'!K202</f>
        <v/>
      </c>
      <c r="L202" s="7">
        <f>I202+'A -Döviz'!L202</f>
        <v/>
      </c>
      <c r="M202" s="7" t="n"/>
      <c r="N202" s="7">
        <f>K202+'A -Döviz'!N202</f>
        <v/>
      </c>
      <c r="O202" s="7">
        <f>L202+'A -Döviz'!O202</f>
        <v/>
      </c>
      <c r="P202" s="7" t="n"/>
      <c r="Q202" s="7">
        <f>N202+'A -Döviz'!Q202</f>
        <v/>
      </c>
      <c r="R202" s="7">
        <f>O202+'A -Döviz'!R202</f>
        <v/>
      </c>
      <c r="S202" s="7" t="n"/>
      <c r="T202" s="7">
        <f>Q202+'A -Döviz'!T202</f>
        <v/>
      </c>
      <c r="U202" s="7">
        <f>R202+'A -Döviz'!U202</f>
        <v/>
      </c>
      <c r="V202" s="7" t="n"/>
      <c r="W202" s="7">
        <f>T202+'A -Döviz'!W202</f>
        <v/>
      </c>
      <c r="X202" s="7">
        <f>U202+'A -Döviz'!X202</f>
        <v/>
      </c>
      <c r="Y202" s="7" t="n"/>
      <c r="Z202" s="7">
        <f>W202+'A -Döviz'!Z202</f>
        <v/>
      </c>
      <c r="AA202" s="7">
        <f>X202+'A -Döviz'!AA202</f>
        <v/>
      </c>
      <c r="AB202" s="7" t="n"/>
      <c r="AC202" s="7">
        <f>Z202+'A -Döviz'!AC202</f>
        <v/>
      </c>
      <c r="AD202" s="7">
        <f>AA202+'A -Döviz'!AD202</f>
        <v/>
      </c>
      <c r="AE202" s="7" t="n"/>
      <c r="AF202" s="7">
        <f>AC202+'A -Döviz'!AF202</f>
        <v/>
      </c>
      <c r="AG202" s="7">
        <f>AD202+'A -Döviz'!AG202</f>
        <v/>
      </c>
      <c r="AH202" s="7" t="n"/>
      <c r="AI202" s="7">
        <f>AF202+'A -Döviz'!AI202</f>
        <v/>
      </c>
      <c r="AJ202" s="7">
        <f>AG202+'A -Döviz'!AJ202</f>
        <v/>
      </c>
      <c r="AK202" s="7" t="n"/>
      <c r="AL202" s="21">
        <f>AP202-AO202</f>
        <v/>
      </c>
      <c r="AM202" s="22">
        <f>AP202/AO202-1</f>
        <v/>
      </c>
      <c r="AO202" s="44">
        <f>IF($A$1=$B$1,B202,IF($A$1=$E$1,E202,IF($A$1=$H$1,H202,IF($A$1=$K$1,K202,IF($A$1=$N$1,N202,IF($A$1=$Q$1,Q202,IF($A$1=$T$1,T202,IF($A$1=$W$1,W202,IF($A$1=$Z$1,Z202,IF($A$1=$AC$1,AC202,IF($A$1=$AF$1,AF202,IF($A$1=$AI$1,AI202))))))))))))</f>
        <v/>
      </c>
      <c r="AP202" s="44">
        <f>IF($A$1=$B$1,C202,IF($A$1=$E$1,F202,IF($A$1=$H$1,I202,IF($A$1=$K$1,L202,IF($A$1=$N$1,O202,IF($A$1=$Q$1,R202,IF($A$1=$T$1,U202,IF($A$1=$W$1,X202,IF($A$1=$Z$1,AA202,IF($A$1=$AC$1,AD202,IF($A$1=$AF$1,AG202,IF($A$1=$AI$1,AJ202))))))))))))</f>
        <v/>
      </c>
    </row>
    <row r="203" ht="15.5" customHeight="1">
      <c r="A203" s="26" t="inlineStr">
        <is>
          <t xml:space="preserve">ISM </t>
        </is>
      </c>
      <c r="B203" s="7">
        <f>'A -Döviz'!B203</f>
        <v/>
      </c>
      <c r="C203" s="7">
        <f>'A -Döviz'!C203</f>
        <v/>
      </c>
      <c r="D203" s="7" t="n"/>
      <c r="E203" s="7">
        <f>B203+'A -Döviz'!E203</f>
        <v/>
      </c>
      <c r="F203" s="7">
        <f>C203+'A -Döviz'!F203</f>
        <v/>
      </c>
      <c r="G203" s="7" t="n"/>
      <c r="H203" s="7">
        <f>E203+'A -Döviz'!H203</f>
        <v/>
      </c>
      <c r="I203" s="7">
        <f>F203+'A -Döviz'!I203</f>
        <v/>
      </c>
      <c r="J203" s="7" t="n"/>
      <c r="K203" s="7">
        <f>H203+'A -Döviz'!K203</f>
        <v/>
      </c>
      <c r="L203" s="7">
        <f>I203+'A -Döviz'!L203</f>
        <v/>
      </c>
      <c r="M203" s="7" t="n"/>
      <c r="N203" s="7">
        <f>K203+'A -Döviz'!N203</f>
        <v/>
      </c>
      <c r="O203" s="7">
        <f>L203+'A -Döviz'!O203</f>
        <v/>
      </c>
      <c r="P203" s="7" t="n"/>
      <c r="Q203" s="7">
        <f>N203+'A -Döviz'!Q203</f>
        <v/>
      </c>
      <c r="R203" s="7">
        <f>O203+'A -Döviz'!R203</f>
        <v/>
      </c>
      <c r="S203" s="7" t="n"/>
      <c r="T203" s="7">
        <f>Q203+'A -Döviz'!T203</f>
        <v/>
      </c>
      <c r="U203" s="7">
        <f>R203+'A -Döviz'!U203</f>
        <v/>
      </c>
      <c r="V203" s="7" t="n"/>
      <c r="W203" s="7">
        <f>T203+'A -Döviz'!W203</f>
        <v/>
      </c>
      <c r="X203" s="7">
        <f>U203+'A -Döviz'!X203</f>
        <v/>
      </c>
      <c r="Y203" s="7" t="n"/>
      <c r="Z203" s="7">
        <f>W203+'A -Döviz'!Z203</f>
        <v/>
      </c>
      <c r="AA203" s="7">
        <f>X203+'A -Döviz'!AA203</f>
        <v/>
      </c>
      <c r="AB203" s="7" t="n"/>
      <c r="AC203" s="7">
        <f>Z203+'A -Döviz'!AC203</f>
        <v/>
      </c>
      <c r="AD203" s="7">
        <f>AA203+'A -Döviz'!AD203</f>
        <v/>
      </c>
      <c r="AE203" s="7" t="n"/>
      <c r="AF203" s="7">
        <f>AC203+'A -Döviz'!AF203</f>
        <v/>
      </c>
      <c r="AG203" s="7">
        <f>AD203+'A -Döviz'!AG203</f>
        <v/>
      </c>
      <c r="AH203" s="7" t="n"/>
      <c r="AI203" s="7">
        <f>AF203+'A -Döviz'!AI203</f>
        <v/>
      </c>
      <c r="AJ203" s="7">
        <f>AG203+'A -Döviz'!AJ203</f>
        <v/>
      </c>
      <c r="AK203" s="7" t="n"/>
      <c r="AL203" s="21">
        <f>AP203-AO203</f>
        <v/>
      </c>
      <c r="AM203" s="22">
        <f>AP203/AO203-1</f>
        <v/>
      </c>
      <c r="AO203" s="44">
        <f>IF($A$1=$B$1,B203,IF($A$1=$E$1,E203,IF($A$1=$H$1,H203,IF($A$1=$K$1,K203,IF($A$1=$N$1,N203,IF($A$1=$Q$1,Q203,IF($A$1=$T$1,T203,IF($A$1=$W$1,W203,IF($A$1=$Z$1,Z203,IF($A$1=$AC$1,AC203,IF($A$1=$AF$1,AF203,IF($A$1=$AI$1,AI203))))))))))))</f>
        <v/>
      </c>
      <c r="AP203" s="44">
        <f>IF($A$1=$B$1,C203,IF($A$1=$E$1,F203,IF($A$1=$H$1,I203,IF($A$1=$K$1,L203,IF($A$1=$N$1,O203,IF($A$1=$Q$1,R203,IF($A$1=$T$1,U203,IF($A$1=$W$1,X203,IF($A$1=$Z$1,AA203,IF($A$1=$AC$1,AD203,IF($A$1=$AF$1,AG203,IF($A$1=$AI$1,AJ203))))))))))))</f>
        <v/>
      </c>
    </row>
    <row r="204" ht="15.5" customHeight="1">
      <c r="A204" s="26" t="inlineStr">
        <is>
          <t>İncitaş</t>
        </is>
      </c>
      <c r="B204" s="7">
        <f>'A -Döviz'!B204</f>
        <v/>
      </c>
      <c r="C204" s="7">
        <f>'A -Döviz'!C204</f>
        <v/>
      </c>
      <c r="D204" s="7" t="n"/>
      <c r="E204" s="7">
        <f>B204+'A -Döviz'!E204</f>
        <v/>
      </c>
      <c r="F204" s="7">
        <f>C204+'A -Döviz'!F204</f>
        <v/>
      </c>
      <c r="G204" s="7" t="n"/>
      <c r="H204" s="7">
        <f>E204+'A -Döviz'!H204</f>
        <v/>
      </c>
      <c r="I204" s="7">
        <f>F204+'A -Döviz'!I204</f>
        <v/>
      </c>
      <c r="J204" s="7" t="n"/>
      <c r="K204" s="7">
        <f>H204+'A -Döviz'!K204</f>
        <v/>
      </c>
      <c r="L204" s="7">
        <f>I204+'A -Döviz'!L204</f>
        <v/>
      </c>
      <c r="M204" s="7" t="n"/>
      <c r="N204" s="7">
        <f>K204+'A -Döviz'!N204</f>
        <v/>
      </c>
      <c r="O204" s="7">
        <f>L204+'A -Döviz'!O204</f>
        <v/>
      </c>
      <c r="P204" s="7" t="n"/>
      <c r="Q204" s="7">
        <f>N204+'A -Döviz'!Q204</f>
        <v/>
      </c>
      <c r="R204" s="7">
        <f>O204+'A -Döviz'!R204</f>
        <v/>
      </c>
      <c r="S204" s="7" t="n"/>
      <c r="T204" s="7">
        <f>Q204+'A -Döviz'!T204</f>
        <v/>
      </c>
      <c r="U204" s="7">
        <f>R204+'A -Döviz'!U204</f>
        <v/>
      </c>
      <c r="V204" s="7" t="n"/>
      <c r="W204" s="7">
        <f>T204+'A -Döviz'!W204</f>
        <v/>
      </c>
      <c r="X204" s="7">
        <f>U204+'A -Döviz'!X204</f>
        <v/>
      </c>
      <c r="Y204" s="7" t="n"/>
      <c r="Z204" s="7">
        <f>W204+'A -Döviz'!Z204</f>
        <v/>
      </c>
      <c r="AA204" s="7">
        <f>X204+'A -Döviz'!AA204</f>
        <v/>
      </c>
      <c r="AB204" s="7" t="n"/>
      <c r="AC204" s="7">
        <f>Z204+'A -Döviz'!AC204</f>
        <v/>
      </c>
      <c r="AD204" s="7">
        <f>AA204+'A -Döviz'!AD204</f>
        <v/>
      </c>
      <c r="AE204" s="7" t="n"/>
      <c r="AF204" s="7">
        <f>AC204+'A -Döviz'!AF204</f>
        <v/>
      </c>
      <c r="AG204" s="7">
        <f>AD204+'A -Döviz'!AG204</f>
        <v/>
      </c>
      <c r="AH204" s="7" t="n"/>
      <c r="AI204" s="7">
        <f>AF204+'A -Döviz'!AI204</f>
        <v/>
      </c>
      <c r="AJ204" s="7">
        <f>AG204+'A -Döviz'!AJ204</f>
        <v/>
      </c>
      <c r="AK204" s="7" t="n"/>
      <c r="AL204" s="21">
        <f>AP204-AO204</f>
        <v/>
      </c>
      <c r="AM204" s="22">
        <f>AP204/AO204-1</f>
        <v/>
      </c>
      <c r="AO204" s="44">
        <f>IF($A$1=$B$1,B204,IF($A$1=$E$1,E204,IF($A$1=$H$1,H204,IF($A$1=$K$1,K204,IF($A$1=$N$1,N204,IF($A$1=$Q$1,Q204,IF($A$1=$T$1,T204,IF($A$1=$W$1,W204,IF($A$1=$Z$1,Z204,IF($A$1=$AC$1,AC204,IF($A$1=$AF$1,AF204,IF($A$1=$AI$1,AI204))))))))))))</f>
        <v/>
      </c>
      <c r="AP204" s="44">
        <f>IF($A$1=$B$1,C204,IF($A$1=$E$1,F204,IF($A$1=$H$1,I204,IF($A$1=$K$1,L204,IF($A$1=$N$1,O204,IF($A$1=$Q$1,R204,IF($A$1=$T$1,U204,IF($A$1=$W$1,X204,IF($A$1=$Z$1,AA204,IF($A$1=$AC$1,AD204,IF($A$1=$AF$1,AG204,IF($A$1=$AI$1,AJ204))))))))))))</f>
        <v/>
      </c>
    </row>
    <row r="205" ht="15.5" customHeight="1">
      <c r="A205" s="26" t="inlineStr">
        <is>
          <t>İnci GS Yuasa</t>
        </is>
      </c>
      <c r="B205" s="7">
        <f>'A -Döviz'!B205</f>
        <v/>
      </c>
      <c r="C205" s="7">
        <f>'A -Döviz'!C205</f>
        <v/>
      </c>
      <c r="D205" s="7" t="n"/>
      <c r="E205" s="7">
        <f>B205+'A -Döviz'!E205</f>
        <v/>
      </c>
      <c r="F205" s="7">
        <f>C205+'A -Döviz'!F205</f>
        <v/>
      </c>
      <c r="G205" s="7" t="n"/>
      <c r="H205" s="7">
        <f>E205+'A -Döviz'!H205</f>
        <v/>
      </c>
      <c r="I205" s="7">
        <f>F205+'A -Döviz'!I205</f>
        <v/>
      </c>
      <c r="J205" s="7" t="n"/>
      <c r="K205" s="7">
        <f>H205+'A -Döviz'!K205</f>
        <v/>
      </c>
      <c r="L205" s="7">
        <f>I205+'A -Döviz'!L205</f>
        <v/>
      </c>
      <c r="M205" s="7" t="n"/>
      <c r="N205" s="7">
        <f>K205+'A -Döviz'!N205</f>
        <v/>
      </c>
      <c r="O205" s="7">
        <f>L205+'A -Döviz'!O205</f>
        <v/>
      </c>
      <c r="P205" s="7" t="n"/>
      <c r="Q205" s="7">
        <f>N205+'A -Döviz'!Q205</f>
        <v/>
      </c>
      <c r="R205" s="7">
        <f>O205+'A -Döviz'!R205</f>
        <v/>
      </c>
      <c r="S205" s="7" t="n"/>
      <c r="T205" s="7">
        <f>Q205+'A -Döviz'!T205</f>
        <v/>
      </c>
      <c r="U205" s="7">
        <f>R205+'A -Döviz'!U205</f>
        <v/>
      </c>
      <c r="V205" s="7" t="n"/>
      <c r="W205" s="7">
        <f>T205+'A -Döviz'!W205</f>
        <v/>
      </c>
      <c r="X205" s="7">
        <f>U205+'A -Döviz'!X205</f>
        <v/>
      </c>
      <c r="Y205" s="7" t="n"/>
      <c r="Z205" s="7">
        <f>W205+'A -Döviz'!Z205</f>
        <v/>
      </c>
      <c r="AA205" s="7">
        <f>X205+'A -Döviz'!AA205</f>
        <v/>
      </c>
      <c r="AB205" s="7" t="n"/>
      <c r="AC205" s="7">
        <f>Z205+'A -Döviz'!AC205</f>
        <v/>
      </c>
      <c r="AD205" s="7">
        <f>AA205+'A -Döviz'!AD205</f>
        <v/>
      </c>
      <c r="AE205" s="7" t="n"/>
      <c r="AF205" s="7">
        <f>AC205+'A -Döviz'!AF205</f>
        <v/>
      </c>
      <c r="AG205" s="7">
        <f>AD205+'A -Döviz'!AG205</f>
        <v/>
      </c>
      <c r="AH205" s="7" t="n"/>
      <c r="AI205" s="7">
        <f>AF205+'A -Döviz'!AI205</f>
        <v/>
      </c>
      <c r="AJ205" s="7">
        <f>AG205+'A -Döviz'!AJ205</f>
        <v/>
      </c>
      <c r="AK205" s="7" t="n"/>
      <c r="AL205" s="21">
        <f>AP205-AO205</f>
        <v/>
      </c>
      <c r="AM205" s="22">
        <f>AP205/AO205-1</f>
        <v/>
      </c>
      <c r="AO205" s="44">
        <f>IF($A$1=$B$1,B205,IF($A$1=$E$1,E205,IF($A$1=$H$1,H205,IF($A$1=$K$1,K205,IF($A$1=$N$1,N205,IF($A$1=$Q$1,Q205,IF($A$1=$T$1,T205,IF($A$1=$W$1,W205,IF($A$1=$Z$1,Z205,IF($A$1=$AC$1,AC205,IF($A$1=$AF$1,AF205,IF($A$1=$AI$1,AI205))))))))))))</f>
        <v/>
      </c>
      <c r="AP205" s="44">
        <f>IF($A$1=$B$1,C205,IF($A$1=$E$1,F205,IF($A$1=$H$1,I205,IF($A$1=$K$1,L205,IF($A$1=$N$1,O205,IF($A$1=$Q$1,R205,IF($A$1=$T$1,U205,IF($A$1=$W$1,X205,IF($A$1=$Z$1,AA205,IF($A$1=$AC$1,AD205,IF($A$1=$AF$1,AG205,IF($A$1=$AI$1,AJ205))))))))))))</f>
        <v/>
      </c>
    </row>
    <row r="206" ht="15.5" customFormat="1" customHeight="1" s="1">
      <c r="A206" s="26" t="inlineStr">
        <is>
          <t>Yusen İnci Loj.</t>
        </is>
      </c>
      <c r="B206" s="7">
        <f>'A -Döviz'!B206</f>
        <v/>
      </c>
      <c r="C206" s="7">
        <f>'A -Döviz'!C206</f>
        <v/>
      </c>
      <c r="D206" s="8" t="n"/>
      <c r="E206" s="7">
        <f>B206+'A -Döviz'!E206</f>
        <v/>
      </c>
      <c r="F206" s="7">
        <f>C206+'A -Döviz'!F206</f>
        <v/>
      </c>
      <c r="G206" s="8" t="n"/>
      <c r="H206" s="7">
        <f>E206+'A -Döviz'!H206</f>
        <v/>
      </c>
      <c r="I206" s="7">
        <f>F206+'A -Döviz'!I206</f>
        <v/>
      </c>
      <c r="J206" s="8" t="n"/>
      <c r="K206" s="7">
        <f>H206+'A -Döviz'!K206</f>
        <v/>
      </c>
      <c r="L206" s="7">
        <f>I206+'A -Döviz'!L206</f>
        <v/>
      </c>
      <c r="M206" s="8" t="n"/>
      <c r="N206" s="7">
        <f>K206+'A -Döviz'!N206</f>
        <v/>
      </c>
      <c r="O206" s="7">
        <f>L206+'A -Döviz'!O206</f>
        <v/>
      </c>
      <c r="P206" s="8" t="n"/>
      <c r="Q206" s="7">
        <f>N206+'A -Döviz'!Q206</f>
        <v/>
      </c>
      <c r="R206" s="7">
        <f>O206+'A -Döviz'!R206</f>
        <v/>
      </c>
      <c r="S206" s="8" t="n"/>
      <c r="T206" s="7">
        <f>Q206+'A -Döviz'!T206</f>
        <v/>
      </c>
      <c r="U206" s="7">
        <f>R206+'A -Döviz'!U206</f>
        <v/>
      </c>
      <c r="V206" s="8" t="n"/>
      <c r="W206" s="7">
        <f>T206+'A -Döviz'!W206</f>
        <v/>
      </c>
      <c r="X206" s="7">
        <f>U206+'A -Döviz'!X206</f>
        <v/>
      </c>
      <c r="Y206" s="8" t="n"/>
      <c r="Z206" s="7">
        <f>W206+'A -Döviz'!Z206</f>
        <v/>
      </c>
      <c r="AA206" s="7">
        <f>X206+'A -Döviz'!AA206</f>
        <v/>
      </c>
      <c r="AB206" s="8" t="n"/>
      <c r="AC206" s="7">
        <f>Z206+'A -Döviz'!AC206</f>
        <v/>
      </c>
      <c r="AD206" s="7">
        <f>AA206+'A -Döviz'!AD206</f>
        <v/>
      </c>
      <c r="AE206" s="8" t="n"/>
      <c r="AF206" s="7">
        <f>AC206+'A -Döviz'!AF206</f>
        <v/>
      </c>
      <c r="AG206" s="7">
        <f>AD206+'A -Döviz'!AG206</f>
        <v/>
      </c>
      <c r="AH206" s="8" t="n"/>
      <c r="AI206" s="7">
        <f>AF206+'A -Döviz'!AI206</f>
        <v/>
      </c>
      <c r="AJ206" s="7">
        <f>AG206+'A -Döviz'!AJ206</f>
        <v/>
      </c>
      <c r="AK206" s="8" t="n"/>
      <c r="AL206" s="21">
        <f>AP206-AO206</f>
        <v/>
      </c>
      <c r="AM206" s="22">
        <f>AP206/AO206-1</f>
        <v/>
      </c>
      <c r="AO206" s="44">
        <f>IF($A$1=$B$1,B206,IF($A$1=$E$1,E206,IF($A$1=$H$1,H206,IF($A$1=$K$1,K206,IF($A$1=$N$1,N206,IF($A$1=$Q$1,Q206,IF($A$1=$T$1,T206,IF($A$1=$W$1,W206,IF($A$1=$Z$1,Z206,IF($A$1=$AC$1,AC206,IF($A$1=$AF$1,AF206,IF($A$1=$AI$1,AI206))))))))))))</f>
        <v/>
      </c>
      <c r="AP206" s="44">
        <f>IF($A$1=$B$1,C206,IF($A$1=$E$1,F206,IF($A$1=$H$1,I206,IF($A$1=$K$1,L206,IF($A$1=$N$1,O206,IF($A$1=$Q$1,R206,IF($A$1=$T$1,U206,IF($A$1=$W$1,X206,IF($A$1=$Z$1,AA206,IF($A$1=$AC$1,AD206,IF($A$1=$AF$1,AG206,IF($A$1=$AI$1,AJ206))))))))))))</f>
        <v/>
      </c>
    </row>
    <row r="207" ht="15.5" customHeight="1">
      <c r="A207" s="26" t="inlineStr">
        <is>
          <t>Jantaş</t>
        </is>
      </c>
      <c r="B207" s="7">
        <f>'A -Döviz'!B207</f>
        <v/>
      </c>
      <c r="C207" s="7">
        <f>'A -Döviz'!C207</f>
        <v/>
      </c>
      <c r="D207" s="7" t="n"/>
      <c r="E207" s="7">
        <f>B207+'A -Döviz'!E207</f>
        <v/>
      </c>
      <c r="F207" s="7">
        <f>C207+'A -Döviz'!F207</f>
        <v/>
      </c>
      <c r="G207" s="7" t="n"/>
      <c r="H207" s="7">
        <f>E207+'A -Döviz'!H207</f>
        <v/>
      </c>
      <c r="I207" s="7">
        <f>F207+'A -Döviz'!I207</f>
        <v/>
      </c>
      <c r="J207" s="7" t="n"/>
      <c r="K207" s="7">
        <f>H207+'A -Döviz'!K207</f>
        <v/>
      </c>
      <c r="L207" s="7">
        <f>I207+'A -Döviz'!L207</f>
        <v/>
      </c>
      <c r="M207" s="7" t="n"/>
      <c r="N207" s="7">
        <f>K207+'A -Döviz'!N207</f>
        <v/>
      </c>
      <c r="O207" s="7">
        <f>L207+'A -Döviz'!O207</f>
        <v/>
      </c>
      <c r="P207" s="7" t="n"/>
      <c r="Q207" s="7">
        <f>N207+'A -Döviz'!Q207</f>
        <v/>
      </c>
      <c r="R207" s="7">
        <f>O207+'A -Döviz'!R207</f>
        <v/>
      </c>
      <c r="S207" s="7" t="n"/>
      <c r="T207" s="7">
        <f>Q207+'A -Döviz'!T207</f>
        <v/>
      </c>
      <c r="U207" s="7">
        <f>R207+'A -Döviz'!U207</f>
        <v/>
      </c>
      <c r="V207" s="7" t="n"/>
      <c r="W207" s="7">
        <f>T207+'A -Döviz'!W207</f>
        <v/>
      </c>
      <c r="X207" s="7">
        <f>U207+'A -Döviz'!X207</f>
        <v/>
      </c>
      <c r="Y207" s="7" t="n"/>
      <c r="Z207" s="7">
        <f>W207+'A -Döviz'!Z207</f>
        <v/>
      </c>
      <c r="AA207" s="7">
        <f>X207+'A -Döviz'!AA207</f>
        <v/>
      </c>
      <c r="AB207" s="7" t="n"/>
      <c r="AC207" s="7">
        <f>Z207+'A -Döviz'!AC207</f>
        <v/>
      </c>
      <c r="AD207" s="7">
        <f>AA207+'A -Döviz'!AD207</f>
        <v/>
      </c>
      <c r="AE207" s="7" t="n"/>
      <c r="AF207" s="7">
        <f>AC207+'A -Döviz'!AF207</f>
        <v/>
      </c>
      <c r="AG207" s="7">
        <f>AD207+'A -Döviz'!AG207</f>
        <v/>
      </c>
      <c r="AH207" s="7" t="n"/>
      <c r="AI207" s="7">
        <f>AF207+'A -Döviz'!AI207</f>
        <v/>
      </c>
      <c r="AJ207" s="7">
        <f>AG207+'A -Döviz'!AJ207</f>
        <v/>
      </c>
      <c r="AK207" s="7" t="n"/>
      <c r="AL207" s="21">
        <f>AP207-AO207</f>
        <v/>
      </c>
      <c r="AM207" s="22">
        <f>AP207/AO207-1</f>
        <v/>
      </c>
      <c r="AO207" s="44">
        <f>IF($A$1=$B$1,B207,IF($A$1=$E$1,E207,IF($A$1=$H$1,H207,IF($A$1=$K$1,K207,IF($A$1=$N$1,N207,IF($A$1=$Q$1,Q207,IF($A$1=$T$1,T207,IF($A$1=$W$1,W207,IF($A$1=$Z$1,Z207,IF($A$1=$AC$1,AC207,IF($A$1=$AF$1,AF207,IF($A$1=$AI$1,AI207))))))))))))</f>
        <v/>
      </c>
      <c r="AP207" s="44">
        <f>IF($A$1=$B$1,C207,IF($A$1=$E$1,F207,IF($A$1=$H$1,I207,IF($A$1=$K$1,L207,IF($A$1=$N$1,O207,IF($A$1=$Q$1,R207,IF($A$1=$T$1,U207,IF($A$1=$W$1,X207,IF($A$1=$Z$1,AA207,IF($A$1=$AC$1,AD207,IF($A$1=$AF$1,AG207,IF($A$1=$AI$1,AJ207))))))))))))</f>
        <v/>
      </c>
    </row>
    <row r="208" ht="15.5" customFormat="1" customHeight="1" s="1">
      <c r="A208" s="26" t="inlineStr">
        <is>
          <t>Çelik</t>
        </is>
      </c>
      <c r="B208" s="7">
        <f>'A -Döviz'!B208</f>
        <v/>
      </c>
      <c r="C208" s="7">
        <f>'A -Döviz'!C208</f>
        <v/>
      </c>
      <c r="D208" s="8" t="n"/>
      <c r="E208" s="7">
        <f>B208+'A -Döviz'!E208</f>
        <v/>
      </c>
      <c r="F208" s="7">
        <f>C208+'A -Döviz'!F208</f>
        <v/>
      </c>
      <c r="G208" s="8" t="n"/>
      <c r="H208" s="7">
        <f>E208+'A -Döviz'!H208</f>
        <v/>
      </c>
      <c r="I208" s="7">
        <f>F208+'A -Döviz'!I208</f>
        <v/>
      </c>
      <c r="J208" s="8" t="n"/>
      <c r="K208" s="7">
        <f>H208+'A -Döviz'!K208</f>
        <v/>
      </c>
      <c r="L208" s="7">
        <f>I208+'A -Döviz'!L208</f>
        <v/>
      </c>
      <c r="M208" s="8" t="n"/>
      <c r="N208" s="7">
        <f>K208+'A -Döviz'!N208</f>
        <v/>
      </c>
      <c r="O208" s="7">
        <f>L208+'A -Döviz'!O208</f>
        <v/>
      </c>
      <c r="P208" s="8" t="n"/>
      <c r="Q208" s="7">
        <f>N208+'A -Döviz'!Q208</f>
        <v/>
      </c>
      <c r="R208" s="7">
        <f>O208+'A -Döviz'!R208</f>
        <v/>
      </c>
      <c r="S208" s="8" t="n"/>
      <c r="T208" s="7">
        <f>Q208+'A -Döviz'!T208</f>
        <v/>
      </c>
      <c r="U208" s="7">
        <f>R208+'A -Döviz'!U208</f>
        <v/>
      </c>
      <c r="V208" s="8" t="n"/>
      <c r="W208" s="7">
        <f>T208+'A -Döviz'!W208</f>
        <v/>
      </c>
      <c r="X208" s="7">
        <f>U208+'A -Döviz'!X208</f>
        <v/>
      </c>
      <c r="Y208" s="8" t="n"/>
      <c r="Z208" s="7">
        <f>W208+'A -Döviz'!Z208</f>
        <v/>
      </c>
      <c r="AA208" s="7">
        <f>X208+'A -Döviz'!AA208</f>
        <v/>
      </c>
      <c r="AB208" s="8" t="n"/>
      <c r="AC208" s="7">
        <f>Z208+'A -Döviz'!AC208</f>
        <v/>
      </c>
      <c r="AD208" s="7">
        <f>AA208+'A -Döviz'!AD208</f>
        <v/>
      </c>
      <c r="AE208" s="8" t="n"/>
      <c r="AF208" s="7">
        <f>AC208+'A -Döviz'!AF208</f>
        <v/>
      </c>
      <c r="AG208" s="7">
        <f>AD208+'A -Döviz'!AG208</f>
        <v/>
      </c>
      <c r="AH208" s="8" t="n"/>
      <c r="AI208" s="7">
        <f>AF208+'A -Döviz'!AI208</f>
        <v/>
      </c>
      <c r="AJ208" s="7">
        <f>AG208+'A -Döviz'!AJ208</f>
        <v/>
      </c>
      <c r="AK208" s="8" t="n"/>
      <c r="AL208" s="21">
        <f>AP208-AO208</f>
        <v/>
      </c>
      <c r="AM208" s="22">
        <f>AP208/AO208-1</f>
        <v/>
      </c>
      <c r="AO208" s="44">
        <f>IF($A$1=$B$1,B208,IF($A$1=$E$1,E208,IF($A$1=$H$1,H208,IF($A$1=$K$1,K208,IF($A$1=$N$1,N208,IF($A$1=$Q$1,Q208,IF($A$1=$T$1,T208,IF($A$1=$W$1,W208,IF($A$1=$Z$1,Z208,IF($A$1=$AC$1,AC208,IF($A$1=$AF$1,AF208,IF($A$1=$AI$1,AI208))))))))))))</f>
        <v/>
      </c>
      <c r="AP208" s="44">
        <f>IF($A$1=$B$1,C208,IF($A$1=$E$1,F208,IF($A$1=$H$1,I208,IF($A$1=$K$1,L208,IF($A$1=$N$1,O208,IF($A$1=$Q$1,R208,IF($A$1=$T$1,U208,IF($A$1=$W$1,X208,IF($A$1=$Z$1,AA208,IF($A$1=$AC$1,AD208,IF($A$1=$AF$1,AG208,IF($A$1=$AI$1,AJ208))))))))))))</f>
        <v/>
      </c>
    </row>
    <row r="209" ht="15.5" customFormat="1" customHeight="1" s="1">
      <c r="A209" s="26" t="inlineStr">
        <is>
          <t>Alüminyum</t>
        </is>
      </c>
      <c r="B209" s="7">
        <f>'A -Döviz'!B209</f>
        <v/>
      </c>
      <c r="C209" s="7">
        <f>'A -Döviz'!C209</f>
        <v/>
      </c>
      <c r="D209" s="8" t="n"/>
      <c r="E209" s="7">
        <f>B209+'A -Döviz'!E209</f>
        <v/>
      </c>
      <c r="F209" s="7">
        <f>C209+'A -Döviz'!F209</f>
        <v/>
      </c>
      <c r="G209" s="8" t="n"/>
      <c r="H209" s="7">
        <f>E209+'A -Döviz'!H209</f>
        <v/>
      </c>
      <c r="I209" s="7">
        <f>F209+'A -Döviz'!I209</f>
        <v/>
      </c>
      <c r="J209" s="8" t="n"/>
      <c r="K209" s="7">
        <f>H209+'A -Döviz'!K209</f>
        <v/>
      </c>
      <c r="L209" s="7">
        <f>I209+'A -Döviz'!L209</f>
        <v/>
      </c>
      <c r="M209" s="8" t="n"/>
      <c r="N209" s="7">
        <f>K209+'A -Döviz'!N209</f>
        <v/>
      </c>
      <c r="O209" s="7">
        <f>L209+'A -Döviz'!O209</f>
        <v/>
      </c>
      <c r="P209" s="8" t="n"/>
      <c r="Q209" s="7">
        <f>N209+'A -Döviz'!Q209</f>
        <v/>
      </c>
      <c r="R209" s="7">
        <f>O209+'A -Döviz'!R209</f>
        <v/>
      </c>
      <c r="S209" s="8" t="n"/>
      <c r="T209" s="7">
        <f>Q209+'A -Döviz'!T209</f>
        <v/>
      </c>
      <c r="U209" s="7">
        <f>R209+'A -Döviz'!U209</f>
        <v/>
      </c>
      <c r="V209" s="8" t="n"/>
      <c r="W209" s="7">
        <f>T209+'A -Döviz'!W209</f>
        <v/>
      </c>
      <c r="X209" s="7">
        <f>U209+'A -Döviz'!X209</f>
        <v/>
      </c>
      <c r="Y209" s="8" t="n"/>
      <c r="Z209" s="7">
        <f>W209+'A -Döviz'!Z209</f>
        <v/>
      </c>
      <c r="AA209" s="7">
        <f>X209+'A -Döviz'!AA209</f>
        <v/>
      </c>
      <c r="AB209" s="8" t="n"/>
      <c r="AC209" s="7">
        <f>Z209+'A -Döviz'!AC209</f>
        <v/>
      </c>
      <c r="AD209" s="7">
        <f>AA209+'A -Döviz'!AD209</f>
        <v/>
      </c>
      <c r="AE209" s="8" t="n"/>
      <c r="AF209" s="7">
        <f>AC209+'A -Döviz'!AF209</f>
        <v/>
      </c>
      <c r="AG209" s="7">
        <f>AD209+'A -Döviz'!AG209</f>
        <v/>
      </c>
      <c r="AH209" s="8" t="n"/>
      <c r="AI209" s="7">
        <f>AF209+'A -Döviz'!AI209</f>
        <v/>
      </c>
      <c r="AJ209" s="7">
        <f>AG209+'A -Döviz'!AJ209</f>
        <v/>
      </c>
      <c r="AK209" s="8" t="n"/>
      <c r="AL209" s="21">
        <f>AP209-AO209</f>
        <v/>
      </c>
      <c r="AM209" s="22">
        <f>AP209/AO209-1</f>
        <v/>
      </c>
      <c r="AO209" s="44">
        <f>IF($A$1=$B$1,B209,IF($A$1=$E$1,E209,IF($A$1=$H$1,H209,IF($A$1=$K$1,K209,IF($A$1=$N$1,N209,IF($A$1=$Q$1,Q209,IF($A$1=$T$1,T209,IF($A$1=$W$1,W209,IF($A$1=$Z$1,Z209,IF($A$1=$AC$1,AC209,IF($A$1=$AF$1,AF209,IF($A$1=$AI$1,AI209))))))))))))</f>
        <v/>
      </c>
      <c r="AP209" s="44">
        <f>IF($A$1=$B$1,C209,IF($A$1=$E$1,F209,IF($A$1=$H$1,I209,IF($A$1=$K$1,L209,IF($A$1=$N$1,O209,IF($A$1=$Q$1,R209,IF($A$1=$T$1,U209,IF($A$1=$W$1,X209,IF($A$1=$Z$1,AA209,IF($A$1=$AC$1,AD209,IF($A$1=$AF$1,AG209,IF($A$1=$AI$1,AJ209))))))))))))</f>
        <v/>
      </c>
    </row>
    <row r="210" ht="15.5" customFormat="1" customHeight="1" s="1">
      <c r="A210" s="26" t="n"/>
      <c r="B210" s="7" t="n"/>
      <c r="C210" s="8" t="n"/>
      <c r="D210" s="8" t="n"/>
      <c r="E210" s="7" t="n"/>
      <c r="F210" s="8" t="n"/>
      <c r="G210" s="8" t="n"/>
      <c r="H210" s="7" t="n"/>
      <c r="I210" s="8" t="n"/>
      <c r="J210" s="8" t="n"/>
      <c r="K210" s="7" t="n"/>
      <c r="L210" s="8" t="n"/>
      <c r="M210" s="8" t="n"/>
      <c r="N210" s="7" t="n"/>
      <c r="O210" s="8" t="n"/>
      <c r="P210" s="8" t="n"/>
      <c r="Q210" s="7" t="n"/>
      <c r="R210" s="8" t="n"/>
      <c r="S210" s="8" t="n"/>
      <c r="T210" s="7" t="n"/>
      <c r="U210" s="8" t="n"/>
      <c r="V210" s="8" t="n"/>
      <c r="W210" s="7" t="n"/>
      <c r="X210" s="8" t="n"/>
      <c r="Y210" s="8" t="n"/>
      <c r="Z210" s="7" t="n"/>
      <c r="AA210" s="8" t="n"/>
      <c r="AB210" s="8" t="n"/>
      <c r="AC210" s="7" t="n"/>
      <c r="AD210" s="8" t="n"/>
      <c r="AE210" s="8" t="n"/>
      <c r="AF210" s="7" t="n"/>
      <c r="AG210" s="8" t="n"/>
      <c r="AH210" s="8" t="n"/>
      <c r="AI210" s="7" t="n"/>
      <c r="AJ210" s="8" t="n"/>
      <c r="AK210" s="8" t="n"/>
      <c r="AL210" s="15" t="n"/>
      <c r="AM210" s="16" t="n"/>
      <c r="AO210" s="44" t="n"/>
      <c r="AP210" s="44" t="n"/>
    </row>
    <row r="211" ht="15.5" customFormat="1" customHeight="1" s="1">
      <c r="A211" s="26" t="n"/>
      <c r="B211" s="7" t="n"/>
      <c r="C211" s="8" t="n"/>
      <c r="D211" s="8" t="n"/>
      <c r="E211" s="7" t="n"/>
      <c r="F211" s="8" t="n"/>
      <c r="G211" s="8" t="n"/>
      <c r="H211" s="7" t="n"/>
      <c r="I211" s="8" t="n"/>
      <c r="J211" s="8" t="n"/>
      <c r="K211" s="7" t="n"/>
      <c r="L211" s="8" t="n"/>
      <c r="M211" s="8" t="n"/>
      <c r="N211" s="7" t="n"/>
      <c r="O211" s="8" t="n"/>
      <c r="P211" s="8" t="n"/>
      <c r="Q211" s="7" t="n"/>
      <c r="R211" s="8" t="n"/>
      <c r="S211" s="8" t="n"/>
      <c r="T211" s="7" t="n"/>
      <c r="U211" s="8" t="n"/>
      <c r="V211" s="8" t="n"/>
      <c r="W211" s="7" t="n"/>
      <c r="X211" s="8" t="n"/>
      <c r="Y211" s="8" t="n"/>
      <c r="Z211" s="7" t="n"/>
      <c r="AA211" s="8" t="n"/>
      <c r="AB211" s="8" t="n"/>
      <c r="AC211" s="7" t="n"/>
      <c r="AD211" s="8" t="n"/>
      <c r="AE211" s="8" t="n"/>
      <c r="AF211" s="7" t="n"/>
      <c r="AG211" s="8" t="n"/>
      <c r="AH211" s="8" t="n"/>
      <c r="AI211" s="7" t="n"/>
      <c r="AJ211" s="8" t="n"/>
      <c r="AK211" s="8" t="n"/>
      <c r="AL211" s="15" t="n"/>
      <c r="AM211" s="16" t="n"/>
      <c r="AO211" s="44" t="n"/>
      <c r="AP211" s="44" t="n"/>
    </row>
    <row r="212" ht="15.5" customFormat="1" customHeight="1" s="44">
      <c r="A212" s="31" t="inlineStr">
        <is>
          <t>Net Kar</t>
        </is>
      </c>
      <c r="B212" s="32">
        <f>'A -Döviz'!B212</f>
        <v/>
      </c>
      <c r="C212" s="32">
        <f>'A -Döviz'!C212</f>
        <v/>
      </c>
      <c r="D212" s="18">
        <f>+C212-B212</f>
        <v/>
      </c>
      <c r="E212" s="32">
        <f>B212+'A -Döviz'!E212</f>
        <v/>
      </c>
      <c r="F212" s="32">
        <f>C212+'A -Döviz'!F212</f>
        <v/>
      </c>
      <c r="G212" s="18" t="n"/>
      <c r="H212" s="32">
        <f>E212+'A -Döviz'!H212</f>
        <v/>
      </c>
      <c r="I212" s="32">
        <f>F212+'A -Döviz'!I212</f>
        <v/>
      </c>
      <c r="J212" s="18" t="n"/>
      <c r="K212" s="32">
        <f>H212+'A -Döviz'!K212</f>
        <v/>
      </c>
      <c r="L212" s="32">
        <f>I212+'A -Döviz'!L212</f>
        <v/>
      </c>
      <c r="M212" s="18" t="n"/>
      <c r="N212" s="32">
        <f>K212+'A -Döviz'!N212</f>
        <v/>
      </c>
      <c r="O212" s="32">
        <f>L212+'A -Döviz'!O212</f>
        <v/>
      </c>
      <c r="P212" s="18" t="n"/>
      <c r="Q212" s="32">
        <f>N212+'A -Döviz'!Q212</f>
        <v/>
      </c>
      <c r="R212" s="32">
        <f>O212+'A -Döviz'!R212</f>
        <v/>
      </c>
      <c r="S212" s="18" t="n"/>
      <c r="T212" s="32">
        <f>Q212+'A -Döviz'!T212</f>
        <v/>
      </c>
      <c r="U212" s="32">
        <f>R212+'A -Döviz'!U212</f>
        <v/>
      </c>
      <c r="V212" s="18" t="n"/>
      <c r="W212" s="32">
        <f>T212+'A -Döviz'!W212</f>
        <v/>
      </c>
      <c r="X212" s="32">
        <f>U212+'A -Döviz'!X212</f>
        <v/>
      </c>
      <c r="Y212" s="18" t="n"/>
      <c r="Z212" s="32">
        <f>W212+'A -Döviz'!Z212</f>
        <v/>
      </c>
      <c r="AA212" s="32">
        <f>X212+'A -Döviz'!AA212</f>
        <v/>
      </c>
      <c r="AB212" s="18" t="n"/>
      <c r="AC212" s="32">
        <f>Z212+'A -Döviz'!AC212</f>
        <v/>
      </c>
      <c r="AD212" s="32">
        <f>AA212+'A -Döviz'!AD212</f>
        <v/>
      </c>
      <c r="AE212" s="18" t="n"/>
      <c r="AF212" s="32">
        <f>AC212+'A -Döviz'!AF212</f>
        <v/>
      </c>
      <c r="AG212" s="32">
        <f>AD212+'A -Döviz'!AG212</f>
        <v/>
      </c>
      <c r="AH212" s="18" t="n"/>
      <c r="AI212" s="32">
        <f>AF212+'A -Döviz'!AI212</f>
        <v/>
      </c>
      <c r="AJ212" s="32">
        <f>AG212+'A -Döviz'!AJ212</f>
        <v/>
      </c>
      <c r="AK212" s="18" t="n"/>
      <c r="AL212" s="33">
        <f>AP212-AO212</f>
        <v/>
      </c>
      <c r="AM212" s="34">
        <f>AP212/AO212-1</f>
        <v/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/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/>
      </c>
    </row>
    <row r="213" ht="15.5" customFormat="1" customHeight="1" s="13">
      <c r="A213" s="27" t="n"/>
      <c r="B213" s="30" t="n"/>
      <c r="C213" s="30" t="n"/>
      <c r="D213" s="41" t="n"/>
      <c r="E213" s="30" t="n"/>
      <c r="F213" s="125" t="inlineStr">
        <is>
          <t>,</t>
        </is>
      </c>
      <c r="G213" s="41" t="n"/>
      <c r="H213" s="30" t="n"/>
      <c r="I213" s="30" t="n"/>
      <c r="J213" s="41" t="n"/>
      <c r="K213" s="30" t="n"/>
      <c r="L213" s="30" t="n"/>
      <c r="M213" s="41" t="n"/>
      <c r="N213" s="30" t="n"/>
      <c r="O213" s="30" t="n"/>
      <c r="P213" s="41" t="n"/>
      <c r="Q213" s="30" t="n"/>
      <c r="R213" s="30" t="n"/>
      <c r="S213" s="41" t="n"/>
      <c r="T213" s="30" t="n"/>
      <c r="U213" s="30" t="n"/>
      <c r="V213" s="41" t="n"/>
      <c r="W213" s="30" t="n"/>
      <c r="X213" s="30" t="n"/>
      <c r="Y213" s="41" t="n"/>
      <c r="Z213" s="30" t="n"/>
      <c r="AA213" s="30" t="n"/>
      <c r="AB213" s="41" t="n"/>
      <c r="AC213" s="30" t="n"/>
      <c r="AD213" s="30" t="n"/>
      <c r="AE213" s="41" t="n"/>
      <c r="AF213" s="30">
        <f>AF212/AF30</f>
        <v/>
      </c>
      <c r="AG213" s="30">
        <f>AG212/AG30</f>
        <v/>
      </c>
      <c r="AH213" s="41" t="n"/>
      <c r="AI213" s="30" t="n"/>
      <c r="AJ213" s="30" t="n"/>
      <c r="AK213" s="41" t="n"/>
      <c r="AL213" s="309">
        <f>AF213-AG213</f>
        <v/>
      </c>
      <c r="AM213" s="22" t="n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/>
      </c>
      <c r="AP213" s="44">
        <f>IF($A$1=$B$1,C213,IF($A$1=$E$1,F213,IF($A$1=$H$1,I213,IF($A$1=$K$1,L213,IF($A$1=$N$1,O213,IF($A$1=$Q$1,R213,IF($A$1=$T$1,U213,IF($A$1=$W$1,X213,IF($A$1=$Z$1,AA213,IF($A$1=$AC$1,AD213,IF($A$1=$AF$1,AG213,IF($A$1=$AI$1,AJ213))))))))))))</f>
        <v/>
      </c>
    </row>
    <row r="214" ht="17" customFormat="1" customHeight="1" s="49">
      <c r="A214" s="47" t="inlineStr">
        <is>
          <t>Net Kar (100%)</t>
        </is>
      </c>
      <c r="B214" s="413" t="n"/>
      <c r="C214" s="413" t="n"/>
      <c r="D214" s="413" t="n"/>
      <c r="E214" s="413" t="n"/>
      <c r="F214" s="413" t="n"/>
      <c r="G214" s="413" t="n"/>
      <c r="H214" s="413" t="n"/>
      <c r="I214" s="413" t="n"/>
      <c r="J214" s="413" t="n"/>
      <c r="K214" s="413" t="n"/>
      <c r="L214" s="413" t="n"/>
      <c r="M214" s="413" t="n"/>
      <c r="N214" s="413" t="n"/>
      <c r="O214" s="413" t="n"/>
      <c r="P214" s="413" t="n"/>
      <c r="Q214" s="413" t="n"/>
      <c r="R214" s="413" t="n"/>
      <c r="S214" s="413" t="n"/>
      <c r="T214" s="413" t="n"/>
      <c r="U214" s="413" t="n"/>
      <c r="V214" s="413" t="n"/>
      <c r="W214" s="413" t="n"/>
      <c r="X214" s="413" t="n"/>
      <c r="Y214" s="413" t="n"/>
      <c r="Z214" s="413" t="n"/>
      <c r="AA214" s="413" t="n"/>
      <c r="AB214" s="413" t="n"/>
      <c r="AC214" s="413" t="n"/>
      <c r="AD214" s="415">
        <f>AD215/AD9</f>
        <v/>
      </c>
      <c r="AE214" s="413" t="n"/>
      <c r="AF214" s="413" t="n"/>
      <c r="AG214" s="413" t="n"/>
      <c r="AH214" s="413" t="n"/>
      <c r="AI214" s="413" t="n"/>
      <c r="AJ214" s="413" t="n"/>
      <c r="AK214" s="413" t="n"/>
      <c r="AL214" s="413" t="n"/>
      <c r="AM214" s="48" t="n"/>
      <c r="AR214" s="110">
        <f>SUM(AR215:AR222)</f>
        <v/>
      </c>
      <c r="AS214" s="110">
        <f>SUM(AS215:AS222)</f>
        <v/>
      </c>
    </row>
    <row r="215" ht="15.5" customHeight="1">
      <c r="A215" s="26" t="inlineStr">
        <is>
          <t xml:space="preserve">İnci Holding </t>
        </is>
      </c>
      <c r="B215" s="7">
        <f>'A -Döviz'!B215</f>
        <v/>
      </c>
      <c r="C215" s="7">
        <f>'A -Döviz'!C215</f>
        <v/>
      </c>
      <c r="D215" s="7" t="n"/>
      <c r="E215" s="7">
        <f>B215+'A -Döviz'!E215</f>
        <v/>
      </c>
      <c r="F215" s="7">
        <f>C215+'A -Döviz'!F215</f>
        <v/>
      </c>
      <c r="G215" s="7" t="n"/>
      <c r="H215" s="7">
        <f>E215+'A -Döviz'!H215</f>
        <v/>
      </c>
      <c r="I215" s="7">
        <f>F215+'A -Döviz'!I215</f>
        <v/>
      </c>
      <c r="J215" s="7" t="n"/>
      <c r="K215" s="7">
        <f>H215+'A -Döviz'!K215</f>
        <v/>
      </c>
      <c r="L215" s="7">
        <f>I215+'A -Döviz'!L215</f>
        <v/>
      </c>
      <c r="M215" s="7" t="n"/>
      <c r="N215" s="7">
        <f>K215+'A -Döviz'!N215</f>
        <v/>
      </c>
      <c r="O215" s="7">
        <f>L215+'A -Döviz'!O215</f>
        <v/>
      </c>
      <c r="P215" s="7" t="n"/>
      <c r="Q215" s="7">
        <f>N215+'A -Döviz'!Q215</f>
        <v/>
      </c>
      <c r="R215" s="7">
        <f>O215+'A -Döviz'!R215</f>
        <v/>
      </c>
      <c r="S215" s="7" t="n"/>
      <c r="T215" s="7">
        <f>Q215+'A -Döviz'!T215</f>
        <v/>
      </c>
      <c r="U215" s="7">
        <f>R215+'A -Döviz'!U215</f>
        <v/>
      </c>
      <c r="V215" s="7" t="n"/>
      <c r="W215" s="7">
        <f>T215+'A -Döviz'!W215</f>
        <v/>
      </c>
      <c r="X215" s="7">
        <f>U215+'A -Döviz'!X215</f>
        <v/>
      </c>
      <c r="Y215" s="7" t="n"/>
      <c r="Z215" s="7">
        <f>W215+'A -Döviz'!Z215</f>
        <v/>
      </c>
      <c r="AA215" s="7">
        <f>X215+'A -Döviz'!AA215</f>
        <v/>
      </c>
      <c r="AB215" s="7" t="n"/>
      <c r="AC215" s="7">
        <f>Z215+'A -Döviz'!AC215</f>
        <v/>
      </c>
      <c r="AD215" s="7">
        <f>AA215+'A -Döviz'!AD215</f>
        <v/>
      </c>
      <c r="AE215" s="7" t="n"/>
      <c r="AF215" s="7">
        <f>AC215+'A -Döviz'!AF215</f>
        <v/>
      </c>
      <c r="AG215" s="7">
        <f>AD215+'A -Döviz'!AG215</f>
        <v/>
      </c>
      <c r="AH215" s="7" t="n"/>
      <c r="AI215" s="7">
        <f>AF215+'A -Döviz'!AI215</f>
        <v/>
      </c>
      <c r="AJ215" s="7">
        <f>AG215+'A -Döviz'!AJ215</f>
        <v/>
      </c>
      <c r="AK215" s="7" t="n"/>
      <c r="AL215" s="21">
        <f>AP215-AO215</f>
        <v/>
      </c>
      <c r="AM215" s="22">
        <f>AP215/AO215-1</f>
        <v/>
      </c>
      <c r="AN215" s="9">
        <f>AC215-AD215</f>
        <v/>
      </c>
      <c r="AO215" s="44">
        <f>IF($A$1=$B$1,B215,IF($A$1=$E$1,E215,IF($A$1=$H$1,H215,IF($A$1=$K$1,K215,IF($A$1=$N$1,N215,IF($A$1=$Q$1,Q215,IF($A$1=$T$1,T215,IF($A$1=$W$1,W215,IF($A$1=$Z$1,Z215,IF($A$1=$AC$1,AC215,IF($A$1=$AF$1,AF215,IF($A$1=$AI$1,AI215))))))))))))</f>
        <v/>
      </c>
      <c r="AP215" s="44">
        <f>IF($A$1=$B$1,C215,IF($A$1=$E$1,F215,IF($A$1=$H$1,I215,IF($A$1=$K$1,L215,IF($A$1=$N$1,O215,IF($A$1=$Q$1,R215,IF($A$1=$T$1,U215,IF($A$1=$W$1,X215,IF($A$1=$Z$1,AA215,IF($A$1=$AC$1,AD215,IF($A$1=$AF$1,AG215,IF($A$1=$AI$1,AJ215))))))))))))</f>
        <v/>
      </c>
      <c r="AR215" s="94">
        <f>AC215</f>
        <v/>
      </c>
      <c r="AS215" s="94">
        <f>AD215</f>
        <v/>
      </c>
      <c r="AT215" s="94">
        <f>AS215-AR215</f>
        <v/>
      </c>
    </row>
    <row r="216" ht="15.5" customHeight="1">
      <c r="A216" s="26" t="inlineStr">
        <is>
          <t xml:space="preserve">ISM </t>
        </is>
      </c>
      <c r="B216" s="7">
        <f>'A -Döviz'!B216</f>
        <v/>
      </c>
      <c r="C216" s="7">
        <f>'A -Döviz'!C216</f>
        <v/>
      </c>
      <c r="D216" s="7" t="n"/>
      <c r="E216" s="7">
        <f>B216+'A -Döviz'!E216</f>
        <v/>
      </c>
      <c r="F216" s="7">
        <f>C216+'A -Döviz'!F216</f>
        <v/>
      </c>
      <c r="G216" s="7" t="n"/>
      <c r="H216" s="7">
        <f>E216+'A -Döviz'!H216</f>
        <v/>
      </c>
      <c r="I216" s="7">
        <f>F216+'A -Döviz'!I216</f>
        <v/>
      </c>
      <c r="J216" s="7" t="n"/>
      <c r="K216" s="7">
        <f>H216+'A -Döviz'!K216</f>
        <v/>
      </c>
      <c r="L216" s="7">
        <f>I216+'A -Döviz'!L216</f>
        <v/>
      </c>
      <c r="M216" s="7" t="n"/>
      <c r="N216" s="7">
        <f>K216+'A -Döviz'!N216</f>
        <v/>
      </c>
      <c r="O216" s="7">
        <f>L216+'A -Döviz'!O216</f>
        <v/>
      </c>
      <c r="P216" s="7" t="n"/>
      <c r="Q216" s="7">
        <f>N216+'A -Döviz'!Q216</f>
        <v/>
      </c>
      <c r="R216" s="7">
        <f>O216+'A -Döviz'!R216</f>
        <v/>
      </c>
      <c r="S216" s="7" t="n"/>
      <c r="T216" s="7">
        <f>Q216+'A -Döviz'!T216</f>
        <v/>
      </c>
      <c r="U216" s="7">
        <f>R216+'A -Döviz'!U216</f>
        <v/>
      </c>
      <c r="V216" s="7" t="n"/>
      <c r="W216" s="7">
        <f>T216+'A -Döviz'!W216</f>
        <v/>
      </c>
      <c r="X216" s="7">
        <f>U216+'A -Döviz'!X216</f>
        <v/>
      </c>
      <c r="Y216" s="7" t="n"/>
      <c r="Z216" s="7">
        <f>W216+'A -Döviz'!Z216</f>
        <v/>
      </c>
      <c r="AA216" s="7">
        <f>X216+'A -Döviz'!AA216</f>
        <v/>
      </c>
      <c r="AB216" s="7" t="n"/>
      <c r="AC216" s="7">
        <f>Z216+'A -Döviz'!AC216</f>
        <v/>
      </c>
      <c r="AD216" s="7">
        <f>AA216+'A -Döviz'!AD216</f>
        <v/>
      </c>
      <c r="AE216" s="7" t="n"/>
      <c r="AF216" s="7">
        <f>AC216+'A -Döviz'!AF216</f>
        <v/>
      </c>
      <c r="AG216" s="7">
        <f>AD216+'A -Döviz'!AG216</f>
        <v/>
      </c>
      <c r="AH216" s="7" t="n"/>
      <c r="AI216" s="7">
        <f>AF216+'A -Döviz'!AI216</f>
        <v/>
      </c>
      <c r="AJ216" s="7">
        <f>AG216+'A -Döviz'!AJ216</f>
        <v/>
      </c>
      <c r="AK216" s="7" t="n"/>
      <c r="AL216" s="21">
        <f>AP216-AO216</f>
        <v/>
      </c>
      <c r="AM216" s="22">
        <f>AP216/AO216-1</f>
        <v/>
      </c>
      <c r="AN216" s="9">
        <f>AC216-AD216</f>
        <v/>
      </c>
      <c r="AO216" s="44">
        <f>IF($A$1=$B$1,B216,IF($A$1=$E$1,E216,IF($A$1=$H$1,H216,IF($A$1=$K$1,K216,IF($A$1=$N$1,N216,IF($A$1=$Q$1,Q216,IF($A$1=$T$1,T216,IF($A$1=$W$1,W216,IF($A$1=$Z$1,Z216,IF($A$1=$AC$1,AC216,IF($A$1=$AF$1,AF216,IF($A$1=$AI$1,AI216))))))))))))</f>
        <v/>
      </c>
      <c r="AP216" s="44">
        <f>IF($A$1=$B$1,C216,IF($A$1=$E$1,F216,IF($A$1=$H$1,I216,IF($A$1=$K$1,L216,IF($A$1=$N$1,O216,IF($A$1=$Q$1,R216,IF($A$1=$T$1,U216,IF($A$1=$W$1,X216,IF($A$1=$Z$1,AA216,IF($A$1=$AC$1,AD216,IF($A$1=$AF$1,AG216,IF($A$1=$AI$1,AJ216))))))))))))</f>
        <v/>
      </c>
      <c r="AR216" s="94">
        <f>AC216</f>
        <v/>
      </c>
      <c r="AS216" s="94">
        <f>AD216</f>
        <v/>
      </c>
      <c r="AT216" s="94">
        <f>AS216-AR216</f>
        <v/>
      </c>
    </row>
    <row r="217" ht="15.5" customHeight="1">
      <c r="A217" s="26" t="inlineStr">
        <is>
          <t>İncitaş</t>
        </is>
      </c>
      <c r="B217" s="7">
        <f>'A -Döviz'!B217</f>
        <v/>
      </c>
      <c r="C217" s="7">
        <f>'A -Döviz'!C217</f>
        <v/>
      </c>
      <c r="D217" s="7" t="n"/>
      <c r="E217" s="7">
        <f>B217+'A -Döviz'!E217</f>
        <v/>
      </c>
      <c r="F217" s="7">
        <f>C217+'A -Döviz'!F217</f>
        <v/>
      </c>
      <c r="G217" s="7" t="n"/>
      <c r="H217" s="7">
        <f>E217+'A -Döviz'!H217</f>
        <v/>
      </c>
      <c r="I217" s="7">
        <f>F217+'A -Döviz'!I217</f>
        <v/>
      </c>
      <c r="J217" s="7" t="n"/>
      <c r="K217" s="7">
        <f>H217+'A -Döviz'!K217</f>
        <v/>
      </c>
      <c r="L217" s="7">
        <f>I217+'A -Döviz'!L217</f>
        <v/>
      </c>
      <c r="M217" s="7" t="n"/>
      <c r="N217" s="7">
        <f>K217+'A -Döviz'!N217</f>
        <v/>
      </c>
      <c r="O217" s="7">
        <f>L217+'A -Döviz'!O217</f>
        <v/>
      </c>
      <c r="P217" s="7" t="n"/>
      <c r="Q217" s="7">
        <f>N217+'A -Döviz'!Q217</f>
        <v/>
      </c>
      <c r="R217" s="7">
        <f>O217+'A -Döviz'!R217</f>
        <v/>
      </c>
      <c r="S217" s="7" t="n"/>
      <c r="T217" s="7">
        <f>Q217+'A -Döviz'!T217</f>
        <v/>
      </c>
      <c r="U217" s="7">
        <f>R217+'A -Döviz'!U217</f>
        <v/>
      </c>
      <c r="V217" s="7" t="n"/>
      <c r="W217" s="7">
        <f>T217+'A -Döviz'!W217</f>
        <v/>
      </c>
      <c r="X217" s="7">
        <f>U217+'A -Döviz'!X217</f>
        <v/>
      </c>
      <c r="Y217" s="7" t="n"/>
      <c r="Z217" s="7">
        <f>W217+'A -Döviz'!Z217</f>
        <v/>
      </c>
      <c r="AA217" s="7">
        <f>X217+'A -Döviz'!AA217</f>
        <v/>
      </c>
      <c r="AB217" s="7" t="n"/>
      <c r="AC217" s="7">
        <f>Z217+'A -Döviz'!AC217</f>
        <v/>
      </c>
      <c r="AD217" s="7">
        <f>AA217+'A -Döviz'!AD217</f>
        <v/>
      </c>
      <c r="AE217" s="7" t="n"/>
      <c r="AF217" s="7">
        <f>AC217+'A -Döviz'!AF217</f>
        <v/>
      </c>
      <c r="AG217" s="7">
        <f>AD217+'A -Döviz'!AG217</f>
        <v/>
      </c>
      <c r="AH217" s="7" t="n"/>
      <c r="AI217" s="7">
        <f>AF217+'A -Döviz'!AI217</f>
        <v/>
      </c>
      <c r="AJ217" s="7">
        <f>AG217+'A -Döviz'!AJ217</f>
        <v/>
      </c>
      <c r="AK217" s="7" t="n"/>
      <c r="AL217" s="21">
        <f>AP217-AO217</f>
        <v/>
      </c>
      <c r="AM217" s="22">
        <f>AP217/AO217-1</f>
        <v/>
      </c>
      <c r="AN217" s="9">
        <f>AC217-AD217</f>
        <v/>
      </c>
      <c r="AO217" s="44">
        <f>IF($A$1=$B$1,B217,IF($A$1=$E$1,E217,IF($A$1=$H$1,H217,IF($A$1=$K$1,K217,IF($A$1=$N$1,N217,IF($A$1=$Q$1,Q217,IF($A$1=$T$1,T217,IF($A$1=$W$1,W217,IF($A$1=$Z$1,Z217,IF($A$1=$AC$1,AC217,IF($A$1=$AF$1,AF217,IF($A$1=$AI$1,AI217))))))))))))</f>
        <v/>
      </c>
      <c r="AP217" s="44">
        <f>IF($A$1=$B$1,C217,IF($A$1=$E$1,F217,IF($A$1=$H$1,I217,IF($A$1=$K$1,L217,IF($A$1=$N$1,O217,IF($A$1=$Q$1,R217,IF($A$1=$T$1,U217,IF($A$1=$W$1,X217,IF($A$1=$Z$1,AA217,IF($A$1=$AC$1,AD217,IF($A$1=$AF$1,AG217,IF($A$1=$AI$1,AJ217))))))))))))</f>
        <v/>
      </c>
      <c r="AR217" s="94">
        <f>AC217</f>
        <v/>
      </c>
      <c r="AS217" s="94">
        <f>AD217</f>
        <v/>
      </c>
      <c r="AT217" s="94">
        <f>AS217-AR217</f>
        <v/>
      </c>
    </row>
    <row r="218" ht="15.5" customHeight="1">
      <c r="A218" s="26" t="inlineStr">
        <is>
          <t>İnci GS Yuasa</t>
        </is>
      </c>
      <c r="B218" s="7">
        <f>'A -Döviz'!B218</f>
        <v/>
      </c>
      <c r="C218" s="7">
        <f>'A -Döviz'!C218</f>
        <v/>
      </c>
      <c r="D218" s="7" t="n"/>
      <c r="E218" s="7">
        <f>B218+'A -Döviz'!E218</f>
        <v/>
      </c>
      <c r="F218" s="7">
        <f>C218+'A -Döviz'!F218</f>
        <v/>
      </c>
      <c r="G218" s="7" t="n"/>
      <c r="H218" s="7">
        <f>E218+'A -Döviz'!H218</f>
        <v/>
      </c>
      <c r="I218" s="7">
        <f>F218+'A -Döviz'!I218</f>
        <v/>
      </c>
      <c r="J218" s="7" t="n"/>
      <c r="K218" s="7">
        <f>H218+'A -Döviz'!K218</f>
        <v/>
      </c>
      <c r="L218" s="7">
        <f>I218+'A -Döviz'!L218</f>
        <v/>
      </c>
      <c r="M218" s="7" t="n"/>
      <c r="N218" s="7">
        <f>K218+'A -Döviz'!N218</f>
        <v/>
      </c>
      <c r="O218" s="7">
        <f>L218+'A -Döviz'!O218</f>
        <v/>
      </c>
      <c r="P218" s="7" t="n"/>
      <c r="Q218" s="7">
        <f>N218+'A -Döviz'!Q218</f>
        <v/>
      </c>
      <c r="R218" s="7">
        <f>O218+'A -Döviz'!R218</f>
        <v/>
      </c>
      <c r="S218" s="7" t="n"/>
      <c r="T218" s="7">
        <f>Q218+'A -Döviz'!T218</f>
        <v/>
      </c>
      <c r="U218" s="7">
        <f>R218+'A -Döviz'!U218</f>
        <v/>
      </c>
      <c r="V218" s="7" t="n"/>
      <c r="W218" s="7">
        <f>T218+'A -Döviz'!W218</f>
        <v/>
      </c>
      <c r="X218" s="7">
        <f>U218+'A -Döviz'!X218</f>
        <v/>
      </c>
      <c r="Y218" s="7" t="n"/>
      <c r="Z218" s="7">
        <f>W218+'A -Döviz'!Z218</f>
        <v/>
      </c>
      <c r="AA218" s="7">
        <f>X218+'A -Döviz'!AA218</f>
        <v/>
      </c>
      <c r="AB218" s="7" t="n"/>
      <c r="AC218" s="7">
        <f>Z218+'A -Döviz'!AC218</f>
        <v/>
      </c>
      <c r="AD218" s="7">
        <f>AA218+'A -Döviz'!AD218</f>
        <v/>
      </c>
      <c r="AE218" s="7" t="n"/>
      <c r="AF218" s="7">
        <f>AC218+'A -Döviz'!AF218</f>
        <v/>
      </c>
      <c r="AG218" s="7">
        <f>AD218+'A -Döviz'!AG218</f>
        <v/>
      </c>
      <c r="AH218" s="7" t="n"/>
      <c r="AI218" s="7">
        <f>AF218+'A -Döviz'!AI218</f>
        <v/>
      </c>
      <c r="AJ218" s="7">
        <f>AG218+'A -Döviz'!AJ218</f>
        <v/>
      </c>
      <c r="AK218" s="7" t="n"/>
      <c r="AL218" s="21">
        <f>AP218-AO218</f>
        <v/>
      </c>
      <c r="AM218" s="22">
        <f>AP218/AO218-1</f>
        <v/>
      </c>
      <c r="AN218" s="9">
        <f>(AC218-AD218)*0.4</f>
        <v/>
      </c>
      <c r="AO218" s="44">
        <f>IF($A$1=$B$1,B218,IF($A$1=$E$1,E218,IF($A$1=$H$1,H218,IF($A$1=$K$1,K218,IF($A$1=$N$1,N218,IF($A$1=$Q$1,Q218,IF($A$1=$T$1,T218,IF($A$1=$W$1,W218,IF($A$1=$Z$1,Z218,IF($A$1=$AC$1,AC218,IF($A$1=$AF$1,AF218,IF($A$1=$AI$1,AI218))))))))))))</f>
        <v/>
      </c>
      <c r="AP218" s="44">
        <f>IF($A$1=$B$1,C218,IF($A$1=$E$1,F218,IF($A$1=$H$1,I218,IF($A$1=$K$1,L218,IF($A$1=$N$1,O218,IF($A$1=$Q$1,R218,IF($A$1=$T$1,U218,IF($A$1=$W$1,X218,IF($A$1=$Z$1,AA218,IF($A$1=$AC$1,AD218,IF($A$1=$AF$1,AG218,IF($A$1=$AI$1,AJ218))))))))))))</f>
        <v/>
      </c>
      <c r="AR218" s="94">
        <f>AC218*0.4</f>
        <v/>
      </c>
      <c r="AS218" s="94">
        <f>AD218*0.4</f>
        <v/>
      </c>
      <c r="AT218" s="94">
        <f>AS218-AR218</f>
        <v/>
      </c>
    </row>
    <row r="219" ht="15.5" customFormat="1" customHeight="1" s="1">
      <c r="A219" s="26" t="inlineStr">
        <is>
          <t>Yusen İnci Loj.</t>
        </is>
      </c>
      <c r="B219" s="7">
        <f>'A -Döviz'!B219</f>
        <v/>
      </c>
      <c r="C219" s="7">
        <f>'A -Döviz'!C219</f>
        <v/>
      </c>
      <c r="D219" s="8" t="n"/>
      <c r="E219" s="7">
        <f>B219+'A -Döviz'!E219</f>
        <v/>
      </c>
      <c r="F219" s="7">
        <f>C219+'A -Döviz'!F219</f>
        <v/>
      </c>
      <c r="G219" s="8" t="n"/>
      <c r="H219" s="7">
        <f>E219+'A -Döviz'!H219</f>
        <v/>
      </c>
      <c r="I219" s="7">
        <f>F219+'A -Döviz'!I219</f>
        <v/>
      </c>
      <c r="J219" s="8" t="n"/>
      <c r="K219" s="7">
        <f>H219+'A -Döviz'!K219</f>
        <v/>
      </c>
      <c r="L219" s="7">
        <f>I219+'A -Döviz'!L219</f>
        <v/>
      </c>
      <c r="M219" s="8" t="n"/>
      <c r="N219" s="7">
        <f>K219+'A -Döviz'!N219</f>
        <v/>
      </c>
      <c r="O219" s="7">
        <f>L219+'A -Döviz'!O219</f>
        <v/>
      </c>
      <c r="P219" s="8" t="n"/>
      <c r="Q219" s="7">
        <f>N219+'A -Döviz'!Q219</f>
        <v/>
      </c>
      <c r="R219" s="7">
        <f>O219+'A -Döviz'!R219</f>
        <v/>
      </c>
      <c r="S219" s="8" t="n"/>
      <c r="T219" s="7">
        <f>Q219+'A -Döviz'!T219</f>
        <v/>
      </c>
      <c r="U219" s="7">
        <f>R219+'A -Döviz'!U219</f>
        <v/>
      </c>
      <c r="V219" s="8" t="n"/>
      <c r="W219" s="7">
        <f>T219+'A -Döviz'!W219</f>
        <v/>
      </c>
      <c r="X219" s="7">
        <f>U219+'A -Döviz'!X219</f>
        <v/>
      </c>
      <c r="Y219" s="8" t="n"/>
      <c r="Z219" s="7">
        <f>W219+'A -Döviz'!Z219</f>
        <v/>
      </c>
      <c r="AA219" s="7">
        <f>X219+'A -Döviz'!AA219</f>
        <v/>
      </c>
      <c r="AB219" s="8" t="n"/>
      <c r="AC219" s="7">
        <f>Z219+'A -Döviz'!AC219</f>
        <v/>
      </c>
      <c r="AD219" s="7">
        <f>AA219+'A -Döviz'!AD219</f>
        <v/>
      </c>
      <c r="AE219" s="8" t="n"/>
      <c r="AF219" s="7">
        <f>AC219+'A -Döviz'!AF219</f>
        <v/>
      </c>
      <c r="AG219" s="7">
        <f>AD219+'A -Döviz'!AG219</f>
        <v/>
      </c>
      <c r="AH219" s="8" t="n"/>
      <c r="AI219" s="7">
        <f>AF219+'A -Döviz'!AI219</f>
        <v/>
      </c>
      <c r="AJ219" s="7">
        <f>AG219+'A -Döviz'!AJ219</f>
        <v/>
      </c>
      <c r="AK219" s="8" t="n"/>
      <c r="AL219" s="21">
        <f>AP219-AO219</f>
        <v/>
      </c>
      <c r="AM219" s="22">
        <f>AP219/AO219-1</f>
        <v/>
      </c>
      <c r="AN219" s="9">
        <f>(AC219-AD219)*0.4</f>
        <v/>
      </c>
      <c r="AO219" s="44">
        <f>IF($A$1=$B$1,B219,IF($A$1=$E$1,E219,IF($A$1=$H$1,H219,IF($A$1=$K$1,K219,IF($A$1=$N$1,N219,IF($A$1=$Q$1,Q219,IF($A$1=$T$1,T219,IF($A$1=$W$1,W219,IF($A$1=$Z$1,Z219,IF($A$1=$AC$1,AC219,IF($A$1=$AF$1,AF219,IF($A$1=$AI$1,AI219))))))))))))</f>
        <v/>
      </c>
      <c r="AP219" s="44">
        <f>IF($A$1=$B$1,C219,IF($A$1=$E$1,F219,IF($A$1=$H$1,I219,IF($A$1=$K$1,L219,IF($A$1=$N$1,O219,IF($A$1=$Q$1,R219,IF($A$1=$T$1,U219,IF($A$1=$W$1,X219,IF($A$1=$Z$1,AA219,IF($A$1=$AC$1,AD219,IF($A$1=$AF$1,AG219,IF($A$1=$AI$1,AJ219))))))))))))</f>
        <v/>
      </c>
      <c r="AR219" s="94">
        <f>AC219*0.4</f>
        <v/>
      </c>
      <c r="AS219" s="94">
        <f>AD219*0.4</f>
        <v/>
      </c>
      <c r="AT219" s="94">
        <f>AS219-AR219</f>
        <v/>
      </c>
    </row>
    <row r="220" ht="15.5" customHeight="1">
      <c r="A220" s="26" t="inlineStr">
        <is>
          <t>Jantaş</t>
        </is>
      </c>
      <c r="B220" s="7">
        <f>'A -Döviz'!B220</f>
        <v/>
      </c>
      <c r="C220" s="7">
        <f>'A -Döviz'!C220</f>
        <v/>
      </c>
      <c r="D220" s="7" t="n"/>
      <c r="E220" s="7">
        <f>B220+'A -Döviz'!E220</f>
        <v/>
      </c>
      <c r="F220" s="7">
        <f>C220+'A -Döviz'!F220</f>
        <v/>
      </c>
      <c r="G220" s="7" t="n"/>
      <c r="H220" s="7">
        <f>E220+'A -Döviz'!H220</f>
        <v/>
      </c>
      <c r="I220" s="7">
        <f>F220+'A -Döviz'!I220</f>
        <v/>
      </c>
      <c r="J220" s="7" t="n"/>
      <c r="K220" s="7">
        <f>H220+'A -Döviz'!K220</f>
        <v/>
      </c>
      <c r="L220" s="7">
        <f>I220+'A -Döviz'!L220</f>
        <v/>
      </c>
      <c r="M220" s="7" t="n"/>
      <c r="N220" s="7">
        <f>K220+'A -Döviz'!N220</f>
        <v/>
      </c>
      <c r="O220" s="7">
        <f>L220+'A -Döviz'!O220</f>
        <v/>
      </c>
      <c r="P220" s="7" t="n"/>
      <c r="Q220" s="7">
        <f>N220+'A -Döviz'!Q220</f>
        <v/>
      </c>
      <c r="R220" s="7">
        <f>O220+'A -Döviz'!R220</f>
        <v/>
      </c>
      <c r="S220" s="7" t="n"/>
      <c r="T220" s="7">
        <f>Q220+'A -Döviz'!T220</f>
        <v/>
      </c>
      <c r="U220" s="7">
        <f>R220+'A -Döviz'!U220</f>
        <v/>
      </c>
      <c r="V220" s="7" t="n"/>
      <c r="W220" s="7">
        <f>T220+'A -Döviz'!W220</f>
        <v/>
      </c>
      <c r="X220" s="7">
        <f>U220+'A -Döviz'!X220</f>
        <v/>
      </c>
      <c r="Y220" s="7" t="n"/>
      <c r="Z220" s="7">
        <f>W220+'A -Döviz'!Z220</f>
        <v/>
      </c>
      <c r="AA220" s="7">
        <f>X220+'A -Döviz'!AA220</f>
        <v/>
      </c>
      <c r="AB220" s="7" t="n"/>
      <c r="AC220" s="7">
        <f>Z220+'A -Döviz'!AC220</f>
        <v/>
      </c>
      <c r="AD220" s="7">
        <f>AA220+'A -Döviz'!AD220</f>
        <v/>
      </c>
      <c r="AE220" s="7" t="n"/>
      <c r="AF220" s="7">
        <f>AC220+'A -Döviz'!AF220</f>
        <v/>
      </c>
      <c r="AG220" s="7">
        <f>AD220+'A -Döviz'!AG220</f>
        <v/>
      </c>
      <c r="AH220" s="7" t="n"/>
      <c r="AI220" s="7">
        <f>AF220+'A -Döviz'!AI220</f>
        <v/>
      </c>
      <c r="AJ220" s="7">
        <f>AG220+'A -Döviz'!AJ220</f>
        <v/>
      </c>
      <c r="AK220" s="7" t="n"/>
      <c r="AL220" s="21">
        <f>AP220-AO220</f>
        <v/>
      </c>
      <c r="AM220" s="22">
        <f>AP220/AO220-1</f>
        <v/>
      </c>
      <c r="AN220" s="9">
        <f>(AC220-AD220)*0.4</f>
        <v/>
      </c>
      <c r="AO220" s="44">
        <f>IF($A$1=$B$1,B220,IF($A$1=$E$1,E220,IF($A$1=$H$1,H220,IF($A$1=$K$1,K220,IF($A$1=$N$1,N220,IF($A$1=$Q$1,Q220,IF($A$1=$T$1,T220,IF($A$1=$W$1,W220,IF($A$1=$Z$1,Z220,IF($A$1=$AC$1,AC220,IF($A$1=$AF$1,AF220,IF($A$1=$AI$1,AI220))))))))))))</f>
        <v/>
      </c>
      <c r="AP220" s="44">
        <f>IF($A$1=$B$1,C220,IF($A$1=$E$1,F220,IF($A$1=$H$1,I220,IF($A$1=$K$1,L220,IF($A$1=$N$1,O220,IF($A$1=$Q$1,R220,IF($A$1=$T$1,U220,IF($A$1=$W$1,X220,IF($A$1=$Z$1,AA220,IF($A$1=$AC$1,AD220,IF($A$1=$AF$1,AG220,IF($A$1=$AI$1,AJ220))))))))))))</f>
        <v/>
      </c>
      <c r="AR220" s="94">
        <f>AC220*0.4</f>
        <v/>
      </c>
      <c r="AS220" s="94">
        <f>AD220*0.4</f>
        <v/>
      </c>
      <c r="AT220" s="94">
        <f>AS220-AR220</f>
        <v/>
      </c>
    </row>
    <row r="221" ht="15.5" customFormat="1" customHeight="1" s="1">
      <c r="A221" s="26" t="inlineStr">
        <is>
          <t>Çelik</t>
        </is>
      </c>
      <c r="B221" s="7">
        <f>'A -Döviz'!B221</f>
        <v/>
      </c>
      <c r="C221" s="7">
        <f>'A -Döviz'!C221</f>
        <v/>
      </c>
      <c r="D221" s="8" t="n"/>
      <c r="E221" s="7">
        <f>B221+'A -Döviz'!E221</f>
        <v/>
      </c>
      <c r="F221" s="7">
        <f>C221+'A -Döviz'!F221</f>
        <v/>
      </c>
      <c r="G221" s="8" t="n"/>
      <c r="H221" s="7">
        <f>E221+'A -Döviz'!H221</f>
        <v/>
      </c>
      <c r="I221" s="7">
        <f>F221+'A -Döviz'!I221</f>
        <v/>
      </c>
      <c r="J221" s="8" t="n"/>
      <c r="K221" s="7">
        <f>H221+'A -Döviz'!K221</f>
        <v/>
      </c>
      <c r="L221" s="7">
        <f>I221+'A -Döviz'!L221</f>
        <v/>
      </c>
      <c r="M221" s="8" t="n"/>
      <c r="N221" s="7">
        <f>K221+'A -Döviz'!N221</f>
        <v/>
      </c>
      <c r="O221" s="7">
        <f>L221+'A -Döviz'!O221</f>
        <v/>
      </c>
      <c r="P221" s="8" t="n"/>
      <c r="Q221" s="7">
        <f>N221+'A -Döviz'!Q221</f>
        <v/>
      </c>
      <c r="R221" s="7">
        <f>O221+'A -Döviz'!R221</f>
        <v/>
      </c>
      <c r="S221" s="8" t="n"/>
      <c r="T221" s="7">
        <f>Q221+'A -Döviz'!T221</f>
        <v/>
      </c>
      <c r="U221" s="7">
        <f>R221+'A -Döviz'!U221</f>
        <v/>
      </c>
      <c r="V221" s="8" t="n"/>
      <c r="W221" s="7">
        <f>T221+'A -Döviz'!W221</f>
        <v/>
      </c>
      <c r="X221" s="7">
        <f>U221+'A -Döviz'!X221</f>
        <v/>
      </c>
      <c r="Y221" s="8" t="n"/>
      <c r="Z221" s="7">
        <f>W221+'A -Döviz'!Z221</f>
        <v/>
      </c>
      <c r="AA221" s="7">
        <f>X221+'A -Döviz'!AA221</f>
        <v/>
      </c>
      <c r="AB221" s="8" t="n"/>
      <c r="AC221" s="7">
        <f>Z221+'A -Döviz'!AC221</f>
        <v/>
      </c>
      <c r="AD221" s="7">
        <f>AA221+'A -Döviz'!AD221</f>
        <v/>
      </c>
      <c r="AE221" s="8" t="n"/>
      <c r="AF221" s="7">
        <f>AC221+'A -Döviz'!AF221</f>
        <v/>
      </c>
      <c r="AG221" s="7">
        <f>AD221+'A -Döviz'!AG221</f>
        <v/>
      </c>
      <c r="AH221" s="8" t="n"/>
      <c r="AI221" s="7">
        <f>AF221+'A -Döviz'!AI221</f>
        <v/>
      </c>
      <c r="AJ221" s="7">
        <f>AG221+'A -Döviz'!AJ221</f>
        <v/>
      </c>
      <c r="AK221" s="8" t="n"/>
      <c r="AL221" s="21">
        <f>AP221-AO221</f>
        <v/>
      </c>
      <c r="AM221" s="22">
        <f>AP221/AO221-1</f>
        <v/>
      </c>
      <c r="AN221" s="9">
        <f>(AC221-AD221)*0.4</f>
        <v/>
      </c>
      <c r="AO221" s="44">
        <f>IF($A$1=$B$1,B221,IF($A$1=$E$1,E221,IF($A$1=$H$1,H221,IF($A$1=$K$1,K221,IF($A$1=$N$1,N221,IF($A$1=$Q$1,Q221,IF($A$1=$T$1,T221,IF($A$1=$W$1,W221,IF($A$1=$Z$1,Z221,IF($A$1=$AC$1,AC221,IF($A$1=$AF$1,AF221,IF($A$1=$AI$1,AI221))))))))))))</f>
        <v/>
      </c>
      <c r="AP221" s="44">
        <f>IF($A$1=$B$1,C221,IF($A$1=$E$1,F221,IF($A$1=$H$1,I221,IF($A$1=$K$1,L221,IF($A$1=$N$1,O221,IF($A$1=$Q$1,R221,IF($A$1=$T$1,U221,IF($A$1=$W$1,X221,IF($A$1=$Z$1,AA221,IF($A$1=$AC$1,AD221,IF($A$1=$AF$1,AG221,IF($A$1=$AI$1,AJ221))))))))))))</f>
        <v/>
      </c>
      <c r="AR221" s="94">
        <f>AC221*0.4</f>
        <v/>
      </c>
      <c r="AS221" s="94">
        <f>AD221*0.4</f>
        <v/>
      </c>
      <c r="AT221" s="94">
        <f>AS221-AR221</f>
        <v/>
      </c>
    </row>
    <row r="222" ht="15.5" customFormat="1" customHeight="1" s="1">
      <c r="A222" s="26" t="inlineStr">
        <is>
          <t>Alüminyum</t>
        </is>
      </c>
      <c r="B222" s="7">
        <f>'A -Döviz'!B222</f>
        <v/>
      </c>
      <c r="C222" s="7">
        <f>'A -Döviz'!C222</f>
        <v/>
      </c>
      <c r="D222" s="8" t="n"/>
      <c r="E222" s="7">
        <f>B222+'A -Döviz'!E222</f>
        <v/>
      </c>
      <c r="F222" s="7">
        <f>C222+'A -Döviz'!F222</f>
        <v/>
      </c>
      <c r="G222" s="8" t="n"/>
      <c r="H222" s="7">
        <f>E222+'A -Döviz'!H222</f>
        <v/>
      </c>
      <c r="I222" s="7">
        <f>F222+'A -Döviz'!I222</f>
        <v/>
      </c>
      <c r="J222" s="8" t="n"/>
      <c r="K222" s="7">
        <f>H222+'A -Döviz'!K222</f>
        <v/>
      </c>
      <c r="L222" s="7">
        <f>I222+'A -Döviz'!L222</f>
        <v/>
      </c>
      <c r="M222" s="8" t="n"/>
      <c r="N222" s="7">
        <f>K222+'A -Döviz'!N222</f>
        <v/>
      </c>
      <c r="O222" s="7">
        <f>L222+'A -Döviz'!O222</f>
        <v/>
      </c>
      <c r="P222" s="8" t="n"/>
      <c r="Q222" s="7">
        <f>N222+'A -Döviz'!Q222</f>
        <v/>
      </c>
      <c r="R222" s="7">
        <f>O222+'A -Döviz'!R222</f>
        <v/>
      </c>
      <c r="S222" s="8" t="n"/>
      <c r="T222" s="7">
        <f>Q222+'A -Döviz'!T222</f>
        <v/>
      </c>
      <c r="U222" s="7">
        <f>R222+'A -Döviz'!U222</f>
        <v/>
      </c>
      <c r="V222" s="8" t="n"/>
      <c r="W222" s="7">
        <f>T222+'A -Döviz'!W222</f>
        <v/>
      </c>
      <c r="X222" s="7">
        <f>U222+'A -Döviz'!X222</f>
        <v/>
      </c>
      <c r="Y222" s="8" t="n"/>
      <c r="Z222" s="7">
        <f>W222+'A -Döviz'!Z222</f>
        <v/>
      </c>
      <c r="AA222" s="7">
        <f>X222+'A -Döviz'!AA222</f>
        <v/>
      </c>
      <c r="AB222" s="8" t="n"/>
      <c r="AC222" s="7">
        <f>Z222+'A -Döviz'!AC222</f>
        <v/>
      </c>
      <c r="AD222" s="7">
        <f>AA222+'A -Döviz'!AD222</f>
        <v/>
      </c>
      <c r="AE222" s="8" t="n"/>
      <c r="AF222" s="7">
        <f>AC222+'A -Döviz'!AF222</f>
        <v/>
      </c>
      <c r="AG222" s="7">
        <f>AD222+'A -Döviz'!AG222</f>
        <v/>
      </c>
      <c r="AH222" s="8" t="n"/>
      <c r="AI222" s="7">
        <f>AF222+'A -Döviz'!AI222</f>
        <v/>
      </c>
      <c r="AJ222" s="7">
        <f>AG222+'A -Döviz'!AJ222</f>
        <v/>
      </c>
      <c r="AK222" s="8" t="n"/>
      <c r="AL222" s="21">
        <f>AP222-AO222</f>
        <v/>
      </c>
      <c r="AM222" s="22">
        <f>AP222/AO222-1</f>
        <v/>
      </c>
      <c r="AN222" s="9">
        <f>(AC222-AD222)*0.4</f>
        <v/>
      </c>
      <c r="AO222" s="44">
        <f>IF($A$1=$B$1,B222,IF($A$1=$E$1,E222,IF($A$1=$H$1,H222,IF($A$1=$K$1,K222,IF($A$1=$N$1,N222,IF($A$1=$Q$1,Q222,IF($A$1=$T$1,T222,IF($A$1=$W$1,W222,IF($A$1=$Z$1,Z222,IF($A$1=$AC$1,AC222,IF($A$1=$AF$1,AF222,IF($A$1=$AI$1,AI222))))))))))))</f>
        <v/>
      </c>
      <c r="AP222" s="44">
        <f>IF($A$1=$B$1,C222,IF($A$1=$E$1,F222,IF($A$1=$H$1,I222,IF($A$1=$K$1,L222,IF($A$1=$N$1,O222,IF($A$1=$Q$1,R222,IF($A$1=$T$1,U222,IF($A$1=$W$1,X222,IF($A$1=$Z$1,AA222,IF($A$1=$AC$1,AD222,IF($A$1=$AF$1,AG222,IF($A$1=$AI$1,AJ222))))))))))))</f>
        <v/>
      </c>
      <c r="AR222" s="94">
        <f>AC222*0.4</f>
        <v/>
      </c>
      <c r="AS222" s="94">
        <f>AD222*0.4</f>
        <v/>
      </c>
      <c r="AT222" s="94">
        <f>AS222-AR222</f>
        <v/>
      </c>
    </row>
    <row r="223" ht="15.5" customFormat="1" customHeight="1" s="1">
      <c r="A223" s="26" t="n"/>
      <c r="B223" s="7" t="n"/>
      <c r="C223" s="8" t="n"/>
      <c r="D223" s="8" t="n"/>
      <c r="E223" s="7" t="n"/>
      <c r="F223" s="8" t="n"/>
      <c r="G223" s="8" t="n"/>
      <c r="H223" s="7" t="n"/>
      <c r="I223" s="8" t="n"/>
      <c r="J223" s="8" t="n"/>
      <c r="K223" s="7" t="n"/>
      <c r="L223" s="8" t="n"/>
      <c r="M223" s="8" t="n"/>
      <c r="N223" s="7" t="n"/>
      <c r="O223" s="8" t="n"/>
      <c r="P223" s="8" t="n"/>
      <c r="Q223" s="7" t="n"/>
      <c r="R223" s="8" t="n"/>
      <c r="S223" s="8" t="n"/>
      <c r="T223" s="7" t="n"/>
      <c r="U223" s="8" t="n"/>
      <c r="V223" s="8" t="n"/>
      <c r="W223" s="7" t="n"/>
      <c r="X223" s="8" t="n"/>
      <c r="Y223" s="8" t="n"/>
      <c r="Z223" s="7" t="n"/>
      <c r="AA223" s="8" t="n"/>
      <c r="AB223" s="8" t="n"/>
      <c r="AC223" s="7" t="n"/>
      <c r="AD223" s="8" t="n"/>
      <c r="AE223" s="8" t="n"/>
      <c r="AF223" s="7" t="n"/>
      <c r="AG223" s="8" t="n"/>
      <c r="AH223" s="8" t="n"/>
      <c r="AI223" s="7" t="n"/>
      <c r="AJ223" s="8" t="n"/>
      <c r="AK223" s="8" t="n"/>
      <c r="AL223" s="15" t="n"/>
      <c r="AM223" s="16" t="n"/>
      <c r="AO223" s="44" t="n"/>
      <c r="AP223" s="44" t="n"/>
    </row>
    <row r="224" ht="15.5" customFormat="1" customHeight="1" s="1">
      <c r="A224" s="26" t="n"/>
      <c r="B224" s="7" t="n"/>
      <c r="C224" s="8" t="n"/>
      <c r="D224" s="8" t="n"/>
      <c r="E224" s="7" t="n"/>
      <c r="F224" s="8" t="n"/>
      <c r="G224" s="8" t="n"/>
      <c r="H224" s="7" t="n"/>
      <c r="I224" s="8" t="n"/>
      <c r="J224" s="8" t="n"/>
      <c r="K224" s="7" t="n"/>
      <c r="L224" s="8" t="n"/>
      <c r="M224" s="8" t="n"/>
      <c r="N224" s="7" t="n"/>
      <c r="O224" s="8" t="n"/>
      <c r="P224" s="8" t="n"/>
      <c r="Q224" s="7" t="n"/>
      <c r="R224" s="8" t="n"/>
      <c r="S224" s="8" t="n"/>
      <c r="T224" s="7" t="n"/>
      <c r="U224" s="8" t="n"/>
      <c r="V224" s="8" t="n"/>
      <c r="W224" s="7" t="n"/>
      <c r="X224" s="8" t="n"/>
      <c r="Y224" s="8" t="n"/>
      <c r="Z224" s="7" t="n"/>
      <c r="AA224" s="8" t="n"/>
      <c r="AB224" s="8" t="n"/>
      <c r="AC224" s="7" t="n"/>
      <c r="AD224" s="8" t="n"/>
      <c r="AE224" s="8" t="n"/>
      <c r="AF224" s="7" t="n"/>
      <c r="AG224" s="8" t="n"/>
      <c r="AH224" s="8" t="n"/>
      <c r="AI224" s="7" t="n"/>
      <c r="AJ224" s="8" t="n"/>
      <c r="AK224" s="8" t="n"/>
      <c r="AL224" s="15" t="n"/>
      <c r="AM224" s="16" t="n"/>
      <c r="AO224" s="44" t="n"/>
      <c r="AP224" s="44" t="n"/>
    </row>
    <row r="225" ht="17" customFormat="1" customHeight="1" s="49">
      <c r="A225" s="47" t="inlineStr">
        <is>
          <t>Net Kar Marjı</t>
        </is>
      </c>
      <c r="B225" s="413" t="n"/>
      <c r="C225" s="413" t="n"/>
      <c r="D225" s="413" t="n"/>
      <c r="E225" s="413" t="n"/>
      <c r="F225" s="413" t="n"/>
      <c r="G225" s="413" t="n"/>
      <c r="H225" s="413" t="n"/>
      <c r="I225" s="413" t="n"/>
      <c r="J225" s="413" t="n"/>
      <c r="K225" s="413" t="n"/>
      <c r="L225" s="413" t="n"/>
      <c r="M225" s="413" t="n"/>
      <c r="N225" s="413" t="n"/>
      <c r="O225" s="413" t="n"/>
      <c r="P225" s="413" t="n"/>
      <c r="Q225" s="413" t="n"/>
      <c r="R225" s="413" t="n"/>
      <c r="S225" s="413" t="n"/>
      <c r="T225" s="413" t="n"/>
      <c r="U225" s="413" t="n"/>
      <c r="V225" s="413" t="n"/>
      <c r="W225" s="413" t="n"/>
      <c r="X225" s="413" t="n"/>
      <c r="Y225" s="413" t="n"/>
      <c r="Z225" s="413" t="n"/>
      <c r="AA225" s="413" t="n"/>
      <c r="AB225" s="413" t="n"/>
      <c r="AC225" s="413" t="n"/>
      <c r="AD225" s="413" t="n"/>
      <c r="AE225" s="413" t="n"/>
      <c r="AF225" s="413" t="n"/>
      <c r="AG225" s="413" t="n"/>
      <c r="AH225" s="413" t="n"/>
      <c r="AI225" s="413" t="n"/>
      <c r="AJ225" s="413" t="n"/>
      <c r="AK225" s="413" t="n"/>
      <c r="AL225" s="413" t="n"/>
      <c r="AM225" s="48" t="n"/>
    </row>
    <row r="226" ht="15.5" customHeight="1">
      <c r="A226" s="26" t="inlineStr">
        <is>
          <t xml:space="preserve">İnci Holding </t>
        </is>
      </c>
      <c r="B226" s="5">
        <f>B215/B9</f>
        <v/>
      </c>
      <c r="C226" s="5">
        <f>C215/C9</f>
        <v/>
      </c>
      <c r="D226" s="7" t="n"/>
      <c r="E226" s="5">
        <f>E215/E9</f>
        <v/>
      </c>
      <c r="F226" s="5">
        <f>F215/F9</f>
        <v/>
      </c>
      <c r="G226" s="7" t="n"/>
      <c r="H226" s="5">
        <f>H215/H9</f>
        <v/>
      </c>
      <c r="I226" s="5">
        <f>I215/I9</f>
        <v/>
      </c>
      <c r="J226" s="7" t="n"/>
      <c r="K226" s="5">
        <f>K215/K9</f>
        <v/>
      </c>
      <c r="L226" s="5">
        <f>L215/L9</f>
        <v/>
      </c>
      <c r="M226" s="7" t="n"/>
      <c r="N226" s="5">
        <f>N215/N9</f>
        <v/>
      </c>
      <c r="O226" s="5">
        <f>O215/O9</f>
        <v/>
      </c>
      <c r="P226" s="7" t="n"/>
      <c r="Q226" s="5">
        <f>Q215/Q9</f>
        <v/>
      </c>
      <c r="R226" s="5">
        <f>R215/R9</f>
        <v/>
      </c>
      <c r="S226" s="7" t="n"/>
      <c r="T226" s="5">
        <f>T215/T9</f>
        <v/>
      </c>
      <c r="U226" s="5">
        <f>U215/U9</f>
        <v/>
      </c>
      <c r="V226" s="7" t="n"/>
      <c r="W226" s="5">
        <f>W215/W9</f>
        <v/>
      </c>
      <c r="X226" s="5">
        <f>X215/X9</f>
        <v/>
      </c>
      <c r="Y226" s="7" t="n"/>
      <c r="Z226" s="5">
        <f>Z215/Z9</f>
        <v/>
      </c>
      <c r="AA226" s="5">
        <f>AA215/AA9</f>
        <v/>
      </c>
      <c r="AB226" s="7" t="n"/>
      <c r="AC226" s="5">
        <f>AC215/AC9</f>
        <v/>
      </c>
      <c r="AD226" s="5">
        <f>AD215/AD9</f>
        <v/>
      </c>
      <c r="AE226" s="7" t="n"/>
      <c r="AF226" s="5">
        <f>AF215/AF9</f>
        <v/>
      </c>
      <c r="AG226" s="5">
        <f>AG215/AG9</f>
        <v/>
      </c>
      <c r="AH226" s="7" t="n"/>
      <c r="AI226" s="5">
        <f>AI215/AI9</f>
        <v/>
      </c>
      <c r="AJ226" s="5">
        <f>AJ215/AJ9</f>
        <v/>
      </c>
      <c r="AK226" s="7" t="n"/>
      <c r="AL226" s="21" t="n"/>
      <c r="AM226" s="22">
        <f>AP226-AO226</f>
        <v/>
      </c>
      <c r="AO226" s="44">
        <f>IF($A$1=$B$1,B226,IF($A$1=$E$1,E226,IF($A$1=$H$1,H226,IF($A$1=$K$1,K226,IF($A$1=$N$1,N226,IF($A$1=$Q$1,Q226,IF($A$1=$T$1,T226,IF($A$1=$W$1,W226,IF($A$1=$Z$1,Z226,IF($A$1=$AC$1,AC226,IF($A$1=$AF$1,AF226,IF($A$1=$AI$1,AI226))))))))))))</f>
        <v/>
      </c>
      <c r="AP226" s="44">
        <f>IF($A$1=$B$1,C226,IF($A$1=$E$1,F226,IF($A$1=$H$1,I226,IF($A$1=$K$1,L226,IF($A$1=$N$1,O226,IF($A$1=$Q$1,R226,IF($A$1=$T$1,U226,IF($A$1=$W$1,X226,IF($A$1=$Z$1,AA226,IF($A$1=$AC$1,AD226,IF($A$1=$AF$1,AG226,IF($A$1=$AI$1,AJ226))))))))))))</f>
        <v/>
      </c>
    </row>
    <row r="227" ht="15.5" customHeight="1">
      <c r="A227" s="26" t="inlineStr">
        <is>
          <t xml:space="preserve">ISM </t>
        </is>
      </c>
      <c r="B227" s="5">
        <f>B216/B10</f>
        <v/>
      </c>
      <c r="C227" s="5">
        <f>C216/C10</f>
        <v/>
      </c>
      <c r="D227" s="7" t="n"/>
      <c r="E227" s="5">
        <f>E216/E10</f>
        <v/>
      </c>
      <c r="F227" s="5">
        <f>F216/F10</f>
        <v/>
      </c>
      <c r="G227" s="7" t="n"/>
      <c r="H227" s="5">
        <f>H216/H10</f>
        <v/>
      </c>
      <c r="I227" s="5">
        <f>I216/I10</f>
        <v/>
      </c>
      <c r="J227" s="7" t="n"/>
      <c r="K227" s="5">
        <f>K216/K10</f>
        <v/>
      </c>
      <c r="L227" s="5">
        <f>L216/L10</f>
        <v/>
      </c>
      <c r="M227" s="7" t="n"/>
      <c r="N227" s="5">
        <f>N216/N10</f>
        <v/>
      </c>
      <c r="O227" s="5">
        <f>O216/O10</f>
        <v/>
      </c>
      <c r="P227" s="7" t="n"/>
      <c r="Q227" s="5">
        <f>Q216/Q10</f>
        <v/>
      </c>
      <c r="R227" s="5">
        <f>R216/R10</f>
        <v/>
      </c>
      <c r="S227" s="7" t="n"/>
      <c r="T227" s="5">
        <f>T216/T10</f>
        <v/>
      </c>
      <c r="U227" s="5">
        <f>U216/U10</f>
        <v/>
      </c>
      <c r="V227" s="7" t="n"/>
      <c r="W227" s="5">
        <f>W216/W10</f>
        <v/>
      </c>
      <c r="X227" s="5">
        <f>X216/X10</f>
        <v/>
      </c>
      <c r="Y227" s="7" t="n"/>
      <c r="Z227" s="5">
        <f>Z216/Z10</f>
        <v/>
      </c>
      <c r="AA227" s="5">
        <f>AA216/AA10</f>
        <v/>
      </c>
      <c r="AB227" s="7" t="n"/>
      <c r="AC227" s="476">
        <f>AC216/AC10</f>
        <v/>
      </c>
      <c r="AD227" s="476">
        <f>AD216/AD10</f>
        <v/>
      </c>
      <c r="AE227" s="7" t="n"/>
      <c r="AF227" s="5">
        <f>AF216/AF10</f>
        <v/>
      </c>
      <c r="AG227" s="5">
        <f>AG216/AG10</f>
        <v/>
      </c>
      <c r="AH227" s="7" t="n"/>
      <c r="AI227" s="5">
        <f>AI216/AI10</f>
        <v/>
      </c>
      <c r="AJ227" s="5">
        <f>AJ216/AJ10</f>
        <v/>
      </c>
      <c r="AK227" s="7" t="n"/>
      <c r="AL227" s="21" t="n"/>
      <c r="AM227" s="22">
        <f>AP227-AO227</f>
        <v/>
      </c>
      <c r="AO227" s="44">
        <f>IF($A$1=$B$1,B227,IF($A$1=$E$1,E227,IF($A$1=$H$1,H227,IF($A$1=$K$1,K227,IF($A$1=$N$1,N227,IF($A$1=$Q$1,Q227,IF($A$1=$T$1,T227,IF($A$1=$W$1,W227,IF($A$1=$Z$1,Z227,IF($A$1=$AC$1,AC227,IF($A$1=$AF$1,AF227,IF($A$1=$AI$1,AI227))))))))))))</f>
        <v/>
      </c>
      <c r="AP227" s="44">
        <f>IF($A$1=$B$1,C227,IF($A$1=$E$1,F227,IF($A$1=$H$1,I227,IF($A$1=$K$1,L227,IF($A$1=$N$1,O227,IF($A$1=$Q$1,R227,IF($A$1=$T$1,U227,IF($A$1=$W$1,X227,IF($A$1=$Z$1,AA227,IF($A$1=$AC$1,AD227,IF($A$1=$AF$1,AG227,IF($A$1=$AI$1,AJ227))))))))))))</f>
        <v/>
      </c>
    </row>
    <row r="228" ht="15.5" customHeight="1">
      <c r="A228" s="26" t="inlineStr">
        <is>
          <t>İncitaş</t>
        </is>
      </c>
      <c r="B228" s="5">
        <f>B217/B11</f>
        <v/>
      </c>
      <c r="C228" s="5">
        <f>C217/C11</f>
        <v/>
      </c>
      <c r="D228" s="7" t="n"/>
      <c r="E228" s="5">
        <f>E217/E11</f>
        <v/>
      </c>
      <c r="F228" s="5">
        <f>F217/F11</f>
        <v/>
      </c>
      <c r="G228" s="7" t="n"/>
      <c r="H228" s="5">
        <f>H217/H11</f>
        <v/>
      </c>
      <c r="I228" s="5">
        <f>I217/I11</f>
        <v/>
      </c>
      <c r="J228" s="7" t="n"/>
      <c r="K228" s="5">
        <f>K217/K11</f>
        <v/>
      </c>
      <c r="L228" s="5">
        <f>L217/L11</f>
        <v/>
      </c>
      <c r="M228" s="7" t="n"/>
      <c r="N228" s="5">
        <f>N217/N11</f>
        <v/>
      </c>
      <c r="O228" s="5">
        <f>O217/O11</f>
        <v/>
      </c>
      <c r="P228" s="7" t="n"/>
      <c r="Q228" s="5">
        <f>Q217/Q11</f>
        <v/>
      </c>
      <c r="R228" s="5">
        <f>R217/R11</f>
        <v/>
      </c>
      <c r="S228" s="7" t="n"/>
      <c r="T228" s="5">
        <f>T217/T11</f>
        <v/>
      </c>
      <c r="U228" s="5">
        <f>U217/U11</f>
        <v/>
      </c>
      <c r="V228" s="7" t="n"/>
      <c r="W228" s="5">
        <f>W217/W11</f>
        <v/>
      </c>
      <c r="X228" s="5">
        <f>X217/X11</f>
        <v/>
      </c>
      <c r="Y228" s="7" t="n"/>
      <c r="Z228" s="5">
        <f>Z217/Z11</f>
        <v/>
      </c>
      <c r="AA228" s="5">
        <f>AA217/AA11</f>
        <v/>
      </c>
      <c r="AB228" s="7" t="n"/>
      <c r="AC228" s="476">
        <f>AC217/AC11</f>
        <v/>
      </c>
      <c r="AD228" s="476">
        <f>AD217/AD11</f>
        <v/>
      </c>
      <c r="AE228" s="7" t="n"/>
      <c r="AF228" s="5">
        <f>AF217/AF11</f>
        <v/>
      </c>
      <c r="AG228" s="5">
        <f>AG217/AG11</f>
        <v/>
      </c>
      <c r="AH228" s="7" t="n"/>
      <c r="AI228" s="5">
        <f>AI217/AI11</f>
        <v/>
      </c>
      <c r="AJ228" s="5">
        <f>AJ217/AJ11</f>
        <v/>
      </c>
      <c r="AK228" s="7" t="n"/>
      <c r="AL228" s="21" t="n"/>
      <c r="AM228" s="22">
        <f>AP228-AO228</f>
        <v/>
      </c>
      <c r="AO228" s="44">
        <f>IF($A$1=$B$1,B228,IF($A$1=$E$1,E228,IF($A$1=$H$1,H228,IF($A$1=$K$1,K228,IF($A$1=$N$1,N228,IF($A$1=$Q$1,Q228,IF($A$1=$T$1,T228,IF($A$1=$W$1,W228,IF($A$1=$Z$1,Z228,IF($A$1=$AC$1,AC228,IF($A$1=$AF$1,AF228,IF($A$1=$AI$1,AI228))))))))))))</f>
        <v/>
      </c>
      <c r="AP228" s="44">
        <f>IF($A$1=$B$1,C228,IF($A$1=$E$1,F228,IF($A$1=$H$1,I228,IF($A$1=$K$1,L228,IF($A$1=$N$1,O228,IF($A$1=$Q$1,R228,IF($A$1=$T$1,U228,IF($A$1=$W$1,X228,IF($A$1=$Z$1,AA228,IF($A$1=$AC$1,AD228,IF($A$1=$AF$1,AG228,IF($A$1=$AI$1,AJ228))))))))))))</f>
        <v/>
      </c>
    </row>
    <row r="229" ht="15.5" customHeight="1">
      <c r="A229" s="26" t="inlineStr">
        <is>
          <t>İnci GS Yuasa</t>
        </is>
      </c>
      <c r="B229" s="5">
        <f>B218/B12</f>
        <v/>
      </c>
      <c r="C229" s="5">
        <f>C218/C12</f>
        <v/>
      </c>
      <c r="D229" s="7" t="n"/>
      <c r="E229" s="5">
        <f>E218/E12</f>
        <v/>
      </c>
      <c r="F229" s="5">
        <f>F218/F12</f>
        <v/>
      </c>
      <c r="G229" s="7" t="n"/>
      <c r="H229" s="5">
        <f>H218/H12</f>
        <v/>
      </c>
      <c r="I229" s="5">
        <f>I218/I12</f>
        <v/>
      </c>
      <c r="J229" s="7" t="n"/>
      <c r="K229" s="5">
        <f>K218/K12</f>
        <v/>
      </c>
      <c r="L229" s="5">
        <f>L218/L12</f>
        <v/>
      </c>
      <c r="M229" s="7" t="n"/>
      <c r="N229" s="5">
        <f>N218/N12</f>
        <v/>
      </c>
      <c r="O229" s="5">
        <f>O218/O12</f>
        <v/>
      </c>
      <c r="P229" s="7" t="n"/>
      <c r="Q229" s="5">
        <f>Q218/Q12</f>
        <v/>
      </c>
      <c r="R229" s="5">
        <f>R218/R12</f>
        <v/>
      </c>
      <c r="S229" s="7" t="n"/>
      <c r="T229" s="5">
        <f>T218/T12</f>
        <v/>
      </c>
      <c r="U229" s="5">
        <f>U218/U12</f>
        <v/>
      </c>
      <c r="V229" s="7" t="n"/>
      <c r="W229" s="5">
        <f>W218/W12</f>
        <v/>
      </c>
      <c r="X229" s="5">
        <f>X218/X12</f>
        <v/>
      </c>
      <c r="Y229" s="7" t="n"/>
      <c r="Z229" s="5">
        <f>Z218/Z12</f>
        <v/>
      </c>
      <c r="AA229" s="5">
        <f>AA218/AA12</f>
        <v/>
      </c>
      <c r="AB229" s="7" t="n"/>
      <c r="AC229" s="476">
        <f>AC218/AC12</f>
        <v/>
      </c>
      <c r="AD229" s="476">
        <f>AD218/AD12</f>
        <v/>
      </c>
      <c r="AE229" s="7" t="n"/>
      <c r="AF229" s="5">
        <f>AF218/AF12</f>
        <v/>
      </c>
      <c r="AG229" s="5">
        <f>AG218/AG12</f>
        <v/>
      </c>
      <c r="AH229" s="7" t="n"/>
      <c r="AI229" s="5">
        <f>AI218/AI12</f>
        <v/>
      </c>
      <c r="AJ229" s="5">
        <f>AJ218/AJ12</f>
        <v/>
      </c>
      <c r="AK229" s="7" t="n"/>
      <c r="AL229" s="21" t="n"/>
      <c r="AM229" s="22">
        <f>AP229-AO229</f>
        <v/>
      </c>
      <c r="AO229" s="44">
        <f>IF($A$1=$B$1,B229,IF($A$1=$E$1,E229,IF($A$1=$H$1,H229,IF($A$1=$K$1,K229,IF($A$1=$N$1,N229,IF($A$1=$Q$1,Q229,IF($A$1=$T$1,T229,IF($A$1=$W$1,W229,IF($A$1=$Z$1,Z229,IF($A$1=$AC$1,AC229,IF($A$1=$AF$1,AF229,IF($A$1=$AI$1,AI229))))))))))))</f>
        <v/>
      </c>
      <c r="AP229" s="44">
        <f>IF($A$1=$B$1,C229,IF($A$1=$E$1,F229,IF($A$1=$H$1,I229,IF($A$1=$K$1,L229,IF($A$1=$N$1,O229,IF($A$1=$Q$1,R229,IF($A$1=$T$1,U229,IF($A$1=$W$1,X229,IF($A$1=$Z$1,AA229,IF($A$1=$AC$1,AD229,IF($A$1=$AF$1,AG229,IF($A$1=$AI$1,AJ229))))))))))))</f>
        <v/>
      </c>
    </row>
    <row r="230" ht="15.5" customFormat="1" customHeight="1" s="1">
      <c r="A230" s="26" t="inlineStr">
        <is>
          <t>Yusen İnci Loj.</t>
        </is>
      </c>
      <c r="B230" s="5">
        <f>B219/B13</f>
        <v/>
      </c>
      <c r="C230" s="5">
        <f>C219/C13</f>
        <v/>
      </c>
      <c r="D230" s="8" t="n"/>
      <c r="E230" s="5">
        <f>E219/E13</f>
        <v/>
      </c>
      <c r="F230" s="5">
        <f>F219/F13</f>
        <v/>
      </c>
      <c r="G230" s="8" t="n"/>
      <c r="H230" s="5">
        <f>H219/H13</f>
        <v/>
      </c>
      <c r="I230" s="5">
        <f>I219/I13</f>
        <v/>
      </c>
      <c r="J230" s="8" t="n"/>
      <c r="K230" s="5">
        <f>K219/K13</f>
        <v/>
      </c>
      <c r="L230" s="5">
        <f>L219/L13</f>
        <v/>
      </c>
      <c r="M230" s="8" t="n"/>
      <c r="N230" s="5">
        <f>N219/N13</f>
        <v/>
      </c>
      <c r="O230" s="5">
        <f>O219/O13</f>
        <v/>
      </c>
      <c r="P230" s="8" t="n"/>
      <c r="Q230" s="5">
        <f>Q219/Q13</f>
        <v/>
      </c>
      <c r="R230" s="5">
        <f>R219/R13</f>
        <v/>
      </c>
      <c r="S230" s="8" t="n"/>
      <c r="T230" s="5">
        <f>T219/T13</f>
        <v/>
      </c>
      <c r="U230" s="5">
        <f>U219/U13</f>
        <v/>
      </c>
      <c r="V230" s="8" t="n"/>
      <c r="W230" s="5">
        <f>W219/W13</f>
        <v/>
      </c>
      <c r="X230" s="5">
        <f>X219/X13</f>
        <v/>
      </c>
      <c r="Y230" s="8" t="n"/>
      <c r="Z230" s="5">
        <f>Z219/Z13</f>
        <v/>
      </c>
      <c r="AA230" s="5">
        <f>AA219/AA13</f>
        <v/>
      </c>
      <c r="AB230" s="8" t="n"/>
      <c r="AC230" s="476">
        <f>AC219/AC13</f>
        <v/>
      </c>
      <c r="AD230" s="476">
        <f>AD219/AD13</f>
        <v/>
      </c>
      <c r="AE230" s="8" t="n"/>
      <c r="AF230" s="5">
        <f>AF219/AF13</f>
        <v/>
      </c>
      <c r="AG230" s="5">
        <f>AG219/AG13</f>
        <v/>
      </c>
      <c r="AH230" s="8" t="n"/>
      <c r="AI230" s="5">
        <f>AI219/AI13</f>
        <v/>
      </c>
      <c r="AJ230" s="5">
        <f>AJ219/AJ13</f>
        <v/>
      </c>
      <c r="AK230" s="8" t="n"/>
      <c r="AL230" s="15" t="n"/>
      <c r="AM230" s="22">
        <f>AP230-AO230</f>
        <v/>
      </c>
      <c r="AO230" s="44">
        <f>IF($A$1=$B$1,B230,IF($A$1=$E$1,E230,IF($A$1=$H$1,H230,IF($A$1=$K$1,K230,IF($A$1=$N$1,N230,IF($A$1=$Q$1,Q230,IF($A$1=$T$1,T230,IF($A$1=$W$1,W230,IF($A$1=$Z$1,Z230,IF($A$1=$AC$1,AC230,IF($A$1=$AF$1,AF230,IF($A$1=$AI$1,AI230))))))))))))</f>
        <v/>
      </c>
      <c r="AP230" s="44">
        <f>IF($A$1=$B$1,C230,IF($A$1=$E$1,F230,IF($A$1=$H$1,I230,IF($A$1=$K$1,L230,IF($A$1=$N$1,O230,IF($A$1=$Q$1,R230,IF($A$1=$T$1,U230,IF($A$1=$W$1,X230,IF($A$1=$Z$1,AA230,IF($A$1=$AC$1,AD230,IF($A$1=$AF$1,AG230,IF($A$1=$AI$1,AJ230))))))))))))</f>
        <v/>
      </c>
    </row>
    <row r="231" ht="15.5" customHeight="1">
      <c r="A231" s="26" t="inlineStr">
        <is>
          <t>Jantaş</t>
        </is>
      </c>
      <c r="B231" s="5">
        <f>B220/B14</f>
        <v/>
      </c>
      <c r="C231" s="5">
        <f>C220/C14</f>
        <v/>
      </c>
      <c r="D231" s="7" t="n"/>
      <c r="E231" s="5">
        <f>E220/E14</f>
        <v/>
      </c>
      <c r="F231" s="5">
        <f>F220/F14</f>
        <v/>
      </c>
      <c r="G231" s="7" t="n"/>
      <c r="H231" s="5">
        <f>H220/H14</f>
        <v/>
      </c>
      <c r="I231" s="5">
        <f>I220/I14</f>
        <v/>
      </c>
      <c r="J231" s="7" t="n"/>
      <c r="K231" s="5">
        <f>K220/K14</f>
        <v/>
      </c>
      <c r="L231" s="5">
        <f>L220/L14</f>
        <v/>
      </c>
      <c r="M231" s="7" t="n"/>
      <c r="N231" s="5">
        <f>N220/N14</f>
        <v/>
      </c>
      <c r="O231" s="5">
        <f>O220/O14</f>
        <v/>
      </c>
      <c r="P231" s="7" t="n"/>
      <c r="Q231" s="5">
        <f>Q220/Q14</f>
        <v/>
      </c>
      <c r="R231" s="5">
        <f>R220/R14</f>
        <v/>
      </c>
      <c r="S231" s="7" t="n"/>
      <c r="T231" s="5">
        <f>T220/T14</f>
        <v/>
      </c>
      <c r="U231" s="5">
        <f>U220/U14</f>
        <v/>
      </c>
      <c r="V231" s="7" t="n"/>
      <c r="W231" s="5">
        <f>W220/W14</f>
        <v/>
      </c>
      <c r="X231" s="5">
        <f>X220/X14</f>
        <v/>
      </c>
      <c r="Y231" s="7" t="n"/>
      <c r="Z231" s="5">
        <f>Z220/Z14</f>
        <v/>
      </c>
      <c r="AA231" s="5">
        <f>AA220/AA14</f>
        <v/>
      </c>
      <c r="AB231" s="7" t="n"/>
      <c r="AC231" s="476">
        <f>AC220/AC14</f>
        <v/>
      </c>
      <c r="AD231" s="476">
        <f>AD220/AD14</f>
        <v/>
      </c>
      <c r="AE231" s="7" t="n"/>
      <c r="AF231" s="5">
        <f>AF220/AF14</f>
        <v/>
      </c>
      <c r="AG231" s="5">
        <f>AG220/AG14</f>
        <v/>
      </c>
      <c r="AH231" s="7" t="n"/>
      <c r="AI231" s="5">
        <f>AI220/AI14</f>
        <v/>
      </c>
      <c r="AJ231" s="5">
        <f>AJ220/AJ14</f>
        <v/>
      </c>
      <c r="AK231" s="7" t="n"/>
      <c r="AL231" s="21" t="n"/>
      <c r="AM231" s="22">
        <f>AP231-AO231</f>
        <v/>
      </c>
      <c r="AO231" s="44">
        <f>IF($A$1=$B$1,B231,IF($A$1=$E$1,E231,IF($A$1=$H$1,H231,IF($A$1=$K$1,K231,IF($A$1=$N$1,N231,IF($A$1=$Q$1,Q231,IF($A$1=$T$1,T231,IF($A$1=$W$1,W231,IF($A$1=$Z$1,Z231,IF($A$1=$AC$1,AC231,IF($A$1=$AF$1,AF231,IF($A$1=$AI$1,AI231))))))))))))</f>
        <v/>
      </c>
      <c r="AP231" s="44">
        <f>IF($A$1=$B$1,C231,IF($A$1=$E$1,F231,IF($A$1=$H$1,I231,IF($A$1=$K$1,L231,IF($A$1=$N$1,O231,IF($A$1=$Q$1,R231,IF($A$1=$T$1,U231,IF($A$1=$W$1,X231,IF($A$1=$Z$1,AA231,IF($A$1=$AC$1,AD231,IF($A$1=$AF$1,AG231,IF($A$1=$AI$1,AJ231))))))))))))</f>
        <v/>
      </c>
    </row>
    <row r="232" ht="15.5" customFormat="1" customHeight="1" s="1">
      <c r="A232" s="26" t="inlineStr">
        <is>
          <t>Çelik</t>
        </is>
      </c>
      <c r="B232" s="5">
        <f>B221/B15</f>
        <v/>
      </c>
      <c r="C232" s="5">
        <f>C221/C15</f>
        <v/>
      </c>
      <c r="D232" s="8" t="n"/>
      <c r="E232" s="5">
        <f>E221/E15</f>
        <v/>
      </c>
      <c r="F232" s="5">
        <f>F221/F15</f>
        <v/>
      </c>
      <c r="G232" s="8" t="n"/>
      <c r="H232" s="5">
        <f>H221/H15</f>
        <v/>
      </c>
      <c r="I232" s="5">
        <f>I221/I15</f>
        <v/>
      </c>
      <c r="J232" s="8" t="n"/>
      <c r="K232" s="5">
        <f>K221/K15</f>
        <v/>
      </c>
      <c r="L232" s="5">
        <f>L221/L15</f>
        <v/>
      </c>
      <c r="M232" s="8" t="n"/>
      <c r="N232" s="5">
        <f>N221/N15</f>
        <v/>
      </c>
      <c r="O232" s="5">
        <f>O221/O15</f>
        <v/>
      </c>
      <c r="P232" s="8" t="n"/>
      <c r="Q232" s="5">
        <f>Q221/Q15</f>
        <v/>
      </c>
      <c r="R232" s="5">
        <f>R221/R15</f>
        <v/>
      </c>
      <c r="S232" s="8" t="n"/>
      <c r="T232" s="5">
        <f>T221/T15</f>
        <v/>
      </c>
      <c r="U232" s="5">
        <f>U221/U15</f>
        <v/>
      </c>
      <c r="V232" s="8" t="n"/>
      <c r="W232" s="5">
        <f>W221/W15</f>
        <v/>
      </c>
      <c r="X232" s="5">
        <f>X221/X15</f>
        <v/>
      </c>
      <c r="Y232" s="8" t="n"/>
      <c r="Z232" s="5">
        <f>Z221/Z15</f>
        <v/>
      </c>
      <c r="AA232" s="5">
        <f>AA221/AA15</f>
        <v/>
      </c>
      <c r="AB232" s="8" t="n"/>
      <c r="AC232" s="476">
        <f>AC221/AC15</f>
        <v/>
      </c>
      <c r="AD232" s="476">
        <f>AD221/AD15</f>
        <v/>
      </c>
      <c r="AE232" s="8" t="n"/>
      <c r="AF232" s="5">
        <f>AF221/AF15</f>
        <v/>
      </c>
      <c r="AG232" s="5">
        <f>AG221/AG15</f>
        <v/>
      </c>
      <c r="AH232" s="8" t="n"/>
      <c r="AI232" s="5">
        <f>AI221/AI15</f>
        <v/>
      </c>
      <c r="AJ232" s="5">
        <f>AJ221/AJ15</f>
        <v/>
      </c>
      <c r="AK232" s="8" t="n"/>
      <c r="AL232" s="15" t="n"/>
      <c r="AM232" s="22">
        <f>AP232-AO232</f>
        <v/>
      </c>
      <c r="AO232" s="44">
        <f>IF($A$1=$B$1,B232,IF($A$1=$E$1,E232,IF($A$1=$H$1,H232,IF($A$1=$K$1,K232,IF($A$1=$N$1,N232,IF($A$1=$Q$1,Q232,IF($A$1=$T$1,T232,IF($A$1=$W$1,W232,IF($A$1=$Z$1,Z232,IF($A$1=$AC$1,AC232,IF($A$1=$AF$1,AF232,IF($A$1=$AI$1,AI232))))))))))))</f>
        <v/>
      </c>
      <c r="AP232" s="44">
        <f>IF($A$1=$B$1,C232,IF($A$1=$E$1,F232,IF($A$1=$H$1,I232,IF($A$1=$K$1,L232,IF($A$1=$N$1,O232,IF($A$1=$Q$1,R232,IF($A$1=$T$1,U232,IF($A$1=$W$1,X232,IF($A$1=$Z$1,AA232,IF($A$1=$AC$1,AD232,IF($A$1=$AF$1,AG232,IF($A$1=$AI$1,AJ232))))))))))))</f>
        <v/>
      </c>
    </row>
    <row r="233" ht="15.5" customFormat="1" customHeight="1" s="1">
      <c r="A233" s="26" t="inlineStr">
        <is>
          <t>Alüminyum</t>
        </is>
      </c>
      <c r="B233" s="5">
        <f>B222/B16</f>
        <v/>
      </c>
      <c r="C233" s="5">
        <f>C222/C16</f>
        <v/>
      </c>
      <c r="D233" s="8" t="n"/>
      <c r="E233" s="5">
        <f>E222/E16</f>
        <v/>
      </c>
      <c r="F233" s="5">
        <f>F222/F16</f>
        <v/>
      </c>
      <c r="G233" s="8" t="n"/>
      <c r="H233" s="5">
        <f>H222/H16</f>
        <v/>
      </c>
      <c r="I233" s="5">
        <f>I222/I16</f>
        <v/>
      </c>
      <c r="J233" s="8" t="n"/>
      <c r="K233" s="5">
        <f>K222/K16</f>
        <v/>
      </c>
      <c r="L233" s="5">
        <f>L222/L16</f>
        <v/>
      </c>
      <c r="M233" s="8" t="n"/>
      <c r="N233" s="5">
        <f>N222/N16</f>
        <v/>
      </c>
      <c r="O233" s="5">
        <f>O222/O16</f>
        <v/>
      </c>
      <c r="P233" s="8" t="n"/>
      <c r="Q233" s="5">
        <f>Q222/Q16</f>
        <v/>
      </c>
      <c r="R233" s="5">
        <f>R222/R16</f>
        <v/>
      </c>
      <c r="S233" s="8" t="n"/>
      <c r="T233" s="5">
        <f>T222/T16</f>
        <v/>
      </c>
      <c r="U233" s="5">
        <f>U222/U16</f>
        <v/>
      </c>
      <c r="V233" s="8" t="n"/>
      <c r="W233" s="5">
        <f>W222/W16</f>
        <v/>
      </c>
      <c r="X233" s="5">
        <f>X222/X16</f>
        <v/>
      </c>
      <c r="Y233" s="8" t="n"/>
      <c r="Z233" s="5">
        <f>Z222/Z16</f>
        <v/>
      </c>
      <c r="AA233" s="5">
        <f>AA222/AA16</f>
        <v/>
      </c>
      <c r="AB233" s="8" t="n"/>
      <c r="AC233" s="476">
        <f>AC222/AC16</f>
        <v/>
      </c>
      <c r="AD233" s="476">
        <f>AD222/AD16</f>
        <v/>
      </c>
      <c r="AE233" s="8" t="n"/>
      <c r="AF233" s="5">
        <f>AF222/AF16</f>
        <v/>
      </c>
      <c r="AG233" s="5">
        <f>AG222/AG16</f>
        <v/>
      </c>
      <c r="AH233" s="8" t="n"/>
      <c r="AI233" s="5">
        <f>AI222/AI16</f>
        <v/>
      </c>
      <c r="AJ233" s="5">
        <f>AJ222/AJ16</f>
        <v/>
      </c>
      <c r="AK233" s="8" t="n"/>
      <c r="AL233" s="15" t="n"/>
      <c r="AM233" s="22">
        <f>AP233-AO233</f>
        <v/>
      </c>
      <c r="AO233" s="44">
        <f>IF($A$1=$B$1,B233,IF($A$1=$E$1,E233,IF($A$1=$H$1,H233,IF($A$1=$K$1,K233,IF($A$1=$N$1,N233,IF($A$1=$Q$1,Q233,IF($A$1=$T$1,T233,IF($A$1=$W$1,W233,IF($A$1=$Z$1,Z233,IF($A$1=$AC$1,AC233,IF($A$1=$AF$1,AF233,IF($A$1=$AI$1,AI233))))))))))))</f>
        <v/>
      </c>
      <c r="AP233" s="44">
        <f>IF($A$1=$B$1,C233,IF($A$1=$E$1,F233,IF($A$1=$H$1,I233,IF($A$1=$K$1,L233,IF($A$1=$N$1,O233,IF($A$1=$Q$1,R233,IF($A$1=$T$1,U233,IF($A$1=$W$1,X233,IF($A$1=$Z$1,AA233,IF($A$1=$AC$1,AD233,IF($A$1=$AF$1,AG233,IF($A$1=$AI$1,AJ233))))))))))))</f>
        <v/>
      </c>
    </row>
    <row r="234" ht="15.5" customFormat="1" customHeight="1" s="1">
      <c r="A234" s="26" t="n"/>
      <c r="B234" s="7" t="n"/>
      <c r="C234" s="8" t="n"/>
      <c r="D234" s="8" t="n"/>
      <c r="E234" s="7" t="n"/>
      <c r="F234" s="8" t="n"/>
      <c r="G234" s="8" t="n"/>
      <c r="H234" s="7" t="n"/>
      <c r="I234" s="8" t="n"/>
      <c r="J234" s="8" t="n"/>
      <c r="K234" s="7" t="n"/>
      <c r="L234" s="8" t="n"/>
      <c r="M234" s="8" t="n"/>
      <c r="N234" s="7" t="n"/>
      <c r="O234" s="8" t="n"/>
      <c r="P234" s="8" t="n"/>
      <c r="Q234" s="7" t="n"/>
      <c r="R234" s="8" t="n"/>
      <c r="S234" s="8" t="n"/>
      <c r="T234" s="7" t="n"/>
      <c r="U234" s="8" t="n"/>
      <c r="V234" s="8" t="n"/>
      <c r="W234" s="7" t="n"/>
      <c r="X234" s="8" t="n"/>
      <c r="Y234" s="8" t="n"/>
      <c r="Z234" s="7" t="n"/>
      <c r="AA234" s="8" t="n"/>
      <c r="AB234" s="8" t="n"/>
      <c r="AC234" s="7" t="n"/>
      <c r="AD234" s="8" t="n"/>
      <c r="AE234" s="8" t="n"/>
      <c r="AF234" s="7" t="n"/>
      <c r="AG234" s="8" t="n"/>
      <c r="AH234" s="8" t="n"/>
      <c r="AI234" s="7" t="n"/>
      <c r="AJ234" s="8" t="n"/>
      <c r="AK234" s="8" t="n"/>
      <c r="AL234" s="15" t="n"/>
      <c r="AM234" s="16" t="n"/>
      <c r="AO234" s="44" t="n"/>
      <c r="AP234" s="44" t="n"/>
    </row>
    <row r="235" ht="15.5" customFormat="1" customHeight="1" s="1">
      <c r="A235" s="26" t="n"/>
      <c r="B235" s="7" t="n"/>
      <c r="C235" s="8" t="n"/>
      <c r="D235" s="8" t="n"/>
      <c r="E235" s="7" t="n"/>
      <c r="F235" s="8" t="n"/>
      <c r="G235" s="8" t="n"/>
      <c r="H235" s="7" t="n"/>
      <c r="I235" s="8" t="n"/>
      <c r="J235" s="8" t="n"/>
      <c r="K235" s="7" t="n"/>
      <c r="L235" s="8" t="n"/>
      <c r="M235" s="8" t="n"/>
      <c r="N235" s="7" t="n"/>
      <c r="O235" s="8" t="n"/>
      <c r="P235" s="8" t="n"/>
      <c r="Q235" s="7" t="n"/>
      <c r="R235" s="8" t="n"/>
      <c r="S235" s="8" t="n"/>
      <c r="T235" s="7" t="n"/>
      <c r="U235" s="8" t="n"/>
      <c r="V235" s="8" t="n"/>
      <c r="W235" s="7" t="n"/>
      <c r="X235" s="8" t="n"/>
      <c r="Y235" s="8" t="n"/>
      <c r="Z235" s="7" t="n"/>
      <c r="AA235" s="8" t="n"/>
      <c r="AB235" s="8" t="n"/>
      <c r="AC235" s="7" t="n"/>
      <c r="AD235" s="8" t="n"/>
      <c r="AE235" s="8" t="n"/>
      <c r="AF235" s="7" t="n"/>
      <c r="AG235" s="8" t="n"/>
      <c r="AH235" s="8" t="n"/>
      <c r="AI235" s="7" t="n"/>
      <c r="AJ235" s="8" t="n"/>
      <c r="AK235" s="8" t="n"/>
      <c r="AL235" s="15" t="n"/>
      <c r="AM235" s="16" t="n"/>
      <c r="AO235" s="44" t="n"/>
      <c r="AP235" s="44" t="n"/>
    </row>
    <row r="236" ht="15.5" customFormat="1" customHeight="1" s="44">
      <c r="A236" s="31" t="inlineStr">
        <is>
          <t>Kredi</t>
        </is>
      </c>
      <c r="B236" s="32">
        <f>'Bütçe aylık-Eur'!$B$147</f>
        <v/>
      </c>
      <c r="C236" s="32">
        <f>'gerç aylık-eur'!$B$146</f>
        <v/>
      </c>
      <c r="D236" s="18" t="n"/>
      <c r="E236" s="32">
        <f>'Bütçe aylık-Eur'!$C$147</f>
        <v/>
      </c>
      <c r="F236" s="32">
        <f>'gerç aylık-eur'!$C$146</f>
        <v/>
      </c>
      <c r="G236" s="18" t="n"/>
      <c r="H236" s="32">
        <f>'Bütçe aylık-Eur'!$D$147</f>
        <v/>
      </c>
      <c r="I236" s="32">
        <f>'gerç aylık-eur'!$D$146</f>
        <v/>
      </c>
      <c r="J236" s="18" t="n"/>
      <c r="K236" s="32">
        <f>'Bütçe aylık-Eur'!$E$147</f>
        <v/>
      </c>
      <c r="L236" s="32">
        <f>'gerç aylık-eur'!$E$146</f>
        <v/>
      </c>
      <c r="M236" s="18" t="n"/>
      <c r="N236" s="32">
        <f>'Bütçe aylık-Eur'!$F$147</f>
        <v/>
      </c>
      <c r="O236" s="32">
        <f>'gerç aylık-eur'!$F$146</f>
        <v/>
      </c>
      <c r="P236" s="18" t="n"/>
      <c r="Q236" s="32">
        <f>'Bütçe aylık-Eur'!$G$147</f>
        <v/>
      </c>
      <c r="R236" s="32">
        <f>'gerç aylık-eur'!$G$146</f>
        <v/>
      </c>
      <c r="S236" s="18" t="n"/>
      <c r="T236" s="32">
        <f>'Bütçe aylık-Eur'!$H$147</f>
        <v/>
      </c>
      <c r="U236" s="32">
        <f>'gerç aylık-eur'!$H$146</f>
        <v/>
      </c>
      <c r="V236" s="18" t="n"/>
      <c r="W236" s="32">
        <f>'Bütçe aylık-Eur'!$I$147</f>
        <v/>
      </c>
      <c r="X236" s="32">
        <f>'gerç aylık-eur'!$I$146</f>
        <v/>
      </c>
      <c r="Y236" s="18" t="n"/>
      <c r="Z236" s="32">
        <f>'Bütçe aylık-Eur'!$J$147</f>
        <v/>
      </c>
      <c r="AA236" s="32">
        <f>'gerç aylık-eur'!$J$146</f>
        <v/>
      </c>
      <c r="AB236" s="18" t="n"/>
      <c r="AC236" s="32">
        <f>'Bütçe aylık-Eur'!$K$147</f>
        <v/>
      </c>
      <c r="AD236" s="32">
        <f>'gerç aylık-eur'!$K$146</f>
        <v/>
      </c>
      <c r="AE236" s="18" t="n"/>
      <c r="AF236" s="32">
        <f>'Bütçe aylık-Eur'!$L$147</f>
        <v/>
      </c>
      <c r="AG236" s="32">
        <f>'gerç aylık-eur'!$L$146</f>
        <v/>
      </c>
      <c r="AH236" s="18" t="n"/>
      <c r="AI236" s="32">
        <f>'Bütçe aylık-Eur'!$M$147</f>
        <v/>
      </c>
      <c r="AJ236" s="32">
        <f>'gerç aylık-eur'!$M$146</f>
        <v/>
      </c>
      <c r="AK236" s="18" t="n"/>
      <c r="AL236" s="33">
        <f>AP236-AO236</f>
        <v/>
      </c>
      <c r="AM236" s="34">
        <f>AP236/AO236-1</f>
        <v/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/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/>
      </c>
    </row>
    <row r="237" ht="15.5" customFormat="1" customHeight="1" s="13">
      <c r="A237" s="27" t="n"/>
      <c r="B237" s="30" t="n"/>
      <c r="C237" s="30" t="n"/>
      <c r="D237" s="41" t="n"/>
      <c r="E237" s="30" t="n"/>
      <c r="F237" s="30" t="n"/>
      <c r="G237" s="41" t="n"/>
      <c r="H237" s="30" t="n"/>
      <c r="I237" s="30" t="n"/>
      <c r="J237" s="41" t="n"/>
      <c r="K237" s="30" t="n"/>
      <c r="L237" s="30" t="n"/>
      <c r="M237" s="41" t="n"/>
      <c r="N237" s="30" t="n"/>
      <c r="O237" s="30" t="n"/>
      <c r="P237" s="41" t="n"/>
      <c r="Q237" s="30" t="n"/>
      <c r="R237" s="30" t="n"/>
      <c r="S237" s="41" t="n"/>
      <c r="T237" s="30" t="n"/>
      <c r="U237" s="30" t="n"/>
      <c r="V237" s="41" t="n"/>
      <c r="W237" s="30" t="n"/>
      <c r="X237" s="30" t="n"/>
      <c r="Y237" s="41" t="n"/>
      <c r="Z237" s="30" t="n"/>
      <c r="AA237" s="30" t="n"/>
      <c r="AB237" s="41" t="n"/>
      <c r="AC237" s="30" t="n"/>
      <c r="AD237" s="30" t="n"/>
      <c r="AE237" s="41" t="n"/>
      <c r="AF237" s="30" t="n"/>
      <c r="AG237" s="30" t="n"/>
      <c r="AH237" s="41" t="n"/>
      <c r="AI237" s="30" t="n"/>
      <c r="AJ237" s="30" t="n"/>
      <c r="AK237" s="41" t="n"/>
      <c r="AL237" s="15" t="n"/>
      <c r="AM237" s="22" t="n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/>
      </c>
      <c r="AP237" s="44">
        <f>IF($A$1=$B$1,C237,IF($A$1=$E$1,F237,IF($A$1=$H$1,I237,IF($A$1=$K$1,L237,IF($A$1=$N$1,O237,IF($A$1=$Q$1,R237,IF($A$1=$T$1,U237,IF($A$1=$W$1,X237,IF($A$1=$Z$1,AA237,IF($A$1=$AC$1,AD237,IF($A$1=$AF$1,AG237,IF($A$1=$AI$1,AJ237))))))))))))</f>
        <v/>
      </c>
    </row>
    <row r="238" ht="17" customFormat="1" customHeight="1" s="49">
      <c r="A238" s="47" t="inlineStr">
        <is>
          <t>Kredi (100%)</t>
        </is>
      </c>
      <c r="B238" s="413" t="n"/>
      <c r="C238" s="413" t="n"/>
      <c r="D238" s="413" t="n"/>
      <c r="E238" s="413" t="n"/>
      <c r="F238" s="413" t="n"/>
      <c r="G238" s="413" t="n"/>
      <c r="H238" s="413" t="n"/>
      <c r="I238" s="413" t="n"/>
      <c r="J238" s="413" t="n"/>
      <c r="K238" s="413" t="n"/>
      <c r="L238" s="413" t="n"/>
      <c r="M238" s="413" t="n"/>
      <c r="N238" s="413" t="n"/>
      <c r="O238" s="413" t="n"/>
      <c r="P238" s="413" t="n"/>
      <c r="Q238" s="413" t="n"/>
      <c r="R238" s="413" t="n"/>
      <c r="S238" s="413" t="n"/>
      <c r="T238" s="413" t="n"/>
      <c r="U238" s="413" t="n"/>
      <c r="V238" s="413" t="n"/>
      <c r="W238" s="413" t="n"/>
      <c r="X238" s="413" t="n"/>
      <c r="Y238" s="413" t="n"/>
      <c r="Z238" s="413" t="n"/>
      <c r="AA238" s="413" t="n"/>
      <c r="AB238" s="413" t="n"/>
      <c r="AC238" s="413" t="n"/>
      <c r="AD238" s="413" t="n"/>
      <c r="AE238" s="413" t="n"/>
      <c r="AF238" s="413" t="n"/>
      <c r="AG238" s="413" t="n"/>
      <c r="AH238" s="413" t="n"/>
      <c r="AI238" s="413" t="n"/>
      <c r="AJ238" s="413" t="n"/>
      <c r="AK238" s="413" t="n"/>
      <c r="AL238" s="413" t="n"/>
      <c r="AM238" s="48" t="n"/>
    </row>
    <row r="239" ht="15.5" customHeight="1">
      <c r="A239" s="26" t="inlineStr">
        <is>
          <t xml:space="preserve">İnci Holding </t>
        </is>
      </c>
      <c r="B239" s="7">
        <f>'Bütçe aylık-Eur'!$B$148</f>
        <v/>
      </c>
      <c r="C239" s="7">
        <f>'gerç aylık-eur'!$B$147</f>
        <v/>
      </c>
      <c r="D239" s="7" t="n"/>
      <c r="E239" s="7">
        <f>'Bütçe aylık-Eur'!$C$148</f>
        <v/>
      </c>
      <c r="F239" s="7">
        <f>'gerç aylık-eur'!$C$147</f>
        <v/>
      </c>
      <c r="G239" s="7" t="n"/>
      <c r="H239" s="7">
        <f>'Bütçe aylık-Eur'!$D$148</f>
        <v/>
      </c>
      <c r="I239" s="7">
        <f>'gerç aylık-eur'!$D$147</f>
        <v/>
      </c>
      <c r="J239" s="7" t="n"/>
      <c r="K239" s="7">
        <f>'Bütçe aylık-Eur'!$E$148</f>
        <v/>
      </c>
      <c r="L239" s="7">
        <f>'gerç aylık-eur'!$E$147</f>
        <v/>
      </c>
      <c r="M239" s="7" t="n"/>
      <c r="N239" s="7">
        <f>'Bütçe aylık-Eur'!$F$148</f>
        <v/>
      </c>
      <c r="O239" s="7">
        <f>'gerç aylık-eur'!$F$147</f>
        <v/>
      </c>
      <c r="P239" s="7" t="n"/>
      <c r="Q239" s="7">
        <f>'Bütçe aylık-Eur'!$G$148</f>
        <v/>
      </c>
      <c r="R239" s="7">
        <f>'gerç aylık-eur'!$G$147</f>
        <v/>
      </c>
      <c r="S239" s="7" t="n"/>
      <c r="T239" s="7">
        <f>'Bütçe aylık-Eur'!$H$148</f>
        <v/>
      </c>
      <c r="U239" s="7">
        <f>'gerç aylık-eur'!$H$147</f>
        <v/>
      </c>
      <c r="V239" s="7" t="n"/>
      <c r="W239" s="7">
        <f>'Bütçe aylık-Eur'!$I$148</f>
        <v/>
      </c>
      <c r="X239" s="7">
        <f>'gerç aylık-eur'!$I$147</f>
        <v/>
      </c>
      <c r="Y239" s="7" t="n"/>
      <c r="Z239" s="7">
        <f>'Bütçe aylık-Eur'!$J$148</f>
        <v/>
      </c>
      <c r="AA239" s="7">
        <f>'gerç aylık-eur'!$J$147</f>
        <v/>
      </c>
      <c r="AB239" s="7" t="n"/>
      <c r="AC239" s="7">
        <f>'Bütçe aylık-Eur'!$K$148</f>
        <v/>
      </c>
      <c r="AD239" s="7">
        <f>'gerç aylık-eur'!$K$147</f>
        <v/>
      </c>
      <c r="AE239" s="7" t="n"/>
      <c r="AF239" s="7">
        <f>'Bütçe aylık-Eur'!$L$148</f>
        <v/>
      </c>
      <c r="AG239" s="7">
        <f>'gerç aylık-eur'!$L$147</f>
        <v/>
      </c>
      <c r="AH239" s="7" t="n"/>
      <c r="AI239" s="7">
        <f>'Bütçe aylık-Eur'!$M$148</f>
        <v/>
      </c>
      <c r="AJ239" s="7">
        <f>'gerç aylık-eur'!$M$147</f>
        <v/>
      </c>
      <c r="AK239" s="7" t="n"/>
      <c r="AL239" s="21">
        <f>AP239-AO239</f>
        <v/>
      </c>
      <c r="AM239" s="22">
        <f>AP239/AO239-1</f>
        <v/>
      </c>
      <c r="AO239" s="44">
        <f>IF($A$1=$B$1,B239,IF($A$1=$E$1,E239,IF($A$1=$H$1,H239,IF($A$1=$K$1,K239,IF($A$1=$N$1,N239,IF($A$1=$Q$1,Q239,IF($A$1=$T$1,T239,IF($A$1=$W$1,W239,IF($A$1=$Z$1,Z239,IF($A$1=$AC$1,AC239,IF($A$1=$AF$1,AF239,IF($A$1=$AI$1,AI239))))))))))))</f>
        <v/>
      </c>
      <c r="AP239" s="44">
        <f>IF($A$1=$B$1,C239,IF($A$1=$E$1,F239,IF($A$1=$H$1,I239,IF($A$1=$K$1,L239,IF($A$1=$N$1,O239,IF($A$1=$Q$1,R239,IF($A$1=$T$1,U239,IF($A$1=$W$1,X239,IF($A$1=$Z$1,AA239,IF($A$1=$AC$1,AD239,IF($A$1=$AF$1,AG239,IF($A$1=$AI$1,AJ239))))))))))))</f>
        <v/>
      </c>
    </row>
    <row r="240" ht="15.5" customHeight="1">
      <c r="A240" s="26" t="inlineStr">
        <is>
          <t xml:space="preserve">ISM </t>
        </is>
      </c>
      <c r="B240" s="7">
        <f>'Bütçe aylık-Eur'!$B$149</f>
        <v/>
      </c>
      <c r="C240" s="7">
        <f>'gerç aylık-eur'!$B$148</f>
        <v/>
      </c>
      <c r="D240" s="7" t="n"/>
      <c r="E240" s="7">
        <f>'Bütçe aylık-Eur'!$C$149</f>
        <v/>
      </c>
      <c r="F240" s="7">
        <f>'gerç aylık-eur'!$C$148</f>
        <v/>
      </c>
      <c r="G240" s="7" t="n"/>
      <c r="H240" s="7">
        <f>'Bütçe aylık-Eur'!$D$149</f>
        <v/>
      </c>
      <c r="I240" s="7">
        <f>'gerç aylık-eur'!$D$148</f>
        <v/>
      </c>
      <c r="J240" s="7" t="n"/>
      <c r="K240" s="7">
        <f>'Bütçe aylık-Eur'!$E$149</f>
        <v/>
      </c>
      <c r="L240" s="7">
        <f>'gerç aylık-eur'!$E$148</f>
        <v/>
      </c>
      <c r="M240" s="7" t="n"/>
      <c r="N240" s="7">
        <f>'Bütçe aylık-Eur'!$F$149</f>
        <v/>
      </c>
      <c r="O240" s="7">
        <f>'gerç aylık-eur'!$F$148</f>
        <v/>
      </c>
      <c r="P240" s="7" t="n"/>
      <c r="Q240" s="7">
        <f>'Bütçe aylık-Eur'!$G$149</f>
        <v/>
      </c>
      <c r="R240" s="7">
        <f>'gerç aylık-eur'!$G$148</f>
        <v/>
      </c>
      <c r="S240" s="7" t="n"/>
      <c r="T240" s="7">
        <f>'Bütçe aylık-Eur'!$H$149</f>
        <v/>
      </c>
      <c r="U240" s="7">
        <f>'gerç aylık-eur'!$H$148</f>
        <v/>
      </c>
      <c r="V240" s="7" t="n"/>
      <c r="W240" s="7">
        <f>'Bütçe aylık-Eur'!$I$149</f>
        <v/>
      </c>
      <c r="X240" s="7">
        <f>'gerç aylık-eur'!$I$148</f>
        <v/>
      </c>
      <c r="Y240" s="7" t="n"/>
      <c r="Z240" s="7">
        <f>'Bütçe aylık-Eur'!$J$149</f>
        <v/>
      </c>
      <c r="AA240" s="7">
        <f>'gerç aylık-eur'!$J$148</f>
        <v/>
      </c>
      <c r="AB240" s="7" t="n"/>
      <c r="AC240" s="7">
        <f>'Bütçe aylık-Eur'!$K$149</f>
        <v/>
      </c>
      <c r="AD240" s="7">
        <f>'gerç aylık-eur'!$K$148</f>
        <v/>
      </c>
      <c r="AE240" s="7" t="n"/>
      <c r="AF240" s="7">
        <f>'Bütçe aylık-Eur'!$L$149</f>
        <v/>
      </c>
      <c r="AG240" s="7">
        <f>'gerç aylık-eur'!$L$148</f>
        <v/>
      </c>
      <c r="AH240" s="7" t="n"/>
      <c r="AI240" s="7">
        <f>'Bütçe aylık-Eur'!$M$149</f>
        <v/>
      </c>
      <c r="AJ240" s="7">
        <f>'gerç aylık-eur'!$M$148</f>
        <v/>
      </c>
      <c r="AK240" s="7" t="n"/>
      <c r="AL240" s="21">
        <f>AP240-AO240</f>
        <v/>
      </c>
      <c r="AM240" s="22">
        <f>AP240/AO240-1</f>
        <v/>
      </c>
      <c r="AO240" s="44">
        <f>IF($A$1=$B$1,B240,IF($A$1=$E$1,E240,IF($A$1=$H$1,H240,IF($A$1=$K$1,K240,IF($A$1=$N$1,N240,IF($A$1=$Q$1,Q240,IF($A$1=$T$1,T240,IF($A$1=$W$1,W240,IF($A$1=$Z$1,Z240,IF($A$1=$AC$1,AC240,IF($A$1=$AF$1,AF240,IF($A$1=$AI$1,AI240))))))))))))</f>
        <v/>
      </c>
      <c r="AP240" s="44">
        <f>IF($A$1=$B$1,C240,IF($A$1=$E$1,F240,IF($A$1=$H$1,I240,IF($A$1=$K$1,L240,IF($A$1=$N$1,O240,IF($A$1=$Q$1,R240,IF($A$1=$T$1,U240,IF($A$1=$W$1,X240,IF($A$1=$Z$1,AA240,IF($A$1=$AC$1,AD240,IF($A$1=$AF$1,AG240,IF($A$1=$AI$1,AJ240))))))))))))</f>
        <v/>
      </c>
    </row>
    <row r="241" ht="15.5" customHeight="1">
      <c r="A241" s="26" t="inlineStr">
        <is>
          <t>İncitaş</t>
        </is>
      </c>
      <c r="B241" s="7">
        <f>'Bütçe aylık-Eur'!$B$150</f>
        <v/>
      </c>
      <c r="C241" s="7">
        <f>'gerç aylık-eur'!$B$149</f>
        <v/>
      </c>
      <c r="D241" s="7" t="n"/>
      <c r="E241" s="7">
        <f>'Bütçe aylık-Eur'!$C$150</f>
        <v/>
      </c>
      <c r="F241" s="7">
        <f>'gerç aylık-eur'!$C$149</f>
        <v/>
      </c>
      <c r="G241" s="7" t="n"/>
      <c r="H241" s="7">
        <f>'Bütçe aylık-Eur'!$D$150</f>
        <v/>
      </c>
      <c r="I241" s="7">
        <f>'gerç aylık-eur'!$D$149</f>
        <v/>
      </c>
      <c r="J241" s="7" t="n"/>
      <c r="K241" s="7">
        <f>'Bütçe aylık-Eur'!$E$150</f>
        <v/>
      </c>
      <c r="L241" s="7">
        <f>'gerç aylık-eur'!$E$149</f>
        <v/>
      </c>
      <c r="M241" s="7" t="n"/>
      <c r="N241" s="7">
        <f>'Bütçe aylık-Eur'!$F$150</f>
        <v/>
      </c>
      <c r="O241" s="7">
        <f>'gerç aylık-eur'!$F$149</f>
        <v/>
      </c>
      <c r="P241" s="7" t="n"/>
      <c r="Q241" s="7">
        <f>'Bütçe aylık-Eur'!$G$150</f>
        <v/>
      </c>
      <c r="R241" s="7">
        <f>'gerç aylık-eur'!$G$149</f>
        <v/>
      </c>
      <c r="S241" s="7" t="n"/>
      <c r="T241" s="7">
        <f>'Bütçe aylık-Eur'!$H$150</f>
        <v/>
      </c>
      <c r="U241" s="7">
        <f>'gerç aylık-eur'!$H$149</f>
        <v/>
      </c>
      <c r="V241" s="7" t="n"/>
      <c r="W241" s="7">
        <f>'Bütçe aylık-Eur'!$I$150</f>
        <v/>
      </c>
      <c r="X241" s="7">
        <f>'gerç aylık-eur'!$I$149</f>
        <v/>
      </c>
      <c r="Y241" s="7" t="n"/>
      <c r="Z241" s="7">
        <f>'Bütçe aylık-Eur'!$J$150</f>
        <v/>
      </c>
      <c r="AA241" s="7">
        <f>'gerç aylık-eur'!$J$149</f>
        <v/>
      </c>
      <c r="AB241" s="7" t="n"/>
      <c r="AC241" s="7">
        <f>'Bütçe aylık-Eur'!$K$150</f>
        <v/>
      </c>
      <c r="AD241" s="7">
        <f>'gerç aylık-eur'!$K$149</f>
        <v/>
      </c>
      <c r="AE241" s="7" t="n"/>
      <c r="AF241" s="7">
        <f>'Bütçe aylık-Eur'!$L$150</f>
        <v/>
      </c>
      <c r="AG241" s="7">
        <f>'gerç aylık-eur'!$L$149</f>
        <v/>
      </c>
      <c r="AH241" s="7" t="n"/>
      <c r="AI241" s="7">
        <f>'Bütçe aylık-Eur'!$M$150</f>
        <v/>
      </c>
      <c r="AJ241" s="7">
        <f>'gerç aylık-eur'!$M$149</f>
        <v/>
      </c>
      <c r="AK241" s="7" t="n"/>
      <c r="AL241" s="21">
        <f>AP241-AO241</f>
        <v/>
      </c>
      <c r="AM241" s="22">
        <f>AP241/AO241-1</f>
        <v/>
      </c>
      <c r="AO241" s="44">
        <f>IF($A$1=$B$1,B241,IF($A$1=$E$1,E241,IF($A$1=$H$1,H241,IF($A$1=$K$1,K241,IF($A$1=$N$1,N241,IF($A$1=$Q$1,Q241,IF($A$1=$T$1,T241,IF($A$1=$W$1,W241,IF($A$1=$Z$1,Z241,IF($A$1=$AC$1,AC241,IF($A$1=$AF$1,AF241,IF($A$1=$AI$1,AI241))))))))))))</f>
        <v/>
      </c>
      <c r="AP241" s="44">
        <f>IF($A$1=$B$1,C241,IF($A$1=$E$1,F241,IF($A$1=$H$1,I241,IF($A$1=$K$1,L241,IF($A$1=$N$1,O241,IF($A$1=$Q$1,R241,IF($A$1=$T$1,U241,IF($A$1=$W$1,X241,IF($A$1=$Z$1,AA241,IF($A$1=$AC$1,AD241,IF($A$1=$AF$1,AG241,IF($A$1=$AI$1,AJ241))))))))))))</f>
        <v/>
      </c>
    </row>
    <row r="242" ht="15.5" customHeight="1">
      <c r="A242" s="26" t="inlineStr">
        <is>
          <t>İnci GS Yuasa</t>
        </is>
      </c>
      <c r="B242" s="7">
        <f>'Bütçe aylık-Eur'!$B$151</f>
        <v/>
      </c>
      <c r="C242" s="7">
        <f>'gerç aylık-eur'!$B$150</f>
        <v/>
      </c>
      <c r="D242" s="7" t="n"/>
      <c r="E242" s="7">
        <f>'Bütçe aylık-Eur'!$C$151</f>
        <v/>
      </c>
      <c r="F242" s="7">
        <f>'gerç aylık-eur'!$C$150</f>
        <v/>
      </c>
      <c r="G242" s="7" t="n"/>
      <c r="H242" s="7">
        <f>'Bütçe aylık-Eur'!$D$151</f>
        <v/>
      </c>
      <c r="I242" s="7">
        <f>'gerç aylık-eur'!$D$150</f>
        <v/>
      </c>
      <c r="J242" s="7" t="n"/>
      <c r="K242" s="7">
        <f>'Bütçe aylık-Eur'!$E$151</f>
        <v/>
      </c>
      <c r="L242" s="7">
        <f>'gerç aylık-eur'!$E$150</f>
        <v/>
      </c>
      <c r="M242" s="7" t="n"/>
      <c r="N242" s="7">
        <f>'Bütçe aylık-Eur'!$F$151</f>
        <v/>
      </c>
      <c r="O242" s="7">
        <f>'gerç aylık-eur'!$F$150</f>
        <v/>
      </c>
      <c r="P242" s="7" t="n"/>
      <c r="Q242" s="7">
        <f>'Bütçe aylık-Eur'!$G$151</f>
        <v/>
      </c>
      <c r="R242" s="7">
        <f>'gerç aylık-eur'!$G$150</f>
        <v/>
      </c>
      <c r="S242" s="7" t="n"/>
      <c r="T242" s="7">
        <f>'Bütçe aylık-Eur'!$H$151</f>
        <v/>
      </c>
      <c r="U242" s="7">
        <f>'gerç aylık-eur'!$H$150</f>
        <v/>
      </c>
      <c r="V242" s="7" t="n"/>
      <c r="W242" s="7">
        <f>'Bütçe aylık-Eur'!$I$151</f>
        <v/>
      </c>
      <c r="X242" s="7">
        <f>'gerç aylık-eur'!$I$150</f>
        <v/>
      </c>
      <c r="Y242" s="7" t="n"/>
      <c r="Z242" s="7">
        <f>'Bütçe aylık-Eur'!$J$151</f>
        <v/>
      </c>
      <c r="AA242" s="7">
        <f>'gerç aylık-eur'!$J$150</f>
        <v/>
      </c>
      <c r="AB242" s="7" t="n"/>
      <c r="AC242" s="7">
        <f>'Bütçe aylık-Eur'!$K$151</f>
        <v/>
      </c>
      <c r="AD242" s="7">
        <f>'gerç aylık-eur'!$K$150</f>
        <v/>
      </c>
      <c r="AE242" s="7" t="n"/>
      <c r="AF242" s="7">
        <f>'Bütçe aylık-Eur'!$L$151</f>
        <v/>
      </c>
      <c r="AG242" s="7">
        <f>'gerç aylık-eur'!$L$150</f>
        <v/>
      </c>
      <c r="AH242" s="7" t="n"/>
      <c r="AI242" s="7">
        <f>'Bütçe aylık-Eur'!$M$151</f>
        <v/>
      </c>
      <c r="AJ242" s="7">
        <f>'gerç aylık-eur'!$M$150</f>
        <v/>
      </c>
      <c r="AK242" s="7" t="n"/>
      <c r="AL242" s="21">
        <f>AP242-AO242</f>
        <v/>
      </c>
      <c r="AM242" s="22">
        <f>AP242/AO242-1</f>
        <v/>
      </c>
      <c r="AO242" s="44">
        <f>IF($A$1=$B$1,B242,IF($A$1=$E$1,E242,IF($A$1=$H$1,H242,IF($A$1=$K$1,K242,IF($A$1=$N$1,N242,IF($A$1=$Q$1,Q242,IF($A$1=$T$1,T242,IF($A$1=$W$1,W242,IF($A$1=$Z$1,Z242,IF($A$1=$AC$1,AC242,IF($A$1=$AF$1,AF242,IF($A$1=$AI$1,AI242))))))))))))</f>
        <v/>
      </c>
      <c r="AP242" s="44">
        <f>IF($A$1=$B$1,C242,IF($A$1=$E$1,F242,IF($A$1=$H$1,I242,IF($A$1=$K$1,L242,IF($A$1=$N$1,O242,IF($A$1=$Q$1,R242,IF($A$1=$T$1,U242,IF($A$1=$W$1,X242,IF($A$1=$Z$1,AA242,IF($A$1=$AC$1,AD242,IF($A$1=$AF$1,AG242,IF($A$1=$AI$1,AJ242))))))))))))</f>
        <v/>
      </c>
    </row>
    <row r="243" ht="15.5" customFormat="1" customHeight="1" s="1">
      <c r="A243" s="26" t="inlineStr">
        <is>
          <t>Yusen İnci Loj.</t>
        </is>
      </c>
      <c r="B243" s="7">
        <f>'Bütçe aylık-Eur'!$B$152</f>
        <v/>
      </c>
      <c r="C243" s="7">
        <f>'gerç aylık-eur'!$B$151</f>
        <v/>
      </c>
      <c r="D243" s="8" t="n"/>
      <c r="E243" s="7">
        <f>'Bütçe aylık-Eur'!$C$152</f>
        <v/>
      </c>
      <c r="F243" s="7">
        <f>'gerç aylık-eur'!$C$151</f>
        <v/>
      </c>
      <c r="G243" s="8" t="n"/>
      <c r="H243" s="7">
        <f>'Bütçe aylık-Eur'!$D$152</f>
        <v/>
      </c>
      <c r="I243" s="7">
        <f>'gerç aylık-eur'!$D$151</f>
        <v/>
      </c>
      <c r="J243" s="8" t="n"/>
      <c r="K243" s="7">
        <f>'Bütçe aylık-Eur'!$E$152</f>
        <v/>
      </c>
      <c r="L243" s="7">
        <f>'gerç aylık-eur'!$E$151</f>
        <v/>
      </c>
      <c r="M243" s="8" t="n"/>
      <c r="N243" s="7">
        <f>'Bütçe aylık-Eur'!$F$152</f>
        <v/>
      </c>
      <c r="O243" s="7">
        <f>'gerç aylık-eur'!$F$151</f>
        <v/>
      </c>
      <c r="P243" s="8" t="n"/>
      <c r="Q243" s="7">
        <f>'Bütçe aylık-Eur'!$G$152</f>
        <v/>
      </c>
      <c r="R243" s="7">
        <f>'gerç aylık-eur'!$G$151</f>
        <v/>
      </c>
      <c r="S243" s="8" t="n"/>
      <c r="T243" s="7">
        <f>'Bütçe aylık-Eur'!$H$152</f>
        <v/>
      </c>
      <c r="U243" s="7">
        <f>'gerç aylık-eur'!$H$151</f>
        <v/>
      </c>
      <c r="V243" s="8" t="n"/>
      <c r="W243" s="7">
        <f>'Bütçe aylık-Eur'!$I$152</f>
        <v/>
      </c>
      <c r="X243" s="7">
        <f>'gerç aylık-eur'!$I$151</f>
        <v/>
      </c>
      <c r="Y243" s="8" t="n"/>
      <c r="Z243" s="7">
        <f>'Bütçe aylık-Eur'!$J$152</f>
        <v/>
      </c>
      <c r="AA243" s="7">
        <f>'gerç aylık-eur'!$J$151</f>
        <v/>
      </c>
      <c r="AB243" s="8" t="n"/>
      <c r="AC243" s="7">
        <f>'Bütçe aylık-Eur'!$K$152</f>
        <v/>
      </c>
      <c r="AD243" s="7">
        <f>'gerç aylık-eur'!$K$151</f>
        <v/>
      </c>
      <c r="AE243" s="8" t="n"/>
      <c r="AF243" s="7">
        <f>'Bütçe aylık-Eur'!$L$152</f>
        <v/>
      </c>
      <c r="AG243" s="7">
        <f>'gerç aylık-eur'!$L$151</f>
        <v/>
      </c>
      <c r="AH243" s="8" t="n"/>
      <c r="AI243" s="7">
        <f>'Bütçe aylık-Eur'!$M$152</f>
        <v/>
      </c>
      <c r="AJ243" s="7">
        <f>'gerç aylık-eur'!$M$151</f>
        <v/>
      </c>
      <c r="AK243" s="8" t="n"/>
      <c r="AL243" s="21">
        <f>AP243-AO243</f>
        <v/>
      </c>
      <c r="AM243" s="22">
        <f>AP243/AO243-1</f>
        <v/>
      </c>
      <c r="AO243" s="44">
        <f>IF($A$1=$B$1,B243,IF($A$1=$E$1,E243,IF($A$1=$H$1,H243,IF($A$1=$K$1,K243,IF($A$1=$N$1,N243,IF($A$1=$Q$1,Q243,IF($A$1=$T$1,T243,IF($A$1=$W$1,W243,IF($A$1=$Z$1,Z243,IF($A$1=$AC$1,AC243,IF($A$1=$AF$1,AF243,IF($A$1=$AI$1,AI243))))))))))))</f>
        <v/>
      </c>
      <c r="AP243" s="44">
        <f>IF($A$1=$B$1,C243,IF($A$1=$E$1,F243,IF($A$1=$H$1,I243,IF($A$1=$K$1,L243,IF($A$1=$N$1,O243,IF($A$1=$Q$1,R243,IF($A$1=$T$1,U243,IF($A$1=$W$1,X243,IF($A$1=$Z$1,AA243,IF($A$1=$AC$1,AD243,IF($A$1=$AF$1,AG243,IF($A$1=$AI$1,AJ243))))))))))))</f>
        <v/>
      </c>
    </row>
    <row r="244" ht="15.5" customHeight="1">
      <c r="A244" s="26" t="inlineStr">
        <is>
          <t>Jantaş</t>
        </is>
      </c>
      <c r="B244" s="7">
        <f>'Bütçe aylık-Eur'!$B$153</f>
        <v/>
      </c>
      <c r="C244" s="7">
        <f>'gerç aylık-eur'!$B$152</f>
        <v/>
      </c>
      <c r="D244" s="7" t="n"/>
      <c r="E244" s="7">
        <f>'Bütçe aylık-Eur'!$C$153</f>
        <v/>
      </c>
      <c r="F244" s="7">
        <f>'gerç aylık-eur'!$C$152</f>
        <v/>
      </c>
      <c r="G244" s="7" t="n"/>
      <c r="H244" s="7">
        <f>'Bütçe aylık-Eur'!$D$153</f>
        <v/>
      </c>
      <c r="I244" s="7">
        <f>'gerç aylık-eur'!$D$152</f>
        <v/>
      </c>
      <c r="J244" s="7" t="n"/>
      <c r="K244" s="7">
        <f>'Bütçe aylık-Eur'!$E$153</f>
        <v/>
      </c>
      <c r="L244" s="7">
        <f>'gerç aylık-eur'!$E$152</f>
        <v/>
      </c>
      <c r="M244" s="7" t="n"/>
      <c r="N244" s="7">
        <f>'Bütçe aylık-Eur'!$F$153</f>
        <v/>
      </c>
      <c r="O244" s="7">
        <f>'gerç aylık-eur'!$F$152</f>
        <v/>
      </c>
      <c r="P244" s="7" t="n"/>
      <c r="Q244" s="7">
        <f>'Bütçe aylık-Eur'!$G$153</f>
        <v/>
      </c>
      <c r="R244" s="7">
        <f>'gerç aylık-eur'!$G$152</f>
        <v/>
      </c>
      <c r="S244" s="7" t="n"/>
      <c r="T244" s="7">
        <f>'Bütçe aylık-Eur'!$H$153</f>
        <v/>
      </c>
      <c r="U244" s="7">
        <f>'gerç aylık-eur'!$H$152</f>
        <v/>
      </c>
      <c r="V244" s="7" t="n"/>
      <c r="W244" s="7">
        <f>'Bütçe aylık-Eur'!$I$153</f>
        <v/>
      </c>
      <c r="X244" s="7">
        <f>'gerç aylık-eur'!$I$152</f>
        <v/>
      </c>
      <c r="Y244" s="7" t="n"/>
      <c r="Z244" s="7">
        <f>'Bütçe aylık-Eur'!$J$153</f>
        <v/>
      </c>
      <c r="AA244" s="7">
        <f>'gerç aylık-eur'!$J$152</f>
        <v/>
      </c>
      <c r="AB244" s="7" t="n"/>
      <c r="AC244" s="7">
        <f>'Bütçe aylık-Eur'!$K$153</f>
        <v/>
      </c>
      <c r="AD244" s="7">
        <f>'gerç aylık-eur'!$K$152</f>
        <v/>
      </c>
      <c r="AE244" s="7" t="n"/>
      <c r="AF244" s="7">
        <f>'Bütçe aylık-Eur'!$L$153</f>
        <v/>
      </c>
      <c r="AG244" s="7">
        <f>'gerç aylık-eur'!$L$152</f>
        <v/>
      </c>
      <c r="AH244" s="7" t="n"/>
      <c r="AI244" s="7">
        <f>'Bütçe aylık-Eur'!$M$153</f>
        <v/>
      </c>
      <c r="AJ244" s="7">
        <f>'gerç aylık-eur'!$M$152</f>
        <v/>
      </c>
      <c r="AK244" s="7" t="n"/>
      <c r="AL244" s="21">
        <f>AP244-AO244</f>
        <v/>
      </c>
      <c r="AM244" s="22">
        <f>AP244/AO244-1</f>
        <v/>
      </c>
      <c r="AO244" s="44">
        <f>IF($A$1=$B$1,B244,IF($A$1=$E$1,E244,IF($A$1=$H$1,H244,IF($A$1=$K$1,K244,IF($A$1=$N$1,N244,IF($A$1=$Q$1,Q244,IF($A$1=$T$1,T244,IF($A$1=$W$1,W244,IF($A$1=$Z$1,Z244,IF($A$1=$AC$1,AC244,IF($A$1=$AF$1,AF244,IF($A$1=$AI$1,AI244))))))))))))</f>
        <v/>
      </c>
      <c r="AP244" s="44">
        <f>IF($A$1=$B$1,C244,IF($A$1=$E$1,F244,IF($A$1=$H$1,I244,IF($A$1=$K$1,L244,IF($A$1=$N$1,O244,IF($A$1=$Q$1,R244,IF($A$1=$T$1,U244,IF($A$1=$W$1,X244,IF($A$1=$Z$1,AA244,IF($A$1=$AC$1,AD244,IF($A$1=$AF$1,AG244,IF($A$1=$AI$1,AJ244))))))))))))</f>
        <v/>
      </c>
    </row>
    <row r="245" ht="15.5" customFormat="1" customHeight="1" s="1">
      <c r="A245" s="26" t="inlineStr">
        <is>
          <t>Çelik</t>
        </is>
      </c>
      <c r="B245" s="7">
        <f>'Bütçe aylık-Eur'!$B$154</f>
        <v/>
      </c>
      <c r="C245" s="7">
        <f>'gerç aylık-eur'!$B$153</f>
        <v/>
      </c>
      <c r="D245" s="8" t="n"/>
      <c r="E245" s="7">
        <f>'Bütçe aylık-Eur'!$C$154</f>
        <v/>
      </c>
      <c r="F245" s="7">
        <f>'gerç aylık-eur'!$C$153</f>
        <v/>
      </c>
      <c r="G245" s="8" t="n"/>
      <c r="H245" s="7">
        <f>'Bütçe aylık-Eur'!$D$154</f>
        <v/>
      </c>
      <c r="I245" s="7">
        <f>'gerç aylık-eur'!$D$153</f>
        <v/>
      </c>
      <c r="J245" s="8" t="n"/>
      <c r="K245" s="7">
        <f>'Bütçe aylık-Eur'!$E$154</f>
        <v/>
      </c>
      <c r="L245" s="7">
        <f>'gerç aylık-eur'!$E$153</f>
        <v/>
      </c>
      <c r="M245" s="8" t="n"/>
      <c r="N245" s="7">
        <f>'Bütçe aylık-Eur'!$F$154</f>
        <v/>
      </c>
      <c r="O245" s="7">
        <f>'gerç aylık-eur'!$F$153</f>
        <v/>
      </c>
      <c r="P245" s="8" t="n"/>
      <c r="Q245" s="7">
        <f>'Bütçe aylık-Eur'!$G$154</f>
        <v/>
      </c>
      <c r="R245" s="7">
        <f>'gerç aylık-eur'!$G$153</f>
        <v/>
      </c>
      <c r="S245" s="8" t="n"/>
      <c r="T245" s="7">
        <f>'Bütçe aylık-Eur'!$H$154</f>
        <v/>
      </c>
      <c r="U245" s="7">
        <f>'gerç aylık-eur'!$H$153</f>
        <v/>
      </c>
      <c r="V245" s="8" t="n"/>
      <c r="W245" s="7">
        <f>'Bütçe aylık-Eur'!$I$154</f>
        <v/>
      </c>
      <c r="X245" s="7">
        <f>'gerç aylık-eur'!$I$153</f>
        <v/>
      </c>
      <c r="Y245" s="8" t="n"/>
      <c r="Z245" s="7">
        <f>'Bütçe aylık-Eur'!$J$154</f>
        <v/>
      </c>
      <c r="AA245" s="7">
        <f>'gerç aylık-eur'!$J$153</f>
        <v/>
      </c>
      <c r="AB245" s="8" t="n"/>
      <c r="AC245" s="7">
        <f>'Bütçe aylık-Eur'!$K$154</f>
        <v/>
      </c>
      <c r="AD245" s="7">
        <f>'gerç aylık-eur'!$K$153</f>
        <v/>
      </c>
      <c r="AE245" s="8" t="n"/>
      <c r="AF245" s="7">
        <f>'Bütçe aylık-Eur'!$L$154</f>
        <v/>
      </c>
      <c r="AG245" s="7">
        <f>'gerç aylık-eur'!$L$153</f>
        <v/>
      </c>
      <c r="AH245" s="8" t="n"/>
      <c r="AI245" s="7">
        <f>'Bütçe aylık-Eur'!$M$154</f>
        <v/>
      </c>
      <c r="AJ245" s="7">
        <f>'gerç aylık-eur'!$M$153</f>
        <v/>
      </c>
      <c r="AK245" s="8" t="n"/>
      <c r="AL245" s="21">
        <f>AP245-AO245</f>
        <v/>
      </c>
      <c r="AM245" s="22">
        <f>AP245/AO245-1</f>
        <v/>
      </c>
      <c r="AO245" s="44">
        <f>IF($A$1=$B$1,B245,IF($A$1=$E$1,E245,IF($A$1=$H$1,H245,IF($A$1=$K$1,K245,IF($A$1=$N$1,N245,IF($A$1=$Q$1,Q245,IF($A$1=$T$1,T245,IF($A$1=$W$1,W245,IF($A$1=$Z$1,Z245,IF($A$1=$AC$1,AC245,IF($A$1=$AF$1,AF245,IF($A$1=$AI$1,AI245))))))))))))</f>
        <v/>
      </c>
      <c r="AP245" s="44">
        <f>IF($A$1=$B$1,C245,IF($A$1=$E$1,F245,IF($A$1=$H$1,I245,IF($A$1=$K$1,L245,IF($A$1=$N$1,O245,IF($A$1=$Q$1,R245,IF($A$1=$T$1,U245,IF($A$1=$W$1,X245,IF($A$1=$Z$1,AA245,IF($A$1=$AC$1,AD245,IF($A$1=$AF$1,AG245,IF($A$1=$AI$1,AJ245))))))))))))</f>
        <v/>
      </c>
    </row>
    <row r="246" ht="15.5" customFormat="1" customHeight="1" s="1">
      <c r="A246" s="26" t="inlineStr">
        <is>
          <t>Alüminyum</t>
        </is>
      </c>
      <c r="B246" s="7">
        <f>'Bütçe aylık-Eur'!$B$155</f>
        <v/>
      </c>
      <c r="C246" s="7">
        <f>'gerç aylık-eur'!$B$154</f>
        <v/>
      </c>
      <c r="D246" s="8" t="n"/>
      <c r="E246" s="7">
        <f>'Bütçe aylık-Eur'!$C$155</f>
        <v/>
      </c>
      <c r="F246" s="7">
        <f>'gerç aylık-eur'!$C$154</f>
        <v/>
      </c>
      <c r="G246" s="8" t="n"/>
      <c r="H246" s="7">
        <f>'Bütçe aylık-Eur'!$D$155</f>
        <v/>
      </c>
      <c r="I246" s="7">
        <f>'gerç aylık-eur'!$D$154</f>
        <v/>
      </c>
      <c r="J246" s="8" t="n"/>
      <c r="K246" s="7">
        <f>'Bütçe aylık-Eur'!$E$155</f>
        <v/>
      </c>
      <c r="L246" s="7">
        <f>'gerç aylık-eur'!$E$154</f>
        <v/>
      </c>
      <c r="M246" s="8" t="n"/>
      <c r="N246" s="7">
        <f>'Bütçe aylık-Eur'!$F$155</f>
        <v/>
      </c>
      <c r="O246" s="7">
        <f>'gerç aylık-eur'!$F$154</f>
        <v/>
      </c>
      <c r="P246" s="8" t="n"/>
      <c r="Q246" s="7">
        <f>'Bütçe aylık-Eur'!$G$155</f>
        <v/>
      </c>
      <c r="R246" s="7">
        <f>'gerç aylık-eur'!$G$154</f>
        <v/>
      </c>
      <c r="S246" s="8" t="n"/>
      <c r="T246" s="7">
        <f>'Bütçe aylık-Eur'!$H$155</f>
        <v/>
      </c>
      <c r="U246" s="7">
        <f>'gerç aylık-eur'!$H$154</f>
        <v/>
      </c>
      <c r="V246" s="8" t="n"/>
      <c r="W246" s="7">
        <f>'Bütçe aylık-Eur'!$I$155</f>
        <v/>
      </c>
      <c r="X246" s="7">
        <f>'gerç aylık-eur'!$I$154</f>
        <v/>
      </c>
      <c r="Y246" s="8" t="n"/>
      <c r="Z246" s="7">
        <f>'Bütçe aylık-Eur'!$J$155</f>
        <v/>
      </c>
      <c r="AA246" s="7">
        <f>'gerç aylık-eur'!$J$154</f>
        <v/>
      </c>
      <c r="AB246" s="8" t="n"/>
      <c r="AC246" s="7">
        <f>'Bütçe aylık-Eur'!$K$155</f>
        <v/>
      </c>
      <c r="AD246" s="7">
        <f>'gerç aylık-eur'!$K$154</f>
        <v/>
      </c>
      <c r="AE246" s="8" t="n"/>
      <c r="AF246" s="7">
        <f>'Bütçe aylık-Eur'!$L$155</f>
        <v/>
      </c>
      <c r="AG246" s="7">
        <f>'gerç aylık-eur'!$L$154</f>
        <v/>
      </c>
      <c r="AH246" s="8" t="n"/>
      <c r="AI246" s="7">
        <f>'Bütçe aylık-Eur'!$M$155</f>
        <v/>
      </c>
      <c r="AJ246" s="7">
        <f>'gerç aylık-eur'!$M$154</f>
        <v/>
      </c>
      <c r="AK246" s="8" t="n"/>
      <c r="AL246" s="21">
        <f>AP246-AO246</f>
        <v/>
      </c>
      <c r="AM246" s="22">
        <f>AP246/AO246-1</f>
        <v/>
      </c>
      <c r="AO246" s="44">
        <f>IF($A$1=$B$1,B246,IF($A$1=$E$1,E246,IF($A$1=$H$1,H246,IF($A$1=$K$1,K246,IF($A$1=$N$1,N246,IF($A$1=$Q$1,Q246,IF($A$1=$T$1,T246,IF($A$1=$W$1,W246,IF($A$1=$Z$1,Z246,IF($A$1=$AC$1,AC246,IF($A$1=$AF$1,AF246,IF($A$1=$AI$1,AI246))))))))))))</f>
        <v/>
      </c>
      <c r="AP246" s="44">
        <f>IF($A$1=$B$1,C246,IF($A$1=$E$1,F246,IF($A$1=$H$1,I246,IF($A$1=$K$1,L246,IF($A$1=$N$1,O246,IF($A$1=$Q$1,R246,IF($A$1=$T$1,U246,IF($A$1=$W$1,X246,IF($A$1=$Z$1,AA246,IF($A$1=$AC$1,AD246,IF($A$1=$AF$1,AG246,IF($A$1=$AI$1,AJ246))))))))))))</f>
        <v/>
      </c>
    </row>
    <row r="247" ht="15.5" customFormat="1" customHeight="1" s="1">
      <c r="A247" s="26" t="n"/>
      <c r="B247" s="7" t="n"/>
      <c r="C247" s="8" t="n"/>
      <c r="D247" s="8" t="n"/>
      <c r="E247" s="7" t="n"/>
      <c r="F247" s="8" t="n"/>
      <c r="G247" s="8" t="n"/>
      <c r="H247" s="7" t="n"/>
      <c r="I247" s="8" t="n"/>
      <c r="J247" s="8" t="n"/>
      <c r="K247" s="7" t="n"/>
      <c r="L247" s="8" t="n"/>
      <c r="M247" s="8" t="n"/>
      <c r="N247" s="7" t="n"/>
      <c r="O247" s="8" t="n"/>
      <c r="P247" s="8" t="n"/>
      <c r="Q247" s="7" t="n"/>
      <c r="R247" s="8" t="n"/>
      <c r="S247" s="8" t="n"/>
      <c r="T247" s="7" t="n"/>
      <c r="U247" s="8" t="n"/>
      <c r="V247" s="8" t="n"/>
      <c r="W247" s="7" t="n"/>
      <c r="X247" s="8" t="n"/>
      <c r="Y247" s="8" t="n"/>
      <c r="Z247" s="7" t="n"/>
      <c r="AA247" s="8" t="n"/>
      <c r="AB247" s="8" t="n"/>
      <c r="AC247" s="7" t="n"/>
      <c r="AD247" s="8" t="n"/>
      <c r="AE247" s="8" t="n"/>
      <c r="AF247" s="7" t="n"/>
      <c r="AG247" s="8" t="n"/>
      <c r="AH247" s="8" t="n"/>
      <c r="AI247" s="7" t="n"/>
      <c r="AJ247" s="8" t="n"/>
      <c r="AK247" s="8" t="n"/>
      <c r="AL247" s="15" t="n"/>
      <c r="AM247" s="16" t="n"/>
      <c r="AO247" s="44" t="n"/>
      <c r="AP247" s="44" t="n"/>
    </row>
    <row r="248" ht="15.5" customFormat="1" customHeight="1" s="1">
      <c r="A248" s="26" t="n"/>
      <c r="B248" s="7" t="n"/>
      <c r="C248" s="8" t="n"/>
      <c r="D248" s="8" t="n"/>
      <c r="E248" s="7" t="n"/>
      <c r="F248" s="8" t="n"/>
      <c r="G248" s="8" t="n"/>
      <c r="H248" s="7" t="n"/>
      <c r="I248" s="8" t="n"/>
      <c r="J248" s="8" t="n"/>
      <c r="K248" s="7" t="n"/>
      <c r="L248" s="8" t="n"/>
      <c r="M248" s="8" t="n"/>
      <c r="N248" s="7" t="n"/>
      <c r="O248" s="8" t="n"/>
      <c r="P248" s="8" t="n"/>
      <c r="Q248" s="7" t="n"/>
      <c r="R248" s="8" t="n"/>
      <c r="S248" s="8" t="n"/>
      <c r="T248" s="7" t="n"/>
      <c r="U248" s="8" t="n"/>
      <c r="V248" s="8" t="n"/>
      <c r="W248" s="7" t="n"/>
      <c r="X248" s="8" t="n"/>
      <c r="Y248" s="8" t="n"/>
      <c r="Z248" s="7" t="n"/>
      <c r="AA248" s="8" t="n"/>
      <c r="AB248" s="8" t="n"/>
      <c r="AC248" s="7" t="n"/>
      <c r="AD248" s="8" t="n"/>
      <c r="AE248" s="8" t="n"/>
      <c r="AF248" s="7" t="n"/>
      <c r="AG248" s="8" t="n"/>
      <c r="AH248" s="8" t="n"/>
      <c r="AI248" s="7" t="n"/>
      <c r="AJ248" s="8" t="n"/>
      <c r="AK248" s="8" t="n"/>
      <c r="AL248" s="15" t="n"/>
      <c r="AM248" s="16" t="n"/>
      <c r="AO248" s="44" t="n"/>
      <c r="AP248" s="44" t="n"/>
    </row>
    <row r="249" ht="15.5" customFormat="1" customHeight="1" s="44">
      <c r="A249" s="31" t="inlineStr">
        <is>
          <t>Mevduat</t>
        </is>
      </c>
      <c r="B249" s="32">
        <f>'Bütçe aylık-Eur'!$B$160</f>
        <v/>
      </c>
      <c r="C249" s="32">
        <f>'gerç aylık-eur'!$B$159</f>
        <v/>
      </c>
      <c r="D249" s="18" t="n"/>
      <c r="E249" s="32">
        <f>'Bütçe aylık-Eur'!$C$160</f>
        <v/>
      </c>
      <c r="F249" s="32">
        <f>'gerç aylık-eur'!$C$159</f>
        <v/>
      </c>
      <c r="G249" s="18" t="n"/>
      <c r="H249" s="32">
        <f>'Bütçe aylık-Eur'!$D$160</f>
        <v/>
      </c>
      <c r="I249" s="32">
        <f>'gerç aylık-eur'!$D$159</f>
        <v/>
      </c>
      <c r="J249" s="18" t="n"/>
      <c r="K249" s="32">
        <f>'Bütçe aylık-Eur'!$E$160</f>
        <v/>
      </c>
      <c r="L249" s="32">
        <f>'gerç aylık-eur'!$E$159</f>
        <v/>
      </c>
      <c r="M249" s="18" t="n"/>
      <c r="N249" s="32">
        <f>'Bütçe aylık-Eur'!$F$160</f>
        <v/>
      </c>
      <c r="O249" s="32">
        <f>'gerç aylık-eur'!$F$159</f>
        <v/>
      </c>
      <c r="P249" s="18" t="n"/>
      <c r="Q249" s="32">
        <f>'Bütçe aylık-Eur'!$G$160</f>
        <v/>
      </c>
      <c r="R249" s="32">
        <f>'gerç aylık-eur'!$G$159</f>
        <v/>
      </c>
      <c r="S249" s="18" t="n"/>
      <c r="T249" s="32">
        <f>'Bütçe aylık-Eur'!$H$160</f>
        <v/>
      </c>
      <c r="U249" s="32">
        <f>'gerç aylık-eur'!$H$159</f>
        <v/>
      </c>
      <c r="V249" s="18" t="n"/>
      <c r="W249" s="32">
        <f>'Bütçe aylık-Eur'!$I$160</f>
        <v/>
      </c>
      <c r="X249" s="32">
        <f>'gerç aylık-eur'!$I$159</f>
        <v/>
      </c>
      <c r="Y249" s="18" t="n"/>
      <c r="Z249" s="32">
        <f>'Bütçe aylık-Eur'!$J$160</f>
        <v/>
      </c>
      <c r="AA249" s="32">
        <f>'gerç aylık-eur'!$J$159</f>
        <v/>
      </c>
      <c r="AB249" s="18" t="n"/>
      <c r="AC249" s="32">
        <f>'Bütçe aylık-Eur'!$K$160</f>
        <v/>
      </c>
      <c r="AD249" s="32">
        <f>'gerç aylık-eur'!$K$159</f>
        <v/>
      </c>
      <c r="AE249" s="18" t="n"/>
      <c r="AF249" s="32">
        <f>'Bütçe aylık-Eur'!$L$160</f>
        <v/>
      </c>
      <c r="AG249" s="32">
        <f>'gerç aylık-eur'!$L$159</f>
        <v/>
      </c>
      <c r="AH249" s="18" t="n"/>
      <c r="AI249" s="32">
        <f>'Bütçe aylık-Eur'!$M$160</f>
        <v/>
      </c>
      <c r="AJ249" s="32">
        <f>'gerç aylık-eur'!$M$159</f>
        <v/>
      </c>
      <c r="AK249" s="18" t="n"/>
      <c r="AL249" s="33">
        <f>AP249-AO249</f>
        <v/>
      </c>
      <c r="AM249" s="34">
        <f>AP249/AO249-1</f>
        <v/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/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/>
      </c>
    </row>
    <row r="250" ht="15.5" customFormat="1" customHeight="1" s="13">
      <c r="A250" s="27" t="n"/>
      <c r="B250" s="30" t="n"/>
      <c r="C250" s="30" t="n"/>
      <c r="D250" s="41" t="n"/>
      <c r="E250" s="30" t="n"/>
      <c r="F250" s="30" t="n"/>
      <c r="G250" s="41" t="n"/>
      <c r="H250" s="30" t="n"/>
      <c r="I250" s="30" t="n"/>
      <c r="J250" s="41" t="n"/>
      <c r="K250" s="30" t="n"/>
      <c r="L250" s="30" t="n"/>
      <c r="M250" s="41" t="n"/>
      <c r="N250" s="30" t="n"/>
      <c r="O250" s="30" t="n"/>
      <c r="P250" s="41" t="n"/>
      <c r="Q250" s="30" t="n"/>
      <c r="R250" s="30" t="n"/>
      <c r="S250" s="41" t="n"/>
      <c r="T250" s="30" t="n"/>
      <c r="U250" s="30" t="n"/>
      <c r="V250" s="41" t="n"/>
      <c r="W250" s="30" t="n"/>
      <c r="X250" s="30" t="n"/>
      <c r="Y250" s="41" t="n"/>
      <c r="Z250" s="30" t="n"/>
      <c r="AA250" s="30" t="n"/>
      <c r="AB250" s="41" t="n"/>
      <c r="AC250" s="30" t="n"/>
      <c r="AD250" s="30" t="n"/>
      <c r="AE250" s="41" t="n"/>
      <c r="AF250" s="30" t="n"/>
      <c r="AG250" s="30" t="n"/>
      <c r="AH250" s="41" t="n"/>
      <c r="AI250" s="30" t="n"/>
      <c r="AJ250" s="30" t="n"/>
      <c r="AK250" s="41" t="n"/>
      <c r="AL250" s="15" t="n"/>
      <c r="AM250" s="22" t="n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/>
      </c>
      <c r="AP250" s="44">
        <f>IF($A$1=$B$1,C250,IF($A$1=$E$1,F250,IF($A$1=$H$1,I250,IF($A$1=$K$1,L250,IF($A$1=$N$1,O250,IF($A$1=$Q$1,R250,IF($A$1=$T$1,U250,IF($A$1=$W$1,X250,IF($A$1=$Z$1,AA250,IF($A$1=$AC$1,AD250,IF($A$1=$AF$1,AG250,IF($A$1=$AI$1,AJ250))))))))))))</f>
        <v/>
      </c>
    </row>
    <row r="251" ht="17" customFormat="1" customHeight="1" s="49">
      <c r="A251" s="47" t="inlineStr">
        <is>
          <t>Mevduat (100%)</t>
        </is>
      </c>
      <c r="B251" s="413" t="n"/>
      <c r="C251" s="413" t="n"/>
      <c r="D251" s="413" t="n"/>
      <c r="E251" s="413" t="n"/>
      <c r="F251" s="413" t="n"/>
      <c r="G251" s="413" t="n"/>
      <c r="H251" s="413" t="n"/>
      <c r="I251" s="413" t="n"/>
      <c r="J251" s="413" t="n"/>
      <c r="K251" s="413" t="n"/>
      <c r="L251" s="413" t="n"/>
      <c r="M251" s="413" t="n"/>
      <c r="N251" s="413" t="n"/>
      <c r="O251" s="413" t="n"/>
      <c r="P251" s="413" t="n"/>
      <c r="Q251" s="413" t="n"/>
      <c r="R251" s="413" t="n"/>
      <c r="S251" s="413" t="n"/>
      <c r="T251" s="413" t="n"/>
      <c r="U251" s="413" t="n"/>
      <c r="V251" s="413" t="n"/>
      <c r="W251" s="413" t="n"/>
      <c r="X251" s="413" t="n"/>
      <c r="Y251" s="413" t="n"/>
      <c r="Z251" s="413" t="n"/>
      <c r="AA251" s="413" t="n"/>
      <c r="AB251" s="413" t="n"/>
      <c r="AC251" s="413" t="n"/>
      <c r="AD251" s="413" t="n"/>
      <c r="AE251" s="413" t="n"/>
      <c r="AF251" s="413" t="n"/>
      <c r="AG251" s="413" t="n"/>
      <c r="AH251" s="413" t="n"/>
      <c r="AI251" s="413" t="n"/>
      <c r="AJ251" s="413" t="n"/>
      <c r="AK251" s="413" t="n"/>
      <c r="AL251" s="413" t="n"/>
      <c r="AM251" s="48" t="n"/>
      <c r="AR251" s="110">
        <f>SUM(AR252:AR259)</f>
        <v/>
      </c>
      <c r="AS251" s="110">
        <f>SUM(AS252:AS259)</f>
        <v/>
      </c>
    </row>
    <row r="252" ht="15.5" customHeight="1">
      <c r="A252" s="26" t="inlineStr">
        <is>
          <t xml:space="preserve">İnci Holding </t>
        </is>
      </c>
      <c r="B252" s="7">
        <f>'Bütçe aylık-Eur'!$B$161</f>
        <v/>
      </c>
      <c r="C252" s="7">
        <f>'gerç aylık-eur'!$B$160</f>
        <v/>
      </c>
      <c r="D252" s="7" t="n"/>
      <c r="E252" s="7">
        <f>'Bütçe aylık-Eur'!$C$161</f>
        <v/>
      </c>
      <c r="F252" s="7">
        <f>'gerç aylık-eur'!$C$160</f>
        <v/>
      </c>
      <c r="G252" s="7" t="n"/>
      <c r="H252" s="7">
        <f>'Bütçe aylık-Eur'!$D$161</f>
        <v/>
      </c>
      <c r="I252" s="7">
        <f>'gerç aylık-eur'!$D$160</f>
        <v/>
      </c>
      <c r="J252" s="7" t="n"/>
      <c r="K252" s="7">
        <f>'Bütçe aylık-Eur'!$E$161</f>
        <v/>
      </c>
      <c r="L252" s="7">
        <f>'gerç aylık-eur'!$E$160</f>
        <v/>
      </c>
      <c r="M252" s="7" t="n"/>
      <c r="N252" s="7">
        <f>'Bütçe aylık-Eur'!$F$161</f>
        <v/>
      </c>
      <c r="O252" s="7">
        <f>'gerç aylık-eur'!$F$160</f>
        <v/>
      </c>
      <c r="P252" s="7" t="n"/>
      <c r="Q252" s="7">
        <f>'Bütçe aylık-Eur'!$G$161</f>
        <v/>
      </c>
      <c r="R252" s="7">
        <f>'gerç aylık-eur'!$G$160</f>
        <v/>
      </c>
      <c r="S252" s="7" t="n"/>
      <c r="T252" s="7">
        <f>'Bütçe aylık-Eur'!$H$161</f>
        <v/>
      </c>
      <c r="U252" s="7">
        <f>'gerç aylık-eur'!$H$160</f>
        <v/>
      </c>
      <c r="V252" s="7" t="n"/>
      <c r="W252" s="7">
        <f>'Bütçe aylık-Eur'!$I$161</f>
        <v/>
      </c>
      <c r="X252" s="7">
        <f>'gerç aylık-eur'!$I$160</f>
        <v/>
      </c>
      <c r="Y252" s="7" t="n"/>
      <c r="Z252" s="7">
        <f>'Bütçe aylık-Eur'!$J$161</f>
        <v/>
      </c>
      <c r="AA252" s="7">
        <f>'gerç aylık-eur'!$J$160</f>
        <v/>
      </c>
      <c r="AB252" s="7" t="n"/>
      <c r="AC252" s="7">
        <f>'Bütçe aylık-Eur'!$K$161</f>
        <v/>
      </c>
      <c r="AD252" s="7">
        <f>'gerç aylık-eur'!$K$160</f>
        <v/>
      </c>
      <c r="AE252" s="7" t="n"/>
      <c r="AF252" s="7">
        <f>'Bütçe aylık-Eur'!$L$161</f>
        <v/>
      </c>
      <c r="AG252" s="7">
        <f>'gerç aylık-eur'!$L$160</f>
        <v/>
      </c>
      <c r="AH252" s="7" t="n"/>
      <c r="AI252" s="7">
        <f>'Bütçe aylık-Eur'!$M$161</f>
        <v/>
      </c>
      <c r="AJ252" s="7">
        <f>'gerç aylık-eur'!$M$160</f>
        <v/>
      </c>
      <c r="AK252" s="7" t="n"/>
      <c r="AL252" s="21">
        <f>AP252-AO252</f>
        <v/>
      </c>
      <c r="AM252" s="22">
        <f>AP252/AO252-1</f>
        <v/>
      </c>
      <c r="AO252" s="44">
        <f>IF($A$1=$B$1,B252,IF($A$1=$E$1,E252,IF($A$1=$H$1,H252,IF($A$1=$K$1,K252,IF($A$1=$N$1,N252,IF($A$1=$Q$1,Q252,IF($A$1=$T$1,T252,IF($A$1=$W$1,W252,IF($A$1=$Z$1,Z252,IF($A$1=$AC$1,AC252,IF($A$1=$AF$1,AF252,IF($A$1=$AI$1,AI252))))))))))))</f>
        <v/>
      </c>
      <c r="AP252" s="44">
        <f>IF($A$1=$B$1,C252,IF($A$1=$E$1,F252,IF($A$1=$H$1,I252,IF($A$1=$K$1,L252,IF($A$1=$N$1,O252,IF($A$1=$Q$1,R252,IF($A$1=$T$1,U252,IF($A$1=$W$1,X252,IF($A$1=$Z$1,AA252,IF($A$1=$AC$1,AD252,IF($A$1=$AF$1,AG252,IF($A$1=$AI$1,AJ252))))))))))))</f>
        <v/>
      </c>
      <c r="AR252" s="94">
        <f>T252</f>
        <v/>
      </c>
      <c r="AS252" s="94">
        <f>U252</f>
        <v/>
      </c>
      <c r="AT252" s="94">
        <f>AS252-AR252</f>
        <v/>
      </c>
    </row>
    <row r="253" ht="15.5" customHeight="1">
      <c r="A253" s="26" t="inlineStr">
        <is>
          <t xml:space="preserve">ISM </t>
        </is>
      </c>
      <c r="B253" s="7">
        <f>'Bütçe aylık-Eur'!$B$162</f>
        <v/>
      </c>
      <c r="C253" s="7">
        <f>'gerç aylık-eur'!$B$161</f>
        <v/>
      </c>
      <c r="D253" s="7" t="n"/>
      <c r="E253" s="7">
        <f>'Bütçe aylık-Eur'!$C$162</f>
        <v/>
      </c>
      <c r="F253" s="7">
        <f>'gerç aylık-eur'!$C$161</f>
        <v/>
      </c>
      <c r="G253" s="7" t="n"/>
      <c r="H253" s="7">
        <f>'Bütçe aylık-Eur'!$D$162</f>
        <v/>
      </c>
      <c r="I253" s="7">
        <f>'gerç aylık-eur'!$D$161</f>
        <v/>
      </c>
      <c r="J253" s="7" t="n"/>
      <c r="K253" s="7">
        <f>'Bütçe aylık-Eur'!$E$162</f>
        <v/>
      </c>
      <c r="L253" s="7">
        <f>'gerç aylık-eur'!$E$161</f>
        <v/>
      </c>
      <c r="M253" s="7" t="n"/>
      <c r="N253" s="7">
        <f>'Bütçe aylık-Eur'!$F$162</f>
        <v/>
      </c>
      <c r="O253" s="7">
        <f>'gerç aylık-eur'!$F$161</f>
        <v/>
      </c>
      <c r="P253" s="7" t="n"/>
      <c r="Q253" s="7">
        <f>'Bütçe aylık-Eur'!$G$162</f>
        <v/>
      </c>
      <c r="R253" s="7">
        <f>'gerç aylık-eur'!$G$161</f>
        <v/>
      </c>
      <c r="S253" s="7" t="n"/>
      <c r="T253" s="7">
        <f>'Bütçe aylık-Eur'!$H$162</f>
        <v/>
      </c>
      <c r="U253" s="7">
        <f>'gerç aylık-eur'!$H$161</f>
        <v/>
      </c>
      <c r="V253" s="7" t="n"/>
      <c r="W253" s="7">
        <f>'Bütçe aylık-Eur'!$I$162</f>
        <v/>
      </c>
      <c r="X253" s="7">
        <f>'gerç aylık-eur'!$I$161</f>
        <v/>
      </c>
      <c r="Y253" s="7" t="n"/>
      <c r="Z253" s="7">
        <f>'Bütçe aylık-Eur'!$J$162</f>
        <v/>
      </c>
      <c r="AA253" s="7">
        <f>'gerç aylık-eur'!$J$161</f>
        <v/>
      </c>
      <c r="AB253" s="7" t="n"/>
      <c r="AC253" s="7">
        <f>'Bütçe aylık-Eur'!$K$162</f>
        <v/>
      </c>
      <c r="AD253" s="7">
        <f>'gerç aylık-eur'!$K$161</f>
        <v/>
      </c>
      <c r="AE253" s="7" t="n"/>
      <c r="AF253" s="7">
        <f>'Bütçe aylık-Eur'!$L$162</f>
        <v/>
      </c>
      <c r="AG253" s="7">
        <f>'gerç aylık-eur'!$L$161</f>
        <v/>
      </c>
      <c r="AH253" s="7" t="n"/>
      <c r="AI253" s="7">
        <f>'Bütçe aylık-Eur'!$M$162</f>
        <v/>
      </c>
      <c r="AJ253" s="7">
        <f>'gerç aylık-eur'!$M$161</f>
        <v/>
      </c>
      <c r="AK253" s="7" t="n"/>
      <c r="AL253" s="21">
        <f>AP253-AO253</f>
        <v/>
      </c>
      <c r="AM253" s="22">
        <f>AP253/AO253-1</f>
        <v/>
      </c>
      <c r="AO253" s="44">
        <f>IF($A$1=$B$1,B253,IF($A$1=$E$1,E253,IF($A$1=$H$1,H253,IF($A$1=$K$1,K253,IF($A$1=$N$1,N253,IF($A$1=$Q$1,Q253,IF($A$1=$T$1,T253,IF($A$1=$W$1,W253,IF($A$1=$Z$1,Z253,IF($A$1=$AC$1,AC253,IF($A$1=$AF$1,AF253,IF($A$1=$AI$1,AI253))))))))))))</f>
        <v/>
      </c>
      <c r="AP253" s="44">
        <f>IF($A$1=$B$1,C253,IF($A$1=$E$1,F253,IF($A$1=$H$1,I253,IF($A$1=$K$1,L253,IF($A$1=$N$1,O253,IF($A$1=$Q$1,R253,IF($A$1=$T$1,U253,IF($A$1=$W$1,X253,IF($A$1=$Z$1,AA253,IF($A$1=$AC$1,AD253,IF($A$1=$AF$1,AG253,IF($A$1=$AI$1,AJ253))))))))))))</f>
        <v/>
      </c>
      <c r="AR253" s="94">
        <f>T253</f>
        <v/>
      </c>
      <c r="AS253" s="94">
        <f>U253</f>
        <v/>
      </c>
      <c r="AT253" s="94">
        <f>AS253-AR253</f>
        <v/>
      </c>
    </row>
    <row r="254" ht="15.5" customHeight="1">
      <c r="A254" s="26" t="inlineStr">
        <is>
          <t>İncitaş</t>
        </is>
      </c>
      <c r="B254" s="7">
        <f>'Bütçe aylık-Eur'!$B$163</f>
        <v/>
      </c>
      <c r="C254" s="7">
        <f>'gerç aylık-eur'!$B$162</f>
        <v/>
      </c>
      <c r="D254" s="7" t="n"/>
      <c r="E254" s="7">
        <f>'Bütçe aylık-Eur'!$C$163</f>
        <v/>
      </c>
      <c r="F254" s="7">
        <f>'gerç aylık-eur'!$C$162</f>
        <v/>
      </c>
      <c r="G254" s="7" t="n"/>
      <c r="H254" s="7">
        <f>'Bütçe aylık-Eur'!$D$163</f>
        <v/>
      </c>
      <c r="I254" s="7">
        <f>'gerç aylık-eur'!$D$162</f>
        <v/>
      </c>
      <c r="J254" s="7" t="n"/>
      <c r="K254" s="7">
        <f>'Bütçe aylık-Eur'!$E$163</f>
        <v/>
      </c>
      <c r="L254" s="7">
        <f>'gerç aylık-eur'!$E$162</f>
        <v/>
      </c>
      <c r="M254" s="7" t="n"/>
      <c r="N254" s="7">
        <f>'Bütçe aylık-Eur'!$F$163</f>
        <v/>
      </c>
      <c r="O254" s="7">
        <f>'gerç aylık-eur'!$F$162</f>
        <v/>
      </c>
      <c r="P254" s="7" t="n"/>
      <c r="Q254" s="7">
        <f>'Bütçe aylık-Eur'!$G$163</f>
        <v/>
      </c>
      <c r="R254" s="7">
        <f>'gerç aylık-eur'!$G$162</f>
        <v/>
      </c>
      <c r="S254" s="7" t="n"/>
      <c r="T254" s="7">
        <f>'Bütçe aylık-Eur'!$H$163</f>
        <v/>
      </c>
      <c r="U254" s="7">
        <f>'gerç aylık-eur'!$H$162</f>
        <v/>
      </c>
      <c r="V254" s="7" t="n"/>
      <c r="W254" s="7">
        <f>'Bütçe aylık-Eur'!$I$163</f>
        <v/>
      </c>
      <c r="X254" s="7">
        <f>'gerç aylık-eur'!$I$162</f>
        <v/>
      </c>
      <c r="Y254" s="7" t="n"/>
      <c r="Z254" s="7">
        <f>'Bütçe aylık-Eur'!$J$163</f>
        <v/>
      </c>
      <c r="AA254" s="7">
        <f>'gerç aylık-eur'!$J$162</f>
        <v/>
      </c>
      <c r="AB254" s="7" t="n"/>
      <c r="AC254" s="7">
        <f>'Bütçe aylık-Eur'!$K$163</f>
        <v/>
      </c>
      <c r="AD254" s="7">
        <f>'gerç aylık-eur'!$K$162</f>
        <v/>
      </c>
      <c r="AE254" s="7" t="n"/>
      <c r="AF254" s="7">
        <f>'Bütçe aylık-Eur'!$L$163</f>
        <v/>
      </c>
      <c r="AG254" s="7">
        <f>'gerç aylık-eur'!$L$162</f>
        <v/>
      </c>
      <c r="AH254" s="7" t="n"/>
      <c r="AI254" s="7">
        <f>'Bütçe aylık-Eur'!$M$163</f>
        <v/>
      </c>
      <c r="AJ254" s="7">
        <f>'gerç aylık-eur'!$M$162</f>
        <v/>
      </c>
      <c r="AK254" s="7" t="n"/>
      <c r="AL254" s="21">
        <f>AP254-AO254</f>
        <v/>
      </c>
      <c r="AM254" s="22">
        <f>AP254/AO254-1</f>
        <v/>
      </c>
      <c r="AO254" s="44">
        <f>IF($A$1=$B$1,B254,IF($A$1=$E$1,E254,IF($A$1=$H$1,H254,IF($A$1=$K$1,K254,IF($A$1=$N$1,N254,IF($A$1=$Q$1,Q254,IF($A$1=$T$1,T254,IF($A$1=$W$1,W254,IF($A$1=$Z$1,Z254,IF($A$1=$AC$1,AC254,IF($A$1=$AF$1,AF254,IF($A$1=$AI$1,AI254))))))))))))</f>
        <v/>
      </c>
      <c r="AP254" s="44">
        <f>IF($A$1=$B$1,C254,IF($A$1=$E$1,F254,IF($A$1=$H$1,I254,IF($A$1=$K$1,L254,IF($A$1=$N$1,O254,IF($A$1=$Q$1,R254,IF($A$1=$T$1,U254,IF($A$1=$W$1,X254,IF($A$1=$Z$1,AA254,IF($A$1=$AC$1,AD254,IF($A$1=$AF$1,AG254,IF($A$1=$AI$1,AJ254))))))))))))</f>
        <v/>
      </c>
      <c r="AR254" s="94">
        <f>T254</f>
        <v/>
      </c>
      <c r="AS254" s="94">
        <f>U254</f>
        <v/>
      </c>
      <c r="AT254" s="94">
        <f>AS254-AR254</f>
        <v/>
      </c>
    </row>
    <row r="255" ht="15.5" customHeight="1">
      <c r="A255" s="26" t="inlineStr">
        <is>
          <t>İnci GS Yuasa</t>
        </is>
      </c>
      <c r="B255" s="7">
        <f>'Bütçe aylık-Eur'!$B$164</f>
        <v/>
      </c>
      <c r="C255" s="7">
        <f>'gerç aylık-eur'!$B$163</f>
        <v/>
      </c>
      <c r="D255" s="7" t="n"/>
      <c r="E255" s="7">
        <f>'Bütçe aylık-Eur'!$C$164</f>
        <v/>
      </c>
      <c r="F255" s="7">
        <f>'gerç aylık-eur'!$C$163</f>
        <v/>
      </c>
      <c r="G255" s="7" t="n"/>
      <c r="H255" s="7">
        <f>'Bütçe aylık-Eur'!$D$164</f>
        <v/>
      </c>
      <c r="I255" s="7">
        <f>'gerç aylık-eur'!$D$163</f>
        <v/>
      </c>
      <c r="J255" s="7" t="n"/>
      <c r="K255" s="7">
        <f>'Bütçe aylık-Eur'!$E$164</f>
        <v/>
      </c>
      <c r="L255" s="7">
        <f>'gerç aylık-eur'!$E$163</f>
        <v/>
      </c>
      <c r="M255" s="7" t="n"/>
      <c r="N255" s="7">
        <f>'Bütçe aylık-Eur'!$F$164</f>
        <v/>
      </c>
      <c r="O255" s="7">
        <f>'gerç aylık-eur'!$F$163</f>
        <v/>
      </c>
      <c r="P255" s="7" t="n"/>
      <c r="Q255" s="7">
        <f>'Bütçe aylık-Eur'!$G$164</f>
        <v/>
      </c>
      <c r="R255" s="7">
        <f>'gerç aylık-eur'!$G$163</f>
        <v/>
      </c>
      <c r="S255" s="7" t="n"/>
      <c r="T255" s="7">
        <f>'Bütçe aylık-Eur'!$H$164</f>
        <v/>
      </c>
      <c r="U255" s="7">
        <f>'gerç aylık-eur'!$H$163</f>
        <v/>
      </c>
      <c r="V255" s="7" t="n"/>
      <c r="W255" s="7">
        <f>'Bütçe aylık-Eur'!$I$164</f>
        <v/>
      </c>
      <c r="X255" s="7">
        <f>'gerç aylık-eur'!$I$163</f>
        <v/>
      </c>
      <c r="Y255" s="7" t="n"/>
      <c r="Z255" s="7">
        <f>'Bütçe aylık-Eur'!$J$164</f>
        <v/>
      </c>
      <c r="AA255" s="7">
        <f>'gerç aylık-eur'!$J$163</f>
        <v/>
      </c>
      <c r="AB255" s="7" t="n"/>
      <c r="AC255" s="7">
        <f>'Bütçe aylık-Eur'!$K$164</f>
        <v/>
      </c>
      <c r="AD255" s="7">
        <f>'gerç aylık-eur'!$K$163</f>
        <v/>
      </c>
      <c r="AE255" s="7" t="n"/>
      <c r="AF255" s="7">
        <f>'Bütçe aylık-Eur'!$L$164</f>
        <v/>
      </c>
      <c r="AG255" s="7">
        <f>'gerç aylık-eur'!$L$163</f>
        <v/>
      </c>
      <c r="AH255" s="7" t="n"/>
      <c r="AI255" s="7">
        <f>'Bütçe aylık-Eur'!$M$164</f>
        <v/>
      </c>
      <c r="AJ255" s="7">
        <f>'gerç aylık-eur'!$M$163</f>
        <v/>
      </c>
      <c r="AK255" s="7" t="n"/>
      <c r="AL255" s="21">
        <f>AP255-AO255</f>
        <v/>
      </c>
      <c r="AM255" s="22">
        <f>AP255/AO255-1</f>
        <v/>
      </c>
      <c r="AO255" s="44">
        <f>IF($A$1=$B$1,B255,IF($A$1=$E$1,E255,IF($A$1=$H$1,H255,IF($A$1=$K$1,K255,IF($A$1=$N$1,N255,IF($A$1=$Q$1,Q255,IF($A$1=$T$1,T255,IF($A$1=$W$1,W255,IF($A$1=$Z$1,Z255,IF($A$1=$AC$1,AC255,IF($A$1=$AF$1,AF255,IF($A$1=$AI$1,AI255))))))))))))</f>
        <v/>
      </c>
      <c r="AP255" s="44">
        <f>IF($A$1=$B$1,C255,IF($A$1=$E$1,F255,IF($A$1=$H$1,I255,IF($A$1=$K$1,L255,IF($A$1=$N$1,O255,IF($A$1=$Q$1,R255,IF($A$1=$T$1,U255,IF($A$1=$W$1,X255,IF($A$1=$Z$1,AA255,IF($A$1=$AC$1,AD255,IF($A$1=$AF$1,AG255,IF($A$1=$AI$1,AJ255))))))))))))</f>
        <v/>
      </c>
      <c r="AR255" s="94">
        <f>T255*0.4</f>
        <v/>
      </c>
      <c r="AS255" s="94">
        <f>U255*0.4</f>
        <v/>
      </c>
      <c r="AT255" s="94">
        <f>AS255-AR255</f>
        <v/>
      </c>
    </row>
    <row r="256" ht="15.5" customFormat="1" customHeight="1" s="1">
      <c r="A256" s="26" t="inlineStr">
        <is>
          <t>Yusen İnci Loj.</t>
        </is>
      </c>
      <c r="B256" s="7">
        <f>'Bütçe aylık-Eur'!$B$165</f>
        <v/>
      </c>
      <c r="C256" s="7">
        <f>'gerç aylık-eur'!$B$164</f>
        <v/>
      </c>
      <c r="D256" s="8" t="n"/>
      <c r="E256" s="7">
        <f>'Bütçe aylık-Eur'!$C$165</f>
        <v/>
      </c>
      <c r="F256" s="7">
        <f>'gerç aylık-eur'!$C$164</f>
        <v/>
      </c>
      <c r="G256" s="8" t="n"/>
      <c r="H256" s="7">
        <f>'Bütçe aylık-Eur'!$D$165</f>
        <v/>
      </c>
      <c r="I256" s="7">
        <f>'gerç aylık-eur'!$D$164</f>
        <v/>
      </c>
      <c r="J256" s="8" t="n"/>
      <c r="K256" s="7">
        <f>'Bütçe aylık-Eur'!$E$165</f>
        <v/>
      </c>
      <c r="L256" s="7">
        <f>'gerç aylık-eur'!$E$164</f>
        <v/>
      </c>
      <c r="M256" s="8" t="n"/>
      <c r="N256" s="7">
        <f>'Bütçe aylık-Eur'!$F$165</f>
        <v/>
      </c>
      <c r="O256" s="7">
        <f>'gerç aylık-eur'!$F$164</f>
        <v/>
      </c>
      <c r="P256" s="8" t="n"/>
      <c r="Q256" s="7">
        <f>'Bütçe aylık-Eur'!$G$165</f>
        <v/>
      </c>
      <c r="R256" s="7">
        <f>'gerç aylık-eur'!$G$164</f>
        <v/>
      </c>
      <c r="S256" s="8" t="n"/>
      <c r="T256" s="7">
        <f>'Bütçe aylık-Eur'!$H$165</f>
        <v/>
      </c>
      <c r="U256" s="7">
        <f>'gerç aylık-eur'!$H$164</f>
        <v/>
      </c>
      <c r="V256" s="8" t="n"/>
      <c r="W256" s="7">
        <f>'Bütçe aylık-Eur'!$I$165</f>
        <v/>
      </c>
      <c r="X256" s="7">
        <f>'gerç aylık-eur'!$I$164</f>
        <v/>
      </c>
      <c r="Y256" s="8" t="n"/>
      <c r="Z256" s="7">
        <f>'Bütçe aylık-Eur'!$J$165</f>
        <v/>
      </c>
      <c r="AA256" s="7">
        <f>'gerç aylık-eur'!$J$164</f>
        <v/>
      </c>
      <c r="AB256" s="8" t="n"/>
      <c r="AC256" s="7">
        <f>'Bütçe aylık-Eur'!$K$165</f>
        <v/>
      </c>
      <c r="AD256" s="7">
        <f>'gerç aylık-eur'!$K$164</f>
        <v/>
      </c>
      <c r="AE256" s="8" t="n"/>
      <c r="AF256" s="7">
        <f>'Bütçe aylık-Eur'!$L$165</f>
        <v/>
      </c>
      <c r="AG256" s="7">
        <f>'gerç aylık-eur'!$L$164</f>
        <v/>
      </c>
      <c r="AH256" s="8" t="n"/>
      <c r="AI256" s="7">
        <f>'Bütçe aylık-Eur'!$M$165</f>
        <v/>
      </c>
      <c r="AJ256" s="7">
        <f>'gerç aylık-eur'!$M$164</f>
        <v/>
      </c>
      <c r="AK256" s="8" t="n"/>
      <c r="AL256" s="21">
        <f>AP256-AO256</f>
        <v/>
      </c>
      <c r="AM256" s="22">
        <f>AP256/AO256-1</f>
        <v/>
      </c>
      <c r="AO256" s="44">
        <f>IF($A$1=$B$1,B256,IF($A$1=$E$1,E256,IF($A$1=$H$1,H256,IF($A$1=$K$1,K256,IF($A$1=$N$1,N256,IF($A$1=$Q$1,Q256,IF($A$1=$T$1,T256,IF($A$1=$W$1,W256,IF($A$1=$Z$1,Z256,IF($A$1=$AC$1,AC256,IF($A$1=$AF$1,AF256,IF($A$1=$AI$1,AI256))))))))))))</f>
        <v/>
      </c>
      <c r="AP256" s="44">
        <f>IF($A$1=$B$1,C256,IF($A$1=$E$1,F256,IF($A$1=$H$1,I256,IF($A$1=$K$1,L256,IF($A$1=$N$1,O256,IF($A$1=$Q$1,R256,IF($A$1=$T$1,U256,IF($A$1=$W$1,X256,IF($A$1=$Z$1,AA256,IF($A$1=$AC$1,AD256,IF($A$1=$AF$1,AG256,IF($A$1=$AI$1,AJ256))))))))))))</f>
        <v/>
      </c>
      <c r="AR256" s="94">
        <f>T256*0.4</f>
        <v/>
      </c>
      <c r="AS256" s="94">
        <f>U256*0.4</f>
        <v/>
      </c>
      <c r="AT256" s="94">
        <f>AS256-AR256</f>
        <v/>
      </c>
    </row>
    <row r="257" ht="15.5" customHeight="1">
      <c r="A257" s="26" t="inlineStr">
        <is>
          <t>Jantaş</t>
        </is>
      </c>
      <c r="B257" s="7">
        <f>'Bütçe aylık-Eur'!$B$166</f>
        <v/>
      </c>
      <c r="C257" s="7">
        <f>'gerç aylık-eur'!$B$165</f>
        <v/>
      </c>
      <c r="D257" s="7" t="n"/>
      <c r="E257" s="7">
        <f>'Bütçe aylık-Eur'!$C$166</f>
        <v/>
      </c>
      <c r="F257" s="7">
        <f>'gerç aylık-eur'!$C$165</f>
        <v/>
      </c>
      <c r="G257" s="7" t="n"/>
      <c r="H257" s="7">
        <f>'Bütçe aylık-Eur'!$D$166</f>
        <v/>
      </c>
      <c r="I257" s="7">
        <f>'gerç aylık-eur'!$D$165</f>
        <v/>
      </c>
      <c r="J257" s="7" t="n"/>
      <c r="K257" s="7">
        <f>'Bütçe aylık-Eur'!$E$166</f>
        <v/>
      </c>
      <c r="L257" s="7">
        <f>'gerç aylık-eur'!$E$165</f>
        <v/>
      </c>
      <c r="M257" s="7" t="n"/>
      <c r="N257" s="7">
        <f>'Bütçe aylık-Eur'!$F$166</f>
        <v/>
      </c>
      <c r="O257" s="7">
        <f>'gerç aylık-eur'!$F$165</f>
        <v/>
      </c>
      <c r="P257" s="7" t="n"/>
      <c r="Q257" s="7">
        <f>'Bütçe aylık-Eur'!$G$166</f>
        <v/>
      </c>
      <c r="R257" s="7">
        <f>'gerç aylık-eur'!$G$165</f>
        <v/>
      </c>
      <c r="S257" s="7" t="n"/>
      <c r="T257" s="7">
        <f>'Bütçe aylık-Eur'!$H$166</f>
        <v/>
      </c>
      <c r="U257" s="7">
        <f>'gerç aylık-eur'!$H$165</f>
        <v/>
      </c>
      <c r="V257" s="7" t="n"/>
      <c r="W257" s="7">
        <f>'Bütçe aylık-Eur'!$I$166</f>
        <v/>
      </c>
      <c r="X257" s="7">
        <f>'gerç aylık-eur'!$I$165</f>
        <v/>
      </c>
      <c r="Y257" s="7" t="n"/>
      <c r="Z257" s="7">
        <f>'Bütçe aylık-Eur'!$J$166</f>
        <v/>
      </c>
      <c r="AA257" s="7">
        <f>'gerç aylık-eur'!$J$165</f>
        <v/>
      </c>
      <c r="AB257" s="7" t="n"/>
      <c r="AC257" s="7">
        <f>'Bütçe aylık-Eur'!$K$166</f>
        <v/>
      </c>
      <c r="AD257" s="7">
        <f>'gerç aylık-eur'!$K$165</f>
        <v/>
      </c>
      <c r="AE257" s="7" t="n"/>
      <c r="AF257" s="7">
        <f>'Bütçe aylık-Eur'!$L$166</f>
        <v/>
      </c>
      <c r="AG257" s="7">
        <f>'gerç aylık-eur'!$L$165</f>
        <v/>
      </c>
      <c r="AH257" s="7" t="n"/>
      <c r="AI257" s="7">
        <f>'Bütçe aylık-Eur'!$M$166</f>
        <v/>
      </c>
      <c r="AJ257" s="7">
        <f>'gerç aylık-eur'!$M$165</f>
        <v/>
      </c>
      <c r="AK257" s="7" t="n"/>
      <c r="AL257" s="21">
        <f>AP257-AO257</f>
        <v/>
      </c>
      <c r="AM257" s="22">
        <f>AP257/AO257-1</f>
        <v/>
      </c>
      <c r="AO257" s="44">
        <f>IF($A$1=$B$1,B257,IF($A$1=$E$1,E257,IF($A$1=$H$1,H257,IF($A$1=$K$1,K257,IF($A$1=$N$1,N257,IF($A$1=$Q$1,Q257,IF($A$1=$T$1,T257,IF($A$1=$W$1,W257,IF($A$1=$Z$1,Z257,IF($A$1=$AC$1,AC257,IF($A$1=$AF$1,AF257,IF($A$1=$AI$1,AI257))))))))))))</f>
        <v/>
      </c>
      <c r="AP257" s="44">
        <f>IF($A$1=$B$1,C257,IF($A$1=$E$1,F257,IF($A$1=$H$1,I257,IF($A$1=$K$1,L257,IF($A$1=$N$1,O257,IF($A$1=$Q$1,R257,IF($A$1=$T$1,U257,IF($A$1=$W$1,X257,IF($A$1=$Z$1,AA257,IF($A$1=$AC$1,AD257,IF($A$1=$AF$1,AG257,IF($A$1=$AI$1,AJ257))))))))))))</f>
        <v/>
      </c>
      <c r="AR257" s="94">
        <f>T257*0.4</f>
        <v/>
      </c>
      <c r="AS257" s="94">
        <f>U257*0.4</f>
        <v/>
      </c>
      <c r="AT257" s="94">
        <f>AS257-AR257</f>
        <v/>
      </c>
    </row>
    <row r="258" ht="15.5" customFormat="1" customHeight="1" s="1">
      <c r="A258" s="26" t="inlineStr">
        <is>
          <t>Çelik</t>
        </is>
      </c>
      <c r="B258" s="7">
        <f>'Bütçe aylık-Eur'!$B$167</f>
        <v/>
      </c>
      <c r="C258" s="7">
        <f>'gerç aylık-eur'!$B$166</f>
        <v/>
      </c>
      <c r="D258" s="8" t="n"/>
      <c r="E258" s="7">
        <f>'Bütçe aylık-Eur'!$C$167</f>
        <v/>
      </c>
      <c r="F258" s="7">
        <f>'gerç aylık-eur'!$C$166</f>
        <v/>
      </c>
      <c r="G258" s="8" t="n"/>
      <c r="H258" s="7">
        <f>'Bütçe aylık-Eur'!$D$167</f>
        <v/>
      </c>
      <c r="I258" s="7">
        <f>'gerç aylık-eur'!$D$166</f>
        <v/>
      </c>
      <c r="J258" s="8" t="n"/>
      <c r="K258" s="7">
        <f>'Bütçe aylık-Eur'!$E$167</f>
        <v/>
      </c>
      <c r="L258" s="7">
        <f>'gerç aylık-eur'!$E$166</f>
        <v/>
      </c>
      <c r="M258" s="8" t="n"/>
      <c r="N258" s="7">
        <f>'Bütçe aylık-Eur'!$F$167</f>
        <v/>
      </c>
      <c r="O258" s="7">
        <f>'gerç aylık-eur'!$F$166</f>
        <v/>
      </c>
      <c r="P258" s="8" t="n"/>
      <c r="Q258" s="7">
        <f>'Bütçe aylık-Eur'!$G$167</f>
        <v/>
      </c>
      <c r="R258" s="7">
        <f>'gerç aylık-eur'!$G$166</f>
        <v/>
      </c>
      <c r="S258" s="8" t="n"/>
      <c r="T258" s="7">
        <f>'Bütçe aylık-Eur'!$H$167</f>
        <v/>
      </c>
      <c r="U258" s="7">
        <f>'gerç aylık-eur'!$H$166</f>
        <v/>
      </c>
      <c r="V258" s="8" t="n"/>
      <c r="W258" s="7">
        <f>'Bütçe aylık-Eur'!$I$167</f>
        <v/>
      </c>
      <c r="X258" s="7">
        <f>'gerç aylık-eur'!$I$166</f>
        <v/>
      </c>
      <c r="Y258" s="8" t="n"/>
      <c r="Z258" s="7">
        <f>'Bütçe aylık-Eur'!$J$167</f>
        <v/>
      </c>
      <c r="AA258" s="7">
        <f>'gerç aylık-eur'!$J$166</f>
        <v/>
      </c>
      <c r="AB258" s="8" t="n"/>
      <c r="AC258" s="7">
        <f>'Bütçe aylık-Eur'!$K$167</f>
        <v/>
      </c>
      <c r="AD258" s="7">
        <f>'gerç aylık-eur'!$K$166</f>
        <v/>
      </c>
      <c r="AE258" s="8" t="n"/>
      <c r="AF258" s="7">
        <f>'Bütçe aylık-Eur'!$L$167</f>
        <v/>
      </c>
      <c r="AG258" s="7">
        <f>'gerç aylık-eur'!$L$166</f>
        <v/>
      </c>
      <c r="AH258" s="8" t="n"/>
      <c r="AI258" s="7">
        <f>'Bütçe aylık-Eur'!$M$167</f>
        <v/>
      </c>
      <c r="AJ258" s="7">
        <f>'gerç aylık-eur'!$M$166</f>
        <v/>
      </c>
      <c r="AK258" s="8" t="n"/>
      <c r="AL258" s="21">
        <f>AP258-AO258</f>
        <v/>
      </c>
      <c r="AM258" s="22">
        <f>AP258/AO258-1</f>
        <v/>
      </c>
      <c r="AO258" s="44">
        <f>IF($A$1=$B$1,B258,IF($A$1=$E$1,E258,IF($A$1=$H$1,H258,IF($A$1=$K$1,K258,IF($A$1=$N$1,N258,IF($A$1=$Q$1,Q258,IF($A$1=$T$1,T258,IF($A$1=$W$1,W258,IF($A$1=$Z$1,Z258,IF($A$1=$AC$1,AC258,IF($A$1=$AF$1,AF258,IF($A$1=$AI$1,AI258))))))))))))</f>
        <v/>
      </c>
      <c r="AP258" s="44">
        <f>IF($A$1=$B$1,C258,IF($A$1=$E$1,F258,IF($A$1=$H$1,I258,IF($A$1=$K$1,L258,IF($A$1=$N$1,O258,IF($A$1=$Q$1,R258,IF($A$1=$T$1,U258,IF($A$1=$W$1,X258,IF($A$1=$Z$1,AA258,IF($A$1=$AC$1,AD258,IF($A$1=$AF$1,AG258,IF($A$1=$AI$1,AJ258))))))))))))</f>
        <v/>
      </c>
      <c r="AR258" s="94">
        <f>T258*0.4</f>
        <v/>
      </c>
      <c r="AS258" s="94">
        <f>U258*0.4</f>
        <v/>
      </c>
      <c r="AT258" s="94">
        <f>AS258-AR258</f>
        <v/>
      </c>
    </row>
    <row r="259" ht="15.5" customFormat="1" customHeight="1" s="1">
      <c r="A259" s="26" t="inlineStr">
        <is>
          <t>Alüminyum</t>
        </is>
      </c>
      <c r="B259" s="7">
        <f>'Bütçe aylık-Eur'!$B$168</f>
        <v/>
      </c>
      <c r="C259" s="7">
        <f>'gerç aylık-eur'!$B$167</f>
        <v/>
      </c>
      <c r="D259" s="8" t="n"/>
      <c r="E259" s="7">
        <f>'Bütçe aylık-Eur'!$C$168</f>
        <v/>
      </c>
      <c r="F259" s="7">
        <f>'gerç aylık-eur'!$C$167</f>
        <v/>
      </c>
      <c r="G259" s="8" t="n"/>
      <c r="H259" s="7">
        <f>'Bütçe aylık-Eur'!$D$168</f>
        <v/>
      </c>
      <c r="I259" s="7">
        <f>'gerç aylık-eur'!$D$167</f>
        <v/>
      </c>
      <c r="J259" s="8" t="n"/>
      <c r="K259" s="7">
        <f>'Bütçe aylık-Eur'!$E$168</f>
        <v/>
      </c>
      <c r="L259" s="7">
        <f>'gerç aylık-eur'!$E$167</f>
        <v/>
      </c>
      <c r="M259" s="8" t="n"/>
      <c r="N259" s="7">
        <f>'Bütçe aylık-Eur'!$F$168</f>
        <v/>
      </c>
      <c r="O259" s="7">
        <f>'gerç aylık-eur'!$F$167</f>
        <v/>
      </c>
      <c r="P259" s="8" t="n"/>
      <c r="Q259" s="7">
        <f>'Bütçe aylık-Eur'!$G$168</f>
        <v/>
      </c>
      <c r="R259" s="7">
        <f>'gerç aylık-eur'!$G$167</f>
        <v/>
      </c>
      <c r="S259" s="8" t="n"/>
      <c r="T259" s="7">
        <f>'Bütçe aylık-Eur'!$H$168</f>
        <v/>
      </c>
      <c r="U259" s="7">
        <f>'gerç aylık-eur'!$H$167</f>
        <v/>
      </c>
      <c r="V259" s="8" t="n"/>
      <c r="W259" s="7">
        <f>'Bütçe aylık-Eur'!$I$168</f>
        <v/>
      </c>
      <c r="X259" s="7">
        <f>'gerç aylık-eur'!$I$167</f>
        <v/>
      </c>
      <c r="Y259" s="8" t="n"/>
      <c r="Z259" s="7">
        <f>'Bütçe aylık-Eur'!$J$168</f>
        <v/>
      </c>
      <c r="AA259" s="7">
        <f>'gerç aylık-eur'!$J$167</f>
        <v/>
      </c>
      <c r="AB259" s="8" t="n"/>
      <c r="AC259" s="7">
        <f>'Bütçe aylık-Eur'!$K$168</f>
        <v/>
      </c>
      <c r="AD259" s="7">
        <f>'gerç aylık-eur'!$K$167</f>
        <v/>
      </c>
      <c r="AE259" s="8" t="n"/>
      <c r="AF259" s="7">
        <f>'Bütçe aylık-Eur'!$L$168</f>
        <v/>
      </c>
      <c r="AG259" s="7">
        <f>'gerç aylık-eur'!$L$167</f>
        <v/>
      </c>
      <c r="AH259" s="8" t="n"/>
      <c r="AI259" s="7">
        <f>'Bütçe aylık-Eur'!$M$168</f>
        <v/>
      </c>
      <c r="AJ259" s="7">
        <f>'gerç aylık-eur'!$M$167</f>
        <v/>
      </c>
      <c r="AK259" s="8" t="n"/>
      <c r="AL259" s="21">
        <f>AP259-AO259</f>
        <v/>
      </c>
      <c r="AM259" s="22">
        <f>AP259/AO259-1</f>
        <v/>
      </c>
      <c r="AO259" s="44">
        <f>IF($A$1=$B$1,B259,IF($A$1=$E$1,E259,IF($A$1=$H$1,H259,IF($A$1=$K$1,K259,IF($A$1=$N$1,N259,IF($A$1=$Q$1,Q259,IF($A$1=$T$1,T259,IF($A$1=$W$1,W259,IF($A$1=$Z$1,Z259,IF($A$1=$AC$1,AC259,IF($A$1=$AF$1,AF259,IF($A$1=$AI$1,AI259))))))))))))</f>
        <v/>
      </c>
      <c r="AP259" s="44">
        <f>IF($A$1=$B$1,C259,IF($A$1=$E$1,F259,IF($A$1=$H$1,I259,IF($A$1=$K$1,L259,IF($A$1=$N$1,O259,IF($A$1=$Q$1,R259,IF($A$1=$T$1,U259,IF($A$1=$W$1,X259,IF($A$1=$Z$1,AA259,IF($A$1=$AC$1,AD259,IF($A$1=$AF$1,AG259,IF($A$1=$AI$1,AJ259))))))))))))</f>
        <v/>
      </c>
      <c r="AR259" s="94">
        <f>T259*0.4</f>
        <v/>
      </c>
      <c r="AS259" s="94">
        <f>U259*0.4</f>
        <v/>
      </c>
      <c r="AT259" s="94">
        <f>AS259-AR259</f>
        <v/>
      </c>
    </row>
    <row r="260" ht="15.5" customFormat="1" customHeight="1" s="1">
      <c r="A260" s="26" t="n"/>
      <c r="B260" s="7" t="n"/>
      <c r="C260" s="8" t="n"/>
      <c r="D260" s="8" t="n"/>
      <c r="E260" s="7" t="n"/>
      <c r="F260" s="8" t="n"/>
      <c r="G260" s="8" t="n"/>
      <c r="H260" s="7" t="n"/>
      <c r="I260" s="8" t="n"/>
      <c r="J260" s="8" t="n"/>
      <c r="K260" s="7" t="n"/>
      <c r="L260" s="8" t="n"/>
      <c r="M260" s="8" t="n"/>
      <c r="N260" s="7" t="n"/>
      <c r="O260" s="8" t="n"/>
      <c r="P260" s="8" t="n"/>
      <c r="Q260" s="7" t="n"/>
      <c r="R260" s="8" t="n"/>
      <c r="S260" s="8" t="n"/>
      <c r="T260" s="7" t="n"/>
      <c r="U260" s="8" t="n"/>
      <c r="V260" s="8" t="n"/>
      <c r="W260" s="7" t="n"/>
      <c r="X260" s="8" t="n"/>
      <c r="Y260" s="8" t="n"/>
      <c r="Z260" s="7" t="n"/>
      <c r="AA260" s="8" t="n"/>
      <c r="AB260" s="8" t="n"/>
      <c r="AC260" s="7" t="n"/>
      <c r="AD260" s="8" t="n"/>
      <c r="AE260" s="8" t="n"/>
      <c r="AF260" s="7" t="n"/>
      <c r="AG260" s="8" t="n"/>
      <c r="AH260" s="8" t="n"/>
      <c r="AI260" s="7" t="n"/>
      <c r="AJ260" s="8" t="n"/>
      <c r="AK260" s="8" t="n"/>
      <c r="AL260" s="15" t="n"/>
      <c r="AM260" s="16" t="n"/>
      <c r="AO260" s="44" t="n"/>
      <c r="AP260" s="44" t="n"/>
    </row>
    <row r="261" ht="15.5" customFormat="1" customHeight="1" s="1">
      <c r="A261" s="7" t="n"/>
      <c r="B261" s="8" t="n"/>
      <c r="C261" s="7" t="n"/>
      <c r="D261" s="8" t="n"/>
      <c r="E261" s="7" t="n"/>
      <c r="F261" s="8" t="n"/>
      <c r="G261" s="7" t="n"/>
      <c r="H261" s="8" t="n"/>
      <c r="I261" s="7" t="n"/>
      <c r="J261" s="8" t="n"/>
      <c r="K261" s="7" t="n"/>
      <c r="L261" s="8" t="n"/>
      <c r="M261" s="8" t="n"/>
      <c r="N261" s="7" t="n"/>
      <c r="O261" s="8" t="n"/>
      <c r="P261" s="8" t="n"/>
      <c r="Q261" s="7" t="n"/>
      <c r="R261" s="8" t="n"/>
      <c r="S261" s="8" t="n"/>
      <c r="T261" s="7" t="n"/>
      <c r="U261" s="8" t="n"/>
      <c r="V261" s="8" t="n"/>
      <c r="W261" s="7" t="n"/>
      <c r="X261" s="8" t="n"/>
      <c r="Y261" s="8" t="n"/>
      <c r="Z261" s="7" t="n"/>
      <c r="AA261" s="8" t="n"/>
      <c r="AB261" s="8" t="n"/>
      <c r="AC261" s="7" t="n"/>
      <c r="AD261" s="8" t="n"/>
      <c r="AE261" s="8" t="n"/>
      <c r="AF261" s="7" t="n"/>
      <c r="AG261" s="8" t="n"/>
      <c r="AH261" s="8" t="n"/>
      <c r="AI261" s="7" t="n"/>
      <c r="AJ261" s="8" t="n"/>
      <c r="AK261" s="8" t="n"/>
      <c r="AL261" s="15" t="n"/>
      <c r="AM261" s="16" t="n"/>
      <c r="AO261" s="44" t="n"/>
      <c r="AP261" s="44" t="n"/>
    </row>
    <row r="262" ht="15.5" customFormat="1" customHeight="1" s="44">
      <c r="A262" s="31" t="inlineStr">
        <is>
          <t>Net Nakit (Borç)</t>
        </is>
      </c>
      <c r="B262" s="32">
        <f>B249-B236</f>
        <v/>
      </c>
      <c r="C262" s="32">
        <f>C249-C236</f>
        <v/>
      </c>
      <c r="D262" s="18" t="n"/>
      <c r="E262" s="32">
        <f>E249-E236</f>
        <v/>
      </c>
      <c r="F262" s="32">
        <f>F249-F236</f>
        <v/>
      </c>
      <c r="G262" s="18" t="n"/>
      <c r="H262" s="32">
        <f>H249-H236</f>
        <v/>
      </c>
      <c r="I262" s="32">
        <f>I249-I236</f>
        <v/>
      </c>
      <c r="J262" s="18">
        <f>I262-H262</f>
        <v/>
      </c>
      <c r="K262" s="32">
        <f>K249-K236</f>
        <v/>
      </c>
      <c r="L262" s="32">
        <f>L249-L236</f>
        <v/>
      </c>
      <c r="M262" s="18" t="n"/>
      <c r="N262" s="32">
        <f>N249-N236</f>
        <v/>
      </c>
      <c r="O262" s="32">
        <f>O249-O236</f>
        <v/>
      </c>
      <c r="P262" s="18" t="n"/>
      <c r="Q262" s="32">
        <f>Q249-Q236</f>
        <v/>
      </c>
      <c r="R262" s="32">
        <f>R249-R236</f>
        <v/>
      </c>
      <c r="S262" s="18" t="n"/>
      <c r="T262" s="32">
        <f>T249-T236</f>
        <v/>
      </c>
      <c r="U262" s="32">
        <f>U249-U236</f>
        <v/>
      </c>
      <c r="V262" s="18" t="n"/>
      <c r="W262" s="32">
        <f>W249-W236</f>
        <v/>
      </c>
      <c r="X262" s="32">
        <f>X249-X236</f>
        <v/>
      </c>
      <c r="Y262" s="18" t="n"/>
      <c r="Z262" s="32">
        <f>Z249-Z236</f>
        <v/>
      </c>
      <c r="AA262" s="32">
        <f>AA249-AA236</f>
        <v/>
      </c>
      <c r="AB262" s="18" t="n"/>
      <c r="AC262" s="32">
        <f>AC249-AC236</f>
        <v/>
      </c>
      <c r="AD262" s="32">
        <f>AD249-AD236</f>
        <v/>
      </c>
      <c r="AE262" s="18" t="n"/>
      <c r="AF262" s="32">
        <f>AF249-AF236</f>
        <v/>
      </c>
      <c r="AG262" s="32">
        <f>AG249-AG236</f>
        <v/>
      </c>
      <c r="AH262" s="18" t="n"/>
      <c r="AI262" s="32">
        <f>AI249-AI236</f>
        <v/>
      </c>
      <c r="AJ262" s="32">
        <f>AJ249-AJ236</f>
        <v/>
      </c>
      <c r="AK262" s="18" t="n"/>
      <c r="AL262" s="33">
        <f>AP262-AO262</f>
        <v/>
      </c>
      <c r="AM262" s="34">
        <f>AP262/AO262-1</f>
        <v/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/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/>
      </c>
    </row>
    <row r="263" ht="15.5" customFormat="1" customHeight="1" s="13">
      <c r="A263" s="27" t="n"/>
      <c r="B263" s="30" t="n"/>
      <c r="C263" s="30">
        <f>IFERROR((C220/#REF!),"")</f>
        <v/>
      </c>
      <c r="D263" s="41" t="n"/>
      <c r="E263" s="30" t="n"/>
      <c r="F263" s="30">
        <f>IFERROR((F220/#REF!),"")</f>
        <v/>
      </c>
      <c r="G263" s="41" t="n"/>
      <c r="H263" s="30" t="n"/>
      <c r="I263" s="30">
        <f>IFERROR((I220/#REF!),"")</f>
        <v/>
      </c>
      <c r="J263" s="41" t="n"/>
      <c r="K263" s="30" t="n"/>
      <c r="L263" s="30">
        <f>IFERROR((L220/#REF!),"")</f>
        <v/>
      </c>
      <c r="M263" s="41" t="n"/>
      <c r="N263" s="30" t="n"/>
      <c r="O263" s="30">
        <f>IFERROR((O220/#REF!),"")</f>
        <v/>
      </c>
      <c r="P263" s="41" t="n"/>
      <c r="Q263" s="30" t="n"/>
      <c r="R263" s="30">
        <f>IFERROR((R220/#REF!),"")</f>
        <v/>
      </c>
      <c r="S263" s="41" t="n"/>
      <c r="T263" s="30" t="n"/>
      <c r="U263" s="30">
        <f>IFERROR((U220/#REF!),"")</f>
        <v/>
      </c>
      <c r="V263" s="41" t="n"/>
      <c r="W263" s="30" t="n"/>
      <c r="X263" s="30">
        <f>IFERROR((X220/#REF!),"")</f>
        <v/>
      </c>
      <c r="Y263" s="41" t="n"/>
      <c r="Z263" s="30" t="n"/>
      <c r="AA263" s="30">
        <f>IFERROR((AA220/#REF!),"")</f>
        <v/>
      </c>
      <c r="AB263" s="41" t="n"/>
      <c r="AC263" s="30" t="n"/>
      <c r="AD263" s="30">
        <f>IFERROR((AD220/#REF!),"")</f>
        <v/>
      </c>
      <c r="AE263" s="41" t="n"/>
      <c r="AF263" s="30" t="n"/>
      <c r="AG263" s="30">
        <f>IFERROR((AG220/#REF!),"")</f>
        <v/>
      </c>
      <c r="AH263" s="41" t="n"/>
      <c r="AI263" s="30" t="n"/>
      <c r="AJ263" s="30">
        <f>IFERROR((AJ220/#REF!),"")</f>
        <v/>
      </c>
      <c r="AK263" s="41" t="n"/>
      <c r="AL263" s="15" t="n"/>
      <c r="AM263" s="22" t="n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/>
      </c>
      <c r="AP263" s="44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ht="17" customFormat="1" customHeight="1" s="49">
      <c r="A264" s="47" t="n"/>
      <c r="B264" s="413" t="n"/>
      <c r="C264" s="413" t="n"/>
      <c r="D264" s="413" t="n"/>
      <c r="E264" s="413" t="n"/>
      <c r="F264" s="413" t="n"/>
      <c r="G264" s="413" t="n"/>
      <c r="H264" s="413" t="n"/>
      <c r="I264" s="413" t="n"/>
      <c r="J264" s="413" t="n"/>
      <c r="K264" s="413" t="n"/>
      <c r="L264" s="413" t="n"/>
      <c r="M264" s="413" t="n"/>
      <c r="N264" s="413" t="n"/>
      <c r="O264" s="413" t="n"/>
      <c r="P264" s="413" t="n"/>
      <c r="Q264" s="413" t="n"/>
      <c r="R264" s="413" t="n"/>
      <c r="S264" s="413" t="n"/>
      <c r="T264" s="413" t="n"/>
      <c r="U264" s="413" t="n"/>
      <c r="V264" s="413" t="n"/>
      <c r="W264" s="413" t="n"/>
      <c r="X264" s="413" t="n"/>
      <c r="Y264" s="413" t="n"/>
      <c r="Z264" s="413" t="n"/>
      <c r="AA264" s="413" t="n"/>
      <c r="AB264" s="413" t="n"/>
      <c r="AC264" s="413" t="n"/>
      <c r="AD264" s="413" t="n"/>
      <c r="AE264" s="413" t="n"/>
      <c r="AF264" s="413" t="n"/>
      <c r="AG264" s="413" t="n"/>
      <c r="AH264" s="413" t="n"/>
      <c r="AI264" s="413" t="n"/>
      <c r="AJ264" s="413" t="n"/>
      <c r="AK264" s="413" t="n"/>
      <c r="AL264" s="413" t="n"/>
      <c r="AM264" s="48" t="n"/>
      <c r="AR264" s="110">
        <f>SUM(AR265:AR272)</f>
        <v/>
      </c>
      <c r="AS264" s="110">
        <f>SUM(AS265:AS272)</f>
        <v/>
      </c>
    </row>
    <row r="265" ht="15.5" customHeight="1">
      <c r="A265" s="26" t="inlineStr">
        <is>
          <t xml:space="preserve">İnci Holding </t>
        </is>
      </c>
      <c r="B265" s="7">
        <f>B252-B239</f>
        <v/>
      </c>
      <c r="C265" s="7">
        <f>C252-C239</f>
        <v/>
      </c>
      <c r="D265" s="7" t="n"/>
      <c r="E265" s="7">
        <f>E252-E239</f>
        <v/>
      </c>
      <c r="F265" s="7">
        <f>F252-F239</f>
        <v/>
      </c>
      <c r="G265" s="7" t="n"/>
      <c r="H265" s="7">
        <f>H252-H239</f>
        <v/>
      </c>
      <c r="I265" s="7">
        <f>I252-I239</f>
        <v/>
      </c>
      <c r="J265" s="7" t="n"/>
      <c r="K265" s="7">
        <f>K252-K239</f>
        <v/>
      </c>
      <c r="L265" s="7">
        <f>L252-L239</f>
        <v/>
      </c>
      <c r="M265" s="7" t="n"/>
      <c r="N265" s="7">
        <f>N252-N239</f>
        <v/>
      </c>
      <c r="O265" s="7">
        <f>O252-O239</f>
        <v/>
      </c>
      <c r="P265" s="7" t="n"/>
      <c r="Q265" s="7">
        <f>Q252-Q239</f>
        <v/>
      </c>
      <c r="R265" s="7">
        <f>R252-R239</f>
        <v/>
      </c>
      <c r="S265" s="7" t="n"/>
      <c r="T265" s="7">
        <f>T252-T239</f>
        <v/>
      </c>
      <c r="U265" s="7">
        <f>U252-U239</f>
        <v/>
      </c>
      <c r="V265" s="7" t="n"/>
      <c r="W265" s="7">
        <f>W252-W239</f>
        <v/>
      </c>
      <c r="X265" s="7">
        <f>X252-X239</f>
        <v/>
      </c>
      <c r="Y265" s="7" t="n"/>
      <c r="Z265" s="7">
        <f>Z252-Z239</f>
        <v/>
      </c>
      <c r="AA265" s="7">
        <f>AA252-AA239</f>
        <v/>
      </c>
      <c r="AB265" s="5">
        <f>Z265/AA265-1</f>
        <v/>
      </c>
      <c r="AC265" s="7">
        <f>AC252-AC239</f>
        <v/>
      </c>
      <c r="AD265" s="7">
        <f>AD252-AD239</f>
        <v/>
      </c>
      <c r="AE265" s="7" t="n"/>
      <c r="AF265" s="7">
        <f>AF252-AF239</f>
        <v/>
      </c>
      <c r="AG265" s="7">
        <f>AG252-AG239</f>
        <v/>
      </c>
      <c r="AH265" s="7" t="n"/>
      <c r="AI265" s="7">
        <f>AI252-AI239</f>
        <v/>
      </c>
      <c r="AJ265" s="7">
        <f>AJ252-AJ239</f>
        <v/>
      </c>
      <c r="AK265" s="7" t="n"/>
      <c r="AL265" s="21">
        <f>AP265-AO265</f>
        <v/>
      </c>
      <c r="AM265" s="22">
        <f>AP265/AO265-1</f>
        <v/>
      </c>
      <c r="AO265" s="44">
        <f>IF($A$1=$B$1,B265,IF($A$1=$E$1,E265,IF($A$1=$H$1,H265,IF($A$1=$K$1,K265,IF($A$1=$N$1,N265,IF($A$1=$Q$1,Q265,IF($A$1=$T$1,T265,IF($A$1=$W$1,W265,IF($A$1=$Z$1,Z265,IF($A$1=$AC$1,AC265,IF($A$1=$AF$1,AF265,IF($A$1=$AI$1,AI265))))))))))))</f>
        <v/>
      </c>
      <c r="AP265" s="44">
        <f>IF($A$1=$B$1,C265,IF($A$1=$E$1,F265,IF($A$1=$H$1,I265,IF($A$1=$K$1,L265,IF($A$1=$N$1,O265,IF($A$1=$Q$1,R265,IF($A$1=$T$1,U265,IF($A$1=$W$1,X265,IF($A$1=$Z$1,AA265,IF($A$1=$AC$1,AD265,IF($A$1=$AF$1,AG265,IF($A$1=$AI$1,AJ265))))))))))))</f>
        <v/>
      </c>
      <c r="AR265" s="94">
        <f>T265</f>
        <v/>
      </c>
      <c r="AS265" s="94">
        <f>U265</f>
        <v/>
      </c>
      <c r="AT265" s="94">
        <f>AS265-AR265</f>
        <v/>
      </c>
    </row>
    <row r="266" ht="15.5" customHeight="1">
      <c r="A266" s="26" t="inlineStr">
        <is>
          <t xml:space="preserve">ISM </t>
        </is>
      </c>
      <c r="B266" s="7">
        <f>B253-B240</f>
        <v/>
      </c>
      <c r="C266" s="7">
        <f>C253-C240</f>
        <v/>
      </c>
      <c r="D266" s="7" t="n"/>
      <c r="E266" s="7">
        <f>E253-E240</f>
        <v/>
      </c>
      <c r="F266" s="7">
        <f>F253-F240</f>
        <v/>
      </c>
      <c r="G266" s="7" t="n"/>
      <c r="H266" s="7">
        <f>H253-H240</f>
        <v/>
      </c>
      <c r="I266" s="7">
        <f>I253-I240</f>
        <v/>
      </c>
      <c r="J266" s="7" t="n"/>
      <c r="K266" s="7">
        <f>K253-K240</f>
        <v/>
      </c>
      <c r="L266" s="7">
        <f>L253-L240</f>
        <v/>
      </c>
      <c r="M266" s="7" t="n"/>
      <c r="N266" s="7">
        <f>N253-N240</f>
        <v/>
      </c>
      <c r="O266" s="7">
        <f>O253-O240</f>
        <v/>
      </c>
      <c r="P266" s="7" t="n"/>
      <c r="Q266" s="7">
        <f>Q253-Q240</f>
        <v/>
      </c>
      <c r="R266" s="7">
        <f>R253-R240</f>
        <v/>
      </c>
      <c r="S266" s="7" t="n"/>
      <c r="T266" s="7">
        <f>T253-T240</f>
        <v/>
      </c>
      <c r="U266" s="7">
        <f>U253-U240</f>
        <v/>
      </c>
      <c r="V266" s="7" t="n"/>
      <c r="W266" s="7">
        <f>W253-W240</f>
        <v/>
      </c>
      <c r="X266" s="7">
        <f>X253-X240</f>
        <v/>
      </c>
      <c r="Y266" s="7" t="n"/>
      <c r="Z266" s="7">
        <f>Z253-Z240</f>
        <v/>
      </c>
      <c r="AA266" s="7">
        <f>AA253-AA240</f>
        <v/>
      </c>
      <c r="AB266" s="5">
        <f>Z266/AA266-1</f>
        <v/>
      </c>
      <c r="AC266" s="7">
        <f>AC253-AC240</f>
        <v/>
      </c>
      <c r="AD266" s="7">
        <f>AD253-AD240</f>
        <v/>
      </c>
      <c r="AE266" s="7" t="n"/>
      <c r="AF266" s="7">
        <f>AF253-AF240</f>
        <v/>
      </c>
      <c r="AG266" s="7">
        <f>AG253-AG240</f>
        <v/>
      </c>
      <c r="AH266" s="7" t="n"/>
      <c r="AI266" s="7">
        <f>AI253-AI240</f>
        <v/>
      </c>
      <c r="AJ266" s="7">
        <f>AJ253-AJ240</f>
        <v/>
      </c>
      <c r="AK266" s="7" t="n"/>
      <c r="AL266" s="21">
        <f>AP266-AO266</f>
        <v/>
      </c>
      <c r="AM266" s="22">
        <f>AP266/AO266-1</f>
        <v/>
      </c>
      <c r="AO266" s="44">
        <f>IF($A$1=$B$1,B266,IF($A$1=$E$1,E266,IF($A$1=$H$1,H266,IF($A$1=$K$1,K266,IF($A$1=$N$1,N266,IF($A$1=$Q$1,Q266,IF($A$1=$T$1,T266,IF($A$1=$W$1,W266,IF($A$1=$Z$1,Z266,IF($A$1=$AC$1,AC266,IF($A$1=$AF$1,AF266,IF($A$1=$AI$1,AI266))))))))))))</f>
        <v/>
      </c>
      <c r="AP266" s="44">
        <f>IF($A$1=$B$1,C266,IF($A$1=$E$1,F266,IF($A$1=$H$1,I266,IF($A$1=$K$1,L266,IF($A$1=$N$1,O266,IF($A$1=$Q$1,R266,IF($A$1=$T$1,U266,IF($A$1=$W$1,X266,IF($A$1=$Z$1,AA266,IF($A$1=$AC$1,AD266,IF($A$1=$AF$1,AG266,IF($A$1=$AI$1,AJ266))))))))))))</f>
        <v/>
      </c>
      <c r="AR266" s="94">
        <f>T266</f>
        <v/>
      </c>
      <c r="AS266" s="94">
        <f>U266</f>
        <v/>
      </c>
      <c r="AT266" s="94">
        <f>AS266-AR266</f>
        <v/>
      </c>
    </row>
    <row r="267" ht="15.5" customHeight="1">
      <c r="A267" s="26" t="inlineStr">
        <is>
          <t>İncitaş</t>
        </is>
      </c>
      <c r="B267" s="7">
        <f>B254-B241</f>
        <v/>
      </c>
      <c r="C267" s="7">
        <f>C254-C241</f>
        <v/>
      </c>
      <c r="D267" s="7" t="n"/>
      <c r="E267" s="7">
        <f>E254-E241</f>
        <v/>
      </c>
      <c r="F267" s="7">
        <f>F254-F241</f>
        <v/>
      </c>
      <c r="G267" s="7" t="n"/>
      <c r="H267" s="7">
        <f>H254-H241</f>
        <v/>
      </c>
      <c r="I267" s="7">
        <f>I254-I241</f>
        <v/>
      </c>
      <c r="J267" s="7" t="n"/>
      <c r="K267" s="7">
        <f>K254-K241</f>
        <v/>
      </c>
      <c r="L267" s="7">
        <f>L254-L241</f>
        <v/>
      </c>
      <c r="M267" s="7" t="n"/>
      <c r="N267" s="7">
        <f>N254-N241</f>
        <v/>
      </c>
      <c r="O267" s="7">
        <f>O254-O241</f>
        <v/>
      </c>
      <c r="P267" s="7" t="n"/>
      <c r="Q267" s="7">
        <f>Q254-Q241</f>
        <v/>
      </c>
      <c r="R267" s="7">
        <f>R254-R241</f>
        <v/>
      </c>
      <c r="S267" s="7" t="n"/>
      <c r="T267" s="7">
        <f>T254-T241</f>
        <v/>
      </c>
      <c r="U267" s="7">
        <f>U254-U241</f>
        <v/>
      </c>
      <c r="V267" s="7" t="n"/>
      <c r="W267" s="7">
        <f>W254-W241</f>
        <v/>
      </c>
      <c r="X267" s="7">
        <f>X254-X241</f>
        <v/>
      </c>
      <c r="Y267" s="7" t="n"/>
      <c r="Z267" s="7">
        <f>Z254-Z241</f>
        <v/>
      </c>
      <c r="AA267" s="7">
        <f>AA254-AA241</f>
        <v/>
      </c>
      <c r="AB267" s="5">
        <f>Z267/AA267-1</f>
        <v/>
      </c>
      <c r="AC267" s="7">
        <f>AC254-AC241</f>
        <v/>
      </c>
      <c r="AD267" s="7">
        <f>AD254-AD241</f>
        <v/>
      </c>
      <c r="AE267" s="7" t="n"/>
      <c r="AF267" s="7">
        <f>AF254-AF241</f>
        <v/>
      </c>
      <c r="AG267" s="7">
        <f>AG254-AG241</f>
        <v/>
      </c>
      <c r="AH267" s="7" t="n"/>
      <c r="AI267" s="7">
        <f>AI254-AI241</f>
        <v/>
      </c>
      <c r="AJ267" s="7">
        <f>AJ254-AJ241</f>
        <v/>
      </c>
      <c r="AK267" s="7" t="n"/>
      <c r="AL267" s="21">
        <f>AP267-AO267</f>
        <v/>
      </c>
      <c r="AM267" s="22">
        <f>AP267/AO267-1</f>
        <v/>
      </c>
      <c r="AO267" s="44">
        <f>IF($A$1=$B$1,B267,IF($A$1=$E$1,E267,IF($A$1=$H$1,H267,IF($A$1=$K$1,K267,IF($A$1=$N$1,N267,IF($A$1=$Q$1,Q267,IF($A$1=$T$1,T267,IF($A$1=$W$1,W267,IF($A$1=$Z$1,Z267,IF($A$1=$AC$1,AC267,IF($A$1=$AF$1,AF267,IF($A$1=$AI$1,AI267))))))))))))</f>
        <v/>
      </c>
      <c r="AP267" s="44">
        <f>IF($A$1=$B$1,C267,IF($A$1=$E$1,F267,IF($A$1=$H$1,I267,IF($A$1=$K$1,L267,IF($A$1=$N$1,O267,IF($A$1=$Q$1,R267,IF($A$1=$T$1,U267,IF($A$1=$W$1,X267,IF($A$1=$Z$1,AA267,IF($A$1=$AC$1,AD267,IF($A$1=$AF$1,AG267,IF($A$1=$AI$1,AJ267))))))))))))</f>
        <v/>
      </c>
      <c r="AR267" s="94">
        <f>T267</f>
        <v/>
      </c>
      <c r="AS267" s="94">
        <f>U267</f>
        <v/>
      </c>
      <c r="AT267" s="94">
        <f>AS267-AR267</f>
        <v/>
      </c>
    </row>
    <row r="268" ht="15.5" customHeight="1">
      <c r="A268" s="26" t="inlineStr">
        <is>
          <t>İnci GS Yuasa</t>
        </is>
      </c>
      <c r="B268" s="7">
        <f>B255-B242</f>
        <v/>
      </c>
      <c r="C268" s="7">
        <f>C255-C242</f>
        <v/>
      </c>
      <c r="D268" s="7" t="n"/>
      <c r="E268" s="7">
        <f>E255-E242</f>
        <v/>
      </c>
      <c r="F268" s="7">
        <f>F255-F242</f>
        <v/>
      </c>
      <c r="G268" s="7" t="n"/>
      <c r="H268" s="7">
        <f>H255-H242</f>
        <v/>
      </c>
      <c r="I268" s="7">
        <f>I255-I242</f>
        <v/>
      </c>
      <c r="J268" s="7" t="n"/>
      <c r="K268" s="7">
        <f>K255-K242</f>
        <v/>
      </c>
      <c r="L268" s="7">
        <f>L255-L242</f>
        <v/>
      </c>
      <c r="M268" s="7" t="n"/>
      <c r="N268" s="7">
        <f>N255-N242</f>
        <v/>
      </c>
      <c r="O268" s="7">
        <f>O255-O242</f>
        <v/>
      </c>
      <c r="P268" s="7" t="n"/>
      <c r="Q268" s="7">
        <f>Q255-Q242</f>
        <v/>
      </c>
      <c r="R268" s="7">
        <f>R255-R242</f>
        <v/>
      </c>
      <c r="S268" s="7" t="n"/>
      <c r="T268" s="7">
        <f>T255-T242</f>
        <v/>
      </c>
      <c r="U268" s="7">
        <f>U255-U242</f>
        <v/>
      </c>
      <c r="V268" s="7" t="n"/>
      <c r="W268" s="7">
        <f>W255-W242</f>
        <v/>
      </c>
      <c r="X268" s="7">
        <f>X255-X242</f>
        <v/>
      </c>
      <c r="Y268" s="7" t="n"/>
      <c r="Z268" s="7">
        <f>Z255-Z242</f>
        <v/>
      </c>
      <c r="AA268" s="7">
        <f>AA255-AA242</f>
        <v/>
      </c>
      <c r="AB268" s="5">
        <f>Z268/AA268-1</f>
        <v/>
      </c>
      <c r="AC268" s="7">
        <f>AC255-AC242</f>
        <v/>
      </c>
      <c r="AD268" s="7">
        <f>AD255-AD242</f>
        <v/>
      </c>
      <c r="AE268" s="7" t="n"/>
      <c r="AF268" s="7">
        <f>AF255-AF242</f>
        <v/>
      </c>
      <c r="AG268" s="7">
        <f>AG255-AG242</f>
        <v/>
      </c>
      <c r="AH268" s="7" t="n"/>
      <c r="AI268" s="7">
        <f>AI255-AI242</f>
        <v/>
      </c>
      <c r="AJ268" s="7">
        <f>AJ255-AJ242</f>
        <v/>
      </c>
      <c r="AK268" s="7" t="n"/>
      <c r="AL268" s="21">
        <f>AP268-AO268</f>
        <v/>
      </c>
      <c r="AM268" s="22">
        <f>AP268/AO268-1</f>
        <v/>
      </c>
      <c r="AO268" s="44">
        <f>IF($A$1=$B$1,B268,IF($A$1=$E$1,E268,IF($A$1=$H$1,H268,IF($A$1=$K$1,K268,IF($A$1=$N$1,N268,IF($A$1=$Q$1,Q268,IF($A$1=$T$1,T268,IF($A$1=$W$1,W268,IF($A$1=$Z$1,Z268,IF($A$1=$AC$1,AC268,IF($A$1=$AF$1,AF268,IF($A$1=$AI$1,AI268))))))))))))</f>
        <v/>
      </c>
      <c r="AP268" s="44">
        <f>IF($A$1=$B$1,C268,IF($A$1=$E$1,F268,IF($A$1=$H$1,I268,IF($A$1=$K$1,L268,IF($A$1=$N$1,O268,IF($A$1=$Q$1,R268,IF($A$1=$T$1,U268,IF($A$1=$W$1,X268,IF($A$1=$Z$1,AA268,IF($A$1=$AC$1,AD268,IF($A$1=$AF$1,AG268,IF($A$1=$AI$1,AJ268))))))))))))</f>
        <v/>
      </c>
      <c r="AR268" s="94">
        <f>T268*0.4</f>
        <v/>
      </c>
      <c r="AS268" s="94">
        <f>U268*0.4</f>
        <v/>
      </c>
      <c r="AT268" s="94">
        <f>AS268-AR268</f>
        <v/>
      </c>
    </row>
    <row r="269" ht="15.5" customFormat="1" customHeight="1" s="1">
      <c r="A269" s="26" t="inlineStr">
        <is>
          <t>Yusen İnci Loj.</t>
        </is>
      </c>
      <c r="B269" s="7">
        <f>B256-B243</f>
        <v/>
      </c>
      <c r="C269" s="7">
        <f>C256-C243</f>
        <v/>
      </c>
      <c r="D269" s="8" t="n"/>
      <c r="E269" s="7">
        <f>E256-E243</f>
        <v/>
      </c>
      <c r="F269" s="7">
        <f>F256-F243</f>
        <v/>
      </c>
      <c r="G269" s="8" t="n"/>
      <c r="H269" s="7">
        <f>H256-H243</f>
        <v/>
      </c>
      <c r="I269" s="7">
        <f>I256-I243</f>
        <v/>
      </c>
      <c r="J269" s="8" t="n"/>
      <c r="K269" s="7">
        <f>K256-K243</f>
        <v/>
      </c>
      <c r="L269" s="7">
        <f>L256-L243</f>
        <v/>
      </c>
      <c r="M269" s="8" t="n"/>
      <c r="N269" s="7">
        <f>N256-N243</f>
        <v/>
      </c>
      <c r="O269" s="7">
        <f>O256-O243</f>
        <v/>
      </c>
      <c r="P269" s="8" t="n"/>
      <c r="Q269" s="7">
        <f>Q256-Q243</f>
        <v/>
      </c>
      <c r="R269" s="7">
        <f>R256-R243</f>
        <v/>
      </c>
      <c r="S269" s="8" t="n"/>
      <c r="T269" s="7">
        <f>T256-T243</f>
        <v/>
      </c>
      <c r="U269" s="7">
        <f>U256-U243</f>
        <v/>
      </c>
      <c r="V269" s="8" t="n"/>
      <c r="W269" s="7">
        <f>W256-W243</f>
        <v/>
      </c>
      <c r="X269" s="7">
        <f>X256-X243</f>
        <v/>
      </c>
      <c r="Y269" s="8" t="n"/>
      <c r="Z269" s="7">
        <f>Z256-Z243</f>
        <v/>
      </c>
      <c r="AA269" s="7">
        <f>AA256-AA243</f>
        <v/>
      </c>
      <c r="AB269" s="5">
        <f>Z269/AA269-1</f>
        <v/>
      </c>
      <c r="AC269" s="7">
        <f>AC256-AC243</f>
        <v/>
      </c>
      <c r="AD269" s="7">
        <f>AD256-AD243</f>
        <v/>
      </c>
      <c r="AE269" s="8" t="n"/>
      <c r="AF269" s="7">
        <f>AF256-AF243</f>
        <v/>
      </c>
      <c r="AG269" s="7">
        <f>AG256-AG243</f>
        <v/>
      </c>
      <c r="AH269" s="8" t="n"/>
      <c r="AI269" s="7">
        <f>AI256-AI243</f>
        <v/>
      </c>
      <c r="AJ269" s="7">
        <f>AJ256-AJ243</f>
        <v/>
      </c>
      <c r="AK269" s="8" t="n"/>
      <c r="AL269" s="21">
        <f>AP269-AO269</f>
        <v/>
      </c>
      <c r="AM269" s="22">
        <f>AP269/AO269-1</f>
        <v/>
      </c>
      <c r="AO269" s="44">
        <f>IF($A$1=$B$1,B269,IF($A$1=$E$1,E269,IF($A$1=$H$1,H269,IF($A$1=$K$1,K269,IF($A$1=$N$1,N269,IF($A$1=$Q$1,Q269,IF($A$1=$T$1,T269,IF($A$1=$W$1,W269,IF($A$1=$Z$1,Z269,IF($A$1=$AC$1,AC269,IF($A$1=$AF$1,AF269,IF($A$1=$AI$1,AI269))))))))))))</f>
        <v/>
      </c>
      <c r="AP269" s="44">
        <f>IF($A$1=$B$1,C269,IF($A$1=$E$1,F269,IF($A$1=$H$1,I269,IF($A$1=$K$1,L269,IF($A$1=$N$1,O269,IF($A$1=$Q$1,R269,IF($A$1=$T$1,U269,IF($A$1=$W$1,X269,IF($A$1=$Z$1,AA269,IF($A$1=$AC$1,AD269,IF($A$1=$AF$1,AG269,IF($A$1=$AI$1,AJ269))))))))))))</f>
        <v/>
      </c>
      <c r="AR269" s="94">
        <f>T269*0.4</f>
        <v/>
      </c>
      <c r="AS269" s="94">
        <f>U269*0.4</f>
        <v/>
      </c>
      <c r="AT269" s="94">
        <f>AS269-AR269</f>
        <v/>
      </c>
    </row>
    <row r="270" ht="15.5" customHeight="1">
      <c r="A270" s="26" t="inlineStr">
        <is>
          <t>Jantaş</t>
        </is>
      </c>
      <c r="B270" s="7">
        <f>B257-B244</f>
        <v/>
      </c>
      <c r="C270" s="7">
        <f>C257-C244</f>
        <v/>
      </c>
      <c r="D270" s="7" t="n"/>
      <c r="E270" s="7">
        <f>E257-E244</f>
        <v/>
      </c>
      <c r="F270" s="7">
        <f>F257-F244</f>
        <v/>
      </c>
      <c r="G270" s="7" t="n"/>
      <c r="H270" s="7">
        <f>H257-H244</f>
        <v/>
      </c>
      <c r="I270" s="7">
        <f>I257-I244</f>
        <v/>
      </c>
      <c r="J270" s="7" t="n"/>
      <c r="K270" s="7">
        <f>K257-K244</f>
        <v/>
      </c>
      <c r="L270" s="7">
        <f>L257-L244</f>
        <v/>
      </c>
      <c r="M270" s="7" t="n"/>
      <c r="N270" s="7">
        <f>N257-N244</f>
        <v/>
      </c>
      <c r="O270" s="7">
        <f>O257-O244</f>
        <v/>
      </c>
      <c r="P270" s="7" t="n"/>
      <c r="Q270" s="7">
        <f>Q257-Q244</f>
        <v/>
      </c>
      <c r="R270" s="7">
        <f>R257-R244</f>
        <v/>
      </c>
      <c r="S270" s="7" t="n"/>
      <c r="T270" s="7">
        <f>T257-T244</f>
        <v/>
      </c>
      <c r="U270" s="7">
        <f>U257-U244</f>
        <v/>
      </c>
      <c r="V270" s="7" t="n"/>
      <c r="W270" s="7">
        <f>W257-W244</f>
        <v/>
      </c>
      <c r="X270" s="7">
        <f>X257-X244</f>
        <v/>
      </c>
      <c r="Y270" s="7" t="n"/>
      <c r="Z270" s="7">
        <f>Z257-Z244</f>
        <v/>
      </c>
      <c r="AA270" s="7">
        <f>AA257-AA244</f>
        <v/>
      </c>
      <c r="AB270" s="5">
        <f>Z270/AA270-1</f>
        <v/>
      </c>
      <c r="AC270" s="7">
        <f>AC257-AC244</f>
        <v/>
      </c>
      <c r="AD270" s="7">
        <f>AD257-AD244</f>
        <v/>
      </c>
      <c r="AE270" s="7" t="n"/>
      <c r="AF270" s="7">
        <f>AF257-AF244</f>
        <v/>
      </c>
      <c r="AG270" s="7">
        <f>AG257-AG244</f>
        <v/>
      </c>
      <c r="AH270" s="7" t="n"/>
      <c r="AI270" s="7">
        <f>AI257-AI244</f>
        <v/>
      </c>
      <c r="AJ270" s="7">
        <f>AJ257-AJ244</f>
        <v/>
      </c>
      <c r="AK270" s="7" t="n"/>
      <c r="AL270" s="21">
        <f>AP270-AO270</f>
        <v/>
      </c>
      <c r="AM270" s="22">
        <f>AP270/AO270-1</f>
        <v/>
      </c>
      <c r="AO270" s="44">
        <f>IF($A$1=$B$1,B270,IF($A$1=$E$1,E270,IF($A$1=$H$1,H270,IF($A$1=$K$1,K270,IF($A$1=$N$1,N270,IF($A$1=$Q$1,Q270,IF($A$1=$T$1,T270,IF($A$1=$W$1,W270,IF($A$1=$Z$1,Z270,IF($A$1=$AC$1,AC270,IF($A$1=$AF$1,AF270,IF($A$1=$AI$1,AI270))))))))))))</f>
        <v/>
      </c>
      <c r="AP270" s="44">
        <f>IF($A$1=$B$1,C270,IF($A$1=$E$1,F270,IF($A$1=$H$1,I270,IF($A$1=$K$1,L270,IF($A$1=$N$1,O270,IF($A$1=$Q$1,R270,IF($A$1=$T$1,U270,IF($A$1=$W$1,X270,IF($A$1=$Z$1,AA270,IF($A$1=$AC$1,AD270,IF($A$1=$AF$1,AG270,IF($A$1=$AI$1,AJ270))))))))))))</f>
        <v/>
      </c>
      <c r="AR270" s="94">
        <f>T270*0.4</f>
        <v/>
      </c>
      <c r="AS270" s="94">
        <f>U270*0.4</f>
        <v/>
      </c>
      <c r="AT270" s="94">
        <f>AS270-AR270</f>
        <v/>
      </c>
    </row>
    <row r="271" ht="15.5" customFormat="1" customHeight="1" s="1">
      <c r="A271" s="26" t="inlineStr">
        <is>
          <t>Çelik</t>
        </is>
      </c>
      <c r="B271" s="7">
        <f>B258-B245</f>
        <v/>
      </c>
      <c r="C271" s="7">
        <f>C258-C245</f>
        <v/>
      </c>
      <c r="D271" s="8" t="n"/>
      <c r="E271" s="7">
        <f>E258-E245</f>
        <v/>
      </c>
      <c r="F271" s="7">
        <f>F258-F245</f>
        <v/>
      </c>
      <c r="G271" s="8" t="n"/>
      <c r="H271" s="7">
        <f>H258-H245</f>
        <v/>
      </c>
      <c r="I271" s="7">
        <f>I258-I245</f>
        <v/>
      </c>
      <c r="J271" s="8" t="n"/>
      <c r="K271" s="7">
        <f>K258-K245</f>
        <v/>
      </c>
      <c r="L271" s="7">
        <f>L258-L245</f>
        <v/>
      </c>
      <c r="M271" s="8" t="n"/>
      <c r="N271" s="7">
        <f>N258-N245</f>
        <v/>
      </c>
      <c r="O271" s="7">
        <f>O258-O245</f>
        <v/>
      </c>
      <c r="P271" s="8" t="n"/>
      <c r="Q271" s="7">
        <f>Q258-Q245</f>
        <v/>
      </c>
      <c r="R271" s="7">
        <f>R258-R245</f>
        <v/>
      </c>
      <c r="S271" s="8" t="n"/>
      <c r="T271" s="7">
        <f>T258-T245</f>
        <v/>
      </c>
      <c r="U271" s="7">
        <f>U258-U245</f>
        <v/>
      </c>
      <c r="V271" s="8" t="n"/>
      <c r="W271" s="7">
        <f>W258-W245</f>
        <v/>
      </c>
      <c r="X271" s="7">
        <f>X258-X245</f>
        <v/>
      </c>
      <c r="Y271" s="8" t="n"/>
      <c r="Z271" s="7">
        <f>Z258-Z245</f>
        <v/>
      </c>
      <c r="AA271" s="7">
        <f>AA258-AA245</f>
        <v/>
      </c>
      <c r="AB271" s="5">
        <f>Z271/AA271-1</f>
        <v/>
      </c>
      <c r="AC271" s="7">
        <f>AC258-AC245</f>
        <v/>
      </c>
      <c r="AD271" s="7">
        <f>AD258-AD245</f>
        <v/>
      </c>
      <c r="AE271" s="8" t="n"/>
      <c r="AF271" s="7">
        <f>AF258-AF245</f>
        <v/>
      </c>
      <c r="AG271" s="7">
        <f>AG258-AG245</f>
        <v/>
      </c>
      <c r="AH271" s="8" t="n"/>
      <c r="AI271" s="7">
        <f>AI258-AI245</f>
        <v/>
      </c>
      <c r="AJ271" s="7">
        <f>AJ258-AJ245</f>
        <v/>
      </c>
      <c r="AK271" s="8" t="n"/>
      <c r="AL271" s="21">
        <f>AP271-AO271</f>
        <v/>
      </c>
      <c r="AM271" s="22">
        <f>AP271/AO271-1</f>
        <v/>
      </c>
      <c r="AO271" s="44">
        <f>IF($A$1=$B$1,B271,IF($A$1=$E$1,E271,IF($A$1=$H$1,H271,IF($A$1=$K$1,K271,IF($A$1=$N$1,N271,IF($A$1=$Q$1,Q271,IF($A$1=$T$1,T271,IF($A$1=$W$1,W271,IF($A$1=$Z$1,Z271,IF($A$1=$AC$1,AC271,IF($A$1=$AF$1,AF271,IF($A$1=$AI$1,AI271))))))))))))</f>
        <v/>
      </c>
      <c r="AP271" s="44">
        <f>IF($A$1=$B$1,C271,IF($A$1=$E$1,F271,IF($A$1=$H$1,I271,IF($A$1=$K$1,L271,IF($A$1=$N$1,O271,IF($A$1=$Q$1,R271,IF($A$1=$T$1,U271,IF($A$1=$W$1,X271,IF($A$1=$Z$1,AA271,IF($A$1=$AC$1,AD271,IF($A$1=$AF$1,AG271,IF($A$1=$AI$1,AJ271))))))))))))</f>
        <v/>
      </c>
      <c r="AR271" s="94">
        <f>T271*0.4</f>
        <v/>
      </c>
      <c r="AS271" s="94">
        <f>U271*0.4</f>
        <v/>
      </c>
      <c r="AT271" s="94">
        <f>AS271-AR271</f>
        <v/>
      </c>
    </row>
    <row r="272" ht="15.5" customFormat="1" customHeight="1" s="1">
      <c r="A272" s="26" t="inlineStr">
        <is>
          <t>Alüminyum</t>
        </is>
      </c>
      <c r="B272" s="7">
        <f>B259-B246</f>
        <v/>
      </c>
      <c r="C272" s="7">
        <f>C259-C246</f>
        <v/>
      </c>
      <c r="D272" s="8" t="n"/>
      <c r="E272" s="7">
        <f>E259-E246</f>
        <v/>
      </c>
      <c r="F272" s="7">
        <f>F259-F246</f>
        <v/>
      </c>
      <c r="G272" s="8" t="n"/>
      <c r="H272" s="7">
        <f>H259-H246</f>
        <v/>
      </c>
      <c r="I272" s="7">
        <f>I259-I246</f>
        <v/>
      </c>
      <c r="J272" s="8" t="n"/>
      <c r="K272" s="7">
        <f>K259-K246</f>
        <v/>
      </c>
      <c r="L272" s="7">
        <f>L259-L246</f>
        <v/>
      </c>
      <c r="M272" s="8" t="n"/>
      <c r="N272" s="7">
        <f>N259-N246</f>
        <v/>
      </c>
      <c r="O272" s="7">
        <f>O259-O246</f>
        <v/>
      </c>
      <c r="P272" s="8" t="n"/>
      <c r="Q272" s="7">
        <f>Q259-Q246</f>
        <v/>
      </c>
      <c r="R272" s="7">
        <f>R259-R246</f>
        <v/>
      </c>
      <c r="S272" s="8" t="n"/>
      <c r="T272" s="7">
        <f>T259-T246</f>
        <v/>
      </c>
      <c r="U272" s="7">
        <f>U259-U246</f>
        <v/>
      </c>
      <c r="V272" s="8" t="n"/>
      <c r="W272" s="7">
        <f>W259-W246</f>
        <v/>
      </c>
      <c r="X272" s="7">
        <f>X259-X246</f>
        <v/>
      </c>
      <c r="Y272" s="8" t="n"/>
      <c r="Z272" s="7">
        <f>Z259-Z246</f>
        <v/>
      </c>
      <c r="AA272" s="7">
        <f>AA259-AA246</f>
        <v/>
      </c>
      <c r="AB272" s="5">
        <f>Z272/AA272-1</f>
        <v/>
      </c>
      <c r="AC272" s="7">
        <f>AC259-AC246</f>
        <v/>
      </c>
      <c r="AD272" s="7">
        <f>AD259-AD246</f>
        <v/>
      </c>
      <c r="AE272" s="8" t="n"/>
      <c r="AF272" s="7">
        <f>AF259-AF246</f>
        <v/>
      </c>
      <c r="AG272" s="7">
        <f>AG259-AG246</f>
        <v/>
      </c>
      <c r="AH272" s="8" t="n"/>
      <c r="AI272" s="7">
        <f>AI259-AI246</f>
        <v/>
      </c>
      <c r="AJ272" s="7">
        <f>AJ259-AJ246</f>
        <v/>
      </c>
      <c r="AK272" s="8" t="n"/>
      <c r="AL272" s="21">
        <f>AP272-AO272</f>
        <v/>
      </c>
      <c r="AM272" s="22">
        <f>AP272/AO272-1</f>
        <v/>
      </c>
      <c r="AO272" s="44">
        <f>IF($A$1=$B$1,B272,IF($A$1=$E$1,E272,IF($A$1=$H$1,H272,IF($A$1=$K$1,K272,IF($A$1=$N$1,N272,IF($A$1=$Q$1,Q272,IF($A$1=$T$1,T272,IF($A$1=$W$1,W272,IF($A$1=$Z$1,Z272,IF($A$1=$AC$1,AC272,IF($A$1=$AF$1,AF272,IF($A$1=$AI$1,AI272))))))))))))</f>
        <v/>
      </c>
      <c r="AP272" s="44">
        <f>IF($A$1=$B$1,C272,IF($A$1=$E$1,F272,IF($A$1=$H$1,I272,IF($A$1=$K$1,L272,IF($A$1=$N$1,O272,IF($A$1=$Q$1,R272,IF($A$1=$T$1,U272,IF($A$1=$W$1,X272,IF($A$1=$Z$1,AA272,IF($A$1=$AC$1,AD272,IF($A$1=$AF$1,AG272,IF($A$1=$AI$1,AJ272))))))))))))</f>
        <v/>
      </c>
      <c r="AR272" s="94">
        <f>T272*0.4</f>
        <v/>
      </c>
      <c r="AS272" s="94">
        <f>U272*0.4</f>
        <v/>
      </c>
      <c r="AT272" s="94">
        <f>AS272-AR272</f>
        <v/>
      </c>
    </row>
    <row r="273" ht="15.5" customFormat="1" customHeight="1" s="1">
      <c r="A273" s="26" t="n"/>
      <c r="B273" s="7" t="n"/>
      <c r="C273" s="8" t="n"/>
      <c r="D273" s="8" t="n"/>
      <c r="E273" s="7" t="n"/>
      <c r="F273" s="8" t="n"/>
      <c r="G273" s="8" t="n"/>
      <c r="H273" s="7" t="n"/>
      <c r="I273" s="8" t="n"/>
      <c r="J273" s="8" t="n"/>
      <c r="K273" s="7" t="n"/>
      <c r="L273" s="8" t="n"/>
      <c r="M273" s="8" t="n"/>
      <c r="N273" s="7" t="n"/>
      <c r="O273" s="8" t="n"/>
      <c r="P273" s="8" t="n"/>
      <c r="Q273" s="7" t="n"/>
      <c r="R273" s="8" t="n"/>
      <c r="S273" s="8" t="n"/>
      <c r="T273" s="7" t="n"/>
      <c r="U273" s="8" t="n"/>
      <c r="V273" s="8" t="n"/>
      <c r="W273" s="7" t="n"/>
      <c r="X273" s="8" t="n"/>
      <c r="Y273" s="8" t="n"/>
      <c r="Z273" s="7" t="n"/>
      <c r="AA273" s="8" t="n"/>
      <c r="AB273" s="8" t="n"/>
      <c r="AC273" s="7" t="n"/>
      <c r="AD273" s="8" t="n"/>
      <c r="AE273" s="8" t="n"/>
      <c r="AF273" s="7" t="n"/>
      <c r="AG273" s="8" t="n"/>
      <c r="AH273" s="8" t="n"/>
      <c r="AI273" s="7" t="n"/>
      <c r="AJ273" s="8" t="n"/>
      <c r="AK273" s="8" t="n"/>
      <c r="AL273" s="15" t="n"/>
      <c r="AM273" s="16" t="n"/>
      <c r="AO273" s="44" t="n"/>
      <c r="AP273" s="44" t="n"/>
    </row>
    <row r="274" ht="15.5" customFormat="1" customHeight="1" s="1">
      <c r="A274" s="26" t="n"/>
      <c r="B274" s="7" t="n"/>
      <c r="C274" s="8" t="n"/>
      <c r="D274" s="8" t="n"/>
      <c r="E274" s="7" t="n"/>
      <c r="F274" s="8" t="n"/>
      <c r="G274" s="8" t="n"/>
      <c r="H274" s="7" t="n"/>
      <c r="I274" s="8" t="n"/>
      <c r="J274" s="8" t="n"/>
      <c r="K274" s="7" t="n"/>
      <c r="L274" s="8" t="n"/>
      <c r="M274" s="8" t="n"/>
      <c r="N274" s="7" t="n"/>
      <c r="O274" s="8" t="n"/>
      <c r="P274" s="8" t="n"/>
      <c r="Q274" s="7" t="n"/>
      <c r="R274" s="8" t="n"/>
      <c r="S274" s="8" t="n"/>
      <c r="T274" s="7" t="n"/>
      <c r="U274" s="8" t="n"/>
      <c r="V274" s="8" t="n"/>
      <c r="W274" s="7" t="n"/>
      <c r="X274" s="8" t="n"/>
      <c r="Y274" s="8" t="n"/>
      <c r="Z274" s="7" t="n"/>
      <c r="AA274" s="8" t="n"/>
      <c r="AB274" s="8" t="n"/>
      <c r="AC274" s="7" t="n"/>
      <c r="AD274" s="8" t="n"/>
      <c r="AE274" s="8" t="n"/>
      <c r="AF274" s="7" t="n"/>
      <c r="AG274" s="8" t="n"/>
      <c r="AH274" s="8" t="n"/>
      <c r="AI274" s="7" t="n"/>
      <c r="AJ274" s="8" t="n"/>
      <c r="AK274" s="8" t="n"/>
      <c r="AL274" s="15" t="n"/>
      <c r="AM274" s="16" t="n"/>
      <c r="AO274" s="44" t="n"/>
      <c r="AP274" s="44" t="n"/>
    </row>
    <row r="275" ht="15.5" customFormat="1" customHeight="1" s="44">
      <c r="A275" s="31" t="inlineStr">
        <is>
          <t>Yatırım</t>
        </is>
      </c>
      <c r="B275" s="32">
        <f>'A -Döviz'!B275</f>
        <v/>
      </c>
      <c r="C275" s="32">
        <f>'A -Döviz'!C275</f>
        <v/>
      </c>
      <c r="D275" s="18" t="n"/>
      <c r="E275" s="32">
        <f>B275+'A -Döviz'!E275</f>
        <v/>
      </c>
      <c r="F275" s="32">
        <f>C275+'A -Döviz'!F275</f>
        <v/>
      </c>
      <c r="G275" s="18" t="n"/>
      <c r="H275" s="32">
        <f>E275+'A -Döviz'!H275</f>
        <v/>
      </c>
      <c r="I275" s="32">
        <f>F275+'A -Döviz'!I275</f>
        <v/>
      </c>
      <c r="J275" s="18" t="n"/>
      <c r="K275" s="32">
        <f>H275+'A -Döviz'!K275</f>
        <v/>
      </c>
      <c r="L275" s="32">
        <f>I275+'A -Döviz'!L275</f>
        <v/>
      </c>
      <c r="M275" s="18" t="n"/>
      <c r="N275" s="32">
        <f>K275+'A -Döviz'!N275</f>
        <v/>
      </c>
      <c r="O275" s="32">
        <f>L275+'A -Döviz'!O275</f>
        <v/>
      </c>
      <c r="P275" s="18" t="n"/>
      <c r="Q275" s="32">
        <f>N275+'A -Döviz'!Q275</f>
        <v/>
      </c>
      <c r="R275" s="32">
        <f>O275+'A -Döviz'!R275</f>
        <v/>
      </c>
      <c r="S275" s="18" t="n"/>
      <c r="T275" s="32">
        <f>Q275+'A -Döviz'!T275</f>
        <v/>
      </c>
      <c r="U275" s="32">
        <f>R275+'A -Döviz'!U275</f>
        <v/>
      </c>
      <c r="V275" s="18" t="n"/>
      <c r="W275" s="32">
        <f>T275+'A -Döviz'!W275</f>
        <v/>
      </c>
      <c r="X275" s="32">
        <f>U275+'A -Döviz'!X275</f>
        <v/>
      </c>
      <c r="Y275" s="18" t="n"/>
      <c r="Z275" s="32">
        <f>W275+'A -Döviz'!Z275</f>
        <v/>
      </c>
      <c r="AA275" s="32">
        <f>X275+'A -Döviz'!AA275</f>
        <v/>
      </c>
      <c r="AB275" s="18" t="n"/>
      <c r="AC275" s="32">
        <f>Z275+'A -Döviz'!AC275</f>
        <v/>
      </c>
      <c r="AD275" s="32">
        <f>AA275+'A -Döviz'!AD275</f>
        <v/>
      </c>
      <c r="AE275" s="18" t="n"/>
      <c r="AF275" s="32">
        <f>AC275+'A -Döviz'!AF275</f>
        <v/>
      </c>
      <c r="AG275" s="32">
        <f>AD275+'A -Döviz'!AG275</f>
        <v/>
      </c>
      <c r="AH275" s="18" t="n"/>
      <c r="AI275" s="32">
        <f>AF275+'A -Döviz'!AI275</f>
        <v/>
      </c>
      <c r="AJ275" s="32">
        <f>AG275+'A -Döviz'!AJ275</f>
        <v/>
      </c>
      <c r="AK275" s="18" t="n"/>
      <c r="AL275" s="33">
        <f>AP275-AO275</f>
        <v/>
      </c>
      <c r="AM275" s="34">
        <f>AP275/AO275-1</f>
        <v/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/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/>
      </c>
    </row>
    <row r="276" ht="15.5" customFormat="1" customHeight="1" s="13">
      <c r="A276" s="27" t="n"/>
      <c r="B276" s="30" t="n"/>
      <c r="C276" s="30" t="n"/>
      <c r="D276" s="41" t="n"/>
      <c r="E276" s="30" t="n"/>
      <c r="F276" s="30" t="n"/>
      <c r="G276" s="41" t="n"/>
      <c r="H276" s="30" t="n"/>
      <c r="I276" s="30" t="n"/>
      <c r="J276" s="41" t="n"/>
      <c r="K276" s="30" t="n"/>
      <c r="L276" s="30" t="n"/>
      <c r="M276" s="41" t="n"/>
      <c r="N276" s="30" t="n"/>
      <c r="O276" s="30" t="n"/>
      <c r="P276" s="41" t="n"/>
      <c r="Q276" s="30" t="n"/>
      <c r="R276" s="30" t="n"/>
      <c r="S276" s="41" t="n"/>
      <c r="T276" s="30" t="n"/>
      <c r="U276" s="30" t="n"/>
      <c r="V276" s="41" t="n"/>
      <c r="W276" s="30" t="n"/>
      <c r="X276" s="30" t="n"/>
      <c r="Y276" s="41" t="n"/>
      <c r="Z276" s="30" t="n"/>
      <c r="AA276" s="30" t="n"/>
      <c r="AB276" s="41" t="n"/>
      <c r="AC276" s="30" t="n"/>
      <c r="AD276" s="30" t="n"/>
      <c r="AE276" s="41" t="n"/>
      <c r="AF276" s="30" t="n"/>
      <c r="AG276" s="30" t="n"/>
      <c r="AH276" s="41" t="n"/>
      <c r="AI276" s="30" t="n"/>
      <c r="AJ276" s="30" t="n"/>
      <c r="AK276" s="41" t="n"/>
      <c r="AL276" s="15" t="n"/>
      <c r="AM276" s="22" t="n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/>
      </c>
      <c r="AP276" s="44">
        <f>IF($A$1=$B$1,C276,IF($A$1=$E$1,F276,IF($A$1=$H$1,I276,IF($A$1=$K$1,L276,IF($A$1=$N$1,O276,IF($A$1=$Q$1,R276,IF($A$1=$T$1,U276,IF($A$1=$W$1,X276,IF($A$1=$Z$1,AA276,IF($A$1=$AC$1,AD276,IF($A$1=$AF$1,AG276,IF($A$1=$AI$1,AJ276))))))))))))</f>
        <v/>
      </c>
    </row>
    <row r="277" ht="17" customFormat="1" customHeight="1" s="49">
      <c r="A277" s="47" t="inlineStr">
        <is>
          <t>Yatırım (100%)</t>
        </is>
      </c>
      <c r="B277" s="413" t="n"/>
      <c r="C277" s="413" t="n"/>
      <c r="D277" s="413" t="n"/>
      <c r="E277" s="413" t="n"/>
      <c r="F277" s="413" t="n"/>
      <c r="G277" s="413" t="n"/>
      <c r="H277" s="413" t="n"/>
      <c r="I277" s="413" t="n"/>
      <c r="J277" s="413" t="n"/>
      <c r="K277" s="413" t="n"/>
      <c r="L277" s="413" t="n"/>
      <c r="M277" s="413" t="n"/>
      <c r="N277" s="413" t="n"/>
      <c r="O277" s="413" t="n"/>
      <c r="P277" s="413" t="n"/>
      <c r="Q277" s="413" t="n"/>
      <c r="R277" s="413" t="n"/>
      <c r="S277" s="413" t="n"/>
      <c r="T277" s="413" t="n"/>
      <c r="U277" s="413" t="n"/>
      <c r="V277" s="413" t="n"/>
      <c r="W277" s="413" t="n"/>
      <c r="X277" s="413" t="n"/>
      <c r="Y277" s="413" t="n"/>
      <c r="Z277" s="413" t="n"/>
      <c r="AA277" s="413" t="n"/>
      <c r="AB277" s="413" t="n"/>
      <c r="AC277" s="413" t="n"/>
      <c r="AD277" s="413" t="n"/>
      <c r="AE277" s="413" t="n"/>
      <c r="AF277" s="413" t="n"/>
      <c r="AG277" s="413" t="n"/>
      <c r="AH277" s="413" t="n"/>
      <c r="AI277" s="413" t="n"/>
      <c r="AJ277" s="413" t="n"/>
      <c r="AK277" s="413" t="n"/>
      <c r="AL277" s="413" t="n"/>
      <c r="AM277" s="48" t="n"/>
      <c r="AR277" s="110">
        <f>SUM(AR278:AR285)</f>
        <v/>
      </c>
      <c r="AS277" s="110">
        <f>SUM(AS278:AS285)</f>
        <v/>
      </c>
    </row>
    <row r="278" ht="15.5" customHeight="1">
      <c r="A278" s="26" t="inlineStr">
        <is>
          <t xml:space="preserve">İnci Holding </t>
        </is>
      </c>
      <c r="B278" s="7">
        <f>'A -Döviz'!B278</f>
        <v/>
      </c>
      <c r="C278" s="7">
        <f>'A -Döviz'!C278</f>
        <v/>
      </c>
      <c r="D278" s="7" t="n"/>
      <c r="E278" s="7">
        <f>B278+'A -Döviz'!E278</f>
        <v/>
      </c>
      <c r="F278" s="7">
        <f>C278+'A -Döviz'!F278</f>
        <v/>
      </c>
      <c r="G278" s="7" t="n"/>
      <c r="H278" s="7">
        <f>E278+'A -Döviz'!H278</f>
        <v/>
      </c>
      <c r="I278" s="7">
        <f>F278+'A -Döviz'!I278</f>
        <v/>
      </c>
      <c r="J278" s="7" t="n"/>
      <c r="K278" s="7">
        <f>H278+'A -Döviz'!K278</f>
        <v/>
      </c>
      <c r="L278" s="7">
        <f>I278+'A -Döviz'!L278</f>
        <v/>
      </c>
      <c r="M278" s="7" t="n"/>
      <c r="N278" s="7">
        <f>K278+'A -Döviz'!N278</f>
        <v/>
      </c>
      <c r="O278" s="7">
        <f>L278+'A -Döviz'!O278</f>
        <v/>
      </c>
      <c r="P278" s="7" t="n"/>
      <c r="Q278" s="7">
        <f>N278+'A -Döviz'!Q278</f>
        <v/>
      </c>
      <c r="R278" s="7">
        <f>O278+'A -Döviz'!R278</f>
        <v/>
      </c>
      <c r="S278" s="7" t="n"/>
      <c r="T278" s="7">
        <f>Q278+'A -Döviz'!T278</f>
        <v/>
      </c>
      <c r="U278" s="7">
        <f>R278+'A -Döviz'!U278</f>
        <v/>
      </c>
      <c r="V278" s="7" t="n"/>
      <c r="W278" s="7">
        <f>T278+'A -Döviz'!W278</f>
        <v/>
      </c>
      <c r="X278" s="7">
        <f>U278+'A -Döviz'!X278</f>
        <v/>
      </c>
      <c r="Y278" s="7" t="n"/>
      <c r="Z278" s="7">
        <f>W278+'A -Döviz'!Z278</f>
        <v/>
      </c>
      <c r="AA278" s="7">
        <f>X278+'A -Döviz'!AA278</f>
        <v/>
      </c>
      <c r="AB278" s="7" t="n"/>
      <c r="AC278" s="7">
        <f>Z278+'A -Döviz'!AC278</f>
        <v/>
      </c>
      <c r="AD278" s="7">
        <f>AA278+'A -Döviz'!AD278</f>
        <v/>
      </c>
      <c r="AE278" s="7" t="n"/>
      <c r="AF278" s="7">
        <f>AC278+'A -Döviz'!AF278</f>
        <v/>
      </c>
      <c r="AG278" s="7">
        <f>AD278+'A -Döviz'!AG278</f>
        <v/>
      </c>
      <c r="AH278" s="7" t="n"/>
      <c r="AI278" s="7">
        <f>AF278+'A -Döviz'!AI278</f>
        <v/>
      </c>
      <c r="AJ278" s="7">
        <f>AG278+'A -Döviz'!AJ278</f>
        <v/>
      </c>
      <c r="AK278" s="7" t="n"/>
      <c r="AL278" s="21">
        <f>AP278-AO278</f>
        <v/>
      </c>
      <c r="AM278" s="22">
        <f>AP278/AO278-1</f>
        <v/>
      </c>
      <c r="AO278" s="44">
        <f>IF($A$1=$B$1,B278,IF($A$1=$E$1,E278,IF($A$1=$H$1,H278,IF($A$1=$K$1,K278,IF($A$1=$N$1,N278,IF($A$1=$Q$1,Q278,IF($A$1=$T$1,T278,IF($A$1=$W$1,W278,IF($A$1=$Z$1,Z278,IF($A$1=$AC$1,AC278,IF($A$1=$AF$1,AF278,IF($A$1=$AI$1,AI278))))))))))))</f>
        <v/>
      </c>
      <c r="AP278" s="44">
        <f>IF($A$1=$B$1,C278,IF($A$1=$E$1,F278,IF($A$1=$H$1,I278,IF($A$1=$K$1,L278,IF($A$1=$N$1,O278,IF($A$1=$Q$1,R278,IF($A$1=$T$1,U278,IF($A$1=$W$1,X278,IF($A$1=$Z$1,AA278,IF($A$1=$AC$1,AD278,IF($A$1=$AF$1,AG278,IF($A$1=$AI$1,AJ278))))))))))))</f>
        <v/>
      </c>
      <c r="AR278" s="94">
        <f>T278</f>
        <v/>
      </c>
      <c r="AS278" s="94">
        <f>U278</f>
        <v/>
      </c>
      <c r="AT278" s="94">
        <f>AS278-AR278</f>
        <v/>
      </c>
    </row>
    <row r="279" ht="15.5" customHeight="1">
      <c r="A279" s="26" t="inlineStr">
        <is>
          <t xml:space="preserve">ISM </t>
        </is>
      </c>
      <c r="B279" s="7">
        <f>'A -Döviz'!B279</f>
        <v/>
      </c>
      <c r="C279" s="7">
        <f>'A -Döviz'!C279</f>
        <v/>
      </c>
      <c r="D279" s="7" t="n"/>
      <c r="E279" s="7">
        <f>B279+'A -Döviz'!E279</f>
        <v/>
      </c>
      <c r="F279" s="7">
        <f>C279+'A -Döviz'!F279</f>
        <v/>
      </c>
      <c r="G279" s="7" t="n"/>
      <c r="H279" s="7">
        <f>E279+'A -Döviz'!H279</f>
        <v/>
      </c>
      <c r="I279" s="7">
        <f>F279+'A -Döviz'!I279</f>
        <v/>
      </c>
      <c r="J279" s="7" t="n"/>
      <c r="K279" s="7">
        <f>H279+'A -Döviz'!K279</f>
        <v/>
      </c>
      <c r="L279" s="7">
        <f>I279+'A -Döviz'!L279</f>
        <v/>
      </c>
      <c r="M279" s="7" t="n"/>
      <c r="N279" s="7">
        <f>K279+'A -Döviz'!N279</f>
        <v/>
      </c>
      <c r="O279" s="7">
        <f>L279+'A -Döviz'!O279</f>
        <v/>
      </c>
      <c r="P279" s="7" t="n"/>
      <c r="Q279" s="7">
        <f>N279+'A -Döviz'!Q279</f>
        <v/>
      </c>
      <c r="R279" s="7">
        <f>O279+'A -Döviz'!R279</f>
        <v/>
      </c>
      <c r="S279" s="7" t="n"/>
      <c r="T279" s="7">
        <f>Q279+'A -Döviz'!T279</f>
        <v/>
      </c>
      <c r="U279" s="7">
        <f>R279+'A -Döviz'!U279</f>
        <v/>
      </c>
      <c r="V279" s="7" t="n"/>
      <c r="W279" s="7">
        <f>T279+'A -Döviz'!W279</f>
        <v/>
      </c>
      <c r="X279" s="7">
        <f>U279+'A -Döviz'!X279</f>
        <v/>
      </c>
      <c r="Y279" s="7" t="n"/>
      <c r="Z279" s="7">
        <f>W279+'A -Döviz'!Z279</f>
        <v/>
      </c>
      <c r="AA279" s="7">
        <f>X279+'A -Döviz'!AA279</f>
        <v/>
      </c>
      <c r="AB279" s="7" t="n"/>
      <c r="AC279" s="7">
        <f>Z279+'A -Döviz'!AC279</f>
        <v/>
      </c>
      <c r="AD279" s="7">
        <f>AA279+'A -Döviz'!AD279</f>
        <v/>
      </c>
      <c r="AE279" s="7" t="n"/>
      <c r="AF279" s="7">
        <f>AC279+'A -Döviz'!AF279</f>
        <v/>
      </c>
      <c r="AG279" s="7">
        <f>AD279+'A -Döviz'!AG279</f>
        <v/>
      </c>
      <c r="AH279" s="7" t="n"/>
      <c r="AI279" s="7">
        <f>AF279+'A -Döviz'!AI279</f>
        <v/>
      </c>
      <c r="AJ279" s="7">
        <f>AG279+'A -Döviz'!AJ279</f>
        <v/>
      </c>
      <c r="AK279" s="7" t="n"/>
      <c r="AL279" s="21">
        <f>AP279-AO279</f>
        <v/>
      </c>
      <c r="AM279" s="22">
        <f>AP279/AO279-1</f>
        <v/>
      </c>
      <c r="AO279" s="44">
        <f>IF($A$1=$B$1,B279,IF($A$1=$E$1,E279,IF($A$1=$H$1,H279,IF($A$1=$K$1,K279,IF($A$1=$N$1,N279,IF($A$1=$Q$1,Q279,IF($A$1=$T$1,T279,IF($A$1=$W$1,W279,IF($A$1=$Z$1,Z279,IF($A$1=$AC$1,AC279,IF($A$1=$AF$1,AF279,IF($A$1=$AI$1,AI279))))))))))))</f>
        <v/>
      </c>
      <c r="AP279" s="44">
        <f>IF($A$1=$B$1,C279,IF($A$1=$E$1,F279,IF($A$1=$H$1,I279,IF($A$1=$K$1,L279,IF($A$1=$N$1,O279,IF($A$1=$Q$1,R279,IF($A$1=$T$1,U279,IF($A$1=$W$1,X279,IF($A$1=$Z$1,AA279,IF($A$1=$AC$1,AD279,IF($A$1=$AF$1,AG279,IF($A$1=$AI$1,AJ279))))))))))))</f>
        <v/>
      </c>
      <c r="AR279" s="94">
        <f>T279</f>
        <v/>
      </c>
      <c r="AS279" s="94">
        <f>U279</f>
        <v/>
      </c>
      <c r="AT279" s="94">
        <f>AS279-AR279</f>
        <v/>
      </c>
    </row>
    <row r="280" ht="15.5" customHeight="1">
      <c r="A280" s="26" t="inlineStr">
        <is>
          <t>İncitaş</t>
        </is>
      </c>
      <c r="B280" s="7">
        <f>'A -Döviz'!B280</f>
        <v/>
      </c>
      <c r="C280" s="7">
        <f>'A -Döviz'!C280</f>
        <v/>
      </c>
      <c r="D280" s="7" t="n"/>
      <c r="E280" s="7">
        <f>B280+'A -Döviz'!E280</f>
        <v/>
      </c>
      <c r="F280" s="7">
        <f>C280+'A -Döviz'!F280</f>
        <v/>
      </c>
      <c r="G280" s="7" t="n"/>
      <c r="H280" s="7">
        <f>E280+'A -Döviz'!H280</f>
        <v/>
      </c>
      <c r="I280" s="7">
        <f>F280+'A -Döviz'!I280</f>
        <v/>
      </c>
      <c r="J280" s="7" t="n"/>
      <c r="K280" s="7">
        <f>H280+'A -Döviz'!K280</f>
        <v/>
      </c>
      <c r="L280" s="7">
        <f>I280+'A -Döviz'!L280</f>
        <v/>
      </c>
      <c r="M280" s="7" t="n"/>
      <c r="N280" s="7">
        <f>K280+'A -Döviz'!N280</f>
        <v/>
      </c>
      <c r="O280" s="7">
        <f>L280+'A -Döviz'!O280</f>
        <v/>
      </c>
      <c r="P280" s="7" t="n"/>
      <c r="Q280" s="7">
        <f>N280+'A -Döviz'!Q280</f>
        <v/>
      </c>
      <c r="R280" s="7">
        <f>O280+'A -Döviz'!R280</f>
        <v/>
      </c>
      <c r="S280" s="7" t="n"/>
      <c r="T280" s="7">
        <f>Q280+'A -Döviz'!T280</f>
        <v/>
      </c>
      <c r="U280" s="7">
        <f>R280+'A -Döviz'!U280</f>
        <v/>
      </c>
      <c r="V280" s="7" t="n"/>
      <c r="W280" s="7">
        <f>T280+'A -Döviz'!W280</f>
        <v/>
      </c>
      <c r="X280" s="7">
        <f>U280+'A -Döviz'!X280</f>
        <v/>
      </c>
      <c r="Y280" s="7" t="n"/>
      <c r="Z280" s="7">
        <f>W280+'A -Döviz'!Z280</f>
        <v/>
      </c>
      <c r="AA280" s="7">
        <f>X280+'A -Döviz'!AA280</f>
        <v/>
      </c>
      <c r="AB280" s="7" t="n"/>
      <c r="AC280" s="7">
        <f>Z280+'A -Döviz'!AC280</f>
        <v/>
      </c>
      <c r="AD280" s="7">
        <f>AA280+'A -Döviz'!AD280</f>
        <v/>
      </c>
      <c r="AE280" s="7" t="n"/>
      <c r="AF280" s="7">
        <f>AC280+'A -Döviz'!AF280</f>
        <v/>
      </c>
      <c r="AG280" s="7">
        <f>AD280+'A -Döviz'!AG280</f>
        <v/>
      </c>
      <c r="AH280" s="7" t="n"/>
      <c r="AI280" s="7">
        <f>AF280+'A -Döviz'!AI280</f>
        <v/>
      </c>
      <c r="AJ280" s="7">
        <f>AG280+'A -Döviz'!AJ280</f>
        <v/>
      </c>
      <c r="AK280" s="7" t="n"/>
      <c r="AL280" s="21">
        <f>AP280-AO280</f>
        <v/>
      </c>
      <c r="AM280" s="22">
        <f>AP280/AO280-1</f>
        <v/>
      </c>
      <c r="AO280" s="44">
        <f>IF($A$1=$B$1,B280,IF($A$1=$E$1,E280,IF($A$1=$H$1,H280,IF($A$1=$K$1,K280,IF($A$1=$N$1,N280,IF($A$1=$Q$1,Q280,IF($A$1=$T$1,T280,IF($A$1=$W$1,W280,IF($A$1=$Z$1,Z280,IF($A$1=$AC$1,AC280,IF($A$1=$AF$1,AF280,IF($A$1=$AI$1,AI280))))))))))))</f>
        <v/>
      </c>
      <c r="AP280" s="44">
        <f>IF($A$1=$B$1,C280,IF($A$1=$E$1,F280,IF($A$1=$H$1,I280,IF($A$1=$K$1,L280,IF($A$1=$N$1,O280,IF($A$1=$Q$1,R280,IF($A$1=$T$1,U280,IF($A$1=$W$1,X280,IF($A$1=$Z$1,AA280,IF($A$1=$AC$1,AD280,IF($A$1=$AF$1,AG280,IF($A$1=$AI$1,AJ280))))))))))))</f>
        <v/>
      </c>
      <c r="AR280" s="94">
        <f>T280</f>
        <v/>
      </c>
      <c r="AS280" s="94">
        <f>U280</f>
        <v/>
      </c>
      <c r="AT280" s="94">
        <f>AS280-AR280</f>
        <v/>
      </c>
    </row>
    <row r="281" ht="15.5" customHeight="1">
      <c r="A281" s="26" t="inlineStr">
        <is>
          <t>İnci GS Yuasa</t>
        </is>
      </c>
      <c r="B281" s="7">
        <f>'A -Döviz'!B281</f>
        <v/>
      </c>
      <c r="C281" s="7">
        <f>'A -Döviz'!C281</f>
        <v/>
      </c>
      <c r="D281" s="7" t="n"/>
      <c r="E281" s="7">
        <f>B281+'A -Döviz'!E281</f>
        <v/>
      </c>
      <c r="F281" s="7">
        <f>C281+'A -Döviz'!F281</f>
        <v/>
      </c>
      <c r="G281" s="7" t="n"/>
      <c r="H281" s="7">
        <f>E281+'A -Döviz'!H281</f>
        <v/>
      </c>
      <c r="I281" s="7">
        <f>F281+'A -Döviz'!I281</f>
        <v/>
      </c>
      <c r="J281" s="7" t="n"/>
      <c r="K281" s="7">
        <f>H281+'A -Döviz'!K281</f>
        <v/>
      </c>
      <c r="L281" s="7">
        <f>I281+'A -Döviz'!L281</f>
        <v/>
      </c>
      <c r="M281" s="7" t="n"/>
      <c r="N281" s="7">
        <f>K281+'A -Döviz'!N281</f>
        <v/>
      </c>
      <c r="O281" s="7">
        <f>L281+'A -Döviz'!O281</f>
        <v/>
      </c>
      <c r="P281" s="7" t="n"/>
      <c r="Q281" s="7">
        <f>N281+'A -Döviz'!Q281</f>
        <v/>
      </c>
      <c r="R281" s="7">
        <f>O281+'A -Döviz'!R281</f>
        <v/>
      </c>
      <c r="S281" s="7" t="n"/>
      <c r="T281" s="7">
        <f>Q281+'A -Döviz'!T281</f>
        <v/>
      </c>
      <c r="U281" s="7">
        <f>R281+'A -Döviz'!U281</f>
        <v/>
      </c>
      <c r="V281" s="7" t="n"/>
      <c r="W281" s="7">
        <f>T281+'A -Döviz'!W281</f>
        <v/>
      </c>
      <c r="X281" s="7">
        <f>U281+'A -Döviz'!X281</f>
        <v/>
      </c>
      <c r="Y281" s="7" t="n"/>
      <c r="Z281" s="7">
        <f>W281+'A -Döviz'!Z281</f>
        <v/>
      </c>
      <c r="AA281" s="7">
        <f>X281+'A -Döviz'!AA281</f>
        <v/>
      </c>
      <c r="AB281" s="7" t="n"/>
      <c r="AC281" s="7">
        <f>Z281+'A -Döviz'!AC281</f>
        <v/>
      </c>
      <c r="AD281" s="7">
        <f>AA281+'A -Döviz'!AD281</f>
        <v/>
      </c>
      <c r="AE281" s="7" t="n"/>
      <c r="AF281" s="7">
        <f>AC281+'A -Döviz'!AF281</f>
        <v/>
      </c>
      <c r="AG281" s="7">
        <f>AD281+'A -Döviz'!AG281</f>
        <v/>
      </c>
      <c r="AH281" s="7" t="n"/>
      <c r="AI281" s="7">
        <f>AF281+'A -Döviz'!AI281</f>
        <v/>
      </c>
      <c r="AJ281" s="7">
        <f>AG281+'A -Döviz'!AJ281</f>
        <v/>
      </c>
      <c r="AK281" s="7" t="n"/>
      <c r="AL281" s="21">
        <f>AP281-AO281</f>
        <v/>
      </c>
      <c r="AM281" s="22">
        <f>AP281/AO281-1</f>
        <v/>
      </c>
      <c r="AO281" s="44">
        <f>IF($A$1=$B$1,B281,IF($A$1=$E$1,E281,IF($A$1=$H$1,H281,IF($A$1=$K$1,K281,IF($A$1=$N$1,N281,IF($A$1=$Q$1,Q281,IF($A$1=$T$1,T281,IF($A$1=$W$1,W281,IF($A$1=$Z$1,Z281,IF($A$1=$AC$1,AC281,IF($A$1=$AF$1,AF281,IF($A$1=$AI$1,AI281))))))))))))</f>
        <v/>
      </c>
      <c r="AP281" s="44">
        <f>IF($A$1=$B$1,C281,IF($A$1=$E$1,F281,IF($A$1=$H$1,I281,IF($A$1=$K$1,L281,IF($A$1=$N$1,O281,IF($A$1=$Q$1,R281,IF($A$1=$T$1,U281,IF($A$1=$W$1,X281,IF($A$1=$Z$1,AA281,IF($A$1=$AC$1,AD281,IF($A$1=$AF$1,AG281,IF($A$1=$AI$1,AJ281))))))))))))</f>
        <v/>
      </c>
      <c r="AR281" s="94">
        <f>T281*0.4</f>
        <v/>
      </c>
      <c r="AS281" s="94">
        <f>U281*0.4</f>
        <v/>
      </c>
      <c r="AT281" s="94">
        <f>AS281-AR281</f>
        <v/>
      </c>
    </row>
    <row r="282" ht="15.5" customFormat="1" customHeight="1" s="1">
      <c r="A282" s="26" t="inlineStr">
        <is>
          <t>Yusen İnci Loj.</t>
        </is>
      </c>
      <c r="B282" s="7">
        <f>'A -Döviz'!B282</f>
        <v/>
      </c>
      <c r="C282" s="7">
        <f>'A -Döviz'!C282</f>
        <v/>
      </c>
      <c r="D282" s="8" t="n"/>
      <c r="E282" s="7">
        <f>B282+'A -Döviz'!E282</f>
        <v/>
      </c>
      <c r="F282" s="7">
        <f>C282+'A -Döviz'!F282</f>
        <v/>
      </c>
      <c r="G282" s="8" t="n"/>
      <c r="H282" s="7">
        <f>E282+'A -Döviz'!H282</f>
        <v/>
      </c>
      <c r="I282" s="7">
        <f>F282+'A -Döviz'!I282</f>
        <v/>
      </c>
      <c r="J282" s="8" t="n"/>
      <c r="K282" s="7">
        <f>H282+'A -Döviz'!K282</f>
        <v/>
      </c>
      <c r="L282" s="7">
        <f>I282+'A -Döviz'!L282</f>
        <v/>
      </c>
      <c r="M282" s="8" t="n"/>
      <c r="N282" s="7">
        <f>K282+'A -Döviz'!N282</f>
        <v/>
      </c>
      <c r="O282" s="7">
        <f>L282+'A -Döviz'!O282</f>
        <v/>
      </c>
      <c r="P282" s="8" t="n"/>
      <c r="Q282" s="7">
        <f>N282+'A -Döviz'!Q282</f>
        <v/>
      </c>
      <c r="R282" s="7">
        <f>O282+'A -Döviz'!R282</f>
        <v/>
      </c>
      <c r="S282" s="8" t="n"/>
      <c r="T282" s="7">
        <f>Q282+'A -Döviz'!T282</f>
        <v/>
      </c>
      <c r="U282" s="7">
        <f>R282+'A -Döviz'!U282</f>
        <v/>
      </c>
      <c r="V282" s="8" t="n"/>
      <c r="W282" s="7">
        <f>T282+'A -Döviz'!W282</f>
        <v/>
      </c>
      <c r="X282" s="7">
        <f>U282+'A -Döviz'!X282</f>
        <v/>
      </c>
      <c r="Y282" s="8" t="n"/>
      <c r="Z282" s="7">
        <f>W282+'A -Döviz'!Z282</f>
        <v/>
      </c>
      <c r="AA282" s="7">
        <f>X282+'A -Döviz'!AA282</f>
        <v/>
      </c>
      <c r="AB282" s="8" t="n"/>
      <c r="AC282" s="7">
        <f>Z282+'A -Döviz'!AC282</f>
        <v/>
      </c>
      <c r="AD282" s="7">
        <f>AA282+'A -Döviz'!AD282</f>
        <v/>
      </c>
      <c r="AE282" s="8" t="n"/>
      <c r="AF282" s="7">
        <f>AC282+'A -Döviz'!AF282</f>
        <v/>
      </c>
      <c r="AG282" s="7">
        <f>AD282+'A -Döviz'!AG282</f>
        <v/>
      </c>
      <c r="AH282" s="8" t="n"/>
      <c r="AI282" s="7">
        <f>AF282+'A -Döviz'!AI282</f>
        <v/>
      </c>
      <c r="AJ282" s="7">
        <f>AG282+'A -Döviz'!AJ282</f>
        <v/>
      </c>
      <c r="AK282" s="8" t="n"/>
      <c r="AL282" s="21">
        <f>AP282-AO282</f>
        <v/>
      </c>
      <c r="AM282" s="22">
        <f>AP282/AO282-1</f>
        <v/>
      </c>
      <c r="AO282" s="44">
        <f>IF($A$1=$B$1,B282,IF($A$1=$E$1,E282,IF($A$1=$H$1,H282,IF($A$1=$K$1,K282,IF($A$1=$N$1,N282,IF($A$1=$Q$1,Q282,IF($A$1=$T$1,T282,IF($A$1=$W$1,W282,IF($A$1=$Z$1,Z282,IF($A$1=$AC$1,AC282,IF($A$1=$AF$1,AF282,IF($A$1=$AI$1,AI282))))))))))))</f>
        <v/>
      </c>
      <c r="AP282" s="44">
        <f>IF($A$1=$B$1,C282,IF($A$1=$E$1,F282,IF($A$1=$H$1,I282,IF($A$1=$K$1,L282,IF($A$1=$N$1,O282,IF($A$1=$Q$1,R282,IF($A$1=$T$1,U282,IF($A$1=$W$1,X282,IF($A$1=$Z$1,AA282,IF($A$1=$AC$1,AD282,IF($A$1=$AF$1,AG282,IF($A$1=$AI$1,AJ282))))))))))))</f>
        <v/>
      </c>
      <c r="AR282" s="94">
        <f>T282*0.4</f>
        <v/>
      </c>
      <c r="AS282" s="94">
        <f>U282*0.4</f>
        <v/>
      </c>
      <c r="AT282" s="94">
        <f>AS282-AR282</f>
        <v/>
      </c>
    </row>
    <row r="283" ht="15.5" customHeight="1">
      <c r="A283" s="26" t="inlineStr">
        <is>
          <t>Jantaş</t>
        </is>
      </c>
      <c r="B283" s="7">
        <f>'A -Döviz'!B283</f>
        <v/>
      </c>
      <c r="C283" s="7">
        <f>'A -Döviz'!C283</f>
        <v/>
      </c>
      <c r="D283" s="7" t="n"/>
      <c r="E283" s="7">
        <f>B283+'A -Döviz'!E283</f>
        <v/>
      </c>
      <c r="F283" s="7">
        <f>C283+'A -Döviz'!F283</f>
        <v/>
      </c>
      <c r="G283" s="7" t="n"/>
      <c r="H283" s="7">
        <f>E283+'A -Döviz'!H283</f>
        <v/>
      </c>
      <c r="I283" s="7">
        <f>F283+'A -Döviz'!I283</f>
        <v/>
      </c>
      <c r="J283" s="7" t="n"/>
      <c r="K283" s="7">
        <f>H283+'A -Döviz'!K283</f>
        <v/>
      </c>
      <c r="L283" s="7">
        <f>I283+'A -Döviz'!L283</f>
        <v/>
      </c>
      <c r="M283" s="7" t="n"/>
      <c r="N283" s="7">
        <f>K283+'A -Döviz'!N283</f>
        <v/>
      </c>
      <c r="O283" s="7">
        <f>L283+'A -Döviz'!O283</f>
        <v/>
      </c>
      <c r="P283" s="7" t="n"/>
      <c r="Q283" s="7">
        <f>N283+'A -Döviz'!Q283</f>
        <v/>
      </c>
      <c r="R283" s="7">
        <f>O283+'A -Döviz'!R283</f>
        <v/>
      </c>
      <c r="S283" s="7" t="n"/>
      <c r="T283" s="7">
        <f>Q283+'A -Döviz'!T283</f>
        <v/>
      </c>
      <c r="U283" s="7">
        <f>R283+'A -Döviz'!U283</f>
        <v/>
      </c>
      <c r="V283" s="7" t="n"/>
      <c r="W283" s="7">
        <f>T283+'A -Döviz'!W283</f>
        <v/>
      </c>
      <c r="X283" s="7">
        <f>U283+'A -Döviz'!X283</f>
        <v/>
      </c>
      <c r="Y283" s="7" t="n"/>
      <c r="Z283" s="7">
        <f>W283+'A -Döviz'!Z283</f>
        <v/>
      </c>
      <c r="AA283" s="7">
        <f>X283+'A -Döviz'!AA283</f>
        <v/>
      </c>
      <c r="AB283" s="7" t="n"/>
      <c r="AC283" s="7">
        <f>Z283+'A -Döviz'!AC283</f>
        <v/>
      </c>
      <c r="AD283" s="7">
        <f>AA283+'A -Döviz'!AD283</f>
        <v/>
      </c>
      <c r="AE283" s="7" t="n"/>
      <c r="AF283" s="7">
        <f>AC283+'A -Döviz'!AF283</f>
        <v/>
      </c>
      <c r="AG283" s="7">
        <f>AD283+'A -Döviz'!AG283</f>
        <v/>
      </c>
      <c r="AH283" s="7" t="n"/>
      <c r="AI283" s="7">
        <f>AF283+'A -Döviz'!AI283</f>
        <v/>
      </c>
      <c r="AJ283" s="7">
        <f>AG283+'A -Döviz'!AJ283</f>
        <v/>
      </c>
      <c r="AK283" s="7" t="n"/>
      <c r="AL283" s="21">
        <f>AP283-AO283</f>
        <v/>
      </c>
      <c r="AM283" s="22">
        <f>AP283/AO283-1</f>
        <v/>
      </c>
      <c r="AO283" s="44">
        <f>IF($A$1=$B$1,B283,IF($A$1=$E$1,E283,IF($A$1=$H$1,H283,IF($A$1=$K$1,K283,IF($A$1=$N$1,N283,IF($A$1=$Q$1,Q283,IF($A$1=$T$1,T283,IF($A$1=$W$1,W283,IF($A$1=$Z$1,Z283,IF($A$1=$AC$1,AC283,IF($A$1=$AF$1,AF283,IF($A$1=$AI$1,AI283))))))))))))</f>
        <v/>
      </c>
      <c r="AP283" s="44">
        <f>IF($A$1=$B$1,C283,IF($A$1=$E$1,F283,IF($A$1=$H$1,I283,IF($A$1=$K$1,L283,IF($A$1=$N$1,O283,IF($A$1=$Q$1,R283,IF($A$1=$T$1,U283,IF($A$1=$W$1,X283,IF($A$1=$Z$1,AA283,IF($A$1=$AC$1,AD283,IF($A$1=$AF$1,AG283,IF($A$1=$AI$1,AJ283))))))))))))</f>
        <v/>
      </c>
      <c r="AR283" s="94">
        <f>T283*0.4</f>
        <v/>
      </c>
      <c r="AS283" s="94">
        <f>U283*0.4</f>
        <v/>
      </c>
      <c r="AT283" s="94">
        <f>AS283-AR283</f>
        <v/>
      </c>
    </row>
    <row r="284" ht="15.5" customFormat="1" customHeight="1" s="1">
      <c r="A284" s="26" t="inlineStr">
        <is>
          <t>Çelik</t>
        </is>
      </c>
      <c r="B284" s="7">
        <f>'A -Döviz'!B284</f>
        <v/>
      </c>
      <c r="C284" s="7">
        <f>'A -Döviz'!C284</f>
        <v/>
      </c>
      <c r="D284" s="8" t="n"/>
      <c r="E284" s="7">
        <f>B284+'A -Döviz'!E284</f>
        <v/>
      </c>
      <c r="F284" s="7">
        <f>C284+'A -Döviz'!F284</f>
        <v/>
      </c>
      <c r="G284" s="8" t="n"/>
      <c r="H284" s="7">
        <f>E284+'A -Döviz'!H284</f>
        <v/>
      </c>
      <c r="I284" s="7">
        <f>F284+'A -Döviz'!I284</f>
        <v/>
      </c>
      <c r="J284" s="8" t="n"/>
      <c r="K284" s="7">
        <f>H284+'A -Döviz'!K284</f>
        <v/>
      </c>
      <c r="L284" s="7">
        <f>I284+'A -Döviz'!L284</f>
        <v/>
      </c>
      <c r="M284" s="8" t="n"/>
      <c r="N284" s="7">
        <f>K284+'A -Döviz'!N284</f>
        <v/>
      </c>
      <c r="O284" s="7">
        <f>L284+'A -Döviz'!O284</f>
        <v/>
      </c>
      <c r="P284" s="8" t="n"/>
      <c r="Q284" s="7">
        <f>N284+'A -Döviz'!Q284</f>
        <v/>
      </c>
      <c r="R284" s="7">
        <f>O284+'A -Döviz'!R284</f>
        <v/>
      </c>
      <c r="S284" s="8" t="n"/>
      <c r="T284" s="7">
        <f>Q284+'A -Döviz'!T284</f>
        <v/>
      </c>
      <c r="U284" s="7">
        <f>R284+'A -Döviz'!U284</f>
        <v/>
      </c>
      <c r="V284" s="8" t="n"/>
      <c r="W284" s="7">
        <f>T284+'A -Döviz'!W284</f>
        <v/>
      </c>
      <c r="X284" s="7">
        <f>U284+'A -Döviz'!X284</f>
        <v/>
      </c>
      <c r="Y284" s="8" t="n"/>
      <c r="Z284" s="7">
        <f>W284+'A -Döviz'!Z284</f>
        <v/>
      </c>
      <c r="AA284" s="7">
        <f>X284+'A -Döviz'!AA284</f>
        <v/>
      </c>
      <c r="AB284" s="8" t="n"/>
      <c r="AC284" s="7">
        <f>Z284+'A -Döviz'!AC284</f>
        <v/>
      </c>
      <c r="AD284" s="7">
        <f>AA284+'A -Döviz'!AD284</f>
        <v/>
      </c>
      <c r="AE284" s="8" t="n"/>
      <c r="AF284" s="7">
        <f>AC284+'A -Döviz'!AF284</f>
        <v/>
      </c>
      <c r="AG284" s="7">
        <f>AD284+'A -Döviz'!AG284</f>
        <v/>
      </c>
      <c r="AH284" s="8" t="n"/>
      <c r="AI284" s="7">
        <f>AF284+'A -Döviz'!AI284</f>
        <v/>
      </c>
      <c r="AJ284" s="7">
        <f>AG284+'A -Döviz'!AJ284</f>
        <v/>
      </c>
      <c r="AK284" s="8" t="n"/>
      <c r="AL284" s="21">
        <f>AP284-AO284</f>
        <v/>
      </c>
      <c r="AM284" s="22">
        <f>AP284/AO284-1</f>
        <v/>
      </c>
      <c r="AO284" s="44">
        <f>IF($A$1=$B$1,B284,IF($A$1=$E$1,E284,IF($A$1=$H$1,H284,IF($A$1=$K$1,K284,IF($A$1=$N$1,N284,IF($A$1=$Q$1,Q284,IF($A$1=$T$1,T284,IF($A$1=$W$1,W284,IF($A$1=$Z$1,Z284,IF($A$1=$AC$1,AC284,IF($A$1=$AF$1,AF284,IF($A$1=$AI$1,AI284))))))))))))</f>
        <v/>
      </c>
      <c r="AP284" s="44">
        <f>IF($A$1=$B$1,C284,IF($A$1=$E$1,F284,IF($A$1=$H$1,I284,IF($A$1=$K$1,L284,IF($A$1=$N$1,O284,IF($A$1=$Q$1,R284,IF($A$1=$T$1,U284,IF($A$1=$W$1,X284,IF($A$1=$Z$1,AA284,IF($A$1=$AC$1,AD284,IF($A$1=$AF$1,AG284,IF($A$1=$AI$1,AJ284))))))))))))</f>
        <v/>
      </c>
      <c r="AR284" s="94">
        <f>T284*0.4</f>
        <v/>
      </c>
      <c r="AS284" s="94">
        <f>U284*0.4</f>
        <v/>
      </c>
      <c r="AT284" s="94">
        <f>AS284-AR284</f>
        <v/>
      </c>
    </row>
    <row r="285" ht="15.5" customFormat="1" customHeight="1" s="1">
      <c r="A285" s="26" t="inlineStr">
        <is>
          <t>Alüminyum</t>
        </is>
      </c>
      <c r="B285" s="7">
        <f>'A -Döviz'!B285</f>
        <v/>
      </c>
      <c r="C285" s="7">
        <f>'A -Döviz'!C285</f>
        <v/>
      </c>
      <c r="D285" s="8" t="n"/>
      <c r="E285" s="7">
        <f>B285+'A -Döviz'!E285</f>
        <v/>
      </c>
      <c r="F285" s="7">
        <f>C285+'A -Döviz'!F285</f>
        <v/>
      </c>
      <c r="G285" s="8" t="n"/>
      <c r="H285" s="7">
        <f>E285+'A -Döviz'!H285</f>
        <v/>
      </c>
      <c r="I285" s="7">
        <f>F285+'A -Döviz'!I285</f>
        <v/>
      </c>
      <c r="J285" s="8" t="n"/>
      <c r="K285" s="7">
        <f>H285+'A -Döviz'!K285</f>
        <v/>
      </c>
      <c r="L285" s="7">
        <f>I285+'A -Döviz'!L285</f>
        <v/>
      </c>
      <c r="M285" s="8" t="n"/>
      <c r="N285" s="7">
        <f>K285+'A -Döviz'!N285</f>
        <v/>
      </c>
      <c r="O285" s="7">
        <f>L285+'A -Döviz'!O285</f>
        <v/>
      </c>
      <c r="P285" s="8" t="n"/>
      <c r="Q285" s="7">
        <f>N285+'A -Döviz'!Q285</f>
        <v/>
      </c>
      <c r="R285" s="7">
        <f>O285+'A -Döviz'!R285</f>
        <v/>
      </c>
      <c r="S285" s="8" t="n"/>
      <c r="T285" s="7">
        <f>Q285+'A -Döviz'!T285</f>
        <v/>
      </c>
      <c r="U285" s="7">
        <f>R285+'A -Döviz'!U285</f>
        <v/>
      </c>
      <c r="V285" s="8" t="n"/>
      <c r="W285" s="7">
        <f>T285+'A -Döviz'!W285</f>
        <v/>
      </c>
      <c r="X285" s="7">
        <f>U285+'A -Döviz'!X285</f>
        <v/>
      </c>
      <c r="Y285" s="8" t="n"/>
      <c r="Z285" s="7">
        <f>W285+'A -Döviz'!Z285</f>
        <v/>
      </c>
      <c r="AA285" s="7">
        <f>X285+'A -Döviz'!AA285</f>
        <v/>
      </c>
      <c r="AB285" s="8" t="n"/>
      <c r="AC285" s="7">
        <f>Z285+'A -Döviz'!AC285</f>
        <v/>
      </c>
      <c r="AD285" s="7">
        <f>AA285+'A -Döviz'!AD285</f>
        <v/>
      </c>
      <c r="AE285" s="8" t="n"/>
      <c r="AF285" s="7">
        <f>AC285+'A -Döviz'!AF285</f>
        <v/>
      </c>
      <c r="AG285" s="7">
        <f>AD285+'A -Döviz'!AG285</f>
        <v/>
      </c>
      <c r="AH285" s="8" t="n"/>
      <c r="AI285" s="7">
        <f>AF285+'A -Döviz'!AI285</f>
        <v/>
      </c>
      <c r="AJ285" s="7">
        <f>AG285+'A -Döviz'!AJ285</f>
        <v/>
      </c>
      <c r="AK285" s="8" t="n"/>
      <c r="AL285" s="21">
        <f>AP285-AO285</f>
        <v/>
      </c>
      <c r="AM285" s="22">
        <f>AP285/AO285-1</f>
        <v/>
      </c>
      <c r="AO285" s="44">
        <f>IF($A$1=$B$1,B285,IF($A$1=$E$1,E285,IF($A$1=$H$1,H285,IF($A$1=$K$1,K285,IF($A$1=$N$1,N285,IF($A$1=$Q$1,Q285,IF($A$1=$T$1,T285,IF($A$1=$W$1,W285,IF($A$1=$Z$1,Z285,IF($A$1=$AC$1,AC285,IF($A$1=$AF$1,AF285,IF($A$1=$AI$1,AI285))))))))))))</f>
        <v/>
      </c>
      <c r="AP285" s="44">
        <f>IF($A$1=$B$1,C285,IF($A$1=$E$1,F285,IF($A$1=$H$1,I285,IF($A$1=$K$1,L285,IF($A$1=$N$1,O285,IF($A$1=$Q$1,R285,IF($A$1=$T$1,U285,IF($A$1=$W$1,X285,IF($A$1=$Z$1,AA285,IF($A$1=$AC$1,AD285,IF($A$1=$AF$1,AG285,IF($A$1=$AI$1,AJ285))))))))))))</f>
        <v/>
      </c>
      <c r="AR285" s="94">
        <f>T285*0.4</f>
        <v/>
      </c>
      <c r="AS285" s="94">
        <f>U285*0.4</f>
        <v/>
      </c>
      <c r="AT285" s="94">
        <f>AS285-AR285</f>
        <v/>
      </c>
    </row>
    <row r="286" ht="15.5" customFormat="1" customHeight="1" s="1">
      <c r="A286" s="26" t="n"/>
      <c r="B286" s="7" t="n"/>
      <c r="C286" s="8" t="n"/>
      <c r="D286" s="8" t="n"/>
      <c r="E286" s="7" t="n"/>
      <c r="F286" s="8" t="n"/>
      <c r="G286" s="8" t="n"/>
      <c r="H286" s="7" t="n"/>
      <c r="I286" s="8" t="n"/>
      <c r="J286" s="8" t="n"/>
      <c r="K286" s="7" t="n"/>
      <c r="L286" s="8" t="n"/>
      <c r="M286" s="8" t="n"/>
      <c r="N286" s="7" t="n"/>
      <c r="O286" s="8" t="n"/>
      <c r="P286" s="8" t="n"/>
      <c r="Q286" s="7" t="n"/>
      <c r="R286" s="8" t="n"/>
      <c r="S286" s="8" t="n"/>
      <c r="T286" s="7" t="n"/>
      <c r="U286" s="8" t="n"/>
      <c r="V286" s="8" t="n"/>
      <c r="W286" s="7" t="n"/>
      <c r="X286" s="8" t="n"/>
      <c r="Y286" s="8" t="n"/>
      <c r="Z286" s="7" t="n"/>
      <c r="AA286" s="8" t="n"/>
      <c r="AB286" s="8" t="n"/>
      <c r="AC286" s="7" t="n"/>
      <c r="AD286" s="8" t="n"/>
      <c r="AE286" s="8" t="n"/>
      <c r="AF286" s="7" t="n"/>
      <c r="AG286" s="8" t="n"/>
      <c r="AH286" s="8" t="n"/>
      <c r="AI286" s="7" t="n"/>
      <c r="AJ286" s="8" t="n"/>
      <c r="AK286" s="8" t="n"/>
      <c r="AL286" s="15" t="n"/>
      <c r="AM286" s="16" t="n"/>
      <c r="AO286" s="44" t="n"/>
      <c r="AP286" s="44" t="n"/>
    </row>
    <row r="287" ht="15.5" customFormat="1" customHeight="1" s="1">
      <c r="A287" s="26" t="n"/>
      <c r="B287" s="7" t="n"/>
      <c r="C287" s="8" t="n"/>
      <c r="D287" s="8" t="n"/>
      <c r="E287" s="7" t="n"/>
      <c r="F287" s="8" t="n"/>
      <c r="G287" s="8" t="n"/>
      <c r="H287" s="7" t="n"/>
      <c r="I287" s="8" t="n"/>
      <c r="J287" s="8" t="n"/>
      <c r="K287" s="7" t="n"/>
      <c r="L287" s="8" t="n"/>
      <c r="M287" s="8" t="n"/>
      <c r="N287" s="7" t="n"/>
      <c r="O287" s="8" t="n"/>
      <c r="P287" s="8" t="n"/>
      <c r="R287" s="8" t="n"/>
      <c r="S287" s="8" t="n"/>
      <c r="T287" s="7" t="n"/>
      <c r="U287" s="8" t="n"/>
      <c r="V287" s="8" t="n"/>
      <c r="W287" s="7" t="n"/>
      <c r="X287" s="8" t="n"/>
      <c r="Y287" s="8" t="n"/>
      <c r="Z287" s="7" t="n"/>
      <c r="AA287" s="8" t="n"/>
      <c r="AB287" s="8" t="n"/>
      <c r="AC287" s="7" t="n"/>
      <c r="AD287" s="8" t="n"/>
      <c r="AE287" s="8" t="n"/>
      <c r="AF287" s="7" t="n"/>
      <c r="AG287" s="8" t="n"/>
      <c r="AH287" s="8" t="n"/>
      <c r="AI287" s="7" t="n"/>
      <c r="AJ287" s="8" t="n"/>
      <c r="AK287" s="8" t="n"/>
      <c r="AL287" s="15" t="n"/>
      <c r="AM287" s="16" t="n"/>
      <c r="AO287" s="44" t="n"/>
      <c r="AP287" s="44" t="n"/>
    </row>
    <row r="288" ht="21" customFormat="1" customHeight="1" s="44">
      <c r="A288" s="31" t="inlineStr">
        <is>
          <t>Operasyonel Nakit</t>
        </is>
      </c>
      <c r="B288" s="32">
        <f>'A -Döviz'!B288</f>
        <v/>
      </c>
      <c r="C288" s="32">
        <f>'A -Döviz'!C288</f>
        <v/>
      </c>
      <c r="D288" s="18" t="n"/>
      <c r="E288" s="32">
        <f>B288+'A -Döviz'!E288</f>
        <v/>
      </c>
      <c r="F288" s="32">
        <f>C288+'A -Döviz'!F288</f>
        <v/>
      </c>
      <c r="G288" s="18" t="n"/>
      <c r="H288" s="32">
        <f>E288+'A -Döviz'!H288</f>
        <v/>
      </c>
      <c r="I288" s="32">
        <f>F288+'A -Döviz'!I288</f>
        <v/>
      </c>
      <c r="J288" s="18" t="n"/>
      <c r="K288" s="32">
        <f>H288+'A -Döviz'!K288</f>
        <v/>
      </c>
      <c r="L288" s="32">
        <f>I288+'A -Döviz'!L288</f>
        <v/>
      </c>
      <c r="M288" s="18" t="n"/>
      <c r="N288" s="32">
        <f>K288+'A -Döviz'!N288</f>
        <v/>
      </c>
      <c r="O288" s="32">
        <f>L288+'A -Döviz'!O288</f>
        <v/>
      </c>
      <c r="P288" s="18" t="n"/>
      <c r="Q288" s="32">
        <f>N288+'A -Döviz'!Q288</f>
        <v/>
      </c>
      <c r="R288" s="32">
        <f>O288+'A -Döviz'!R288</f>
        <v/>
      </c>
      <c r="S288" s="18" t="n"/>
      <c r="T288" s="32">
        <f>Q288+'A -Döviz'!T288</f>
        <v/>
      </c>
      <c r="U288" s="32">
        <f>R288+'A -Döviz'!U288</f>
        <v/>
      </c>
      <c r="V288" s="18" t="n"/>
      <c r="W288" s="32">
        <f>T288+'A -Döviz'!W288</f>
        <v/>
      </c>
      <c r="X288" s="32">
        <f>U288+'A -Döviz'!X288</f>
        <v/>
      </c>
      <c r="Y288" s="18" t="n"/>
      <c r="Z288" s="32">
        <f>W288+'A -Döviz'!Z288</f>
        <v/>
      </c>
      <c r="AA288" s="32">
        <f>X288+'A -Döviz'!AA288</f>
        <v/>
      </c>
      <c r="AB288" s="18" t="n"/>
      <c r="AC288" s="32">
        <f>Z288+'A -Döviz'!AC288</f>
        <v/>
      </c>
      <c r="AD288" s="32">
        <f>AA288+'A -Döviz'!AD288</f>
        <v/>
      </c>
      <c r="AE288" s="18" t="n"/>
      <c r="AF288" s="32">
        <f>AC288+'A -Döviz'!AF288</f>
        <v/>
      </c>
      <c r="AG288" s="32">
        <f>AD288+'A -Döviz'!AG288</f>
        <v/>
      </c>
      <c r="AH288" s="18" t="n"/>
      <c r="AI288" s="32">
        <f>AF288+'A -Döviz'!AI288</f>
        <v/>
      </c>
      <c r="AJ288" s="32">
        <f>AG288+'A -Döviz'!AJ288</f>
        <v/>
      </c>
      <c r="AK288" s="18" t="n"/>
      <c r="AL288" s="33">
        <f>AP288-AO288</f>
        <v/>
      </c>
      <c r="AM288" s="34">
        <f>AP288/AO288-1</f>
        <v/>
      </c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/>
      </c>
      <c r="AP288" s="44">
        <f>IF($A$1=$B$1,C288,IF($A$1=$E$1,F288,IF($A$1=$H$1,I288,IF($A$1=$K$1,L288,IF($A$1=$N$1,O288,IF($A$1=$Q$1,R288,IF($A$1=$T$1,U288,IF($A$1=$W$1,X288,IF($A$1=$Z$1,AA288,IF($A$1=$AC$1,AD288,IF($A$1=$AF$1,AG288,IF($A$1=$AI$1,AJ288))))))))))))</f>
        <v/>
      </c>
      <c r="AR288" s="44">
        <f>Q288/1000000</f>
        <v/>
      </c>
      <c r="AS288" s="44">
        <f>R288/1000000</f>
        <v/>
      </c>
      <c r="AV288" s="131">
        <f>+AC288/1000000</f>
        <v/>
      </c>
      <c r="AW288" s="128">
        <f>AI288/1000000</f>
        <v/>
      </c>
      <c r="AX288" s="126">
        <f>AM288</f>
        <v/>
      </c>
    </row>
    <row r="289" ht="15.5" customFormat="1" customHeight="1" s="13">
      <c r="A289" s="27" t="n"/>
      <c r="B289" s="30" t="n"/>
      <c r="C289" s="30" t="n"/>
      <c r="D289" s="41" t="n"/>
      <c r="E289" s="30" t="n"/>
      <c r="F289" s="30" t="n"/>
      <c r="G289" s="41" t="n"/>
      <c r="H289" s="30" t="n"/>
      <c r="I289" s="30" t="n"/>
      <c r="J289" s="41" t="n"/>
      <c r="K289" s="30" t="n"/>
      <c r="L289" s="30" t="n"/>
      <c r="M289" s="41" t="n"/>
      <c r="N289" s="30" t="n"/>
      <c r="O289" s="30" t="n"/>
      <c r="P289" s="41" t="n"/>
      <c r="Q289" s="125">
        <f>Q288/1000000</f>
        <v/>
      </c>
      <c r="R289" s="30" t="n"/>
      <c r="S289" s="41" t="n"/>
      <c r="T289" s="30" t="n"/>
      <c r="U289" s="95">
        <f>U288/1000000</f>
        <v/>
      </c>
      <c r="V289" s="41" t="n"/>
      <c r="W289" s="30" t="n"/>
      <c r="X289" s="30" t="n"/>
      <c r="Y289" s="41" t="n"/>
      <c r="Z289" s="30" t="n"/>
      <c r="AA289" s="30" t="n"/>
      <c r="AB289" s="41" t="n"/>
      <c r="AC289" s="30" t="n"/>
      <c r="AD289" s="30">
        <f>AD288/AD6</f>
        <v/>
      </c>
      <c r="AE289" s="41" t="n"/>
      <c r="AF289" s="30" t="n"/>
      <c r="AG289" s="30" t="n"/>
      <c r="AH289" s="41" t="n"/>
      <c r="AI289" s="30" t="n"/>
      <c r="AJ289" s="30" t="n"/>
      <c r="AK289" s="41" t="n"/>
      <c r="AL289" s="15" t="n"/>
      <c r="AM289" s="22" t="n"/>
      <c r="AO289" s="44">
        <f>IF($A$1=$B$1,B289,IF($A$1=$E$1,E289,IF($A$1=$H$1,H289,IF($A$1=$K$1,K289,IF($A$1=$N$1,N289,IF($A$1=$Q$1,Q289,IF($A$1=$T$1,T289,IF($A$1=$W$1,W289,IF($A$1=$Z$1,Z289,IF($A$1=$AC$1,AC289,IF($A$1=$AF$1,AF289,IF($A$1=$AI$1,AI289))))))))))))</f>
        <v/>
      </c>
      <c r="AP289" s="44">
        <f>IF($A$1=$B$1,C289,IF($A$1=$E$1,F289,IF($A$1=$H$1,I289,IF($A$1=$K$1,L289,IF($A$1=$N$1,O289,IF($A$1=$Q$1,R289,IF($A$1=$T$1,U289,IF($A$1=$W$1,X289,IF($A$1=$Z$1,AA289,IF($A$1=$AC$1,AD289,IF($A$1=$AF$1,AG289,IF($A$1=$AI$1,AJ289))))))))))))</f>
        <v/>
      </c>
    </row>
    <row r="290" ht="17" customFormat="1" customHeight="1" s="49">
      <c r="A290" s="47" t="inlineStr">
        <is>
          <t>Operasyonel Nakit (100%)</t>
        </is>
      </c>
      <c r="B290" s="413" t="n"/>
      <c r="C290" s="413" t="n"/>
      <c r="D290" s="413" t="n"/>
      <c r="E290" s="413" t="n"/>
      <c r="F290" s="413" t="n"/>
      <c r="G290" s="413" t="n"/>
      <c r="H290" s="413" t="n"/>
      <c r="I290" s="413" t="n"/>
      <c r="J290" s="413" t="n"/>
      <c r="K290" s="413" t="n"/>
      <c r="L290" s="413" t="n"/>
      <c r="M290" s="413" t="n"/>
      <c r="N290" s="413" t="n"/>
      <c r="O290" s="413" t="n"/>
      <c r="P290" s="413" t="n"/>
      <c r="Q290" s="413" t="n"/>
      <c r="R290" s="413" t="n"/>
      <c r="S290" s="413" t="n"/>
      <c r="T290" s="413" t="n"/>
      <c r="U290" s="413" t="n"/>
      <c r="V290" s="413" t="n"/>
      <c r="W290" s="413" t="n"/>
      <c r="X290" s="413" t="n"/>
      <c r="Y290" s="413" t="n"/>
      <c r="Z290" s="413" t="n"/>
      <c r="AA290" s="413" t="n"/>
      <c r="AB290" s="413" t="n"/>
      <c r="AC290" s="413" t="n"/>
      <c r="AD290" s="413" t="n"/>
      <c r="AE290" s="413" t="n"/>
      <c r="AF290" s="413" t="n"/>
      <c r="AG290" s="413" t="n"/>
      <c r="AH290" s="413" t="n"/>
      <c r="AI290" s="413" t="n"/>
      <c r="AJ290" s="413" t="n"/>
      <c r="AK290" s="413" t="n"/>
      <c r="AL290" s="413" t="n"/>
      <c r="AM290" s="48" t="n"/>
      <c r="AR290" s="110">
        <f>SUM(AR291:AR298)</f>
        <v/>
      </c>
      <c r="AS290" s="110">
        <f>SUM(AS291:AS298)</f>
        <v/>
      </c>
    </row>
    <row r="291" ht="15.5" customHeight="1">
      <c r="A291" s="26" t="inlineStr">
        <is>
          <t xml:space="preserve">İnci Holding </t>
        </is>
      </c>
      <c r="B291" s="7">
        <f>'A -Döviz'!B291</f>
        <v/>
      </c>
      <c r="C291" s="7">
        <f>'A -Döviz'!C291</f>
        <v/>
      </c>
      <c r="D291" s="7" t="n"/>
      <c r="E291" s="7">
        <f>B291+'A -Döviz'!E291</f>
        <v/>
      </c>
      <c r="F291" s="7">
        <f>C291+'A -Döviz'!F291</f>
        <v/>
      </c>
      <c r="G291" s="7" t="n"/>
      <c r="H291" s="7">
        <f>E291+'A -Döviz'!H291</f>
        <v/>
      </c>
      <c r="I291" s="7">
        <f>F291+'A -Döviz'!I291</f>
        <v/>
      </c>
      <c r="J291" s="7" t="n"/>
      <c r="K291" s="7">
        <f>H291+'A -Döviz'!K291</f>
        <v/>
      </c>
      <c r="L291" s="7">
        <f>I291+'A -Döviz'!L291</f>
        <v/>
      </c>
      <c r="M291" s="7" t="n"/>
      <c r="N291" s="7">
        <f>K291+'A -Döviz'!N291</f>
        <v/>
      </c>
      <c r="O291" s="7">
        <f>L291+'A -Döviz'!O291</f>
        <v/>
      </c>
      <c r="P291" s="7" t="n"/>
      <c r="Q291" s="7">
        <f>N291+'A -Döviz'!Q291</f>
        <v/>
      </c>
      <c r="R291" s="7">
        <f>O291+'A -Döviz'!R291</f>
        <v/>
      </c>
      <c r="S291" s="7" t="n"/>
      <c r="T291" s="7">
        <f>Q291+'A -Döviz'!T291</f>
        <v/>
      </c>
      <c r="U291" s="7">
        <f>R291+'A -Döviz'!U291</f>
        <v/>
      </c>
      <c r="V291" s="7" t="n"/>
      <c r="W291" s="7">
        <f>T291+'A -Döviz'!W291</f>
        <v/>
      </c>
      <c r="X291" s="7">
        <f>U291+'A -Döviz'!X291</f>
        <v/>
      </c>
      <c r="Y291" s="7" t="n"/>
      <c r="Z291" s="7">
        <f>W291+'A -Döviz'!Z291</f>
        <v/>
      </c>
      <c r="AA291" s="7">
        <f>X291+'A -Döviz'!AA291</f>
        <v/>
      </c>
      <c r="AB291" s="7" t="n"/>
      <c r="AC291" s="7">
        <f>Z291+'A -Döviz'!AC291</f>
        <v/>
      </c>
      <c r="AD291" s="7">
        <f>AA291+'A -Döviz'!AD291</f>
        <v/>
      </c>
      <c r="AE291" s="7" t="n"/>
      <c r="AF291" s="7">
        <f>AC291+'A -Döviz'!AF291</f>
        <v/>
      </c>
      <c r="AG291" s="7">
        <f>AD291+'A -Döviz'!AG291</f>
        <v/>
      </c>
      <c r="AH291" s="7" t="n"/>
      <c r="AI291" s="7">
        <f>AF291+'A -Döviz'!AI291</f>
        <v/>
      </c>
      <c r="AJ291" s="7">
        <f>AG291+'A -Döviz'!AJ291</f>
        <v/>
      </c>
      <c r="AK291" s="7" t="n"/>
      <c r="AL291" s="21">
        <f>AP291-AO291</f>
        <v/>
      </c>
      <c r="AM291" s="22">
        <f>AP291/AO291-1</f>
        <v/>
      </c>
      <c r="AO291" s="44">
        <f>IF($A$1=$B$1,B291,IF($A$1=$E$1,E291,IF($A$1=$H$1,H291,IF($A$1=$K$1,K291,IF($A$1=$N$1,N291,IF($A$1=$Q$1,Q291,IF($A$1=$T$1,T291,IF($A$1=$W$1,W291,IF($A$1=$Z$1,Z291,IF($A$1=$AC$1,AC291,IF($A$1=$AF$1,AF291,IF($A$1=$AI$1,AI291))))))))))))</f>
        <v/>
      </c>
      <c r="AP291" s="44">
        <f>IF($A$1=$B$1,C291,IF($A$1=$E$1,F291,IF($A$1=$H$1,I291,IF($A$1=$K$1,L291,IF($A$1=$N$1,O291,IF($A$1=$Q$1,R291,IF($A$1=$T$1,U291,IF($A$1=$W$1,X291,IF($A$1=$Z$1,AA291,IF($A$1=$AC$1,AD291,IF($A$1=$AF$1,AG291,IF($A$1=$AI$1,AJ291))))))))))))</f>
        <v/>
      </c>
      <c r="AR291" s="94">
        <f>AC291</f>
        <v/>
      </c>
      <c r="AS291" s="94">
        <f>AD291</f>
        <v/>
      </c>
      <c r="AT291" s="94">
        <f>AS291-AR291</f>
        <v/>
      </c>
    </row>
    <row r="292" ht="15.5" customHeight="1">
      <c r="A292" s="26" t="inlineStr">
        <is>
          <t xml:space="preserve">ISM </t>
        </is>
      </c>
      <c r="B292" s="7">
        <f>'A -Döviz'!B292</f>
        <v/>
      </c>
      <c r="C292" s="7">
        <f>'A -Döviz'!C292</f>
        <v/>
      </c>
      <c r="D292" s="7" t="n"/>
      <c r="E292" s="7">
        <f>B292+'A -Döviz'!E292</f>
        <v/>
      </c>
      <c r="F292" s="7">
        <f>C292+'A -Döviz'!F292</f>
        <v/>
      </c>
      <c r="G292" s="7" t="n"/>
      <c r="H292" s="7">
        <f>E292+'A -Döviz'!H292</f>
        <v/>
      </c>
      <c r="I292" s="7">
        <f>F292+'A -Döviz'!I292</f>
        <v/>
      </c>
      <c r="J292" s="7" t="n"/>
      <c r="K292" s="7">
        <f>H292+'A -Döviz'!K292</f>
        <v/>
      </c>
      <c r="L292" s="7">
        <f>I292+'A -Döviz'!L292</f>
        <v/>
      </c>
      <c r="M292" s="7" t="n"/>
      <c r="N292" s="7">
        <f>K292+'A -Döviz'!N292</f>
        <v/>
      </c>
      <c r="O292" s="7">
        <f>L292+'A -Döviz'!O292</f>
        <v/>
      </c>
      <c r="P292" s="7" t="n"/>
      <c r="Q292" s="7">
        <f>N292+'A -Döviz'!Q292</f>
        <v/>
      </c>
      <c r="R292" s="7">
        <f>O292+'A -Döviz'!R292</f>
        <v/>
      </c>
      <c r="S292" s="7" t="n"/>
      <c r="T292" s="7">
        <f>Q292+'A -Döviz'!T292</f>
        <v/>
      </c>
      <c r="U292" s="7">
        <f>R292+'A -Döviz'!U292</f>
        <v/>
      </c>
      <c r="V292" s="7" t="n"/>
      <c r="W292" s="7">
        <f>T292+'A -Döviz'!W292</f>
        <v/>
      </c>
      <c r="X292" s="7">
        <f>U292+'A -Döviz'!X292</f>
        <v/>
      </c>
      <c r="Y292" s="7" t="n"/>
      <c r="Z292" s="7">
        <f>W292+'A -Döviz'!Z292</f>
        <v/>
      </c>
      <c r="AA292" s="7">
        <f>X292+'A -Döviz'!AA292</f>
        <v/>
      </c>
      <c r="AB292" s="7" t="n"/>
      <c r="AC292" s="7">
        <f>Z292+'A -Döviz'!AC292</f>
        <v/>
      </c>
      <c r="AD292" s="7">
        <f>AA292+'A -Döviz'!AD292</f>
        <v/>
      </c>
      <c r="AE292" s="7" t="n"/>
      <c r="AF292" s="7">
        <f>AC292+'A -Döviz'!AF292</f>
        <v/>
      </c>
      <c r="AG292" s="7">
        <f>AD292+'A -Döviz'!AG292</f>
        <v/>
      </c>
      <c r="AH292" s="7" t="n"/>
      <c r="AI292" s="7">
        <f>AF292+'A -Döviz'!AI292</f>
        <v/>
      </c>
      <c r="AJ292" s="7">
        <f>AG292+'A -Döviz'!AJ292</f>
        <v/>
      </c>
      <c r="AK292" s="7" t="n"/>
      <c r="AL292" s="21">
        <f>AP292-AO292</f>
        <v/>
      </c>
      <c r="AM292" s="22">
        <f>AP292/AO292-1</f>
        <v/>
      </c>
      <c r="AO292" s="44">
        <f>IF($A$1=$B$1,B292,IF($A$1=$E$1,E292,IF($A$1=$H$1,H292,IF($A$1=$K$1,K292,IF($A$1=$N$1,N292,IF($A$1=$Q$1,Q292,IF($A$1=$T$1,T292,IF($A$1=$W$1,W292,IF($A$1=$Z$1,Z292,IF($A$1=$AC$1,AC292,IF($A$1=$AF$1,AF292,IF($A$1=$AI$1,AI292))))))))))))</f>
        <v/>
      </c>
      <c r="AP292" s="44">
        <f>IF($A$1=$B$1,C292,IF($A$1=$E$1,F292,IF($A$1=$H$1,I292,IF($A$1=$K$1,L292,IF($A$1=$N$1,O292,IF($A$1=$Q$1,R292,IF($A$1=$T$1,U292,IF($A$1=$W$1,X292,IF($A$1=$Z$1,AA292,IF($A$1=$AC$1,AD292,IF($A$1=$AF$1,AG292,IF($A$1=$AI$1,AJ292))))))))))))</f>
        <v/>
      </c>
      <c r="AR292" s="94">
        <f>AC292</f>
        <v/>
      </c>
      <c r="AS292" s="94">
        <f>AD292</f>
        <v/>
      </c>
      <c r="AT292" s="94">
        <f>AS292-AR292</f>
        <v/>
      </c>
    </row>
    <row r="293" ht="15.5" customHeight="1">
      <c r="A293" s="26" t="inlineStr">
        <is>
          <t>İncitaş</t>
        </is>
      </c>
      <c r="B293" s="7">
        <f>'A -Döviz'!B293</f>
        <v/>
      </c>
      <c r="C293" s="7">
        <f>'A -Döviz'!C293</f>
        <v/>
      </c>
      <c r="D293" s="7" t="n"/>
      <c r="E293" s="7">
        <f>B293+'A -Döviz'!E293</f>
        <v/>
      </c>
      <c r="F293" s="7">
        <f>C293+'A -Döviz'!F293</f>
        <v/>
      </c>
      <c r="G293" s="7" t="n"/>
      <c r="H293" s="7">
        <f>E293+'A -Döviz'!H293</f>
        <v/>
      </c>
      <c r="I293" s="7">
        <f>F293+'A -Döviz'!I293</f>
        <v/>
      </c>
      <c r="J293" s="7" t="n"/>
      <c r="K293" s="7">
        <f>H293+'A -Döviz'!K293</f>
        <v/>
      </c>
      <c r="L293" s="7">
        <f>I293+'A -Döviz'!L293</f>
        <v/>
      </c>
      <c r="M293" s="7" t="n"/>
      <c r="N293" s="7">
        <f>K293+'A -Döviz'!N293</f>
        <v/>
      </c>
      <c r="O293" s="7">
        <f>L293+'A -Döviz'!O293</f>
        <v/>
      </c>
      <c r="P293" s="7" t="n"/>
      <c r="Q293" s="7">
        <f>N293+'A -Döviz'!Q293</f>
        <v/>
      </c>
      <c r="R293" s="7">
        <f>O293+'A -Döviz'!R293</f>
        <v/>
      </c>
      <c r="S293" s="7" t="n"/>
      <c r="T293" s="7">
        <f>Q293+'A -Döviz'!T293</f>
        <v/>
      </c>
      <c r="U293" s="7">
        <f>R293+'A -Döviz'!U293</f>
        <v/>
      </c>
      <c r="V293" s="7" t="n"/>
      <c r="W293" s="7">
        <f>T293+'A -Döviz'!W293</f>
        <v/>
      </c>
      <c r="X293" s="7">
        <f>U293+'A -Döviz'!X293</f>
        <v/>
      </c>
      <c r="Y293" s="7" t="n"/>
      <c r="Z293" s="7">
        <f>W293+'A -Döviz'!Z293</f>
        <v/>
      </c>
      <c r="AA293" s="7">
        <f>X293+'A -Döviz'!AA293</f>
        <v/>
      </c>
      <c r="AB293" s="7" t="n"/>
      <c r="AC293" s="7">
        <f>Z293+'A -Döviz'!AC293</f>
        <v/>
      </c>
      <c r="AD293" s="7">
        <f>AA293+'A -Döviz'!AD293</f>
        <v/>
      </c>
      <c r="AE293" s="7" t="n"/>
      <c r="AF293" s="7">
        <f>AC293+'A -Döviz'!AF293</f>
        <v/>
      </c>
      <c r="AG293" s="7">
        <f>AD293+'A -Döviz'!AG293</f>
        <v/>
      </c>
      <c r="AH293" s="7" t="n"/>
      <c r="AI293" s="7">
        <f>AF293+'A -Döviz'!AI293</f>
        <v/>
      </c>
      <c r="AJ293" s="7">
        <f>AG293+'A -Döviz'!AJ293</f>
        <v/>
      </c>
      <c r="AK293" s="7" t="n">
        <v>-12557.921294161</v>
      </c>
      <c r="AL293" s="90">
        <f>AP293-AO293</f>
        <v/>
      </c>
      <c r="AM293" s="22">
        <f>AP293/AO293-1</f>
        <v/>
      </c>
      <c r="AO293" s="44">
        <f>IF($A$1=$B$1,B293,IF($A$1=$E$1,E293,IF($A$1=$H$1,H293,IF($A$1=$K$1,K293,IF($A$1=$N$1,N293,IF($A$1=$Q$1,Q293,IF($A$1=$T$1,T293,IF($A$1=$W$1,W293,IF($A$1=$Z$1,Z293,IF($A$1=$AC$1,AC293,IF($A$1=$AF$1,AF293,IF($A$1=$AI$1,AI293))))))))))))</f>
        <v/>
      </c>
      <c r="AP293" s="44">
        <f>IF($A$1=$B$1,C293,IF($A$1=$E$1,F293,IF($A$1=$H$1,I293,IF($A$1=$K$1,L293,IF($A$1=$N$1,O293,IF($A$1=$Q$1,R293,IF($A$1=$T$1,U293,IF($A$1=$W$1,X293,IF($A$1=$Z$1,AA293,IF($A$1=$AC$1,AD293,IF($A$1=$AF$1,AG293,IF($A$1=$AI$1,AJ293))))))))))))</f>
        <v/>
      </c>
      <c r="AQ293" s="9">
        <f>AG293-AF293</f>
        <v/>
      </c>
      <c r="AR293" s="94">
        <f>AC293</f>
        <v/>
      </c>
      <c r="AS293" s="94">
        <f>AD293</f>
        <v/>
      </c>
      <c r="AT293" s="94">
        <f>AS293-AR293</f>
        <v/>
      </c>
    </row>
    <row r="294" ht="21" customHeight="1">
      <c r="A294" s="26" t="inlineStr">
        <is>
          <t>İnci GS Yuasa</t>
        </is>
      </c>
      <c r="B294" s="7">
        <f>'A -Döviz'!B294</f>
        <v/>
      </c>
      <c r="C294" s="7">
        <f>'A -Döviz'!C294</f>
        <v/>
      </c>
      <c r="D294" s="7" t="n"/>
      <c r="E294" s="7">
        <f>B294+'A -Döviz'!E294</f>
        <v/>
      </c>
      <c r="F294" s="7">
        <f>C294+'A -Döviz'!F294</f>
        <v/>
      </c>
      <c r="G294" s="7" t="n"/>
      <c r="H294" s="7">
        <f>E294+'A -Döviz'!H294</f>
        <v/>
      </c>
      <c r="I294" s="7">
        <f>F294+'A -Döviz'!I294</f>
        <v/>
      </c>
      <c r="J294" s="7" t="n"/>
      <c r="K294" s="7">
        <f>H294+'A -Döviz'!K294</f>
        <v/>
      </c>
      <c r="L294" s="7">
        <f>I294+'A -Döviz'!L294</f>
        <v/>
      </c>
      <c r="M294" s="7" t="n"/>
      <c r="N294" s="7">
        <f>K294+'A -Döviz'!N294</f>
        <v/>
      </c>
      <c r="O294" s="7">
        <f>L294+'A -Döviz'!O294</f>
        <v/>
      </c>
      <c r="P294" s="7" t="n"/>
      <c r="Q294" s="7">
        <f>N294+'A -Döviz'!Q294</f>
        <v/>
      </c>
      <c r="R294" s="7">
        <f>O294+'A -Döviz'!R294</f>
        <v/>
      </c>
      <c r="S294" s="7" t="n"/>
      <c r="T294" s="7">
        <f>Q294+'A -Döviz'!T294</f>
        <v/>
      </c>
      <c r="U294" s="7">
        <f>R294+'A -Döviz'!U294</f>
        <v/>
      </c>
      <c r="V294" s="7" t="n"/>
      <c r="W294" s="7">
        <f>T294+'A -Döviz'!W294</f>
        <v/>
      </c>
      <c r="X294" s="7">
        <f>U294+'A -Döviz'!X294</f>
        <v/>
      </c>
      <c r="Y294" s="7" t="n"/>
      <c r="Z294" s="7">
        <f>W294+'A -Döviz'!Z294</f>
        <v/>
      </c>
      <c r="AA294" s="7">
        <f>X294+'A -Döviz'!AA294</f>
        <v/>
      </c>
      <c r="AB294" s="7" t="n"/>
      <c r="AC294" s="7">
        <f>Z294+'A -Döviz'!AC294</f>
        <v/>
      </c>
      <c r="AD294" s="7">
        <f>AA294+'A -Döviz'!AD294</f>
        <v/>
      </c>
      <c r="AE294" s="7" t="n"/>
      <c r="AF294" s="7">
        <f>AC294+'A -Döviz'!AF294</f>
        <v/>
      </c>
      <c r="AG294" s="7">
        <f>AD294+'A -Döviz'!AG294</f>
        <v/>
      </c>
      <c r="AH294" s="7" t="n"/>
      <c r="AI294" s="7">
        <f>AF294+'A -Döviz'!AI294</f>
        <v/>
      </c>
      <c r="AJ294" s="7">
        <f>AG294+'A -Döviz'!AJ294</f>
        <v/>
      </c>
      <c r="AK294" s="7" t="n"/>
      <c r="AL294" s="21">
        <f>AP294-AO294</f>
        <v/>
      </c>
      <c r="AM294" s="22">
        <f>AP294/AO294-1</f>
        <v/>
      </c>
      <c r="AN294" s="129">
        <f>AL294*0.4</f>
        <v/>
      </c>
      <c r="AO294" s="44">
        <f>IF($A$1=$B$1,B294,IF($A$1=$E$1,E294,IF($A$1=$H$1,H294,IF($A$1=$K$1,K294,IF($A$1=$N$1,N294,IF($A$1=$Q$1,Q294,IF($A$1=$T$1,T294,IF($A$1=$W$1,W294,IF($A$1=$Z$1,Z294,IF($A$1=$AC$1,AC294,IF($A$1=$AF$1,AF294,IF($A$1=$AI$1,AI294))))))))))))</f>
        <v/>
      </c>
      <c r="AP294" s="44">
        <f>IF($A$1=$B$1,C294,IF($A$1=$E$1,F294,IF($A$1=$H$1,I294,IF($A$1=$K$1,L294,IF($A$1=$N$1,O294,IF($A$1=$Q$1,R294,IF($A$1=$T$1,U294,IF($A$1=$W$1,X294,IF($A$1=$Z$1,AA294,IF($A$1=$AC$1,AD294,IF($A$1=$AF$1,AG294,IF($A$1=$AI$1,AJ294))))))))))))</f>
        <v/>
      </c>
      <c r="AR294" s="94">
        <f>AF294*0.4</f>
        <v/>
      </c>
      <c r="AS294" s="94">
        <f>AG294*0.4</f>
        <v/>
      </c>
      <c r="AT294" s="94">
        <f>AS294-AR294</f>
        <v/>
      </c>
      <c r="AV294" s="128">
        <f>AN294/1000000</f>
        <v/>
      </c>
      <c r="AW294" s="128">
        <f>AT294/1000000</f>
        <v/>
      </c>
    </row>
    <row r="295" ht="15.5" customFormat="1" customHeight="1" s="1">
      <c r="A295" s="26" t="inlineStr">
        <is>
          <t>Yusen İnci Loj.</t>
        </is>
      </c>
      <c r="B295" s="7">
        <f>'A -Döviz'!B295</f>
        <v/>
      </c>
      <c r="C295" s="7">
        <f>'A -Döviz'!C295</f>
        <v/>
      </c>
      <c r="D295" s="8" t="n"/>
      <c r="E295" s="7">
        <f>B295+'A -Döviz'!E295</f>
        <v/>
      </c>
      <c r="F295" s="7">
        <f>C295+'A -Döviz'!F295</f>
        <v/>
      </c>
      <c r="G295" s="8" t="n"/>
      <c r="H295" s="7">
        <f>E295+'A -Döviz'!H295</f>
        <v/>
      </c>
      <c r="I295" s="7">
        <f>F295+'A -Döviz'!I295</f>
        <v/>
      </c>
      <c r="J295" s="8" t="n"/>
      <c r="K295" s="7">
        <f>H295+'A -Döviz'!K295</f>
        <v/>
      </c>
      <c r="L295" s="7">
        <f>I295+'A -Döviz'!L295</f>
        <v/>
      </c>
      <c r="M295" s="8" t="n"/>
      <c r="N295" s="7">
        <f>K295+'A -Döviz'!N295</f>
        <v/>
      </c>
      <c r="O295" s="7">
        <f>L295+'A -Döviz'!O295</f>
        <v/>
      </c>
      <c r="P295" s="8" t="n"/>
      <c r="Q295" s="7">
        <f>N295+'A -Döviz'!Q295</f>
        <v/>
      </c>
      <c r="R295" s="7">
        <f>O295+'A -Döviz'!R295</f>
        <v/>
      </c>
      <c r="S295" s="8" t="n"/>
      <c r="T295" s="7">
        <f>Q295+'A -Döviz'!T295</f>
        <v/>
      </c>
      <c r="U295" s="7">
        <f>R295+'A -Döviz'!U295</f>
        <v/>
      </c>
      <c r="V295" s="8" t="n"/>
      <c r="W295" s="7">
        <f>T295+'A -Döviz'!W295</f>
        <v/>
      </c>
      <c r="X295" s="7">
        <f>U295+'A -Döviz'!X295</f>
        <v/>
      </c>
      <c r="Y295" s="8" t="n"/>
      <c r="Z295" s="7">
        <f>W295+'A -Döviz'!Z295</f>
        <v/>
      </c>
      <c r="AA295" s="7">
        <f>X295+'A -Döviz'!AA295</f>
        <v/>
      </c>
      <c r="AB295" s="8" t="n"/>
      <c r="AC295" s="7">
        <f>Z295+'A -Döviz'!AC295</f>
        <v/>
      </c>
      <c r="AD295" s="7">
        <f>AA295+'A -Döviz'!AD295</f>
        <v/>
      </c>
      <c r="AE295" s="8" t="n"/>
      <c r="AF295" s="7">
        <f>AC295+'A -Döviz'!AF295</f>
        <v/>
      </c>
      <c r="AG295" s="7">
        <f>AD295+'A -Döviz'!AG295</f>
        <v/>
      </c>
      <c r="AH295" s="8" t="n"/>
      <c r="AI295" s="7">
        <f>AF295+'A -Döviz'!AI295</f>
        <v/>
      </c>
      <c r="AJ295" s="7">
        <f>AG295+'A -Döviz'!AJ295</f>
        <v/>
      </c>
      <c r="AK295" s="8" t="n"/>
      <c r="AL295" s="21">
        <f>AP295-AO295</f>
        <v/>
      </c>
      <c r="AM295" s="22">
        <f>AP295/AO295-1</f>
        <v/>
      </c>
      <c r="AN295" s="1">
        <f>AL295*0.4</f>
        <v/>
      </c>
      <c r="AO295" s="44">
        <f>IF($A$1=$B$1,B295,IF($A$1=$E$1,E295,IF($A$1=$H$1,H295,IF($A$1=$K$1,K295,IF($A$1=$N$1,N295,IF($A$1=$Q$1,Q295,IF($A$1=$T$1,T295,IF($A$1=$W$1,W295,IF($A$1=$Z$1,Z295,IF($A$1=$AC$1,AC295,IF($A$1=$AF$1,AF295,IF($A$1=$AI$1,AI295))))))))))))</f>
        <v/>
      </c>
      <c r="AP295" s="44">
        <f>IF($A$1=$B$1,C295,IF($A$1=$E$1,F295,IF($A$1=$H$1,I295,IF($A$1=$K$1,L295,IF($A$1=$N$1,O295,IF($A$1=$Q$1,R295,IF($A$1=$T$1,U295,IF($A$1=$W$1,X295,IF($A$1=$Z$1,AA295,IF($A$1=$AC$1,AD295,IF($A$1=$AF$1,AG295,IF($A$1=$AI$1,AJ295))))))))))))</f>
        <v/>
      </c>
      <c r="AR295" s="94">
        <f>AC295*0.4</f>
        <v/>
      </c>
      <c r="AS295" s="94">
        <f>AD295*0.4</f>
        <v/>
      </c>
      <c r="AT295" s="94">
        <f>AS295-AR295</f>
        <v/>
      </c>
    </row>
    <row r="296" ht="15.5" customHeight="1">
      <c r="A296" s="26" t="inlineStr">
        <is>
          <t>Jantaş</t>
        </is>
      </c>
      <c r="B296" s="7">
        <f>'A -Döviz'!B296</f>
        <v/>
      </c>
      <c r="C296" s="7">
        <f>'A -Döviz'!C296</f>
        <v/>
      </c>
      <c r="D296" s="7" t="n"/>
      <c r="E296" s="7">
        <f>B296+'A -Döviz'!E296</f>
        <v/>
      </c>
      <c r="F296" s="7">
        <f>C296+'A -Döviz'!F296</f>
        <v/>
      </c>
      <c r="G296" s="7" t="n"/>
      <c r="H296" s="7">
        <f>E296+'A -Döviz'!H296</f>
        <v/>
      </c>
      <c r="I296" s="7">
        <f>F296+'A -Döviz'!I296</f>
        <v/>
      </c>
      <c r="J296" s="7" t="n"/>
      <c r="K296" s="7">
        <f>H296+'A -Döviz'!K296</f>
        <v/>
      </c>
      <c r="L296" s="7">
        <f>I296+'A -Döviz'!L296</f>
        <v/>
      </c>
      <c r="M296" s="7" t="n"/>
      <c r="N296" s="7">
        <f>K296+'A -Döviz'!N296</f>
        <v/>
      </c>
      <c r="O296" s="7">
        <f>L296+'A -Döviz'!O296</f>
        <v/>
      </c>
      <c r="P296" s="7" t="n"/>
      <c r="Q296" s="7">
        <f>N296+'A -Döviz'!Q296</f>
        <v/>
      </c>
      <c r="R296" s="7">
        <f>O296+'A -Döviz'!R296</f>
        <v/>
      </c>
      <c r="S296" s="7" t="n"/>
      <c r="T296" s="7">
        <f>Q296+'A -Döviz'!T296</f>
        <v/>
      </c>
      <c r="U296" s="7">
        <f>R296+'A -Döviz'!U296</f>
        <v/>
      </c>
      <c r="V296" s="7" t="n"/>
      <c r="W296" s="7">
        <f>T296+'A -Döviz'!W296</f>
        <v/>
      </c>
      <c r="X296" s="7">
        <f>U296+'A -Döviz'!X296</f>
        <v/>
      </c>
      <c r="Y296" s="7" t="n"/>
      <c r="Z296" s="7">
        <f>W296+'A -Döviz'!Z296</f>
        <v/>
      </c>
      <c r="AA296" s="7">
        <f>X296+'A -Döviz'!AA296</f>
        <v/>
      </c>
      <c r="AB296" s="7" t="n"/>
      <c r="AC296" s="7">
        <f>Z296+'A -Döviz'!AC296</f>
        <v/>
      </c>
      <c r="AD296" s="7">
        <f>AA296+'A -Döviz'!AD296</f>
        <v/>
      </c>
      <c r="AE296" s="7" t="n"/>
      <c r="AF296" s="7">
        <f>AC296+'A -Döviz'!AF296</f>
        <v/>
      </c>
      <c r="AG296" s="7">
        <f>AD296+'A -Döviz'!AG296</f>
        <v/>
      </c>
      <c r="AH296" s="7" t="n"/>
      <c r="AI296" s="7">
        <f>AF296+'A -Döviz'!AI296</f>
        <v/>
      </c>
      <c r="AJ296" s="7">
        <f>AG296+'A -Döviz'!AJ296</f>
        <v/>
      </c>
      <c r="AK296" s="7" t="n"/>
      <c r="AL296" s="21">
        <f>AP296-AO296</f>
        <v/>
      </c>
      <c r="AM296" s="22">
        <f>AP296/AO296-1</f>
        <v/>
      </c>
      <c r="AN296" s="1">
        <f>AL296*0.4</f>
        <v/>
      </c>
      <c r="AO296" s="44">
        <f>IF($A$1=$B$1,B296,IF($A$1=$E$1,E296,IF($A$1=$H$1,H296,IF($A$1=$K$1,K296,IF($A$1=$N$1,N296,IF($A$1=$Q$1,Q296,IF($A$1=$T$1,T296,IF($A$1=$W$1,W296,IF($A$1=$Z$1,Z296,IF($A$1=$AC$1,AC296,IF($A$1=$AF$1,AF296,IF($A$1=$AI$1,AI296))))))))))))</f>
        <v/>
      </c>
      <c r="AP296" s="44">
        <f>IF($A$1=$B$1,C296,IF($A$1=$E$1,F296,IF($A$1=$H$1,I296,IF($A$1=$K$1,L296,IF($A$1=$N$1,O296,IF($A$1=$Q$1,R296,IF($A$1=$T$1,U296,IF($A$1=$W$1,X296,IF($A$1=$Z$1,AA296,IF($A$1=$AC$1,AD296,IF($A$1=$AF$1,AG296,IF($A$1=$AI$1,AJ296))))))))))))</f>
        <v/>
      </c>
      <c r="AR296" s="94">
        <f>AC296*0.4</f>
        <v/>
      </c>
      <c r="AS296" s="94">
        <f>AD296*0.4</f>
        <v/>
      </c>
      <c r="AT296" s="94">
        <f>AS296-AR296</f>
        <v/>
      </c>
    </row>
    <row r="297" ht="15.5" customFormat="1" customHeight="1" s="1">
      <c r="A297" s="26" t="inlineStr">
        <is>
          <t>Çelik</t>
        </is>
      </c>
      <c r="B297" s="7">
        <f>'A -Döviz'!B297</f>
        <v/>
      </c>
      <c r="C297" s="7">
        <f>'A -Döviz'!C297</f>
        <v/>
      </c>
      <c r="D297" s="8" t="n"/>
      <c r="E297" s="7">
        <f>B297+'A -Döviz'!E297</f>
        <v/>
      </c>
      <c r="F297" s="7">
        <f>C297+'A -Döviz'!F297</f>
        <v/>
      </c>
      <c r="G297" s="8" t="n"/>
      <c r="H297" s="7">
        <f>E297+'A -Döviz'!H297</f>
        <v/>
      </c>
      <c r="I297" s="7">
        <f>F297+'A -Döviz'!I297</f>
        <v/>
      </c>
      <c r="J297" s="8" t="n"/>
      <c r="K297" s="7">
        <f>H297+'A -Döviz'!K297</f>
        <v/>
      </c>
      <c r="L297" s="7">
        <f>I297+'A -Döviz'!L297</f>
        <v/>
      </c>
      <c r="M297" s="8" t="n"/>
      <c r="N297" s="7">
        <f>K297+'A -Döviz'!N297</f>
        <v/>
      </c>
      <c r="O297" s="7">
        <f>L297+'A -Döviz'!O297</f>
        <v/>
      </c>
      <c r="P297" s="8" t="n"/>
      <c r="Q297" s="7">
        <f>N297+'A -Döviz'!Q297</f>
        <v/>
      </c>
      <c r="R297" s="7">
        <f>O297+'A -Döviz'!R297</f>
        <v/>
      </c>
      <c r="S297" s="8" t="n"/>
      <c r="T297" s="7">
        <f>Q297+'A -Döviz'!T297</f>
        <v/>
      </c>
      <c r="U297" s="7">
        <f>R297+'A -Döviz'!U297</f>
        <v/>
      </c>
      <c r="V297" s="8" t="n"/>
      <c r="W297" s="7">
        <f>T297+'A -Döviz'!W297</f>
        <v/>
      </c>
      <c r="X297" s="7">
        <f>U297+'A -Döviz'!X297</f>
        <v/>
      </c>
      <c r="Y297" s="8" t="n"/>
      <c r="Z297" s="7">
        <f>W297+'A -Döviz'!Z297</f>
        <v/>
      </c>
      <c r="AA297" s="7">
        <f>X297+'A -Döviz'!AA297</f>
        <v/>
      </c>
      <c r="AB297" s="8" t="n"/>
      <c r="AC297" s="7">
        <f>Z297+'A -Döviz'!AC297</f>
        <v/>
      </c>
      <c r="AD297" s="7">
        <f>AA297+'A -Döviz'!AD297</f>
        <v/>
      </c>
      <c r="AE297" s="8" t="n"/>
      <c r="AF297" s="7">
        <f>AC297+'A -Döviz'!AF297</f>
        <v/>
      </c>
      <c r="AG297" s="7">
        <f>AD297+'A -Döviz'!AG297</f>
        <v/>
      </c>
      <c r="AH297" s="8" t="n"/>
      <c r="AI297" s="7">
        <f>AF297+'A -Döviz'!AI297</f>
        <v/>
      </c>
      <c r="AJ297" s="7">
        <f>AG297+'A -Döviz'!AJ297</f>
        <v/>
      </c>
      <c r="AK297" s="8" t="n"/>
      <c r="AL297" s="21">
        <f>AP297-AO297</f>
        <v/>
      </c>
      <c r="AM297" s="22">
        <f>AP297/AO297-1</f>
        <v/>
      </c>
      <c r="AN297" s="1">
        <f>AL297*0.4</f>
        <v/>
      </c>
      <c r="AO297" s="44">
        <f>IF($A$1=$B$1,B297,IF($A$1=$E$1,E297,IF($A$1=$H$1,H297,IF($A$1=$K$1,K297,IF($A$1=$N$1,N297,IF($A$1=$Q$1,Q297,IF($A$1=$T$1,T297,IF($A$1=$W$1,W297,IF($A$1=$Z$1,Z297,IF($A$1=$AC$1,AC297,IF($A$1=$AF$1,AF297,IF($A$1=$AI$1,AI297))))))))))))</f>
        <v/>
      </c>
      <c r="AP297" s="44">
        <f>IF($A$1=$B$1,C297,IF($A$1=$E$1,F297,IF($A$1=$H$1,I297,IF($A$1=$K$1,L297,IF($A$1=$N$1,O297,IF($A$1=$Q$1,R297,IF($A$1=$T$1,U297,IF($A$1=$W$1,X297,IF($A$1=$Z$1,AA297,IF($A$1=$AC$1,AD297,IF($A$1=$AF$1,AG297,IF($A$1=$AI$1,AJ297))))))))))))</f>
        <v/>
      </c>
      <c r="AR297" s="94">
        <f>AC297*0.4</f>
        <v/>
      </c>
      <c r="AS297" s="94">
        <f>AD297*0.4</f>
        <v/>
      </c>
      <c r="AT297" s="94">
        <f>AS297-AR297</f>
        <v/>
      </c>
      <c r="AX297" s="129" t="n"/>
    </row>
    <row r="298" ht="15.5" customFormat="1" customHeight="1" s="1">
      <c r="A298" s="26" t="inlineStr">
        <is>
          <t>Alüminyum</t>
        </is>
      </c>
      <c r="B298" s="7">
        <f>'A -Döviz'!B298</f>
        <v/>
      </c>
      <c r="C298" s="7">
        <f>'A -Döviz'!C298</f>
        <v/>
      </c>
      <c r="D298" s="8" t="n"/>
      <c r="E298" s="7">
        <f>B298+'A -Döviz'!E298</f>
        <v/>
      </c>
      <c r="F298" s="7">
        <f>C298+'A -Döviz'!F298</f>
        <v/>
      </c>
      <c r="G298" s="8" t="n"/>
      <c r="H298" s="7">
        <f>E298+'A -Döviz'!H298</f>
        <v/>
      </c>
      <c r="I298" s="7">
        <f>F298+'A -Döviz'!I298</f>
        <v/>
      </c>
      <c r="J298" s="8" t="n"/>
      <c r="K298" s="7">
        <f>H298+'A -Döviz'!K298</f>
        <v/>
      </c>
      <c r="L298" s="7">
        <f>I298+'A -Döviz'!L298</f>
        <v/>
      </c>
      <c r="M298" s="8" t="n"/>
      <c r="N298" s="7">
        <f>K298+'A -Döviz'!N298</f>
        <v/>
      </c>
      <c r="O298" s="7">
        <f>L298+'A -Döviz'!O298</f>
        <v/>
      </c>
      <c r="P298" s="8" t="n"/>
      <c r="Q298" s="7">
        <f>N298+'A -Döviz'!Q298</f>
        <v/>
      </c>
      <c r="R298" s="7">
        <f>O298+'A -Döviz'!R298</f>
        <v/>
      </c>
      <c r="S298" s="8" t="n"/>
      <c r="T298" s="7">
        <f>Q298+'A -Döviz'!T298</f>
        <v/>
      </c>
      <c r="U298" s="7">
        <f>R298+'A -Döviz'!U298</f>
        <v/>
      </c>
      <c r="V298" s="8" t="n"/>
      <c r="W298" s="7">
        <f>T298+'A -Döviz'!W298</f>
        <v/>
      </c>
      <c r="X298" s="7">
        <f>U298+'A -Döviz'!X298</f>
        <v/>
      </c>
      <c r="Y298" s="8" t="n"/>
      <c r="Z298" s="7">
        <f>W298+'A -Döviz'!Z298</f>
        <v/>
      </c>
      <c r="AA298" s="7">
        <f>X298+'A -Döviz'!AA298</f>
        <v/>
      </c>
      <c r="AB298" s="8" t="n"/>
      <c r="AC298" s="7">
        <f>Z298+'A -Döviz'!AC298</f>
        <v/>
      </c>
      <c r="AD298" s="7">
        <f>AA298+'A -Döviz'!AD298</f>
        <v/>
      </c>
      <c r="AE298" s="8" t="n"/>
      <c r="AF298" s="7">
        <f>AC298+'A -Döviz'!AF298</f>
        <v/>
      </c>
      <c r="AG298" s="7">
        <f>AD298+'A -Döviz'!AG298</f>
        <v/>
      </c>
      <c r="AH298" s="8" t="n"/>
      <c r="AI298" s="7">
        <f>AF298+'A -Döviz'!AI298</f>
        <v/>
      </c>
      <c r="AJ298" s="7">
        <f>AG298+'A -Döviz'!AJ298</f>
        <v/>
      </c>
      <c r="AK298" s="8" t="n"/>
      <c r="AL298" s="21">
        <f>AP298-AO298</f>
        <v/>
      </c>
      <c r="AM298" s="22">
        <f>AP298/AO298-1</f>
        <v/>
      </c>
      <c r="AN298" s="1">
        <f>AL298*0.4</f>
        <v/>
      </c>
      <c r="AO298" s="44">
        <f>IF($A$1=$B$1,B298,IF($A$1=$E$1,E298,IF($A$1=$H$1,H298,IF($A$1=$K$1,K298,IF($A$1=$N$1,N298,IF($A$1=$Q$1,Q298,IF($A$1=$T$1,T298,IF($A$1=$W$1,W298,IF($A$1=$Z$1,Z298,IF($A$1=$AC$1,AC298,IF($A$1=$AF$1,AF298,IF($A$1=$AI$1,AI298))))))))))))</f>
        <v/>
      </c>
      <c r="AP298" s="44">
        <f>IF($A$1=$B$1,C298,IF($A$1=$E$1,F298,IF($A$1=$H$1,I298,IF($A$1=$K$1,L298,IF($A$1=$N$1,O298,IF($A$1=$Q$1,R298,IF($A$1=$T$1,U298,IF($A$1=$W$1,X298,IF($A$1=$Z$1,AA298,IF($A$1=$AC$1,AD298,IF($A$1=$AF$1,AG298,IF($A$1=$AI$1,AJ298))))))))))))</f>
        <v/>
      </c>
      <c r="AR298" s="94">
        <f>AC298*0.4</f>
        <v/>
      </c>
      <c r="AS298" s="94">
        <f>AD298*0.4</f>
        <v/>
      </c>
      <c r="AT298" s="94">
        <f>AS298-AR298</f>
        <v/>
      </c>
      <c r="AX298" s="129" t="n"/>
    </row>
    <row r="299" ht="15.5" customFormat="1" customHeight="1" s="1">
      <c r="A299" s="26" t="n"/>
      <c r="B299" s="7" t="n"/>
      <c r="C299" s="8" t="n"/>
      <c r="D299" s="8" t="n"/>
      <c r="E299" s="7" t="n"/>
      <c r="F299" s="8" t="n"/>
      <c r="G299" s="8" t="n"/>
      <c r="H299" s="7" t="n"/>
      <c r="I299" s="8" t="n"/>
      <c r="J299" s="8" t="n"/>
      <c r="K299" s="7" t="n"/>
      <c r="L299" s="8" t="n"/>
      <c r="M299" s="8" t="n"/>
      <c r="N299" s="7" t="n"/>
      <c r="O299" s="8" t="n"/>
      <c r="P299" s="8" t="n"/>
      <c r="Q299" s="7" t="n"/>
      <c r="R299" s="8" t="n"/>
      <c r="S299" s="8" t="n"/>
      <c r="T299" s="7" t="n"/>
      <c r="U299" s="8" t="n"/>
      <c r="V299" s="8" t="n"/>
      <c r="W299" s="7" t="n"/>
      <c r="X299" s="8" t="n"/>
      <c r="Y299" s="8" t="n"/>
      <c r="Z299" s="7" t="n"/>
      <c r="AA299" s="8" t="n"/>
      <c r="AB299" s="8" t="n"/>
      <c r="AC299" s="7" t="n"/>
      <c r="AD299" s="8" t="n"/>
      <c r="AE299" s="8" t="n"/>
      <c r="AF299" s="7" t="n"/>
      <c r="AG299" s="8" t="n"/>
      <c r="AH299" s="8" t="n"/>
      <c r="AI299" s="7" t="n"/>
      <c r="AJ299" s="8" t="n"/>
      <c r="AK299" s="8" t="n"/>
      <c r="AL299" s="15" t="n"/>
      <c r="AM299" s="16" t="n"/>
      <c r="AO299" s="44" t="n"/>
      <c r="AP299" s="44" t="n"/>
    </row>
    <row r="300" ht="15.5" customFormat="1" customHeight="1" s="1">
      <c r="A300" s="7" t="n"/>
      <c r="B300" s="8" t="n"/>
      <c r="C300" s="7" t="n"/>
      <c r="D300" s="8" t="n"/>
      <c r="E300" s="7" t="n"/>
      <c r="F300" s="8" t="n"/>
      <c r="G300" s="7" t="n"/>
      <c r="H300" s="8" t="n"/>
      <c r="I300" s="7" t="n"/>
      <c r="J300" s="8" t="n"/>
      <c r="K300" s="7" t="n"/>
      <c r="L300" s="8" t="n"/>
      <c r="M300" s="8" t="n"/>
      <c r="N300" s="7" t="n"/>
      <c r="O300" s="8" t="n"/>
      <c r="P300" s="8" t="n"/>
      <c r="Q300" s="7" t="n"/>
      <c r="R300" s="8" t="n"/>
      <c r="S300" s="8" t="n"/>
      <c r="T300" s="7" t="n"/>
      <c r="U300" s="8" t="n"/>
      <c r="V300" s="8" t="n"/>
      <c r="W300" s="7" t="n"/>
      <c r="X300" s="8" t="n"/>
      <c r="Y300" s="8" t="n"/>
      <c r="Z300" s="7" t="n"/>
      <c r="AA300" s="8" t="n"/>
      <c r="AB300" s="8" t="n"/>
      <c r="AC300" s="7" t="n"/>
      <c r="AD300" s="8" t="n"/>
      <c r="AE300" s="8" t="n"/>
      <c r="AF300" s="7" t="n"/>
      <c r="AG300" s="8" t="n"/>
      <c r="AH300" s="8" t="n"/>
      <c r="AI300" s="7" t="n"/>
      <c r="AJ300" s="8" t="n"/>
      <c r="AK300" s="8" t="n"/>
      <c r="AL300" s="15" t="n"/>
      <c r="AM300" s="16" t="n"/>
      <c r="AO300" s="44" t="n"/>
      <c r="AP300" s="44" t="n"/>
    </row>
    <row r="301" ht="21" customFormat="1" customHeight="1" s="44">
      <c r="A301" s="31" t="inlineStr">
        <is>
          <t>Serbest Nakit</t>
        </is>
      </c>
      <c r="B301" s="32">
        <f>'A -Döviz'!B301</f>
        <v/>
      </c>
      <c r="C301" s="32">
        <f>'A -Döviz'!C301</f>
        <v/>
      </c>
      <c r="D301" s="18" t="n"/>
      <c r="E301" s="32">
        <f>B301+'A -Döviz'!E301</f>
        <v/>
      </c>
      <c r="F301" s="32">
        <f>C301+'A -Döviz'!F301</f>
        <v/>
      </c>
      <c r="G301" s="18" t="n"/>
      <c r="H301" s="32">
        <f>E301+'A -Döviz'!H301</f>
        <v/>
      </c>
      <c r="I301" s="32">
        <f>F301+'A -Döviz'!I301</f>
        <v/>
      </c>
      <c r="J301" s="18" t="n"/>
      <c r="K301" s="32">
        <f>H301+'A -Döviz'!K301</f>
        <v/>
      </c>
      <c r="L301" s="32">
        <f>I301+'A -Döviz'!L301</f>
        <v/>
      </c>
      <c r="M301" s="18" t="n"/>
      <c r="N301" s="32">
        <f>K301+'A -Döviz'!N301</f>
        <v/>
      </c>
      <c r="O301" s="32">
        <f>L301+'A -Döviz'!O301</f>
        <v/>
      </c>
      <c r="P301" s="18" t="n"/>
      <c r="Q301" s="32">
        <f>N301+'A -Döviz'!Q301</f>
        <v/>
      </c>
      <c r="R301" s="32">
        <f>O301+'A -Döviz'!R301</f>
        <v/>
      </c>
      <c r="S301" s="18" t="n"/>
      <c r="T301" s="32">
        <f>Q301+'A -Döviz'!T301</f>
        <v/>
      </c>
      <c r="U301" s="32">
        <f>R301+'A -Döviz'!U301</f>
        <v/>
      </c>
      <c r="V301" s="18" t="n"/>
      <c r="W301" s="32">
        <f>T301+'A -Döviz'!W301</f>
        <v/>
      </c>
      <c r="X301" s="32">
        <f>U301+'A -Döviz'!X301</f>
        <v/>
      </c>
      <c r="Y301" s="18" t="n"/>
      <c r="Z301" s="32">
        <f>W301+'A -Döviz'!Z301</f>
        <v/>
      </c>
      <c r="AA301" s="32">
        <f>X301+'A -Döviz'!AA301</f>
        <v/>
      </c>
      <c r="AB301" s="18" t="n"/>
      <c r="AC301" s="32">
        <f>Z301+'A -Döviz'!AC301</f>
        <v/>
      </c>
      <c r="AD301" s="32">
        <f>AA301+'A -Döviz'!AD301</f>
        <v/>
      </c>
      <c r="AE301" s="18" t="n"/>
      <c r="AF301" s="32">
        <f>AC301+'A -Döviz'!AF301</f>
        <v/>
      </c>
      <c r="AG301" s="32">
        <f>AD301+'A -Döviz'!AG301</f>
        <v/>
      </c>
      <c r="AH301" s="18" t="n"/>
      <c r="AI301" s="32">
        <f>AF301+'A -Döviz'!AI301</f>
        <v/>
      </c>
      <c r="AJ301" s="32">
        <f>AG301+'A -Döviz'!AJ301</f>
        <v/>
      </c>
      <c r="AK301" s="18" t="n"/>
      <c r="AL301" s="33">
        <f>AP301-AO301</f>
        <v/>
      </c>
      <c r="AM301" s="34">
        <f>AP301/AO301-1</f>
        <v/>
      </c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/>
      </c>
      <c r="AP301" s="44">
        <f>IF($A$1=$B$1,C301,IF($A$1=$E$1,F301,IF($A$1=$H$1,I301,IF($A$1=$K$1,L301,IF($A$1=$N$1,O301,IF($A$1=$Q$1,R301,IF($A$1=$T$1,U301,IF($A$1=$W$1,X301,IF($A$1=$Z$1,AA301,IF($A$1=$AC$1,AD301,IF($A$1=$AF$1,AG301,IF($A$1=$AI$1,AJ301))))))))))))</f>
        <v/>
      </c>
      <c r="AR301" s="44">
        <f>Q301/1000000</f>
        <v/>
      </c>
      <c r="AS301" s="44">
        <f>R301/1000000</f>
        <v/>
      </c>
      <c r="AV301" s="128">
        <f>+AI301/1000000</f>
        <v/>
      </c>
      <c r="AW301" s="126">
        <f>AM301</f>
        <v/>
      </c>
    </row>
    <row r="302" ht="21" customFormat="1" customHeight="1" s="13">
      <c r="A302" s="27" t="n"/>
      <c r="B302" s="30" t="n"/>
      <c r="C302" s="30" t="n"/>
      <c r="D302" s="41" t="n"/>
      <c r="E302" s="30" t="n"/>
      <c r="F302" s="30" t="n"/>
      <c r="G302" s="41" t="n"/>
      <c r="H302" s="30" t="n"/>
      <c r="I302" s="30" t="n"/>
      <c r="J302" s="41" t="n"/>
      <c r="K302" s="30" t="n"/>
      <c r="L302" s="30" t="n"/>
      <c r="M302" s="41" t="n"/>
      <c r="N302" s="30" t="n"/>
      <c r="O302" s="30" t="n"/>
      <c r="P302" s="41" t="n"/>
      <c r="Q302" s="30" t="n"/>
      <c r="R302" s="30" t="n"/>
      <c r="S302" s="41" t="n"/>
      <c r="T302" s="30" t="n"/>
      <c r="U302" s="30" t="n"/>
      <c r="V302" s="41" t="n"/>
      <c r="W302" s="30" t="n"/>
      <c r="X302" s="30" t="n"/>
      <c r="Y302" s="41" t="n"/>
      <c r="Z302" s="30" t="n"/>
      <c r="AA302" s="30" t="n"/>
      <c r="AB302" s="41" t="n"/>
      <c r="AC302" s="30" t="n"/>
      <c r="AD302" s="30" t="n"/>
      <c r="AE302" s="41" t="n"/>
      <c r="AF302" s="30" t="n"/>
      <c r="AG302" s="30" t="n"/>
      <c r="AH302" s="41" t="n"/>
      <c r="AI302" s="30" t="n"/>
      <c r="AJ302" s="30" t="n"/>
      <c r="AK302" s="41" t="n"/>
      <c r="AL302" s="15" t="n"/>
      <c r="AM302" s="22" t="n"/>
      <c r="AO302" s="44">
        <f>IF($A$1=$B$1,B302,IF($A$1=$E$1,E302,IF($A$1=$H$1,H302,IF($A$1=$K$1,K302,IF($A$1=$N$1,N302,IF($A$1=$Q$1,Q302,IF($A$1=$T$1,T302,IF($A$1=$W$1,W302,IF($A$1=$Z$1,Z302,IF($A$1=$AC$1,AC302,IF($A$1=$AF$1,AF302,IF($A$1=$AI$1,AI302))))))))))))</f>
        <v/>
      </c>
      <c r="AP302" s="44">
        <f>IF($A$1=$B$1,C302,IF($A$1=$E$1,F302,IF($A$1=$H$1,I302,IF($A$1=$K$1,L302,IF($A$1=$N$1,O302,IF($A$1=$Q$1,R302,IF($A$1=$T$1,U302,IF($A$1=$W$1,X302,IF($A$1=$Z$1,AA302,IF($A$1=$AC$1,AD302,IF($A$1=$AF$1,AG302,IF($A$1=$AI$1,AJ302))))))))))))</f>
        <v/>
      </c>
      <c r="AW302" s="126" t="n"/>
    </row>
    <row r="303" ht="17" customFormat="1" customHeight="1" s="49">
      <c r="A303" s="47" t="n"/>
      <c r="B303" s="413" t="n"/>
      <c r="C303" s="413" t="n"/>
      <c r="D303" s="413" t="n"/>
      <c r="E303" s="413" t="n"/>
      <c r="F303" s="413" t="n"/>
      <c r="G303" s="413" t="n"/>
      <c r="H303" s="413" t="n"/>
      <c r="I303" s="413" t="n"/>
      <c r="J303" s="413" t="n"/>
      <c r="K303" s="413" t="n"/>
      <c r="L303" s="413" t="n"/>
      <c r="M303" s="413" t="n"/>
      <c r="N303" s="413" t="n"/>
      <c r="O303" s="413" t="n"/>
      <c r="P303" s="413" t="n"/>
      <c r="Q303" s="413" t="n"/>
      <c r="R303" s="413" t="n"/>
      <c r="S303" s="413" t="n"/>
      <c r="T303" s="413" t="n"/>
      <c r="U303" s="413" t="n"/>
      <c r="V303" s="413" t="n"/>
      <c r="W303" s="413" t="n"/>
      <c r="X303" s="413" t="n"/>
      <c r="Y303" s="413" t="n"/>
      <c r="Z303" s="413" t="n"/>
      <c r="AA303" s="413" t="n"/>
      <c r="AB303" s="413" t="n"/>
      <c r="AC303" s="413" t="n"/>
      <c r="AD303" s="413" t="n"/>
      <c r="AE303" s="413" t="n"/>
      <c r="AF303" s="413" t="n"/>
      <c r="AG303" s="413" t="n"/>
      <c r="AH303" s="413" t="n"/>
      <c r="AI303" s="413" t="n"/>
      <c r="AJ303" s="413" t="n"/>
      <c r="AK303" s="413" t="n"/>
      <c r="AL303" s="413" t="n"/>
      <c r="AM303" s="48" t="n"/>
      <c r="AR303" s="110">
        <f>SUM(AR304:AR311)</f>
        <v/>
      </c>
      <c r="AS303" s="110">
        <f>SUM(AS304:AS311)</f>
        <v/>
      </c>
    </row>
    <row r="304" ht="15.5" customHeight="1">
      <c r="A304" s="26" t="inlineStr">
        <is>
          <t xml:space="preserve">İnci Holding </t>
        </is>
      </c>
      <c r="B304" s="7">
        <f>'A -Döviz'!B304</f>
        <v/>
      </c>
      <c r="C304" s="7">
        <f>'A -Döviz'!C304</f>
        <v/>
      </c>
      <c r="D304" s="7" t="n"/>
      <c r="E304" s="7">
        <f>B304+'A -Döviz'!E304</f>
        <v/>
      </c>
      <c r="F304" s="7">
        <f>C304+'A -Döviz'!F304</f>
        <v/>
      </c>
      <c r="G304" s="7" t="n"/>
      <c r="H304" s="7">
        <f>E304+'A -Döviz'!H304</f>
        <v/>
      </c>
      <c r="I304" s="7">
        <f>F304+'A -Döviz'!I304</f>
        <v/>
      </c>
      <c r="J304" s="7" t="n"/>
      <c r="K304" s="7">
        <f>H304+'A -Döviz'!K304</f>
        <v/>
      </c>
      <c r="L304" s="7">
        <f>I304+'A -Döviz'!L304</f>
        <v/>
      </c>
      <c r="M304" s="7" t="n"/>
      <c r="N304" s="7">
        <f>K304+'A -Döviz'!N304</f>
        <v/>
      </c>
      <c r="O304" s="7">
        <f>L304+'A -Döviz'!O304</f>
        <v/>
      </c>
      <c r="P304" s="7" t="n"/>
      <c r="Q304" s="7">
        <f>N304+'A -Döviz'!Q304</f>
        <v/>
      </c>
      <c r="R304" s="7">
        <f>O304+'A -Döviz'!R304</f>
        <v/>
      </c>
      <c r="S304" s="7" t="n"/>
      <c r="T304" s="7">
        <f>Q304+'A -Döviz'!T304</f>
        <v/>
      </c>
      <c r="U304" s="7">
        <f>R304+'A -Döviz'!U304</f>
        <v/>
      </c>
      <c r="V304" s="7" t="n"/>
      <c r="W304" s="7">
        <f>T304+'A -Döviz'!W304</f>
        <v/>
      </c>
      <c r="X304" s="7">
        <f>U304+'A -Döviz'!X304</f>
        <v/>
      </c>
      <c r="Y304" s="7" t="n"/>
      <c r="Z304" s="7">
        <f>W304+'A -Döviz'!Z304</f>
        <v/>
      </c>
      <c r="AA304" s="7">
        <f>X304+'A -Döviz'!AA304</f>
        <v/>
      </c>
      <c r="AB304" s="7" t="n"/>
      <c r="AC304" s="7">
        <f>Z304+'A -Döviz'!AC304</f>
        <v/>
      </c>
      <c r="AD304" s="7">
        <f>AA304+'A -Döviz'!AD304</f>
        <v/>
      </c>
      <c r="AE304" s="7" t="n"/>
      <c r="AF304" s="7">
        <f>AC304+'A -Döviz'!AF304</f>
        <v/>
      </c>
      <c r="AG304" s="7">
        <f>AD304+'A -Döviz'!AG304</f>
        <v/>
      </c>
      <c r="AH304" s="7" t="n"/>
      <c r="AI304" s="7">
        <f>AF304+'A -Döviz'!AI304</f>
        <v/>
      </c>
      <c r="AJ304" s="7">
        <f>AG304+'A -Döviz'!AJ304</f>
        <v/>
      </c>
      <c r="AK304" s="7" t="n"/>
      <c r="AL304" s="21">
        <f>AP304-AO304</f>
        <v/>
      </c>
      <c r="AM304" s="22">
        <f>AP304/AO304-1</f>
        <v/>
      </c>
      <c r="AO304" s="44">
        <f>IF($A$1=$B$1,B304,IF($A$1=$E$1,E304,IF($A$1=$H$1,H304,IF($A$1=$K$1,K304,IF($A$1=$N$1,N304,IF($A$1=$Q$1,Q304,IF($A$1=$T$1,T304,IF($A$1=$W$1,W304,IF($A$1=$Z$1,Z304,IF($A$1=$AC$1,AC304,IF($A$1=$AF$1,AF304,IF($A$1=$AI$1,AI304))))))))))))</f>
        <v/>
      </c>
      <c r="AP304" s="44">
        <f>IF($A$1=$B$1,C304,IF($A$1=$E$1,F304,IF($A$1=$H$1,I304,IF($A$1=$K$1,L304,IF($A$1=$N$1,O304,IF($A$1=$Q$1,R304,IF($A$1=$T$1,U304,IF($A$1=$W$1,X304,IF($A$1=$Z$1,AA304,IF($A$1=$AC$1,AD304,IF($A$1=$AF$1,AG304,IF($A$1=$AI$1,AJ304))))))))))))</f>
        <v/>
      </c>
      <c r="AR304" s="94">
        <f>W304</f>
        <v/>
      </c>
      <c r="AS304" s="94">
        <f>X304</f>
        <v/>
      </c>
      <c r="AT304" s="94">
        <f>AS304-AR304</f>
        <v/>
      </c>
    </row>
    <row r="305" ht="15.5" customHeight="1">
      <c r="A305" s="26" t="inlineStr">
        <is>
          <t xml:space="preserve">ISM </t>
        </is>
      </c>
      <c r="B305" s="7">
        <f>'A -Döviz'!B305</f>
        <v/>
      </c>
      <c r="C305" s="7">
        <f>'A -Döviz'!C305</f>
        <v/>
      </c>
      <c r="D305" s="7" t="n"/>
      <c r="E305" s="7">
        <f>B305+'A -Döviz'!E305</f>
        <v/>
      </c>
      <c r="F305" s="7">
        <f>C305+'A -Döviz'!F305</f>
        <v/>
      </c>
      <c r="G305" s="7" t="n"/>
      <c r="H305" s="7">
        <f>E305+'A -Döviz'!H305</f>
        <v/>
      </c>
      <c r="I305" s="7">
        <f>F305+'A -Döviz'!I305</f>
        <v/>
      </c>
      <c r="J305" s="7" t="n"/>
      <c r="K305" s="7">
        <f>H305+'A -Döviz'!K305</f>
        <v/>
      </c>
      <c r="L305" s="7">
        <f>I305+'A -Döviz'!L305</f>
        <v/>
      </c>
      <c r="M305" s="7" t="n"/>
      <c r="N305" s="7">
        <f>K305+'A -Döviz'!N305</f>
        <v/>
      </c>
      <c r="O305" s="7">
        <f>L305+'A -Döviz'!O305</f>
        <v/>
      </c>
      <c r="P305" s="7" t="n"/>
      <c r="Q305" s="7">
        <f>N305+'A -Döviz'!Q305</f>
        <v/>
      </c>
      <c r="R305" s="7">
        <f>O305+'A -Döviz'!R305</f>
        <v/>
      </c>
      <c r="S305" s="7" t="n"/>
      <c r="T305" s="7">
        <f>Q305+'A -Döviz'!T305</f>
        <v/>
      </c>
      <c r="U305" s="7">
        <f>R305+'A -Döviz'!U305</f>
        <v/>
      </c>
      <c r="V305" s="7" t="n"/>
      <c r="W305" s="7">
        <f>T305+'A -Döviz'!W305</f>
        <v/>
      </c>
      <c r="X305" s="7">
        <f>U305+'A -Döviz'!X305</f>
        <v/>
      </c>
      <c r="Y305" s="7" t="n"/>
      <c r="Z305" s="7">
        <f>W305+'A -Döviz'!Z305</f>
        <v/>
      </c>
      <c r="AA305" s="7">
        <f>X305+'A -Döviz'!AA305</f>
        <v/>
      </c>
      <c r="AB305" s="7" t="n"/>
      <c r="AC305" s="7">
        <f>Z305+'A -Döviz'!AC305</f>
        <v/>
      </c>
      <c r="AD305" s="7">
        <f>AA305+'A -Döviz'!AD305</f>
        <v/>
      </c>
      <c r="AE305" s="7" t="n"/>
      <c r="AF305" s="7">
        <f>AC305+'A -Döviz'!AF305</f>
        <v/>
      </c>
      <c r="AG305" s="7">
        <f>AD305+'A -Döviz'!AG305</f>
        <v/>
      </c>
      <c r="AH305" s="7" t="n"/>
      <c r="AI305" s="7">
        <f>AF305+'A -Döviz'!AI305</f>
        <v/>
      </c>
      <c r="AJ305" s="7">
        <f>AG305+'A -Döviz'!AJ305</f>
        <v/>
      </c>
      <c r="AK305" s="7" t="n"/>
      <c r="AL305" s="21">
        <f>AP305-AO305</f>
        <v/>
      </c>
      <c r="AM305" s="22">
        <f>AP305/AO305-1</f>
        <v/>
      </c>
      <c r="AO305" s="44">
        <f>IF($A$1=$B$1,B305,IF($A$1=$E$1,E305,IF($A$1=$H$1,H305,IF($A$1=$K$1,K305,IF($A$1=$N$1,N305,IF($A$1=$Q$1,Q305,IF($A$1=$T$1,T305,IF($A$1=$W$1,W305,IF($A$1=$Z$1,Z305,IF($A$1=$AC$1,AC305,IF($A$1=$AF$1,AF305,IF($A$1=$AI$1,AI305))))))))))))</f>
        <v/>
      </c>
      <c r="AP305" s="44">
        <f>IF($A$1=$B$1,C305,IF($A$1=$E$1,F305,IF($A$1=$H$1,I305,IF($A$1=$K$1,L305,IF($A$1=$N$1,O305,IF($A$1=$Q$1,R305,IF($A$1=$T$1,U305,IF($A$1=$W$1,X305,IF($A$1=$Z$1,AA305,IF($A$1=$AC$1,AD305,IF($A$1=$AF$1,AG305,IF($A$1=$AI$1,AJ305))))))))))))</f>
        <v/>
      </c>
      <c r="AR305" s="94">
        <f>W305</f>
        <v/>
      </c>
      <c r="AS305" s="94">
        <f>X305</f>
        <v/>
      </c>
      <c r="AT305" s="94">
        <f>AS305-AR305</f>
        <v/>
      </c>
    </row>
    <row r="306" ht="15.5" customHeight="1">
      <c r="A306" s="26" t="inlineStr">
        <is>
          <t>İncitaş</t>
        </is>
      </c>
      <c r="B306" s="7">
        <f>'A -Döviz'!B306</f>
        <v/>
      </c>
      <c r="C306" s="7">
        <f>'A -Döviz'!C306</f>
        <v/>
      </c>
      <c r="D306" s="7" t="n"/>
      <c r="E306" s="7">
        <f>B306+'A -Döviz'!E306</f>
        <v/>
      </c>
      <c r="F306" s="7">
        <f>C306+'A -Döviz'!F306</f>
        <v/>
      </c>
      <c r="G306" s="7" t="n"/>
      <c r="H306" s="7">
        <f>E306+'A -Döviz'!H306</f>
        <v/>
      </c>
      <c r="I306" s="7">
        <f>F306+'A -Döviz'!I306</f>
        <v/>
      </c>
      <c r="J306" s="7" t="n"/>
      <c r="K306" s="7">
        <f>H306+'A -Döviz'!K306</f>
        <v/>
      </c>
      <c r="L306" s="7">
        <f>I306+'A -Döviz'!L306</f>
        <v/>
      </c>
      <c r="M306" s="7" t="n"/>
      <c r="N306" s="7">
        <f>K306+'A -Döviz'!N306</f>
        <v/>
      </c>
      <c r="O306" s="7">
        <f>L306+'A -Döviz'!O306</f>
        <v/>
      </c>
      <c r="P306" s="7" t="n"/>
      <c r="Q306" s="7">
        <f>N306+'A -Döviz'!Q306</f>
        <v/>
      </c>
      <c r="R306" s="7">
        <f>O306+'A -Döviz'!R306</f>
        <v/>
      </c>
      <c r="S306" s="7" t="n"/>
      <c r="T306" s="7">
        <f>Q306+'A -Döviz'!T306</f>
        <v/>
      </c>
      <c r="U306" s="7">
        <f>R306+'A -Döviz'!U306</f>
        <v/>
      </c>
      <c r="V306" s="7" t="n"/>
      <c r="W306" s="7">
        <f>T306+'A -Döviz'!W306</f>
        <v/>
      </c>
      <c r="X306" s="7">
        <f>U306+'A -Döviz'!X306</f>
        <v/>
      </c>
      <c r="Y306" s="7" t="n"/>
      <c r="Z306" s="7">
        <f>W306+'A -Döviz'!Z306</f>
        <v/>
      </c>
      <c r="AA306" s="7">
        <f>X306+'A -Döviz'!AA306</f>
        <v/>
      </c>
      <c r="AB306" s="7" t="n"/>
      <c r="AC306" s="7">
        <f>Z306+'A -Döviz'!AC306</f>
        <v/>
      </c>
      <c r="AD306" s="7">
        <f>AA306+'A -Döviz'!AD306</f>
        <v/>
      </c>
      <c r="AE306" s="7" t="n"/>
      <c r="AF306" s="7">
        <f>AC306+'A -Döviz'!AF306</f>
        <v/>
      </c>
      <c r="AG306" s="7">
        <f>AD306+'A -Döviz'!AG306</f>
        <v/>
      </c>
      <c r="AH306" s="7" t="n"/>
      <c r="AI306" s="7">
        <f>AF306+'A -Döviz'!AI306</f>
        <v/>
      </c>
      <c r="AJ306" s="7">
        <f>AG306+'A -Döviz'!AJ306</f>
        <v/>
      </c>
      <c r="AK306" s="7" t="n"/>
      <c r="AL306" s="21">
        <f>AP306-AO306</f>
        <v/>
      </c>
      <c r="AM306" s="22">
        <f>AP306/AO306-1</f>
        <v/>
      </c>
      <c r="AO306" s="44">
        <f>IF($A$1=$B$1,B306,IF($A$1=$E$1,E306,IF($A$1=$H$1,H306,IF($A$1=$K$1,K306,IF($A$1=$N$1,N306,IF($A$1=$Q$1,Q306,IF($A$1=$T$1,T306,IF($A$1=$W$1,W306,IF($A$1=$Z$1,Z306,IF($A$1=$AC$1,AC306,IF($A$1=$AF$1,AF306,IF($A$1=$AI$1,AI306))))))))))))</f>
        <v/>
      </c>
      <c r="AP306" s="44">
        <f>IF($A$1=$B$1,C306,IF($A$1=$E$1,F306,IF($A$1=$H$1,I306,IF($A$1=$K$1,L306,IF($A$1=$N$1,O306,IF($A$1=$Q$1,R306,IF($A$1=$T$1,U306,IF($A$1=$W$1,X306,IF($A$1=$Z$1,AA306,IF($A$1=$AC$1,AD306,IF($A$1=$AF$1,AG306,IF($A$1=$AI$1,AJ306))))))))))))</f>
        <v/>
      </c>
      <c r="AR306" s="94">
        <f>W306</f>
        <v/>
      </c>
      <c r="AS306" s="94">
        <f>X306</f>
        <v/>
      </c>
      <c r="AT306" s="94">
        <f>AS306-AR306</f>
        <v/>
      </c>
    </row>
    <row r="307" ht="15.5" customHeight="1">
      <c r="A307" s="26" t="inlineStr">
        <is>
          <t>İnci GS Yuasa</t>
        </is>
      </c>
      <c r="B307" s="7">
        <f>'A -Döviz'!B307</f>
        <v/>
      </c>
      <c r="C307" s="7">
        <f>'A -Döviz'!C307</f>
        <v/>
      </c>
      <c r="D307" s="7" t="n"/>
      <c r="E307" s="7">
        <f>B307+'A -Döviz'!E307</f>
        <v/>
      </c>
      <c r="F307" s="7">
        <f>C307+'A -Döviz'!F307</f>
        <v/>
      </c>
      <c r="G307" s="7" t="n"/>
      <c r="H307" s="7">
        <f>E307+'A -Döviz'!H307</f>
        <v/>
      </c>
      <c r="I307" s="7">
        <f>F307+'A -Döviz'!I307</f>
        <v/>
      </c>
      <c r="J307" s="7" t="n"/>
      <c r="K307" s="7">
        <f>H307+'A -Döviz'!K307</f>
        <v/>
      </c>
      <c r="L307" s="7">
        <f>I307+'A -Döviz'!L307</f>
        <v/>
      </c>
      <c r="M307" s="7" t="n"/>
      <c r="N307" s="7">
        <f>K307+'A -Döviz'!N307</f>
        <v/>
      </c>
      <c r="O307" s="7">
        <f>L307+'A -Döviz'!O307</f>
        <v/>
      </c>
      <c r="P307" s="7" t="n"/>
      <c r="Q307" s="7">
        <f>N307+'A -Döviz'!Q307</f>
        <v/>
      </c>
      <c r="R307" s="7">
        <f>O307+'A -Döviz'!R307</f>
        <v/>
      </c>
      <c r="S307" s="7" t="n"/>
      <c r="T307" s="7">
        <f>Q307+'A -Döviz'!T307</f>
        <v/>
      </c>
      <c r="U307" s="7">
        <f>R307+'A -Döviz'!U307</f>
        <v/>
      </c>
      <c r="V307" s="7" t="n"/>
      <c r="W307" s="7">
        <f>T307+'A -Döviz'!W307</f>
        <v/>
      </c>
      <c r="X307" s="7">
        <f>U307+'A -Döviz'!X307</f>
        <v/>
      </c>
      <c r="Y307" s="7" t="n"/>
      <c r="Z307" s="7">
        <f>W307+'A -Döviz'!Z307</f>
        <v/>
      </c>
      <c r="AA307" s="7">
        <f>X307+'A -Döviz'!AA307</f>
        <v/>
      </c>
      <c r="AB307" s="7" t="n"/>
      <c r="AC307" s="7">
        <f>Z307+'A -Döviz'!AC307</f>
        <v/>
      </c>
      <c r="AD307" s="7">
        <f>AA307+'A -Döviz'!AD307</f>
        <v/>
      </c>
      <c r="AE307" s="7" t="n"/>
      <c r="AF307" s="7">
        <f>AC307+'A -Döviz'!AF307</f>
        <v/>
      </c>
      <c r="AG307" s="7">
        <f>AD307+'A -Döviz'!AG307</f>
        <v/>
      </c>
      <c r="AH307" s="7" t="n"/>
      <c r="AI307" s="7">
        <f>AF307+'A -Döviz'!AI307</f>
        <v/>
      </c>
      <c r="AJ307" s="7">
        <f>AG307+'A -Döviz'!AJ307</f>
        <v/>
      </c>
      <c r="AK307" s="7" t="n"/>
      <c r="AL307" s="21">
        <f>AP307-AO307</f>
        <v/>
      </c>
      <c r="AM307" s="22">
        <f>AP307/AO307-1</f>
        <v/>
      </c>
      <c r="AO307" s="44">
        <f>IF($A$1=$B$1,B307,IF($A$1=$E$1,E307,IF($A$1=$H$1,H307,IF($A$1=$K$1,K307,IF($A$1=$N$1,N307,IF($A$1=$Q$1,Q307,IF($A$1=$T$1,T307,IF($A$1=$W$1,W307,IF($A$1=$Z$1,Z307,IF($A$1=$AC$1,AC307,IF($A$1=$AF$1,AF307,IF($A$1=$AI$1,AI307))))))))))))</f>
        <v/>
      </c>
      <c r="AP307" s="44">
        <f>IF($A$1=$B$1,C307,IF($A$1=$E$1,F307,IF($A$1=$H$1,I307,IF($A$1=$K$1,L307,IF($A$1=$N$1,O307,IF($A$1=$Q$1,R307,IF($A$1=$T$1,U307,IF($A$1=$W$1,X307,IF($A$1=$Z$1,AA307,IF($A$1=$AC$1,AD307,IF($A$1=$AF$1,AG307,IF($A$1=$AI$1,AJ307))))))))))))</f>
        <v/>
      </c>
      <c r="AR307" s="94">
        <f>W307*0.4</f>
        <v/>
      </c>
      <c r="AS307" s="94">
        <f>X307*0.4</f>
        <v/>
      </c>
      <c r="AT307" s="94">
        <f>AS307-AR307</f>
        <v/>
      </c>
    </row>
    <row r="308" ht="15.5" customFormat="1" customHeight="1" s="1">
      <c r="A308" s="26" t="inlineStr">
        <is>
          <t>Yusen İnci Loj.</t>
        </is>
      </c>
      <c r="B308" s="7">
        <f>'A -Döviz'!B308</f>
        <v/>
      </c>
      <c r="C308" s="7">
        <f>'A -Döviz'!C308</f>
        <v/>
      </c>
      <c r="D308" s="8" t="n"/>
      <c r="E308" s="7">
        <f>B308+'A -Döviz'!E308</f>
        <v/>
      </c>
      <c r="F308" s="7">
        <f>C308+'A -Döviz'!F308</f>
        <v/>
      </c>
      <c r="G308" s="8" t="n"/>
      <c r="H308" s="7">
        <f>E308+'A -Döviz'!H308</f>
        <v/>
      </c>
      <c r="I308" s="7">
        <f>F308+'A -Döviz'!I308</f>
        <v/>
      </c>
      <c r="J308" s="8" t="n"/>
      <c r="K308" s="7">
        <f>H308+'A -Döviz'!K308</f>
        <v/>
      </c>
      <c r="L308" s="7">
        <f>I308+'A -Döviz'!L308</f>
        <v/>
      </c>
      <c r="M308" s="8" t="n"/>
      <c r="N308" s="7">
        <f>K308+'A -Döviz'!N308</f>
        <v/>
      </c>
      <c r="O308" s="7">
        <f>L308+'A -Döviz'!O308</f>
        <v/>
      </c>
      <c r="P308" s="8" t="n"/>
      <c r="Q308" s="7">
        <f>N308+'A -Döviz'!Q308</f>
        <v/>
      </c>
      <c r="R308" s="7">
        <f>O308+'A -Döviz'!R308</f>
        <v/>
      </c>
      <c r="S308" s="8" t="n"/>
      <c r="T308" s="7">
        <f>Q308+'A -Döviz'!T308</f>
        <v/>
      </c>
      <c r="U308" s="7">
        <f>R308+'A -Döviz'!U308</f>
        <v/>
      </c>
      <c r="V308" s="8" t="n"/>
      <c r="W308" s="7">
        <f>T308+'A -Döviz'!W308</f>
        <v/>
      </c>
      <c r="X308" s="7">
        <f>U308+'A -Döviz'!X308</f>
        <v/>
      </c>
      <c r="Y308" s="8" t="n"/>
      <c r="Z308" s="7">
        <f>W308+'A -Döviz'!Z308</f>
        <v/>
      </c>
      <c r="AA308" s="7">
        <f>X308+'A -Döviz'!AA308</f>
        <v/>
      </c>
      <c r="AB308" s="8" t="n"/>
      <c r="AC308" s="7">
        <f>Z308+'A -Döviz'!AC308</f>
        <v/>
      </c>
      <c r="AD308" s="7">
        <f>AA308+'A -Döviz'!AD308</f>
        <v/>
      </c>
      <c r="AE308" s="8" t="n"/>
      <c r="AF308" s="7">
        <f>AC308+'A -Döviz'!AF308</f>
        <v/>
      </c>
      <c r="AG308" s="7">
        <f>AD308+'A -Döviz'!AG308</f>
        <v/>
      </c>
      <c r="AH308" s="8" t="n"/>
      <c r="AI308" s="7">
        <f>AF308+'A -Döviz'!AI308</f>
        <v/>
      </c>
      <c r="AJ308" s="7">
        <f>AG308+'A -Döviz'!AJ308</f>
        <v/>
      </c>
      <c r="AK308" s="8" t="n"/>
      <c r="AL308" s="21">
        <f>AP308-AO308</f>
        <v/>
      </c>
      <c r="AM308" s="22">
        <f>AP308/AO308-1</f>
        <v/>
      </c>
      <c r="AO308" s="44">
        <f>IF($A$1=$B$1,B308,IF($A$1=$E$1,E308,IF($A$1=$H$1,H308,IF($A$1=$K$1,K308,IF($A$1=$N$1,N308,IF($A$1=$Q$1,Q308,IF($A$1=$T$1,T308,IF($A$1=$W$1,W308,IF($A$1=$Z$1,Z308,IF($A$1=$AC$1,AC308,IF($A$1=$AF$1,AF308,IF($A$1=$AI$1,AI308))))))))))))</f>
        <v/>
      </c>
      <c r="AP308" s="44">
        <f>IF($A$1=$B$1,C308,IF($A$1=$E$1,F308,IF($A$1=$H$1,I308,IF($A$1=$K$1,L308,IF($A$1=$N$1,O308,IF($A$1=$Q$1,R308,IF($A$1=$T$1,U308,IF($A$1=$W$1,X308,IF($A$1=$Z$1,AA308,IF($A$1=$AC$1,AD308,IF($A$1=$AF$1,AG308,IF($A$1=$AI$1,AJ308))))))))))))</f>
        <v/>
      </c>
      <c r="AR308" s="94">
        <f>W308*0.4</f>
        <v/>
      </c>
      <c r="AS308" s="94">
        <f>X308*0.4</f>
        <v/>
      </c>
      <c r="AT308" s="94">
        <f>AS308-AR308</f>
        <v/>
      </c>
    </row>
    <row r="309" ht="15.5" customHeight="1">
      <c r="A309" s="26" t="inlineStr">
        <is>
          <t>Jantaş</t>
        </is>
      </c>
      <c r="B309" s="7">
        <f>'A -Döviz'!B309</f>
        <v/>
      </c>
      <c r="C309" s="7">
        <f>'A -Döviz'!C309</f>
        <v/>
      </c>
      <c r="D309" s="7" t="n"/>
      <c r="E309" s="7">
        <f>B309+'A -Döviz'!E309</f>
        <v/>
      </c>
      <c r="F309" s="7">
        <f>C309+'A -Döviz'!F309</f>
        <v/>
      </c>
      <c r="G309" s="7" t="n"/>
      <c r="H309" s="7">
        <f>E309+'A -Döviz'!H309</f>
        <v/>
      </c>
      <c r="I309" s="7">
        <f>F309+'A -Döviz'!I309</f>
        <v/>
      </c>
      <c r="J309" s="7" t="n"/>
      <c r="K309" s="7">
        <f>H309+'A -Döviz'!K309</f>
        <v/>
      </c>
      <c r="L309" s="7">
        <f>I309+'A -Döviz'!L309</f>
        <v/>
      </c>
      <c r="M309" s="7" t="n"/>
      <c r="N309" s="7">
        <f>K309+'A -Döviz'!N309</f>
        <v/>
      </c>
      <c r="O309" s="7">
        <f>L309+'A -Döviz'!O309</f>
        <v/>
      </c>
      <c r="P309" s="7" t="n"/>
      <c r="Q309" s="7">
        <f>N309+'A -Döviz'!Q309</f>
        <v/>
      </c>
      <c r="R309" s="7">
        <f>O309+'A -Döviz'!R309</f>
        <v/>
      </c>
      <c r="S309" s="7" t="n"/>
      <c r="T309" s="7">
        <f>Q309+'A -Döviz'!T309</f>
        <v/>
      </c>
      <c r="U309" s="7">
        <f>R309+'A -Döviz'!U309</f>
        <v/>
      </c>
      <c r="V309" s="7" t="n"/>
      <c r="W309" s="7">
        <f>T309+'A -Döviz'!W309</f>
        <v/>
      </c>
      <c r="X309" s="7">
        <f>U309+'A -Döviz'!X309</f>
        <v/>
      </c>
      <c r="Y309" s="7" t="n"/>
      <c r="Z309" s="7">
        <f>W309+'A -Döviz'!Z309</f>
        <v/>
      </c>
      <c r="AA309" s="7">
        <f>X309+'A -Döviz'!AA309</f>
        <v/>
      </c>
      <c r="AB309" s="7" t="n"/>
      <c r="AC309" s="7">
        <f>Z309+'A -Döviz'!AC309</f>
        <v/>
      </c>
      <c r="AD309" s="7">
        <f>AA309+'A -Döviz'!AD309</f>
        <v/>
      </c>
      <c r="AE309" s="7" t="n"/>
      <c r="AF309" s="7">
        <f>AC309+'A -Döviz'!AF309</f>
        <v/>
      </c>
      <c r="AG309" s="7">
        <f>AD309+'A -Döviz'!AG309</f>
        <v/>
      </c>
      <c r="AH309" s="7" t="n"/>
      <c r="AI309" s="7">
        <f>AF309+'A -Döviz'!AI309</f>
        <v/>
      </c>
      <c r="AJ309" s="7">
        <f>AG309+'A -Döviz'!AJ309</f>
        <v/>
      </c>
      <c r="AK309" s="7" t="n"/>
      <c r="AL309" s="21">
        <f>AP309-AO309</f>
        <v/>
      </c>
      <c r="AM309" s="22">
        <f>AP309/AO309-1</f>
        <v/>
      </c>
      <c r="AO309" s="44">
        <f>IF($A$1=$B$1,B309,IF($A$1=$E$1,E309,IF($A$1=$H$1,H309,IF($A$1=$K$1,K309,IF($A$1=$N$1,N309,IF($A$1=$Q$1,Q309,IF($A$1=$T$1,T309,IF($A$1=$W$1,W309,IF($A$1=$Z$1,Z309,IF($A$1=$AC$1,AC309,IF($A$1=$AF$1,AF309,IF($A$1=$AI$1,AI309))))))))))))</f>
        <v/>
      </c>
      <c r="AP309" s="44">
        <f>IF($A$1=$B$1,C309,IF($A$1=$E$1,F309,IF($A$1=$H$1,I309,IF($A$1=$K$1,L309,IF($A$1=$N$1,O309,IF($A$1=$Q$1,R309,IF($A$1=$T$1,U309,IF($A$1=$W$1,X309,IF($A$1=$Z$1,AA309,IF($A$1=$AC$1,AD309,IF($A$1=$AF$1,AG309,IF($A$1=$AI$1,AJ309))))))))))))</f>
        <v/>
      </c>
      <c r="AR309" s="94">
        <f>W309*0.4</f>
        <v/>
      </c>
      <c r="AS309" s="94">
        <f>X309*0.4</f>
        <v/>
      </c>
      <c r="AT309" s="94">
        <f>AS309-AR309</f>
        <v/>
      </c>
    </row>
    <row r="310" ht="15.5" customFormat="1" customHeight="1" s="1">
      <c r="A310" s="26" t="inlineStr">
        <is>
          <t>Çelik</t>
        </is>
      </c>
      <c r="B310" s="7">
        <f>'A -Döviz'!B310</f>
        <v/>
      </c>
      <c r="C310" s="7">
        <f>'A -Döviz'!C310</f>
        <v/>
      </c>
      <c r="D310" s="8" t="n"/>
      <c r="E310" s="7">
        <f>B310+'A -Döviz'!E310</f>
        <v/>
      </c>
      <c r="F310" s="7">
        <f>C310+'A -Döviz'!F310</f>
        <v/>
      </c>
      <c r="G310" s="8" t="n"/>
      <c r="H310" s="7">
        <f>E310+'A -Döviz'!H310</f>
        <v/>
      </c>
      <c r="I310" s="7">
        <f>F310+'A -Döviz'!I310</f>
        <v/>
      </c>
      <c r="J310" s="8" t="n"/>
      <c r="K310" s="7">
        <f>H310+'A -Döviz'!K310</f>
        <v/>
      </c>
      <c r="L310" s="7">
        <f>I310+'A -Döviz'!L310</f>
        <v/>
      </c>
      <c r="M310" s="8" t="n"/>
      <c r="N310" s="7">
        <f>K310+'A -Döviz'!N310</f>
        <v/>
      </c>
      <c r="O310" s="7">
        <f>L310+'A -Döviz'!O310</f>
        <v/>
      </c>
      <c r="P310" s="8" t="n"/>
      <c r="Q310" s="7">
        <f>N310+'A -Döviz'!Q310</f>
        <v/>
      </c>
      <c r="R310" s="7">
        <f>O310+'A -Döviz'!R310</f>
        <v/>
      </c>
      <c r="S310" s="8" t="n"/>
      <c r="T310" s="7">
        <f>Q310+'A -Döviz'!T310</f>
        <v/>
      </c>
      <c r="U310" s="7">
        <f>R310+'A -Döviz'!U310</f>
        <v/>
      </c>
      <c r="V310" s="8" t="n"/>
      <c r="W310" s="7">
        <f>T310+'A -Döviz'!W310</f>
        <v/>
      </c>
      <c r="X310" s="7">
        <f>U310+'A -Döviz'!X310</f>
        <v/>
      </c>
      <c r="Y310" s="8" t="n"/>
      <c r="Z310" s="7">
        <f>W310+'A -Döviz'!Z310</f>
        <v/>
      </c>
      <c r="AA310" s="7">
        <f>X310+'A -Döviz'!AA310</f>
        <v/>
      </c>
      <c r="AB310" s="8" t="n"/>
      <c r="AC310" s="7">
        <f>Z310+'A -Döviz'!AC310</f>
        <v/>
      </c>
      <c r="AD310" s="7">
        <f>AA310+'A -Döviz'!AD310</f>
        <v/>
      </c>
      <c r="AE310" s="8" t="n"/>
      <c r="AF310" s="7">
        <f>AC310+'A -Döviz'!AF310</f>
        <v/>
      </c>
      <c r="AG310" s="7">
        <f>AD310+'A -Döviz'!AG310</f>
        <v/>
      </c>
      <c r="AH310" s="8" t="n"/>
      <c r="AI310" s="7">
        <f>AF310+'A -Döviz'!AI310</f>
        <v/>
      </c>
      <c r="AJ310" s="7">
        <f>AG310+'A -Döviz'!AJ310</f>
        <v/>
      </c>
      <c r="AK310" s="8" t="n"/>
      <c r="AL310" s="21">
        <f>AP310-AO310</f>
        <v/>
      </c>
      <c r="AM310" s="22">
        <f>AP310/AO310-1</f>
        <v/>
      </c>
      <c r="AO310" s="44">
        <f>IF($A$1=$B$1,B310,IF($A$1=$E$1,E310,IF($A$1=$H$1,H310,IF($A$1=$K$1,K310,IF($A$1=$N$1,N310,IF($A$1=$Q$1,Q310,IF($A$1=$T$1,T310,IF($A$1=$W$1,W310,IF($A$1=$Z$1,Z310,IF($A$1=$AC$1,AC310,IF($A$1=$AF$1,AF310,IF($A$1=$AI$1,AI310))))))))))))</f>
        <v/>
      </c>
      <c r="AP310" s="44">
        <f>IF($A$1=$B$1,C310,IF($A$1=$E$1,F310,IF($A$1=$H$1,I310,IF($A$1=$K$1,L310,IF($A$1=$N$1,O310,IF($A$1=$Q$1,R310,IF($A$1=$T$1,U310,IF($A$1=$W$1,X310,IF($A$1=$Z$1,AA310,IF($A$1=$AC$1,AD310,IF($A$1=$AF$1,AG310,IF($A$1=$AI$1,AJ310))))))))))))</f>
        <v/>
      </c>
      <c r="AR310" s="94">
        <f>W310*0.4</f>
        <v/>
      </c>
      <c r="AS310" s="94">
        <f>X310*0.4</f>
        <v/>
      </c>
      <c r="AT310" s="94">
        <f>AS310-AR310</f>
        <v/>
      </c>
    </row>
    <row r="311" ht="15.5" customFormat="1" customHeight="1" s="1">
      <c r="A311" s="26" t="inlineStr">
        <is>
          <t>Alüminyum</t>
        </is>
      </c>
      <c r="B311" s="7">
        <f>'A -Döviz'!B311</f>
        <v/>
      </c>
      <c r="C311" s="7">
        <f>'A -Döviz'!C311</f>
        <v/>
      </c>
      <c r="D311" s="8" t="n"/>
      <c r="E311" s="7">
        <f>B311+'A -Döviz'!E311</f>
        <v/>
      </c>
      <c r="F311" s="7">
        <f>C311+'A -Döviz'!F311</f>
        <v/>
      </c>
      <c r="G311" s="8" t="n"/>
      <c r="H311" s="7">
        <f>E311+'A -Döviz'!H311</f>
        <v/>
      </c>
      <c r="I311" s="7">
        <f>F311+'A -Döviz'!I311</f>
        <v/>
      </c>
      <c r="J311" s="8" t="n"/>
      <c r="K311" s="7">
        <f>H311+'A -Döviz'!K311</f>
        <v/>
      </c>
      <c r="L311" s="7">
        <f>I311+'A -Döviz'!L311</f>
        <v/>
      </c>
      <c r="M311" s="8" t="n"/>
      <c r="N311" s="7">
        <f>K311+'A -Döviz'!N311</f>
        <v/>
      </c>
      <c r="O311" s="7">
        <f>L311+'A -Döviz'!O311</f>
        <v/>
      </c>
      <c r="P311" s="8" t="n"/>
      <c r="Q311" s="7">
        <f>N311+'A -Döviz'!Q311</f>
        <v/>
      </c>
      <c r="R311" s="7">
        <f>O311+'A -Döviz'!R311</f>
        <v/>
      </c>
      <c r="S311" s="8" t="n"/>
      <c r="T311" s="7">
        <f>Q311+'A -Döviz'!T311</f>
        <v/>
      </c>
      <c r="U311" s="7">
        <f>R311+'A -Döviz'!U311</f>
        <v/>
      </c>
      <c r="V311" s="8" t="n"/>
      <c r="W311" s="7">
        <f>T311+'A -Döviz'!W311</f>
        <v/>
      </c>
      <c r="X311" s="7">
        <f>U311+'A -Döviz'!X311</f>
        <v/>
      </c>
      <c r="Y311" s="8" t="n"/>
      <c r="Z311" s="7">
        <f>W311+'A -Döviz'!Z311</f>
        <v/>
      </c>
      <c r="AA311" s="7">
        <f>X311+'A -Döviz'!AA311</f>
        <v/>
      </c>
      <c r="AB311" s="8" t="n"/>
      <c r="AC311" s="7">
        <f>Z311+'A -Döviz'!AC311</f>
        <v/>
      </c>
      <c r="AD311" s="7">
        <f>AA311+'A -Döviz'!AD311</f>
        <v/>
      </c>
      <c r="AE311" s="8" t="n"/>
      <c r="AF311" s="7">
        <f>AC311+'A -Döviz'!AF311</f>
        <v/>
      </c>
      <c r="AG311" s="7">
        <f>AD311+'A -Döviz'!AG311</f>
        <v/>
      </c>
      <c r="AH311" s="8" t="n"/>
      <c r="AI311" s="7">
        <f>AF311+'A -Döviz'!AI311</f>
        <v/>
      </c>
      <c r="AJ311" s="7">
        <f>AG311+'A -Döviz'!AJ311</f>
        <v/>
      </c>
      <c r="AK311" s="8" t="n"/>
      <c r="AL311" s="21">
        <f>AP311-AO311</f>
        <v/>
      </c>
      <c r="AM311" s="22">
        <f>AP311/AO311-1</f>
        <v/>
      </c>
      <c r="AO311" s="44">
        <f>IF($A$1=$B$1,B311,IF($A$1=$E$1,E311,IF($A$1=$H$1,H311,IF($A$1=$K$1,K311,IF($A$1=$N$1,N311,IF($A$1=$Q$1,Q311,IF($A$1=$T$1,T311,IF($A$1=$W$1,W311,IF($A$1=$Z$1,Z311,IF($A$1=$AC$1,AC311,IF($A$1=$AF$1,AF311,IF($A$1=$AI$1,AI311))))))))))))</f>
        <v/>
      </c>
      <c r="AP311" s="44">
        <f>IF($A$1=$B$1,C311,IF($A$1=$E$1,F311,IF($A$1=$H$1,I311,IF($A$1=$K$1,L311,IF($A$1=$N$1,O311,IF($A$1=$Q$1,R311,IF($A$1=$T$1,U311,IF($A$1=$W$1,X311,IF($A$1=$Z$1,AA311,IF($A$1=$AC$1,AD311,IF($A$1=$AF$1,AG311,IF($A$1=$AI$1,AJ311))))))))))))</f>
        <v/>
      </c>
      <c r="AR311" s="94">
        <f>W311*0.4</f>
        <v/>
      </c>
      <c r="AS311" s="94">
        <f>AD311*0.4</f>
        <v/>
      </c>
      <c r="AT311" s="94">
        <f>AS311-AR311</f>
        <v/>
      </c>
    </row>
    <row r="312" ht="15.5" customFormat="1" customHeight="1" s="1">
      <c r="A312" s="26" t="n"/>
      <c r="B312" s="7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7" t="n"/>
      <c r="R312" s="8" t="n"/>
      <c r="S312" s="8" t="n"/>
      <c r="T312" s="7" t="n"/>
      <c r="U312" s="8" t="n"/>
      <c r="V312" s="8" t="n"/>
      <c r="W312" s="7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15" t="n"/>
      <c r="AM312" s="16" t="n"/>
      <c r="AO312" s="44" t="n"/>
      <c r="AP312" s="44" t="n"/>
    </row>
    <row r="313" ht="15.5" customFormat="1" customHeight="1" s="1">
      <c r="A313" s="26" t="n"/>
      <c r="B313" s="7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>
        <f>SUM(K304:K306)+SUM(K308:K311)*0.4+K307*0.5</f>
        <v/>
      </c>
      <c r="L313" s="8">
        <f>SUM(L304:L306)+SUM(L308:L311)*0.4+L307*0.5</f>
        <v/>
      </c>
      <c r="M313" s="8" t="n"/>
      <c r="N313" s="8" t="n"/>
      <c r="O313" s="8" t="n"/>
      <c r="P313" s="8" t="n"/>
      <c r="Q313" s="7" t="n"/>
      <c r="R313" s="8" t="n"/>
      <c r="S313" s="8" t="n"/>
      <c r="T313" s="7" t="n"/>
      <c r="U313" s="8" t="n"/>
      <c r="V313" s="8" t="n"/>
      <c r="W313" s="7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15" t="n"/>
      <c r="AM313" s="16" t="n"/>
      <c r="AO313" s="44" t="n"/>
      <c r="AP313" s="44" t="n"/>
    </row>
    <row r="314" ht="15.5" customFormat="1" customHeight="1" s="1">
      <c r="A314" s="26" t="n"/>
      <c r="B314" s="7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7" t="n"/>
      <c r="R314" s="8" t="n"/>
      <c r="S314" s="8" t="n"/>
      <c r="T314" s="7" t="n"/>
      <c r="U314" s="8" t="n"/>
      <c r="V314" s="8" t="n"/>
      <c r="W314" s="7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15" t="n"/>
      <c r="AM314" s="16" t="n"/>
      <c r="AO314" s="44" t="n"/>
      <c r="AP314" s="44" t="n"/>
    </row>
    <row r="315" ht="15.5" customFormat="1" customHeight="1" s="1">
      <c r="A315" s="26" t="n"/>
      <c r="B315" s="7" t="n"/>
      <c r="C315" s="8" t="n"/>
      <c r="D315" s="8" t="n"/>
      <c r="E315" s="402">
        <f>E298/E16</f>
        <v/>
      </c>
      <c r="F315" s="402">
        <f>F298/F16</f>
        <v/>
      </c>
      <c r="G315" s="402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7" t="n"/>
      <c r="R315" s="8" t="n"/>
      <c r="S315" s="8" t="n"/>
      <c r="T315" s="7" t="n"/>
      <c r="U315" s="8" t="n"/>
      <c r="V315" s="8" t="n"/>
      <c r="W315" s="7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15" t="n"/>
      <c r="AM315" s="16" t="n"/>
      <c r="AO315" s="44" t="n"/>
      <c r="AP315" s="44" t="n"/>
    </row>
    <row r="316" ht="15.5" customFormat="1" customHeight="1" s="1">
      <c r="A316" s="26" t="n"/>
      <c r="B316" s="7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7" t="n"/>
      <c r="R316" s="8" t="n"/>
      <c r="S316" s="8" t="n"/>
      <c r="T316" s="7" t="n"/>
      <c r="U316" s="8" t="n"/>
      <c r="V316" s="8" t="n"/>
      <c r="W316" s="7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15" t="n"/>
      <c r="AM316" s="16" t="n"/>
      <c r="AO316" s="44" t="n"/>
      <c r="AP316" s="44" t="n"/>
    </row>
    <row r="317" ht="15.5" customFormat="1" customHeight="1" s="1">
      <c r="A317" s="26" t="n"/>
      <c r="B317" s="7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7" t="n"/>
      <c r="R317" s="8" t="n"/>
      <c r="S317" s="8" t="n"/>
      <c r="T317" s="7" t="n"/>
      <c r="U317" s="8" t="n"/>
      <c r="V317" s="8" t="n"/>
      <c r="W317" s="7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15" t="n"/>
      <c r="AM317" s="16" t="n"/>
      <c r="AO317" s="44" t="n"/>
      <c r="AP317" s="44" t="n"/>
    </row>
    <row r="318" ht="15.5" customFormat="1" customHeight="1" s="1">
      <c r="A318" s="26" t="n"/>
      <c r="B318" s="7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7" t="n"/>
      <c r="R318" s="8" t="n"/>
      <c r="S318" s="8" t="n"/>
      <c r="T318" s="7" t="n"/>
      <c r="U318" s="8" t="n"/>
      <c r="V318" s="8" t="n"/>
      <c r="W318" s="7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15" t="n"/>
      <c r="AM318" s="16" t="n"/>
      <c r="AO318" s="44" t="n"/>
      <c r="AP318" s="44" t="n"/>
    </row>
    <row r="319" ht="15.5" customFormat="1" customHeight="1" s="1">
      <c r="A319" s="26" t="n"/>
      <c r="B319" s="7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7" t="n"/>
      <c r="R319" s="8" t="n"/>
      <c r="S319" s="8" t="n"/>
      <c r="T319" s="7" t="n"/>
      <c r="U319" s="8" t="n"/>
      <c r="V319" s="8" t="n"/>
      <c r="W319" s="7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15" t="n"/>
      <c r="AM319" s="16" t="n"/>
      <c r="AO319" s="44" t="n"/>
      <c r="AP319" s="44" t="n"/>
    </row>
    <row r="320" ht="15.5" customFormat="1" customHeight="1" s="1">
      <c r="A320" s="26" t="n"/>
      <c r="B320" s="7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7" t="n"/>
      <c r="R320" s="8" t="n"/>
      <c r="S320" s="8" t="n"/>
      <c r="T320" s="7" t="n"/>
      <c r="U320" s="8" t="n"/>
      <c r="V320" s="8" t="n"/>
      <c r="W320" s="7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15" t="n"/>
      <c r="AM320" s="16" t="n"/>
      <c r="AO320" s="44" t="n"/>
      <c r="AP320" s="44" t="n"/>
    </row>
    <row r="321" ht="15.5" customFormat="1" customHeight="1" s="1">
      <c r="A321" s="26" t="n"/>
      <c r="B321" s="7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7" t="n"/>
      <c r="R321" s="8" t="n"/>
      <c r="S321" s="8" t="n"/>
      <c r="T321" s="7" t="n"/>
      <c r="U321" s="8" t="n"/>
      <c r="V321" s="8" t="n"/>
      <c r="W321" s="7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15" t="n"/>
      <c r="AM321" s="16" t="n"/>
      <c r="AO321" s="44" t="n"/>
      <c r="AP321" s="44" t="n"/>
    </row>
    <row r="322" ht="15.5" customFormat="1" customHeight="1" s="1">
      <c r="A322" s="26" t="n"/>
      <c r="B322" s="7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7" t="n"/>
      <c r="R322" s="8" t="n"/>
      <c r="S322" s="8" t="n"/>
      <c r="T322" s="7" t="n"/>
      <c r="U322" s="8" t="n"/>
      <c r="V322" s="8" t="n"/>
      <c r="W322" s="7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15" t="n"/>
      <c r="AM322" s="16" t="n"/>
      <c r="AO322" s="44" t="n"/>
      <c r="AP322" s="44" t="n"/>
    </row>
    <row r="323" ht="15.5" customFormat="1" customHeight="1" s="1">
      <c r="A323" s="26" t="n"/>
      <c r="B323" s="7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7" t="n"/>
      <c r="R323" s="8" t="n"/>
      <c r="S323" s="8" t="n"/>
      <c r="T323" s="7" t="n"/>
      <c r="U323" s="8" t="n"/>
      <c r="V323" s="8" t="n"/>
      <c r="W323" s="7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15" t="n"/>
      <c r="AM323" s="16" t="n"/>
      <c r="AO323" s="44" t="n"/>
      <c r="AP323" s="44" t="n"/>
    </row>
    <row r="324" ht="15.5" customFormat="1" customHeight="1" s="1">
      <c r="A324" s="26" t="n"/>
      <c r="B324" s="7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7" t="n"/>
      <c r="R324" s="8" t="n"/>
      <c r="S324" s="8" t="n"/>
      <c r="T324" s="7" t="n"/>
      <c r="U324" s="8" t="n"/>
      <c r="V324" s="8" t="n"/>
      <c r="W324" s="7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15" t="n"/>
      <c r="AM324" s="16" t="n"/>
      <c r="AO324" s="44" t="n"/>
      <c r="AP324" s="44" t="n"/>
    </row>
    <row r="325" ht="15.5" customFormat="1" customHeight="1" s="1">
      <c r="A325" s="26" t="n"/>
      <c r="B325" s="7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7" t="n"/>
      <c r="R325" s="8" t="n"/>
      <c r="S325" s="8" t="n"/>
      <c r="T325" s="7" t="n"/>
      <c r="U325" s="8" t="n"/>
      <c r="V325" s="8" t="n"/>
      <c r="W325" s="7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15" t="n"/>
      <c r="AM325" s="16" t="n"/>
      <c r="AO325" s="44" t="n"/>
      <c r="AP325" s="44" t="n"/>
    </row>
    <row r="326" ht="15.5" customFormat="1" customHeight="1" s="1">
      <c r="A326" s="26" t="n"/>
      <c r="B326" s="7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7" t="n"/>
      <c r="R326" s="8" t="n"/>
      <c r="S326" s="8" t="n"/>
      <c r="T326" s="7" t="n"/>
      <c r="U326" s="8" t="n"/>
      <c r="V326" s="8" t="n"/>
      <c r="W326" s="7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15" t="n"/>
      <c r="AM326" s="16" t="n"/>
      <c r="AO326" s="44" t="n"/>
      <c r="AP326" s="44" t="n"/>
    </row>
    <row r="327" ht="15.5" customFormat="1" customHeight="1" s="1">
      <c r="A327" s="26" t="n"/>
      <c r="B327" s="7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7" t="n"/>
      <c r="R327" s="8" t="n"/>
      <c r="S327" s="8" t="n"/>
      <c r="T327" s="7" t="n"/>
      <c r="U327" s="8" t="n"/>
      <c r="V327" s="8" t="n"/>
      <c r="W327" s="7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15" t="n"/>
      <c r="AM327" s="16" t="n"/>
      <c r="AO327" s="44" t="n"/>
      <c r="AP327" s="44" t="n"/>
    </row>
    <row r="328" ht="15.5" customFormat="1" customHeight="1" s="1">
      <c r="A328" s="26" t="n"/>
      <c r="B328" s="7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7" t="n"/>
      <c r="R328" s="8" t="n"/>
      <c r="S328" s="8" t="n"/>
      <c r="T328" s="7" t="n"/>
      <c r="U328" s="8" t="n"/>
      <c r="V328" s="8" t="n"/>
      <c r="W328" s="7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15" t="n"/>
      <c r="AM328" s="16" t="n"/>
      <c r="AO328" s="44" t="n"/>
      <c r="AP328" s="44" t="n"/>
    </row>
    <row r="329" ht="15.5" customFormat="1" customHeight="1" s="1">
      <c r="A329" s="26" t="n"/>
      <c r="B329" s="7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7" t="n"/>
      <c r="R329" s="8" t="n"/>
      <c r="S329" s="8" t="n"/>
      <c r="T329" s="7" t="n"/>
      <c r="U329" s="8" t="n"/>
      <c r="V329" s="8" t="n"/>
      <c r="W329" s="7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15" t="n"/>
      <c r="AM329" s="16" t="n"/>
      <c r="AO329" s="44" t="n"/>
      <c r="AP329" s="44" t="n"/>
    </row>
    <row r="330" ht="15.5" customFormat="1" customHeight="1" s="1">
      <c r="A330" s="26" t="n"/>
      <c r="B330" s="7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7" t="n"/>
      <c r="R330" s="8" t="n"/>
      <c r="S330" s="8" t="n"/>
      <c r="T330" s="7" t="n"/>
      <c r="U330" s="8" t="n"/>
      <c r="V330" s="8" t="n"/>
      <c r="W330" s="7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15" t="n"/>
      <c r="AM330" s="16" t="n"/>
      <c r="AO330" s="44" t="n"/>
      <c r="AP330" s="44" t="n"/>
    </row>
    <row r="331" ht="15.5" customFormat="1" customHeight="1" s="1">
      <c r="A331" s="26" t="n"/>
      <c r="B331" s="7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7" t="n"/>
      <c r="R331" s="8" t="n"/>
      <c r="S331" s="8" t="n"/>
      <c r="T331" s="7" t="n"/>
      <c r="U331" s="8" t="n"/>
      <c r="V331" s="8" t="n"/>
      <c r="W331" s="7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15" t="n"/>
      <c r="AM331" s="16" t="n"/>
      <c r="AO331" s="44" t="n"/>
      <c r="AP331" s="44" t="n"/>
    </row>
    <row r="332" ht="15.5" customFormat="1" customHeight="1" s="1">
      <c r="A332" s="26" t="n"/>
      <c r="B332" s="7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7" t="n"/>
      <c r="R332" s="8" t="n"/>
      <c r="S332" s="8" t="n"/>
      <c r="T332" s="7" t="n"/>
      <c r="U332" s="8" t="n"/>
      <c r="V332" s="8" t="n"/>
      <c r="W332" s="7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15" t="n"/>
      <c r="AM332" s="16" t="n"/>
      <c r="AO332" s="44" t="n"/>
      <c r="AP332" s="44" t="n"/>
    </row>
    <row r="333" ht="15.5" customFormat="1" customHeight="1" s="1">
      <c r="A333" s="26" t="n"/>
      <c r="B333" s="7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7" t="n"/>
      <c r="R333" s="8" t="n"/>
      <c r="S333" s="8" t="n"/>
      <c r="T333" s="7" t="n"/>
      <c r="U333" s="8" t="n"/>
      <c r="V333" s="8" t="n"/>
      <c r="W333" s="7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15" t="n"/>
      <c r="AM333" s="16" t="n"/>
      <c r="AO333" s="44" t="n"/>
      <c r="AP333" s="44" t="n"/>
    </row>
    <row r="334" ht="15.5" customFormat="1" customHeight="1" s="1">
      <c r="A334" s="26" t="n"/>
      <c r="B334" s="7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7" t="n"/>
      <c r="R334" s="8" t="n"/>
      <c r="S334" s="8" t="n"/>
      <c r="T334" s="7" t="n"/>
      <c r="U334" s="8" t="n"/>
      <c r="V334" s="8" t="n"/>
      <c r="W334" s="7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15" t="n"/>
      <c r="AM334" s="16" t="n"/>
      <c r="AO334" s="44" t="n"/>
      <c r="AP334" s="44" t="n"/>
    </row>
    <row r="335" ht="15.5" customFormat="1" customHeight="1" s="1">
      <c r="A335" s="26" t="n"/>
      <c r="B335" s="7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7" t="n"/>
      <c r="R335" s="8" t="n"/>
      <c r="S335" s="8" t="n"/>
      <c r="T335" s="7" t="n"/>
      <c r="U335" s="8" t="n"/>
      <c r="V335" s="8" t="n"/>
      <c r="W335" s="7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15" t="n"/>
      <c r="AM335" s="16" t="n"/>
      <c r="AO335" s="44" t="n"/>
      <c r="AP335" s="44" t="n"/>
    </row>
    <row r="336" ht="15.5" customFormat="1" customHeight="1" s="1">
      <c r="A336" s="26" t="n"/>
      <c r="B336" s="7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7" t="n"/>
      <c r="R336" s="8" t="n"/>
      <c r="S336" s="8" t="n"/>
      <c r="T336" s="7" t="n"/>
      <c r="U336" s="8" t="n"/>
      <c r="V336" s="8" t="n"/>
      <c r="W336" s="7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15" t="n"/>
      <c r="AM336" s="16" t="n"/>
      <c r="AO336" s="44" t="n"/>
      <c r="AP336" s="44" t="n"/>
    </row>
    <row r="337" ht="15.5" customFormat="1" customHeight="1" s="1">
      <c r="A337" s="26" t="n"/>
      <c r="B337" s="7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7" t="n"/>
      <c r="R337" s="8" t="n"/>
      <c r="S337" s="8" t="n"/>
      <c r="T337" s="7" t="n"/>
      <c r="U337" s="8" t="n"/>
      <c r="V337" s="8" t="n"/>
      <c r="W337" s="7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15" t="n"/>
      <c r="AM337" s="16" t="n"/>
      <c r="AO337" s="44" t="n"/>
      <c r="AP337" s="44" t="n"/>
    </row>
    <row r="338" ht="15.5" customFormat="1" customHeight="1" s="1">
      <c r="A338" s="26" t="n"/>
      <c r="B338" s="7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7" t="n"/>
      <c r="R338" s="8" t="n"/>
      <c r="S338" s="8" t="n"/>
      <c r="T338" s="7" t="n"/>
      <c r="U338" s="8" t="n"/>
      <c r="V338" s="8" t="n"/>
      <c r="W338" s="7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15" t="n"/>
      <c r="AM338" s="16" t="n"/>
      <c r="AO338" s="44" t="n"/>
      <c r="AP338" s="44" t="n"/>
    </row>
    <row r="339" ht="15.5" customFormat="1" customHeight="1" s="1">
      <c r="A339" s="26" t="n"/>
      <c r="B339" s="7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7" t="n"/>
      <c r="R339" s="8" t="n"/>
      <c r="S339" s="8" t="n"/>
      <c r="T339" s="7" t="n"/>
      <c r="U339" s="8" t="n"/>
      <c r="V339" s="8" t="n"/>
      <c r="W339" s="7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15" t="n"/>
      <c r="AM339" s="16" t="n"/>
      <c r="AO339" s="44" t="n"/>
      <c r="AP339" s="44" t="n"/>
    </row>
    <row r="340" ht="15.5" customFormat="1" customHeight="1" s="1">
      <c r="A340" s="26" t="n"/>
      <c r="B340" s="7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7" t="n"/>
      <c r="R340" s="8" t="n"/>
      <c r="S340" s="8" t="n"/>
      <c r="T340" s="7" t="n"/>
      <c r="U340" s="8" t="n"/>
      <c r="V340" s="8" t="n"/>
      <c r="W340" s="7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15" t="n"/>
      <c r="AM340" s="16" t="n"/>
      <c r="AO340" s="44" t="n"/>
      <c r="AP340" s="44" t="n"/>
    </row>
    <row r="341" ht="15.5" customFormat="1" customHeight="1" s="1">
      <c r="A341" s="26" t="n"/>
      <c r="B341" s="7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7" t="n"/>
      <c r="R341" s="8" t="n"/>
      <c r="S341" s="8" t="n"/>
      <c r="T341" s="7" t="n"/>
      <c r="U341" s="8" t="n"/>
      <c r="V341" s="8" t="n"/>
      <c r="W341" s="7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15" t="n"/>
      <c r="AM341" s="16" t="n"/>
      <c r="AO341" s="44" t="n"/>
      <c r="AP341" s="44" t="n"/>
    </row>
    <row r="342" ht="15.5" customFormat="1" customHeight="1" s="1">
      <c r="A342" s="26" t="n"/>
      <c r="B342" s="7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7" t="n"/>
      <c r="R342" s="8" t="n"/>
      <c r="S342" s="8" t="n"/>
      <c r="T342" s="7" t="n"/>
      <c r="U342" s="8" t="n"/>
      <c r="V342" s="8" t="n"/>
      <c r="W342" s="7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15" t="n"/>
      <c r="AM342" s="16" t="n"/>
      <c r="AO342" s="44" t="n"/>
      <c r="AP342" s="44" t="n"/>
    </row>
    <row r="343" ht="15.5" customFormat="1" customHeight="1" s="1">
      <c r="A343" s="26" t="n"/>
      <c r="B343" s="7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7" t="n"/>
      <c r="R343" s="8" t="n"/>
      <c r="S343" s="8" t="n"/>
      <c r="T343" s="7" t="n"/>
      <c r="U343" s="8" t="n"/>
      <c r="V343" s="8" t="n"/>
      <c r="W343" s="7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15" t="n"/>
      <c r="AM343" s="16" t="n"/>
      <c r="AO343" s="44" t="n"/>
      <c r="AP343" s="44" t="n"/>
    </row>
    <row r="344" ht="15.5" customFormat="1" customHeight="1" s="1">
      <c r="A344" s="26" t="n"/>
      <c r="B344" s="7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7" t="n"/>
      <c r="R344" s="8" t="n"/>
      <c r="S344" s="8" t="n"/>
      <c r="T344" s="7" t="n"/>
      <c r="U344" s="8" t="n"/>
      <c r="V344" s="8" t="n"/>
      <c r="W344" s="7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15" t="n"/>
      <c r="AM344" s="16" t="n"/>
      <c r="AO344" s="44" t="n"/>
      <c r="AP344" s="44" t="n"/>
    </row>
    <row r="345" ht="15.5" customFormat="1" customHeight="1" s="1">
      <c r="A345" s="26" t="n"/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7" t="n"/>
      <c r="R345" s="8" t="n"/>
      <c r="S345" s="8" t="n"/>
      <c r="T345" s="7" t="n"/>
      <c r="U345" s="8" t="n"/>
      <c r="V345" s="8" t="n"/>
      <c r="W345" s="7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15" t="n"/>
      <c r="AM345" s="16" t="n"/>
      <c r="AO345" s="44" t="n"/>
      <c r="AP345" s="44" t="n"/>
    </row>
    <row r="346" ht="15.5" customFormat="1" customHeight="1" s="1">
      <c r="A346" s="26" t="n"/>
      <c r="B346" s="7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7" t="n"/>
      <c r="R346" s="8" t="n"/>
      <c r="S346" s="8" t="n"/>
      <c r="T346" s="7" t="n"/>
      <c r="U346" s="8" t="n"/>
      <c r="V346" s="8" t="n"/>
      <c r="W346" s="7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15" t="n"/>
      <c r="AM346" s="16" t="n"/>
      <c r="AO346" s="44" t="n"/>
      <c r="AP346" s="44" t="n"/>
    </row>
    <row r="347" ht="15.5" customFormat="1" customHeight="1" s="1">
      <c r="A347" s="26" t="n"/>
      <c r="B347" s="7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7" t="n"/>
      <c r="R347" s="8" t="n"/>
      <c r="S347" s="8" t="n"/>
      <c r="T347" s="7" t="n"/>
      <c r="U347" s="8" t="n"/>
      <c r="V347" s="8" t="n"/>
      <c r="W347" s="7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15" t="n"/>
      <c r="AM347" s="16" t="n"/>
      <c r="AO347" s="44" t="n"/>
      <c r="AP347" s="44" t="n"/>
    </row>
    <row r="348" ht="15.5" customFormat="1" customHeight="1" s="1">
      <c r="A348" s="26" t="n"/>
      <c r="B348" s="7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7" t="n"/>
      <c r="R348" s="8" t="n"/>
      <c r="S348" s="8" t="n"/>
      <c r="T348" s="7" t="n"/>
      <c r="U348" s="8" t="n"/>
      <c r="V348" s="8" t="n"/>
      <c r="W348" s="7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15" t="n"/>
      <c r="AM348" s="16" t="n"/>
      <c r="AO348" s="44" t="n"/>
      <c r="AP348" s="44" t="n"/>
    </row>
    <row r="349" ht="15.5" customFormat="1" customHeight="1" s="1">
      <c r="A349" s="26" t="n"/>
      <c r="B349" s="7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7" t="n"/>
      <c r="R349" s="8" t="n"/>
      <c r="S349" s="8" t="n"/>
      <c r="T349" s="7" t="n"/>
      <c r="U349" s="8" t="n"/>
      <c r="V349" s="8" t="n"/>
      <c r="W349" s="7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15" t="n"/>
      <c r="AM349" s="16" t="n"/>
      <c r="AO349" s="44" t="n"/>
      <c r="AP349" s="44" t="n"/>
    </row>
    <row r="350" ht="15.5" customFormat="1" customHeight="1" s="1">
      <c r="A350" s="26" t="n"/>
      <c r="B350" s="7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7" t="n"/>
      <c r="R350" s="8" t="n"/>
      <c r="S350" s="8" t="n"/>
      <c r="T350" s="7" t="n"/>
      <c r="U350" s="8" t="n"/>
      <c r="V350" s="8" t="n"/>
      <c r="W350" s="7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15" t="n"/>
      <c r="AM350" s="16" t="n"/>
      <c r="AO350" s="44" t="n"/>
      <c r="AP350" s="44" t="n"/>
    </row>
    <row r="351" ht="15.5" customFormat="1" customHeight="1" s="1">
      <c r="A351" s="26" t="n"/>
      <c r="B351" s="7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7" t="n"/>
      <c r="R351" s="8" t="n"/>
      <c r="S351" s="8" t="n"/>
      <c r="T351" s="7" t="n"/>
      <c r="U351" s="8" t="n"/>
      <c r="V351" s="8" t="n"/>
      <c r="W351" s="7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15" t="n"/>
      <c r="AM351" s="16" t="n"/>
      <c r="AO351" s="44" t="n"/>
      <c r="AP351" s="44" t="n"/>
    </row>
    <row r="352" ht="15.5" customFormat="1" customHeight="1" s="1">
      <c r="A352" s="26" t="n"/>
      <c r="B352" s="7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7" t="n"/>
      <c r="R352" s="8" t="n"/>
      <c r="S352" s="8" t="n"/>
      <c r="T352" s="7" t="n"/>
      <c r="U352" s="8" t="n"/>
      <c r="V352" s="8" t="n"/>
      <c r="W352" s="7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15" t="n"/>
      <c r="AM352" s="16" t="n"/>
      <c r="AO352" s="44" t="n"/>
      <c r="AP352" s="44" t="n"/>
    </row>
    <row r="353" ht="15.5" customFormat="1" customHeight="1" s="1">
      <c r="A353" s="26" t="n"/>
      <c r="B353" s="7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7" t="n"/>
      <c r="R353" s="8" t="n"/>
      <c r="S353" s="8" t="n"/>
      <c r="T353" s="7" t="n"/>
      <c r="U353" s="8" t="n"/>
      <c r="V353" s="8" t="n"/>
      <c r="W353" s="7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15" t="n"/>
      <c r="AM353" s="16" t="n"/>
      <c r="AO353" s="44" t="n"/>
      <c r="AP353" s="44" t="n"/>
    </row>
    <row r="354" ht="15.5" customFormat="1" customHeight="1" s="1">
      <c r="A354" s="26" t="n"/>
      <c r="B354" s="7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7" t="n"/>
      <c r="R354" s="8" t="n"/>
      <c r="S354" s="8" t="n"/>
      <c r="T354" s="7" t="n"/>
      <c r="U354" s="8" t="n"/>
      <c r="V354" s="8" t="n"/>
      <c r="W354" s="7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15" t="n"/>
      <c r="AM354" s="16" t="n"/>
      <c r="AO354" s="44" t="n"/>
      <c r="AP354" s="44" t="n"/>
    </row>
    <row r="355" ht="15.5" customFormat="1" customHeight="1" s="1">
      <c r="A355" s="26" t="n"/>
      <c r="B355" s="7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7" t="n"/>
      <c r="R355" s="8" t="n"/>
      <c r="S355" s="8" t="n"/>
      <c r="T355" s="7" t="n"/>
      <c r="U355" s="8" t="n"/>
      <c r="V355" s="8" t="n"/>
      <c r="W355" s="7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15" t="n"/>
      <c r="AM355" s="16" t="n"/>
      <c r="AO355" s="44" t="n"/>
      <c r="AP355" s="44" t="n"/>
    </row>
    <row r="356" ht="15.5" customFormat="1" customHeight="1" s="1">
      <c r="A356" s="26" t="n"/>
      <c r="B356" s="7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7" t="n"/>
      <c r="R356" s="8" t="n"/>
      <c r="S356" s="8" t="n"/>
      <c r="T356" s="7" t="n"/>
      <c r="U356" s="8" t="n"/>
      <c r="V356" s="8" t="n"/>
      <c r="W356" s="7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15" t="n"/>
      <c r="AM356" s="16" t="n"/>
      <c r="AO356" s="44" t="n"/>
      <c r="AP356" s="44" t="n"/>
    </row>
    <row r="357" ht="15.5" customFormat="1" customHeight="1" s="1">
      <c r="A357" s="26" t="n"/>
      <c r="B357" s="7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7" t="n"/>
      <c r="R357" s="8" t="n"/>
      <c r="S357" s="8" t="n"/>
      <c r="T357" s="7" t="n"/>
      <c r="U357" s="8" t="n"/>
      <c r="V357" s="8" t="n"/>
      <c r="W357" s="7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15" t="n"/>
      <c r="AM357" s="16" t="n"/>
      <c r="AO357" s="44" t="n"/>
      <c r="AP357" s="44" t="n"/>
    </row>
    <row r="358" ht="15.5" customFormat="1" customHeight="1" s="1">
      <c r="A358" s="26" t="n"/>
      <c r="B358" s="7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7" t="n"/>
      <c r="R358" s="8" t="n"/>
      <c r="S358" s="8" t="n"/>
      <c r="T358" s="7" t="n"/>
      <c r="U358" s="8" t="n"/>
      <c r="V358" s="8" t="n"/>
      <c r="W358" s="7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15" t="n"/>
      <c r="AM358" s="16" t="n"/>
      <c r="AO358" s="44" t="n"/>
      <c r="AP358" s="44" t="n"/>
    </row>
    <row r="359" ht="15.5" customFormat="1" customHeight="1" s="1">
      <c r="A359" s="26" t="n"/>
      <c r="B359" s="7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7" t="n"/>
      <c r="R359" s="8" t="n"/>
      <c r="S359" s="8" t="n"/>
      <c r="T359" s="7" t="n"/>
      <c r="U359" s="8" t="n"/>
      <c r="V359" s="8" t="n"/>
      <c r="W359" s="7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15" t="n"/>
      <c r="AM359" s="16" t="n"/>
      <c r="AO359" s="44" t="n"/>
      <c r="AP359" s="44" t="n"/>
    </row>
    <row r="360" ht="15.5" customFormat="1" customHeight="1" s="1">
      <c r="A360" s="26" t="n"/>
      <c r="B360" s="7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7" t="n"/>
      <c r="R360" s="8" t="n"/>
      <c r="S360" s="8" t="n"/>
      <c r="T360" s="7" t="n"/>
      <c r="U360" s="8" t="n"/>
      <c r="V360" s="8" t="n"/>
      <c r="W360" s="7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15" t="n"/>
      <c r="AM360" s="16" t="n"/>
      <c r="AO360" s="44" t="n"/>
      <c r="AP360" s="44" t="n"/>
    </row>
    <row r="361" ht="15.5" customFormat="1" customHeight="1" s="1">
      <c r="A361" s="26" t="n"/>
      <c r="B361" s="7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7" t="n"/>
      <c r="R361" s="8" t="n"/>
      <c r="S361" s="8" t="n"/>
      <c r="T361" s="7" t="n"/>
      <c r="U361" s="8" t="n"/>
      <c r="V361" s="8" t="n"/>
      <c r="W361" s="7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15" t="n"/>
      <c r="AM361" s="16" t="n"/>
      <c r="AO361" s="44" t="n"/>
      <c r="AP361" s="44" t="n"/>
    </row>
    <row r="362" ht="15.5" customFormat="1" customHeight="1" s="1">
      <c r="A362" s="26" t="n"/>
      <c r="B362" s="7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7" t="n"/>
      <c r="R362" s="8" t="n"/>
      <c r="S362" s="8" t="n"/>
      <c r="T362" s="7" t="n"/>
      <c r="U362" s="8" t="n"/>
      <c r="V362" s="8" t="n"/>
      <c r="W362" s="7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15" t="n"/>
      <c r="AM362" s="16" t="n"/>
      <c r="AO362" s="44" t="n"/>
      <c r="AP362" s="44" t="n"/>
    </row>
    <row r="363" ht="15.5" customFormat="1" customHeight="1" s="1">
      <c r="A363" s="26" t="n"/>
      <c r="B363" s="7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7" t="n"/>
      <c r="R363" s="8" t="n"/>
      <c r="S363" s="8" t="n"/>
      <c r="T363" s="7" t="n"/>
      <c r="U363" s="8" t="n"/>
      <c r="V363" s="8" t="n"/>
      <c r="W363" s="7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15" t="n"/>
      <c r="AM363" s="16" t="n"/>
      <c r="AO363" s="44" t="n"/>
      <c r="AP363" s="44" t="n"/>
    </row>
  </sheetData>
  <mergeCells count="13">
    <mergeCell ref="Q1:R1"/>
    <mergeCell ref="AF1:AG1"/>
    <mergeCell ref="E1:F1"/>
    <mergeCell ref="K1:L1"/>
    <mergeCell ref="H1:I1"/>
    <mergeCell ref="T1:U1"/>
    <mergeCell ref="AL1:AM1"/>
    <mergeCell ref="W1:X1"/>
    <mergeCell ref="Z1:AA1"/>
    <mergeCell ref="AC1:AD1"/>
    <mergeCell ref="AI1:AJ1"/>
    <mergeCell ref="B1:C1"/>
    <mergeCell ref="N1:O1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362"/>
  <sheetViews>
    <sheetView showGridLines="0" zoomScale="55" zoomScaleNormal="55" workbookViewId="0">
      <pane xSplit="1" ySplit="4" topLeftCell="T5" activePane="bottomRight" state="frozen"/>
      <selection pane="topRight" activeCell="B1" sqref="B1"/>
      <selection pane="bottomLeft" activeCell="A5" sqref="A5"/>
      <selection pane="bottomRight" activeCell="AA12" sqref="AA12"/>
    </sheetView>
  </sheetViews>
  <sheetFormatPr baseColWidth="8" defaultColWidth="9.1796875" defaultRowHeight="14.5"/>
  <cols>
    <col width="51.54296875" bestFit="1" customWidth="1" style="4" min="1" max="1"/>
    <col width="14.453125" bestFit="1" customWidth="1" style="9" min="2" max="3"/>
    <col width="2.81640625" customWidth="1" style="9" min="4" max="4"/>
    <col width="14.453125" customWidth="1" style="9" min="5" max="6"/>
    <col width="2.81640625" customWidth="1" style="9" min="7" max="7"/>
    <col width="14.453125" customWidth="1" style="9" min="8" max="9"/>
    <col width="2.81640625" customWidth="1" style="9" min="10" max="10"/>
    <col width="14.453125" customWidth="1" style="9" min="11" max="11"/>
    <col width="16.453125" customWidth="1" style="9" min="12" max="12"/>
    <col width="2.81640625" customWidth="1" style="9" min="13" max="13"/>
    <col width="14.453125" customWidth="1" style="9" min="14" max="15"/>
    <col width="2.81640625" customWidth="1" style="9" min="16" max="16"/>
    <col width="14.453125" customWidth="1" style="9" min="17" max="18"/>
    <col width="2.81640625" customWidth="1" style="9" min="19" max="19"/>
    <col width="14.453125" customWidth="1" style="9" min="20" max="21"/>
    <col width="2.81640625" customWidth="1" style="9" min="22" max="22"/>
    <col width="14.453125" customWidth="1" style="9" min="23" max="24"/>
    <col width="2.81640625" customWidth="1" style="9" min="25" max="25"/>
    <col width="14.453125" customWidth="1" style="9" min="26" max="27"/>
    <col width="2.81640625" customWidth="1" style="9" min="28" max="28"/>
    <col hidden="1" width="15" customWidth="1" style="9" min="29" max="29"/>
    <col hidden="1" width="14.453125" customWidth="1" style="9" min="30" max="30"/>
    <col hidden="1" width="2.81640625" customWidth="1" style="9" min="31" max="31"/>
    <col hidden="1" width="14.453125" customWidth="1" style="9" min="32" max="33"/>
    <col hidden="1" width="2.81640625" customWidth="1" style="9" min="34" max="34"/>
    <col hidden="1" width="14.453125" customWidth="1" style="9" min="35" max="36"/>
    <col hidden="1" width="0.453125" customWidth="1" style="9" min="37" max="37"/>
    <col width="14.453125" bestFit="1" customWidth="1" style="9" min="38" max="38"/>
    <col width="10.453125" customWidth="1" style="6" min="39" max="39"/>
    <col width="9.1796875" customWidth="1" min="41" max="42"/>
    <col width="14.453125" bestFit="1" customWidth="1" min="43" max="43"/>
    <col width="13.26953125" bestFit="1" customWidth="1" min="44" max="44"/>
    <col width="11.453125" bestFit="1" customWidth="1" min="46" max="47"/>
  </cols>
  <sheetData>
    <row r="1" customFormat="1" s="42">
      <c r="A1" s="59">
        <f>Z1</f>
        <v/>
      </c>
      <c r="B1" s="463" t="inlineStr">
        <is>
          <t>OCAK</t>
        </is>
      </c>
      <c r="C1" s="464" t="n"/>
      <c r="D1" s="39" t="n"/>
      <c r="E1" s="463" t="inlineStr">
        <is>
          <t>ŞUBAT</t>
        </is>
      </c>
      <c r="F1" s="464" t="n"/>
      <c r="G1" s="39" t="n"/>
      <c r="H1" s="463" t="inlineStr">
        <is>
          <t>MART</t>
        </is>
      </c>
      <c r="I1" s="464" t="n"/>
      <c r="J1" s="39" t="n"/>
      <c r="K1" s="463" t="inlineStr">
        <is>
          <t>NİSAN</t>
        </is>
      </c>
      <c r="L1" s="464" t="n"/>
      <c r="M1" s="39" t="n"/>
      <c r="N1" s="463" t="inlineStr">
        <is>
          <t>MAYIS</t>
        </is>
      </c>
      <c r="O1" s="464" t="n"/>
      <c r="P1" s="39" t="n"/>
      <c r="Q1" s="463" t="inlineStr">
        <is>
          <t>HAZİRAN</t>
        </is>
      </c>
      <c r="R1" s="464" t="n"/>
      <c r="S1" s="39" t="n"/>
      <c r="T1" s="463" t="inlineStr">
        <is>
          <t>TEMMUZ</t>
        </is>
      </c>
      <c r="U1" s="464" t="n"/>
      <c r="V1" s="39" t="n"/>
      <c r="W1" s="463" t="inlineStr">
        <is>
          <t>AĞUSTOS</t>
        </is>
      </c>
      <c r="X1" s="464" t="n"/>
      <c r="Y1" s="39" t="n"/>
      <c r="Z1" s="463" t="inlineStr">
        <is>
          <t>EYLÜL</t>
        </is>
      </c>
      <c r="AA1" s="464" t="n"/>
      <c r="AB1" s="39" t="n"/>
      <c r="AC1" s="463" t="inlineStr">
        <is>
          <t>EKİM</t>
        </is>
      </c>
      <c r="AD1" s="464" t="n"/>
      <c r="AE1" s="39" t="n"/>
      <c r="AF1" s="463" t="inlineStr">
        <is>
          <t>KASIM</t>
        </is>
      </c>
      <c r="AG1" s="464" t="n"/>
      <c r="AH1" s="39" t="n"/>
      <c r="AI1" s="463" t="inlineStr">
        <is>
          <t>ARALIK</t>
        </is>
      </c>
      <c r="AJ1" s="464" t="n"/>
      <c r="AK1" s="39" t="n"/>
      <c r="AL1" s="448" t="n"/>
      <c r="AM1" s="464" t="n"/>
    </row>
    <row r="2" customFormat="1" s="1">
      <c r="A2" s="3" t="n"/>
      <c r="B2" s="11" t="inlineStr">
        <is>
          <t>Budget</t>
        </is>
      </c>
      <c r="C2" s="11" t="inlineStr">
        <is>
          <t>Actual</t>
        </is>
      </c>
      <c r="D2" s="8" t="n"/>
      <c r="E2" s="11" t="inlineStr">
        <is>
          <t>Budget</t>
        </is>
      </c>
      <c r="F2" s="11" t="inlineStr">
        <is>
          <t>Actual</t>
        </is>
      </c>
      <c r="G2" s="8" t="n"/>
      <c r="H2" s="11" t="inlineStr">
        <is>
          <t>Budget</t>
        </is>
      </c>
      <c r="I2" s="11" t="inlineStr">
        <is>
          <t>Actual</t>
        </is>
      </c>
      <c r="J2" s="8" t="n"/>
      <c r="K2" s="11" t="inlineStr">
        <is>
          <t>Budget</t>
        </is>
      </c>
      <c r="L2" s="11" t="inlineStr">
        <is>
          <t>Actual</t>
        </is>
      </c>
      <c r="M2" s="8" t="n"/>
      <c r="N2" s="11" t="inlineStr">
        <is>
          <t>Budget</t>
        </is>
      </c>
      <c r="O2" s="11" t="inlineStr">
        <is>
          <t>Actual</t>
        </is>
      </c>
      <c r="P2" s="8" t="n"/>
      <c r="Q2" s="11" t="inlineStr">
        <is>
          <t>Budget</t>
        </is>
      </c>
      <c r="R2" s="11" t="inlineStr">
        <is>
          <t>Actual</t>
        </is>
      </c>
      <c r="S2" s="8" t="n"/>
      <c r="T2" s="11" t="inlineStr">
        <is>
          <t>Budget</t>
        </is>
      </c>
      <c r="U2" s="11" t="inlineStr">
        <is>
          <t>Actual</t>
        </is>
      </c>
      <c r="V2" s="8" t="n"/>
      <c r="W2" s="11" t="inlineStr">
        <is>
          <t>Budget</t>
        </is>
      </c>
      <c r="X2" s="11" t="inlineStr">
        <is>
          <t>Actual</t>
        </is>
      </c>
      <c r="Y2" s="8" t="n"/>
      <c r="Z2" s="11" t="inlineStr">
        <is>
          <t>Budget</t>
        </is>
      </c>
      <c r="AA2" s="11" t="inlineStr">
        <is>
          <t>Actual</t>
        </is>
      </c>
      <c r="AB2" s="8" t="n"/>
      <c r="AC2" s="11" t="inlineStr">
        <is>
          <t>Budget</t>
        </is>
      </c>
      <c r="AD2" s="11" t="inlineStr">
        <is>
          <t>Actual</t>
        </is>
      </c>
      <c r="AE2" s="8" t="n"/>
      <c r="AF2" s="11" t="inlineStr">
        <is>
          <t>Budget</t>
        </is>
      </c>
      <c r="AG2" s="11" t="inlineStr">
        <is>
          <t>Actual</t>
        </is>
      </c>
      <c r="AH2" s="8" t="n"/>
      <c r="AI2" s="11" t="inlineStr">
        <is>
          <t>Budget</t>
        </is>
      </c>
      <c r="AJ2" s="11" t="inlineStr">
        <is>
          <t>Actual</t>
        </is>
      </c>
      <c r="AK2" s="8" t="n"/>
      <c r="AL2" s="11" t="inlineStr">
        <is>
          <t>Difference</t>
        </is>
      </c>
      <c r="AM2" s="11" t="inlineStr">
        <is>
          <t>Variance %</t>
        </is>
      </c>
      <c r="AO2" s="43" t="inlineStr">
        <is>
          <t>Budget</t>
        </is>
      </c>
      <c r="AP2" s="43" t="inlineStr">
        <is>
          <t>Actual</t>
        </is>
      </c>
    </row>
    <row r="3" ht="15.5" customHeight="1">
      <c r="A3" s="2" t="inlineStr">
        <is>
          <t>Eur Kapanış</t>
        </is>
      </c>
      <c r="B3" s="465">
        <f>'Bütçe aylık-TL'!$B$2</f>
        <v/>
      </c>
      <c r="C3" s="465">
        <f>'gerç aylık-tl'!$B$2</f>
        <v/>
      </c>
      <c r="D3" s="465" t="n"/>
      <c r="E3" s="465">
        <f>'Bütçe aylık-TL'!$C$2</f>
        <v/>
      </c>
      <c r="F3" s="465">
        <f>'gerç aylık-tl'!$C$2</f>
        <v/>
      </c>
      <c r="G3" s="465" t="n"/>
      <c r="H3" s="465">
        <f>'Bütçe aylık-TL'!$D$2</f>
        <v/>
      </c>
      <c r="I3" s="465">
        <f>'gerç aylık-tl'!$D$2</f>
        <v/>
      </c>
      <c r="J3" s="465" t="n"/>
      <c r="K3" s="465">
        <f>'Bütçe aylık-TL'!$E$2</f>
        <v/>
      </c>
      <c r="L3" s="465">
        <f>'gerç aylık-tl'!$E$2</f>
        <v/>
      </c>
      <c r="M3" s="465" t="n"/>
      <c r="N3" s="465">
        <f>'Bütçe aylık-TL'!$F$2</f>
        <v/>
      </c>
      <c r="O3" s="465">
        <f>'gerç aylık-tl'!$F$2</f>
        <v/>
      </c>
      <c r="P3" s="465" t="n"/>
      <c r="Q3" s="465">
        <f>'Bütçe aylık-TL'!$G$2</f>
        <v/>
      </c>
      <c r="R3" s="465">
        <f>'gerç aylık-tl'!$G$2</f>
        <v/>
      </c>
      <c r="S3" s="465" t="n"/>
      <c r="T3" s="465">
        <f>'Bütçe aylık-TL'!$H$2</f>
        <v/>
      </c>
      <c r="U3" s="465">
        <f>'gerç aylık-tl'!$H$2</f>
        <v/>
      </c>
      <c r="V3" s="465" t="n"/>
      <c r="W3" s="465">
        <f>'Bütçe aylık-TL'!$I$2</f>
        <v/>
      </c>
      <c r="X3" s="465">
        <f>'gerç aylık-tl'!$I$2</f>
        <v/>
      </c>
      <c r="Y3" s="465" t="n"/>
      <c r="Z3" s="465">
        <f>'Bütçe aylık-TL'!$J$2</f>
        <v/>
      </c>
      <c r="AA3" s="465">
        <f>'gerç aylık-tl'!$J$2</f>
        <v/>
      </c>
      <c r="AB3" s="465" t="n"/>
      <c r="AC3" s="465">
        <f>'Bütçe aylık-TL'!$K$2</f>
        <v/>
      </c>
      <c r="AD3" s="465">
        <f>'gerç aylık-tl'!$K$2</f>
        <v/>
      </c>
      <c r="AE3" s="465" t="n"/>
      <c r="AF3" s="465">
        <f>'Bütçe aylık-TL'!$L$2</f>
        <v/>
      </c>
      <c r="AG3" s="465">
        <f>'gerç aylık-tl'!$L$2</f>
        <v/>
      </c>
      <c r="AH3" s="465" t="n"/>
      <c r="AI3" s="465">
        <f>'Bütçe aylık-TL'!$M$2</f>
        <v/>
      </c>
      <c r="AJ3" s="465">
        <f>'gerç aylık-tl'!$M$2</f>
        <v/>
      </c>
      <c r="AK3" s="465" t="n"/>
      <c r="AL3" s="25">
        <f>AP3-AO3</f>
        <v/>
      </c>
      <c r="AM3" s="22">
        <f>AP3/AO3-1</f>
        <v/>
      </c>
      <c r="AO3" s="44">
        <f>IF($A$1=$B$1,B3,IF($A$1=$E$1,E3,IF($A$1=$H$1,H3,IF($A$1=$K$1,K3,IF($A$1=$N$1,N3,IF($A$1=$Q$1,Q3,IF($A$1=$T$1,T3,IF($A$1=$W$1,W3,IF($A$1=$Z$1,Z3,IF($A$1=$AC$1,AC3,IF($A$1=$AF$1,AF3,IF($A$1=$AI$1,AI3))))))))))))</f>
        <v/>
      </c>
      <c r="AP3" s="44">
        <f>IF($A$1=$B$1,C3,IF($A$1=$E$1,F3,IF($A$1=$H$1,I3,IF($A$1=$K$1,L3,IF($A$1=$N$1,O3,IF($A$1=$Q$1,R3,IF($A$1=$T$1,U3,IF($A$1=$W$1,X3,IF($A$1=$Z$1,AA3,IF($A$1=$AC$1,AD3,IF($A$1=$AF$1,AG3,IF($A$1=$AI$1,AJ3))))))))))))</f>
        <v/>
      </c>
    </row>
    <row r="4" ht="15.5" customHeight="1">
      <c r="A4" s="2" t="inlineStr">
        <is>
          <t>Eur Ortalama</t>
        </is>
      </c>
      <c r="B4" s="465">
        <f>'Bütçe aylık-TL'!$B$3</f>
        <v/>
      </c>
      <c r="C4" s="465">
        <f>'gerç aylık-tl'!$B$3</f>
        <v/>
      </c>
      <c r="D4" s="465" t="n"/>
      <c r="E4" s="465">
        <f>'Bütçe aylık-TL'!$C$3</f>
        <v/>
      </c>
      <c r="F4" s="465">
        <f>'gerç aylık-tl'!$C$3</f>
        <v/>
      </c>
      <c r="G4" s="465" t="n"/>
      <c r="H4" s="465">
        <f>'Bütçe aylık-TL'!$D$3</f>
        <v/>
      </c>
      <c r="I4" s="465">
        <f>'gerç aylık-tl'!$D$3</f>
        <v/>
      </c>
      <c r="J4" s="465" t="n"/>
      <c r="K4" s="465">
        <f>'Bütçe aylık-TL'!$E$3</f>
        <v/>
      </c>
      <c r="L4" s="465">
        <f>'gerç aylık-tl'!$E$3</f>
        <v/>
      </c>
      <c r="M4" s="465" t="n"/>
      <c r="N4" s="465">
        <f>'Bütçe aylık-TL'!$F$3</f>
        <v/>
      </c>
      <c r="O4" s="465">
        <f>'gerç aylık-tl'!$F$3</f>
        <v/>
      </c>
      <c r="P4" s="465" t="n"/>
      <c r="Q4" s="465">
        <f>'Bütçe aylık-TL'!$G$3</f>
        <v/>
      </c>
      <c r="R4" s="465">
        <f>'gerç aylık-tl'!$G$3</f>
        <v/>
      </c>
      <c r="S4" s="465" t="n"/>
      <c r="T4" s="465">
        <f>'Bütçe aylık-TL'!$H$3</f>
        <v/>
      </c>
      <c r="U4" s="465">
        <f>'gerç aylık-tl'!$H$3</f>
        <v/>
      </c>
      <c r="V4" s="465" t="n"/>
      <c r="W4" s="465">
        <f>'Bütçe aylık-TL'!$I$3</f>
        <v/>
      </c>
      <c r="X4" s="465">
        <f>'gerç aylık-tl'!$I$3</f>
        <v/>
      </c>
      <c r="Y4" s="465" t="n"/>
      <c r="Z4" s="465">
        <f>'Bütçe aylık-TL'!$J$3</f>
        <v/>
      </c>
      <c r="AA4" s="465">
        <f>'gerç aylık-tl'!$J$3</f>
        <v/>
      </c>
      <c r="AB4" s="465" t="n"/>
      <c r="AC4" s="465">
        <f>'Bütçe aylık-TL'!$K$3</f>
        <v/>
      </c>
      <c r="AD4" s="465">
        <f>'gerç aylık-tl'!$K$3</f>
        <v/>
      </c>
      <c r="AE4" s="465" t="n"/>
      <c r="AF4" s="465">
        <f>'Bütçe aylık-TL'!$L$3</f>
        <v/>
      </c>
      <c r="AG4" s="465">
        <f>'gerç aylık-tl'!$L$3</f>
        <v/>
      </c>
      <c r="AH4" s="465" t="n"/>
      <c r="AI4" s="465">
        <f>'Bütçe aylık-TL'!$M$3</f>
        <v/>
      </c>
      <c r="AJ4" s="465">
        <f>'gerç aylık-tl'!$M$3</f>
        <v/>
      </c>
      <c r="AK4" s="465" t="n"/>
      <c r="AL4" s="25">
        <f>AP4-AO4</f>
        <v/>
      </c>
      <c r="AM4" s="22">
        <f>AP4/AO4-1</f>
        <v/>
      </c>
      <c r="AO4" s="44">
        <f>IF($A$1=$B$1,B4,IF($A$1=$E$1,E4,IF($A$1=$H$1,H4,IF($A$1=$K$1,K4,IF($A$1=$N$1,N4,IF($A$1=$Q$1,Q4,IF($A$1=$T$1,T4,IF($A$1=$W$1,W4,IF($A$1=$Z$1,Z4,IF($A$1=$AC$1,AC4,IF($A$1=$AF$1,AF4,IF($A$1=$AI$1,AI4))))))))))))</f>
        <v/>
      </c>
      <c r="AP4" s="44">
        <f>IF($A$1=$B$1,C4,IF($A$1=$E$1,F4,IF($A$1=$H$1,I4,IF($A$1=$K$1,L4,IF($A$1=$N$1,O4,IF($A$1=$Q$1,R4,IF($A$1=$T$1,U4,IF($A$1=$W$1,X4,IF($A$1=$Z$1,AA4,IF($A$1=$AC$1,AD4,IF($A$1=$AF$1,AG4,IF($A$1=$AI$1,AJ4))))))))))))</f>
        <v/>
      </c>
    </row>
    <row r="5" ht="15.5" customHeight="1">
      <c r="A5" s="2" t="n"/>
      <c r="B5" s="465" t="n"/>
      <c r="C5" s="465" t="n"/>
      <c r="D5" s="465" t="n"/>
      <c r="E5" s="465" t="n"/>
      <c r="F5" s="465" t="n"/>
      <c r="G5" s="465" t="n"/>
      <c r="H5" s="465" t="n"/>
      <c r="I5" s="465" t="n"/>
      <c r="J5" s="465" t="n"/>
      <c r="K5" s="465" t="n"/>
      <c r="L5" s="465" t="n"/>
      <c r="M5" s="465" t="n"/>
      <c r="N5" s="465" t="n"/>
      <c r="O5" s="465" t="n"/>
      <c r="P5" s="465" t="n"/>
      <c r="Q5" s="465" t="n"/>
      <c r="R5" s="465" t="n"/>
      <c r="S5" s="465" t="n"/>
      <c r="T5" s="465" t="n"/>
      <c r="U5" s="465" t="n"/>
      <c r="V5" s="465" t="n"/>
      <c r="W5" s="465" t="n"/>
      <c r="X5" s="465" t="n"/>
      <c r="Y5" s="465" t="n"/>
      <c r="Z5" s="465" t="n"/>
      <c r="AA5" s="465" t="n"/>
      <c r="AB5" s="465" t="n"/>
      <c r="AC5" s="465" t="n"/>
      <c r="AD5" s="465" t="n"/>
      <c r="AE5" s="465" t="n"/>
      <c r="AF5" s="465" t="n"/>
      <c r="AG5" s="465" t="n"/>
      <c r="AH5" s="465" t="n"/>
      <c r="AI5" s="465" t="n"/>
      <c r="AJ5" s="465" t="n"/>
      <c r="AK5" s="5" t="n"/>
      <c r="AL5" s="25" t="n"/>
      <c r="AM5" s="22" t="n"/>
      <c r="AO5" s="44" t="n"/>
      <c r="AP5" s="44" t="n"/>
    </row>
    <row r="6" ht="15.5" customFormat="1" customHeight="1" s="44">
      <c r="A6" s="31" t="inlineStr">
        <is>
          <t>Net Sales</t>
        </is>
      </c>
      <c r="B6" s="32">
        <f>'Bütçe aylık-TL'!$B$4</f>
        <v/>
      </c>
      <c r="C6" s="32">
        <f>'gerç aylık-tl'!$B$4</f>
        <v/>
      </c>
      <c r="D6" s="18" t="n"/>
      <c r="E6" s="32">
        <f>'Bütçe aylık-TL'!$C$4</f>
        <v/>
      </c>
      <c r="F6" s="32">
        <f>'gerç aylık-tl'!$C$4</f>
        <v/>
      </c>
      <c r="G6" s="18" t="n"/>
      <c r="H6" s="32">
        <f>'Bütçe aylık-TL'!$D$4</f>
        <v/>
      </c>
      <c r="I6" s="32">
        <f>'gerç aylık-tl'!$D$4</f>
        <v/>
      </c>
      <c r="J6" s="18" t="n"/>
      <c r="K6" s="32">
        <f>'Bütçe aylık-TL'!$E$4</f>
        <v/>
      </c>
      <c r="L6" s="32">
        <f>'gerç aylık-tl'!$E$4</f>
        <v/>
      </c>
      <c r="M6" s="18" t="n"/>
      <c r="N6" s="32">
        <f>'Bütçe aylık-TL'!$F$4</f>
        <v/>
      </c>
      <c r="O6" s="32">
        <f>'gerç aylık-tl'!$F$4</f>
        <v/>
      </c>
      <c r="P6" s="18" t="n"/>
      <c r="Q6" s="32">
        <f>'Bütçe aylık-TL'!$G$4</f>
        <v/>
      </c>
      <c r="R6" s="32">
        <f>'gerç aylık-tl'!$G$4</f>
        <v/>
      </c>
      <c r="S6" s="18" t="n"/>
      <c r="T6" s="32">
        <f>'Bütçe aylık-TL'!$H$4</f>
        <v/>
      </c>
      <c r="U6" s="32">
        <f>'gerç aylık-tl'!$H$4</f>
        <v/>
      </c>
      <c r="V6" s="18" t="n"/>
      <c r="W6" s="32">
        <f>'Bütçe aylık-TL'!$I$4</f>
        <v/>
      </c>
      <c r="X6" s="32">
        <f>'gerç aylık-tl'!$I$4</f>
        <v/>
      </c>
      <c r="Y6" s="18" t="n"/>
      <c r="Z6" s="32">
        <f>'Bütçe aylık-TL'!$J$4</f>
        <v/>
      </c>
      <c r="AA6" s="32">
        <f>'gerç aylık-tl'!$J$4</f>
        <v/>
      </c>
      <c r="AB6" s="18" t="n"/>
      <c r="AC6" s="32">
        <f>'Bütçe aylık-TL'!$K$4</f>
        <v/>
      </c>
      <c r="AD6" s="32">
        <f>'gerç aylık-tl'!$K$4</f>
        <v/>
      </c>
      <c r="AE6" s="18" t="n"/>
      <c r="AF6" s="32">
        <f>'Bütçe aylık-TL'!$L$4</f>
        <v/>
      </c>
      <c r="AG6" s="32">
        <f>'gerç aylık-tl'!$L$4</f>
        <v/>
      </c>
      <c r="AH6" s="18" t="n"/>
      <c r="AI6" s="32">
        <f>'Bütçe aylık-TL'!$M$4</f>
        <v/>
      </c>
      <c r="AJ6" s="32">
        <f>'gerç aylık-tl'!$M$4</f>
        <v/>
      </c>
      <c r="AK6" s="18" t="n"/>
      <c r="AL6" s="33">
        <f>AP6-AO6</f>
        <v/>
      </c>
      <c r="AM6" s="34">
        <f>AP6/AO6-1</f>
        <v/>
      </c>
      <c r="AO6" s="44">
        <f>IF($A$1=$B$1,B6,IF($A$1=$E$1,E6,IF($A$1=$H$1,H6,IF($A$1=$K$1,K6,IF($A$1=$N$1,N6,IF($A$1=$Q$1,Q6,IF($A$1=$T$1,T6,IF($A$1=$W$1,W6,IF($A$1=$Z$1,Z6,IF($A$1=$AC$1,AC6,IF($A$1=$AF$1,AF6,IF($A$1=$AI$1,AI6))))))))))))</f>
        <v/>
      </c>
      <c r="AP6" s="44">
        <f>IF($A$1=$B$1,C6,IF($A$1=$E$1,F6,IF($A$1=$H$1,I6,IF($A$1=$K$1,L6,IF($A$1=$N$1,O6,IF($A$1=$Q$1,R6,IF($A$1=$T$1,U6,IF($A$1=$W$1,X6,IF($A$1=$Z$1,AA6,IF($A$1=$AC$1,AD6,IF($A$1=$AF$1,AG6,IF($A$1=$AI$1,AJ6))))))))))))</f>
        <v/>
      </c>
    </row>
    <row r="7" ht="15.5" customFormat="1" customHeight="1" s="46">
      <c r="A7" s="17" t="n"/>
      <c r="B7" s="28" t="n"/>
      <c r="C7" s="28" t="n"/>
      <c r="D7" s="40" t="n"/>
      <c r="E7" s="28" t="n"/>
      <c r="F7" s="28" t="n"/>
      <c r="G7" s="40" t="n"/>
      <c r="H7" s="28" t="n"/>
      <c r="I7" s="28" t="n"/>
      <c r="J7" s="40" t="n"/>
      <c r="K7" s="28" t="n"/>
      <c r="L7" s="28" t="n"/>
      <c r="M7" s="40" t="n"/>
      <c r="N7" s="28" t="n"/>
      <c r="O7" s="28" t="n"/>
      <c r="P7" s="40" t="n"/>
      <c r="Q7" s="28" t="n"/>
      <c r="R7" s="28" t="n"/>
      <c r="S7" s="40" t="n"/>
      <c r="T7" s="28" t="n"/>
      <c r="U7" s="28" t="n"/>
      <c r="V7" s="40" t="n"/>
      <c r="W7" s="28" t="n"/>
      <c r="X7" s="28" t="n"/>
      <c r="Y7" s="40" t="n"/>
      <c r="Z7" s="28" t="n"/>
      <c r="AA7" s="28" t="n"/>
      <c r="AB7" s="40" t="n"/>
      <c r="AC7" s="28" t="n"/>
      <c r="AD7" s="28" t="n"/>
      <c r="AE7" s="40" t="n"/>
      <c r="AF7" s="28" t="n"/>
      <c r="AG7" s="28" t="n"/>
      <c r="AH7" s="40" t="n"/>
      <c r="AI7" s="28" t="n"/>
      <c r="AJ7" s="28" t="n"/>
      <c r="AK7" s="40" t="n"/>
      <c r="AL7" s="21" t="n"/>
      <c r="AM7" s="22" t="n"/>
      <c r="AO7" s="44" t="n"/>
      <c r="AP7" s="44" t="n"/>
    </row>
    <row r="8" ht="17" customFormat="1" customHeight="1" s="51">
      <c r="A8" s="47" t="inlineStr">
        <is>
          <t>SALES BY CHANNELS(100% Satışlar)</t>
        </is>
      </c>
      <c r="B8" s="411" t="n"/>
      <c r="C8" s="412" t="n"/>
      <c r="D8" s="411" t="n"/>
      <c r="E8" s="411" t="n"/>
      <c r="F8" s="412" t="n"/>
      <c r="G8" s="411" t="n"/>
      <c r="H8" s="411" t="n"/>
      <c r="I8" s="412" t="n"/>
      <c r="J8" s="411" t="n"/>
      <c r="K8" s="411" t="n"/>
      <c r="L8" s="412" t="n"/>
      <c r="M8" s="411" t="n"/>
      <c r="N8" s="411" t="n"/>
      <c r="O8" s="412" t="n"/>
      <c r="P8" s="411" t="n"/>
      <c r="Q8" s="411" t="n"/>
      <c r="R8" s="412" t="n"/>
      <c r="S8" s="411" t="n"/>
      <c r="T8" s="411" t="n"/>
      <c r="U8" s="412" t="n"/>
      <c r="V8" s="411" t="n"/>
      <c r="W8" s="411" t="n"/>
      <c r="X8" s="412" t="n"/>
      <c r="Y8" s="411" t="n"/>
      <c r="Z8" s="411" t="n"/>
      <c r="AA8" s="412" t="n"/>
      <c r="AB8" s="411" t="n"/>
      <c r="AC8" s="411" t="n"/>
      <c r="AD8" s="412" t="n"/>
      <c r="AE8" s="411" t="n"/>
      <c r="AF8" s="411" t="n"/>
      <c r="AG8" s="412" t="n"/>
      <c r="AH8" s="411" t="n"/>
      <c r="AI8" s="411" t="n"/>
      <c r="AJ8" s="412" t="n"/>
      <c r="AK8" s="411" t="n"/>
      <c r="AL8" s="411" t="n"/>
      <c r="AM8" s="50" t="n"/>
    </row>
    <row r="9" ht="15.5" customHeight="1">
      <c r="A9" s="26" t="inlineStr">
        <is>
          <t xml:space="preserve">İnci Holding </t>
        </is>
      </c>
      <c r="B9" s="14">
        <f>'Bütçe aylık-TL'!$B$5</f>
        <v/>
      </c>
      <c r="C9" s="14">
        <f>'gerç aylık-tl'!$B$5</f>
        <v/>
      </c>
      <c r="D9" s="14" t="n"/>
      <c r="E9" s="14">
        <f>'Bütçe aylık-TL'!$C$5</f>
        <v/>
      </c>
      <c r="F9" s="14">
        <f>'gerç aylık-tl'!$C$5</f>
        <v/>
      </c>
      <c r="G9" s="14" t="n"/>
      <c r="H9" s="14">
        <f>'Bütçe aylık-TL'!$D$5</f>
        <v/>
      </c>
      <c r="I9" s="14">
        <f>'gerç aylık-tl'!$D$5</f>
        <v/>
      </c>
      <c r="J9" s="14" t="n"/>
      <c r="K9" s="14">
        <f>'Bütçe aylık-TL'!$E$5</f>
        <v/>
      </c>
      <c r="L9" s="14">
        <f>'gerç aylık-tl'!$E$5</f>
        <v/>
      </c>
      <c r="M9" s="14" t="n"/>
      <c r="N9" s="14">
        <f>'Bütçe aylık-TL'!$F$5</f>
        <v/>
      </c>
      <c r="O9" s="14">
        <f>'gerç aylık-tl'!$F$5</f>
        <v/>
      </c>
      <c r="P9" s="14" t="n"/>
      <c r="Q9" s="14">
        <f>'Bütçe aylık-TL'!$G$5</f>
        <v/>
      </c>
      <c r="R9" s="14">
        <f>'gerç aylık-tl'!$G$5</f>
        <v/>
      </c>
      <c r="S9" s="14" t="n"/>
      <c r="T9" s="14">
        <f>'Bütçe aylık-TL'!$H$5</f>
        <v/>
      </c>
      <c r="U9" s="14">
        <f>'gerç aylık-tl'!$H$5</f>
        <v/>
      </c>
      <c r="V9" s="14" t="n"/>
      <c r="W9" s="14">
        <f>'Bütçe aylık-TL'!$I$5</f>
        <v/>
      </c>
      <c r="X9" s="14">
        <f>'gerç aylık-tl'!$I$5</f>
        <v/>
      </c>
      <c r="Y9" s="14" t="n"/>
      <c r="Z9" s="14">
        <f>'Bütçe aylık-TL'!$J$5</f>
        <v/>
      </c>
      <c r="AA9" s="14">
        <f>'gerç aylık-tl'!$J$5</f>
        <v/>
      </c>
      <c r="AB9" s="14" t="n"/>
      <c r="AC9" s="14">
        <f>'Bütçe aylık-TL'!$K$5</f>
        <v/>
      </c>
      <c r="AD9" s="14">
        <f>'gerç aylık-tl'!$K$5</f>
        <v/>
      </c>
      <c r="AE9" s="14" t="n"/>
      <c r="AF9" s="14">
        <f>'Bütçe aylık-TL'!$L$5</f>
        <v/>
      </c>
      <c r="AG9" s="14">
        <f>'gerç aylık-tl'!$L$5</f>
        <v/>
      </c>
      <c r="AH9" s="14" t="n"/>
      <c r="AI9" s="14">
        <f>'Bütçe aylık-TL'!$M$5</f>
        <v/>
      </c>
      <c r="AJ9" s="14">
        <f>'gerç aylık-tl'!$M$5</f>
        <v/>
      </c>
      <c r="AK9" s="14" t="n"/>
      <c r="AL9" s="21">
        <f>AP9-AO9</f>
        <v/>
      </c>
      <c r="AM9" s="22">
        <f>AP9/AO9-1</f>
        <v/>
      </c>
      <c r="AO9" s="44">
        <f>IF($A$1=$B$1,B9,IF($A$1=$E$1,E9,IF($A$1=$H$1,H9,IF($A$1=$K$1,K9,IF($A$1=$N$1,N9,IF($A$1=$Q$1,Q9,IF($A$1=$T$1,T9,IF($A$1=$W$1,W9,IF($A$1=$Z$1,Z9,IF($A$1=$AC$1,AC9,IF($A$1=$AF$1,AF9,IF($A$1=$AI$1,AI9))))))))))))</f>
        <v/>
      </c>
      <c r="AP9" s="44">
        <f>IF($A$1=$B$1,C9,IF($A$1=$E$1,F9,IF($A$1=$H$1,I9,IF($A$1=$K$1,L9,IF($A$1=$N$1,O9,IF($A$1=$Q$1,R9,IF($A$1=$T$1,U9,IF($A$1=$W$1,X9,IF($A$1=$Z$1,AA9,IF($A$1=$AC$1,AD9,IF($A$1=$AF$1,AG9,IF($A$1=$AI$1,AJ9))))))))))))</f>
        <v/>
      </c>
    </row>
    <row r="10" ht="15.5" customHeight="1">
      <c r="A10" s="26" t="inlineStr">
        <is>
          <t xml:space="preserve">ISM </t>
        </is>
      </c>
      <c r="B10" s="7">
        <f>'Bütçe aylık-TL'!$B$6</f>
        <v/>
      </c>
      <c r="C10" s="14">
        <f>'gerç aylık-tl'!$B$6</f>
        <v/>
      </c>
      <c r="D10" s="7" t="n"/>
      <c r="E10" s="7">
        <f>'Bütçe aylık-TL'!$C$6</f>
        <v/>
      </c>
      <c r="F10" s="14">
        <f>'gerç aylık-tl'!$C$6</f>
        <v/>
      </c>
      <c r="G10" s="7" t="n"/>
      <c r="H10" s="7">
        <f>'Bütçe aylık-TL'!$D$6</f>
        <v/>
      </c>
      <c r="I10" s="14">
        <f>'gerç aylık-tl'!$D$6</f>
        <v/>
      </c>
      <c r="J10" s="7" t="n"/>
      <c r="K10" s="7">
        <f>'Bütçe aylık-TL'!$E$6</f>
        <v/>
      </c>
      <c r="L10" s="14">
        <f>'gerç aylık-tl'!$E$6</f>
        <v/>
      </c>
      <c r="M10" s="7" t="n"/>
      <c r="N10" s="7">
        <f>'Bütçe aylık-TL'!$F$6</f>
        <v/>
      </c>
      <c r="O10" s="14">
        <f>'gerç aylık-tl'!$F$6</f>
        <v/>
      </c>
      <c r="P10" s="7" t="n"/>
      <c r="Q10" s="7">
        <f>'Bütçe aylık-TL'!$G$6</f>
        <v/>
      </c>
      <c r="R10" s="14">
        <f>'gerç aylık-tl'!$G$6</f>
        <v/>
      </c>
      <c r="S10" s="7" t="n"/>
      <c r="T10" s="7">
        <f>'Bütçe aylık-TL'!$H$6</f>
        <v/>
      </c>
      <c r="U10" s="14">
        <f>'gerç aylık-tl'!$H$6</f>
        <v/>
      </c>
      <c r="V10" s="7" t="n"/>
      <c r="W10" s="7">
        <f>'Bütçe aylık-TL'!$I$6</f>
        <v/>
      </c>
      <c r="X10" s="14">
        <f>'gerç aylık-tl'!$I$6</f>
        <v/>
      </c>
      <c r="Y10" s="7" t="n"/>
      <c r="Z10" s="7">
        <f>'Bütçe aylık-TL'!$J$6</f>
        <v/>
      </c>
      <c r="AA10" s="14">
        <f>'gerç aylık-tl'!$J$6</f>
        <v/>
      </c>
      <c r="AB10" s="7" t="n"/>
      <c r="AC10" s="7">
        <f>'Bütçe aylık-TL'!$K$6</f>
        <v/>
      </c>
      <c r="AD10" s="14">
        <f>'gerç aylık-tl'!$K$6</f>
        <v/>
      </c>
      <c r="AE10" s="7" t="n"/>
      <c r="AF10" s="7">
        <f>'Bütçe aylık-TL'!$L$6</f>
        <v/>
      </c>
      <c r="AG10" s="14">
        <f>'gerç aylık-tl'!$L$6</f>
        <v/>
      </c>
      <c r="AH10" s="7" t="n"/>
      <c r="AI10" s="7">
        <f>'Bütçe aylık-TL'!$M$6</f>
        <v/>
      </c>
      <c r="AJ10" s="14">
        <f>'gerç aylık-tl'!$M$6</f>
        <v/>
      </c>
      <c r="AK10" s="7" t="n"/>
      <c r="AL10" s="21">
        <f>AP10-AO10</f>
        <v/>
      </c>
      <c r="AM10" s="22">
        <f>AP10/AO10-1</f>
        <v/>
      </c>
      <c r="AO10" s="44">
        <f>IF($A$1=$B$1,B10,IF($A$1=$E$1,E10,IF($A$1=$H$1,H10,IF($A$1=$K$1,K10,IF($A$1=$N$1,N10,IF($A$1=$Q$1,Q10,IF($A$1=$T$1,T10,IF($A$1=$W$1,W10,IF($A$1=$Z$1,Z10,IF($A$1=$AC$1,AC10,IF($A$1=$AF$1,AF10,IF($A$1=$AI$1,AI10))))))))))))</f>
        <v/>
      </c>
      <c r="AP10" s="44">
        <f>IF($A$1=$B$1,C10,IF($A$1=$E$1,F10,IF($A$1=$H$1,I10,IF($A$1=$K$1,L10,IF($A$1=$N$1,O10,IF($A$1=$Q$1,R10,IF($A$1=$T$1,U10,IF($A$1=$W$1,X10,IF($A$1=$Z$1,AA10,IF($A$1=$AC$1,AD10,IF($A$1=$AF$1,AG10,IF($A$1=$AI$1,AJ10))))))))))))</f>
        <v/>
      </c>
    </row>
    <row r="11" ht="15.5" customHeight="1">
      <c r="A11" s="26" t="inlineStr">
        <is>
          <t>İncitaş</t>
        </is>
      </c>
      <c r="B11" s="7">
        <f>'Bütçe aylık-TL'!$B$7</f>
        <v/>
      </c>
      <c r="C11" s="14">
        <f>'gerç aylık-tl'!$B$7</f>
        <v/>
      </c>
      <c r="D11" s="7" t="n"/>
      <c r="E11" s="7">
        <f>'Bütçe aylık-TL'!$C$7</f>
        <v/>
      </c>
      <c r="F11" s="14">
        <f>'gerç aylık-tl'!$C$7</f>
        <v/>
      </c>
      <c r="G11" s="7" t="n"/>
      <c r="H11" s="7">
        <f>'Bütçe aylık-TL'!$D$7</f>
        <v/>
      </c>
      <c r="I11" s="14">
        <f>'gerç aylık-tl'!$D$7</f>
        <v/>
      </c>
      <c r="J11" s="7" t="n"/>
      <c r="K11" s="7">
        <f>'Bütçe aylık-TL'!$E$7</f>
        <v/>
      </c>
      <c r="L11" s="14">
        <f>'gerç aylık-tl'!$E$7</f>
        <v/>
      </c>
      <c r="M11" s="7" t="n"/>
      <c r="N11" s="7">
        <f>'Bütçe aylık-TL'!$F$7</f>
        <v/>
      </c>
      <c r="O11" s="14">
        <f>'gerç aylık-tl'!$F$7</f>
        <v/>
      </c>
      <c r="P11" s="7" t="n"/>
      <c r="Q11" s="7">
        <f>'Bütçe aylık-TL'!$G$7</f>
        <v/>
      </c>
      <c r="R11" s="14">
        <f>'gerç aylık-tl'!$G$7</f>
        <v/>
      </c>
      <c r="S11" s="7" t="n"/>
      <c r="T11" s="7">
        <f>'Bütçe aylık-TL'!$H$7</f>
        <v/>
      </c>
      <c r="U11" s="14">
        <f>'gerç aylık-tl'!$H$7</f>
        <v/>
      </c>
      <c r="V11" s="7" t="n"/>
      <c r="W11" s="7">
        <f>'Bütçe aylık-TL'!$I$7</f>
        <v/>
      </c>
      <c r="X11" s="14">
        <f>'gerç aylık-tl'!$I$7</f>
        <v/>
      </c>
      <c r="Y11" s="7" t="n"/>
      <c r="Z11" s="7">
        <f>'Bütçe aylık-TL'!$J$7</f>
        <v/>
      </c>
      <c r="AA11" s="14">
        <f>'gerç aylık-tl'!$J$7</f>
        <v/>
      </c>
      <c r="AB11" s="7" t="n"/>
      <c r="AC11" s="7">
        <f>'Bütçe aylık-TL'!$K$7</f>
        <v/>
      </c>
      <c r="AD11" s="14">
        <f>'gerç aylık-tl'!$K$7</f>
        <v/>
      </c>
      <c r="AE11" s="7" t="n"/>
      <c r="AF11" s="7">
        <f>'Bütçe aylık-TL'!$L$7</f>
        <v/>
      </c>
      <c r="AG11" s="14">
        <f>'gerç aylık-tl'!$L$7</f>
        <v/>
      </c>
      <c r="AH11" s="7" t="n"/>
      <c r="AI11" s="7">
        <f>'Bütçe aylık-TL'!$M$7</f>
        <v/>
      </c>
      <c r="AJ11" s="14">
        <f>'gerç aylık-tl'!$M$7</f>
        <v/>
      </c>
      <c r="AK11" s="7" t="n"/>
      <c r="AL11" s="21">
        <f>AP11-AO11</f>
        <v/>
      </c>
      <c r="AM11" s="22">
        <f>AP11/AO11-1</f>
        <v/>
      </c>
      <c r="AO11" s="44">
        <f>IF($A$1=$B$1,B11,IF($A$1=$E$1,E11,IF($A$1=$H$1,H11,IF($A$1=$K$1,K11,IF($A$1=$N$1,N11,IF($A$1=$Q$1,Q11,IF($A$1=$T$1,T11,IF($A$1=$W$1,W11,IF($A$1=$Z$1,Z11,IF($A$1=$AC$1,AC11,IF($A$1=$AF$1,AF11,IF($A$1=$AI$1,AI11))))))))))))</f>
        <v/>
      </c>
      <c r="AP11" s="44">
        <f>IF($A$1=$B$1,C11,IF($A$1=$E$1,F11,IF($A$1=$H$1,I11,IF($A$1=$K$1,L11,IF($A$1=$N$1,O11,IF($A$1=$Q$1,R11,IF($A$1=$T$1,U11,IF($A$1=$W$1,X11,IF($A$1=$Z$1,AA11,IF($A$1=$AC$1,AD11,IF($A$1=$AF$1,AG11,IF($A$1=$AI$1,AJ11))))))))))))</f>
        <v/>
      </c>
    </row>
    <row r="12" ht="15.5" customHeight="1">
      <c r="A12" s="26" t="inlineStr">
        <is>
          <t>İnci GS Yuasa</t>
        </is>
      </c>
      <c r="B12" s="7">
        <f>'Bütçe aylık-TL'!$B$8</f>
        <v/>
      </c>
      <c r="C12" s="14">
        <f>'gerç aylık-tl'!$B$8</f>
        <v/>
      </c>
      <c r="D12" s="7" t="n"/>
      <c r="E12" s="7">
        <f>'Bütçe aylık-TL'!$C$8</f>
        <v/>
      </c>
      <c r="F12" s="14">
        <f>'gerç aylık-tl'!$C$8</f>
        <v/>
      </c>
      <c r="G12" s="7" t="n"/>
      <c r="H12" s="7">
        <f>'Bütçe aylık-TL'!$D$8</f>
        <v/>
      </c>
      <c r="I12" s="14">
        <f>'gerç aylık-tl'!$D$8</f>
        <v/>
      </c>
      <c r="J12" s="7" t="n"/>
      <c r="K12" s="7">
        <f>'Bütçe aylık-TL'!$E$8</f>
        <v/>
      </c>
      <c r="L12" s="14">
        <f>'gerç aylık-tl'!$E$8</f>
        <v/>
      </c>
      <c r="M12" s="7" t="n"/>
      <c r="N12" s="7">
        <f>'Bütçe aylık-TL'!$F$8</f>
        <v/>
      </c>
      <c r="O12" s="14">
        <f>'gerç aylık-tl'!$F$8</f>
        <v/>
      </c>
      <c r="P12" s="7" t="n"/>
      <c r="Q12" s="7">
        <f>'Bütçe aylık-TL'!$G$8</f>
        <v/>
      </c>
      <c r="R12" s="14">
        <f>'gerç aylık-tl'!$G$8</f>
        <v/>
      </c>
      <c r="S12" s="7" t="n"/>
      <c r="T12" s="7">
        <f>'Bütçe aylık-TL'!$H$8</f>
        <v/>
      </c>
      <c r="U12" s="14">
        <f>'gerç aylık-tl'!$H$8</f>
        <v/>
      </c>
      <c r="V12" s="7" t="n"/>
      <c r="W12" s="7">
        <f>'Bütçe aylık-TL'!$I$8</f>
        <v/>
      </c>
      <c r="X12" s="14">
        <f>'gerç aylık-tl'!$I$8</f>
        <v/>
      </c>
      <c r="Y12" s="7" t="n"/>
      <c r="Z12" s="7">
        <f>'Bütçe aylık-TL'!$J$8</f>
        <v/>
      </c>
      <c r="AA12" s="14">
        <f>'gerç aylık-tl'!$J$8</f>
        <v/>
      </c>
      <c r="AB12" s="7" t="n"/>
      <c r="AC12" s="7">
        <f>'Bütçe aylık-TL'!$K$8</f>
        <v/>
      </c>
      <c r="AD12" s="14">
        <f>'gerç aylık-tl'!$K$8</f>
        <v/>
      </c>
      <c r="AE12" s="7" t="n"/>
      <c r="AF12" s="7">
        <f>'Bütçe aylık-TL'!$L$8</f>
        <v/>
      </c>
      <c r="AG12" s="14">
        <f>'gerç aylık-tl'!$L$8</f>
        <v/>
      </c>
      <c r="AH12" s="7" t="n"/>
      <c r="AI12" s="7">
        <f>'Bütçe aylık-TL'!$M$8</f>
        <v/>
      </c>
      <c r="AJ12" s="14">
        <f>'gerç aylık-tl'!$M$8</f>
        <v/>
      </c>
      <c r="AK12" s="7" t="n"/>
      <c r="AL12" s="21">
        <f>AP12-AO12</f>
        <v/>
      </c>
      <c r="AM12" s="22">
        <f>AP12/AO12-1</f>
        <v/>
      </c>
      <c r="AO12" s="44">
        <f>IF($A$1=$B$1,B12,IF($A$1=$E$1,E12,IF($A$1=$H$1,H12,IF($A$1=$K$1,K12,IF($A$1=$N$1,N12,IF($A$1=$Q$1,Q12,IF($A$1=$T$1,T12,IF($A$1=$W$1,W12,IF($A$1=$Z$1,Z12,IF($A$1=$AC$1,AC12,IF($A$1=$AF$1,AF12,IF($A$1=$AI$1,AI12))))))))))))</f>
        <v/>
      </c>
      <c r="AP12" s="44">
        <f>IF($A$1=$B$1,C12,IF($A$1=$E$1,F12,IF($A$1=$H$1,I12,IF($A$1=$K$1,L12,IF($A$1=$N$1,O12,IF($A$1=$Q$1,R12,IF($A$1=$T$1,U12,IF($A$1=$W$1,X12,IF($A$1=$Z$1,AA12,IF($A$1=$AC$1,AD12,IF($A$1=$AF$1,AG12,IF($A$1=$AI$1,AJ12))))))))))))</f>
        <v/>
      </c>
    </row>
    <row r="13" ht="15.5" customFormat="1" customHeight="1" s="1">
      <c r="A13" s="26" t="inlineStr">
        <is>
          <t>Yusen İnci Loj.</t>
        </is>
      </c>
      <c r="B13" s="7">
        <f>'Bütçe aylık-TL'!$B$9</f>
        <v/>
      </c>
      <c r="C13" s="14">
        <f>'gerç aylık-tl'!$B$9</f>
        <v/>
      </c>
      <c r="D13" s="8" t="n"/>
      <c r="E13" s="7">
        <f>'Bütçe aylık-TL'!$C$9</f>
        <v/>
      </c>
      <c r="F13" s="14">
        <f>'gerç aylık-tl'!$C$9</f>
        <v/>
      </c>
      <c r="G13" s="8" t="n"/>
      <c r="H13" s="7">
        <f>'Bütçe aylık-TL'!$D$9</f>
        <v/>
      </c>
      <c r="I13" s="14">
        <f>'gerç aylık-tl'!$D$9</f>
        <v/>
      </c>
      <c r="J13" s="8" t="n"/>
      <c r="K13" s="7">
        <f>'Bütçe aylık-TL'!$E$9</f>
        <v/>
      </c>
      <c r="L13" s="14">
        <f>'gerç aylık-tl'!$E$9</f>
        <v/>
      </c>
      <c r="M13" s="8" t="n"/>
      <c r="N13" s="7">
        <f>'Bütçe aylık-TL'!$F$9</f>
        <v/>
      </c>
      <c r="O13" s="14">
        <f>'gerç aylık-tl'!$F$9</f>
        <v/>
      </c>
      <c r="P13" s="8" t="n"/>
      <c r="Q13" s="7">
        <f>'Bütçe aylık-TL'!$G$9</f>
        <v/>
      </c>
      <c r="R13" s="14">
        <f>'gerç aylık-tl'!$G$9</f>
        <v/>
      </c>
      <c r="S13" s="8" t="n"/>
      <c r="T13" s="7">
        <f>'Bütçe aylık-TL'!$H$9</f>
        <v/>
      </c>
      <c r="U13" s="14">
        <f>'gerç aylık-tl'!$H$9</f>
        <v/>
      </c>
      <c r="V13" s="8" t="n"/>
      <c r="W13" s="7">
        <f>'Bütçe aylık-TL'!$I$9</f>
        <v/>
      </c>
      <c r="X13" s="14">
        <f>'gerç aylık-tl'!$I$9</f>
        <v/>
      </c>
      <c r="Y13" s="8" t="n"/>
      <c r="Z13" s="7">
        <f>'Bütçe aylık-TL'!$J$9</f>
        <v/>
      </c>
      <c r="AA13" s="14">
        <f>'gerç aylık-tl'!$J$9</f>
        <v/>
      </c>
      <c r="AB13" s="8" t="n"/>
      <c r="AC13" s="7">
        <f>'Bütçe aylık-TL'!$K$9</f>
        <v/>
      </c>
      <c r="AD13" s="14">
        <f>'gerç aylık-tl'!$K$9</f>
        <v/>
      </c>
      <c r="AE13" s="8" t="n"/>
      <c r="AF13" s="7">
        <f>'Bütçe aylık-TL'!$L$9</f>
        <v/>
      </c>
      <c r="AG13" s="14">
        <f>'gerç aylık-tl'!$L$9</f>
        <v/>
      </c>
      <c r="AH13" s="8" t="n"/>
      <c r="AI13" s="7">
        <f>'Bütçe aylık-TL'!$M$9</f>
        <v/>
      </c>
      <c r="AJ13" s="14">
        <f>'gerç aylık-tl'!$M$9</f>
        <v/>
      </c>
      <c r="AK13" s="8" t="n"/>
      <c r="AL13" s="21">
        <f>AP13-AO13</f>
        <v/>
      </c>
      <c r="AM13" s="22">
        <f>AP13/AO13-1</f>
        <v/>
      </c>
      <c r="AO13" s="44">
        <f>IF($A$1=$B$1,B13,IF($A$1=$E$1,E13,IF($A$1=$H$1,H13,IF($A$1=$K$1,K13,IF($A$1=$N$1,N13,IF($A$1=$Q$1,Q13,IF($A$1=$T$1,T13,IF($A$1=$W$1,W13,IF($A$1=$Z$1,Z13,IF($A$1=$AC$1,AC13,IF($A$1=$AF$1,AF13,IF($A$1=$AI$1,AI13))))))))))))</f>
        <v/>
      </c>
      <c r="AP13" s="44">
        <f>IF($A$1=$B$1,C13,IF($A$1=$E$1,F13,IF($A$1=$H$1,I13,IF($A$1=$K$1,L13,IF($A$1=$N$1,O13,IF($A$1=$Q$1,R13,IF($A$1=$T$1,U13,IF($A$1=$W$1,X13,IF($A$1=$Z$1,AA13,IF($A$1=$AC$1,AD13,IF($A$1=$AF$1,AG13,IF($A$1=$AI$1,AJ13))))))))))))</f>
        <v/>
      </c>
      <c r="AT13" s="129" t="n"/>
    </row>
    <row r="14" ht="15.5" customHeight="1">
      <c r="A14" s="26" t="inlineStr">
        <is>
          <t>Jantaş</t>
        </is>
      </c>
      <c r="B14" s="7">
        <f>'Bütçe aylık-TL'!$B$10</f>
        <v/>
      </c>
      <c r="C14" s="14">
        <f>'gerç aylık-tl'!$B$10</f>
        <v/>
      </c>
      <c r="D14" s="7" t="n"/>
      <c r="E14" s="7">
        <f>'Bütçe aylık-TL'!$C$10</f>
        <v/>
      </c>
      <c r="F14" s="14">
        <f>'gerç aylık-tl'!$C$10</f>
        <v/>
      </c>
      <c r="G14" s="7" t="n"/>
      <c r="H14" s="7">
        <f>'Bütçe aylık-TL'!$D$10</f>
        <v/>
      </c>
      <c r="I14" s="14">
        <f>'gerç aylık-tl'!$D$10</f>
        <v/>
      </c>
      <c r="J14" s="7" t="n"/>
      <c r="K14" s="7">
        <f>'Bütçe aylık-TL'!$E$10</f>
        <v/>
      </c>
      <c r="L14" s="14">
        <f>'gerç aylık-tl'!$E$10</f>
        <v/>
      </c>
      <c r="M14" s="7" t="n"/>
      <c r="N14" s="7">
        <f>'Bütçe aylık-TL'!$F$10</f>
        <v/>
      </c>
      <c r="O14" s="14">
        <f>'gerç aylık-tl'!$F$10</f>
        <v/>
      </c>
      <c r="P14" s="7" t="n"/>
      <c r="Q14" s="7">
        <f>'Bütçe aylık-TL'!$G$10</f>
        <v/>
      </c>
      <c r="R14" s="14">
        <f>'gerç aylık-tl'!$G$10</f>
        <v/>
      </c>
      <c r="S14" s="7" t="n"/>
      <c r="T14" s="7">
        <f>'Bütçe aylık-TL'!$H$10</f>
        <v/>
      </c>
      <c r="U14" s="14">
        <f>'gerç aylık-tl'!$H$10</f>
        <v/>
      </c>
      <c r="V14" s="7" t="n"/>
      <c r="W14" s="7">
        <f>'Bütçe aylık-TL'!$I$10</f>
        <v/>
      </c>
      <c r="X14" s="14">
        <f>'gerç aylık-tl'!$I$10</f>
        <v/>
      </c>
      <c r="Y14" s="7" t="n"/>
      <c r="Z14" s="7">
        <f>'Bütçe aylık-TL'!$J$10</f>
        <v/>
      </c>
      <c r="AA14" s="14">
        <f>'gerç aylık-tl'!$J$10</f>
        <v/>
      </c>
      <c r="AB14" s="7" t="n"/>
      <c r="AC14" s="7">
        <f>'Bütçe aylık-TL'!$K$10</f>
        <v/>
      </c>
      <c r="AD14" s="14">
        <f>'gerç aylık-tl'!$K$10</f>
        <v/>
      </c>
      <c r="AE14" s="7" t="n"/>
      <c r="AF14" s="7">
        <f>'Bütçe aylık-TL'!$L$10</f>
        <v/>
      </c>
      <c r="AG14" s="14">
        <f>'gerç aylık-tl'!$L$10</f>
        <v/>
      </c>
      <c r="AH14" s="7" t="n"/>
      <c r="AI14" s="7">
        <f>'Bütçe aylık-TL'!$M$10</f>
        <v/>
      </c>
      <c r="AJ14" s="14">
        <f>'gerç aylık-tl'!$M$10</f>
        <v/>
      </c>
      <c r="AK14" s="7" t="n"/>
      <c r="AL14" s="21">
        <f>AP14-AO14</f>
        <v/>
      </c>
      <c r="AM14" s="22">
        <f>AP14/AO14-1</f>
        <v/>
      </c>
      <c r="AO14" s="44">
        <f>IF($A$1=$B$1,B14,IF($A$1=$E$1,E14,IF($A$1=$H$1,H14,IF($A$1=$K$1,K14,IF($A$1=$N$1,N14,IF($A$1=$Q$1,Q14,IF($A$1=$T$1,T14,IF($A$1=$W$1,W14,IF($A$1=$Z$1,Z14,IF($A$1=$AC$1,AC14,IF($A$1=$AF$1,AF14,IF($A$1=$AI$1,AI14))))))))))))</f>
        <v/>
      </c>
      <c r="AP14" s="44">
        <f>IF($A$1=$B$1,C14,IF($A$1=$E$1,F14,IF($A$1=$H$1,I14,IF($A$1=$K$1,L14,IF($A$1=$N$1,O14,IF($A$1=$Q$1,R14,IF($A$1=$T$1,U14,IF($A$1=$W$1,X14,IF($A$1=$Z$1,AA14,IF($A$1=$AC$1,AD14,IF($A$1=$AF$1,AG14,IF($A$1=$AI$1,AJ14))))))))))))</f>
        <v/>
      </c>
      <c r="AT14" s="94" t="n"/>
    </row>
    <row r="15" ht="15.5" customHeight="1">
      <c r="A15" s="26" t="inlineStr">
        <is>
          <t>Çelik</t>
        </is>
      </c>
      <c r="B15" s="7">
        <f>'Bütçe aylık-TL'!$B$11</f>
        <v/>
      </c>
      <c r="C15" s="14">
        <f>'gerç aylık-tl'!$B$11</f>
        <v/>
      </c>
      <c r="D15" s="7" t="n"/>
      <c r="E15" s="7">
        <f>'Bütçe aylık-TL'!$C$11</f>
        <v/>
      </c>
      <c r="F15" s="14">
        <f>'gerç aylık-tl'!$C$11</f>
        <v/>
      </c>
      <c r="G15" s="7" t="n"/>
      <c r="H15" s="7">
        <f>'Bütçe aylık-TL'!$D$11</f>
        <v/>
      </c>
      <c r="I15" s="14">
        <f>'gerç aylık-tl'!$D$11</f>
        <v/>
      </c>
      <c r="J15" s="7" t="n"/>
      <c r="K15" s="7">
        <f>'Bütçe aylık-TL'!$E$11</f>
        <v/>
      </c>
      <c r="L15" s="14">
        <f>'gerç aylık-tl'!$E$11</f>
        <v/>
      </c>
      <c r="M15" s="7" t="n"/>
      <c r="N15" s="7">
        <f>'Bütçe aylık-TL'!$F$11</f>
        <v/>
      </c>
      <c r="O15" s="14">
        <f>'gerç aylık-tl'!$F$11</f>
        <v/>
      </c>
      <c r="P15" s="7" t="n"/>
      <c r="Q15" s="7">
        <f>'Bütçe aylık-TL'!$G$11</f>
        <v/>
      </c>
      <c r="R15" s="14">
        <f>'gerç aylık-tl'!$G$11</f>
        <v/>
      </c>
      <c r="S15" s="7" t="n"/>
      <c r="T15" s="7">
        <f>'Bütçe aylık-TL'!$H$11</f>
        <v/>
      </c>
      <c r="U15" s="14">
        <f>'gerç aylık-tl'!$H$11</f>
        <v/>
      </c>
      <c r="V15" s="7" t="n"/>
      <c r="W15" s="7">
        <f>'Bütçe aylık-TL'!$I$11</f>
        <v/>
      </c>
      <c r="X15" s="14">
        <f>'gerç aylık-tl'!$I$11</f>
        <v/>
      </c>
      <c r="Y15" s="7" t="n"/>
      <c r="Z15" s="7">
        <f>'Bütçe aylık-TL'!$J$11</f>
        <v/>
      </c>
      <c r="AA15" s="14">
        <f>'gerç aylık-tl'!$J$11</f>
        <v/>
      </c>
      <c r="AB15" s="7" t="n"/>
      <c r="AC15" s="7">
        <f>'Bütçe aylık-TL'!$K$11</f>
        <v/>
      </c>
      <c r="AD15" s="14">
        <f>'gerç aylık-tl'!$K$11</f>
        <v/>
      </c>
      <c r="AE15" s="7" t="n"/>
      <c r="AF15" s="7">
        <f>'Bütçe aylık-TL'!$L$11</f>
        <v/>
      </c>
      <c r="AG15" s="14">
        <f>'gerç aylık-tl'!$L$11</f>
        <v/>
      </c>
      <c r="AH15" s="7" t="n"/>
      <c r="AI15" s="7">
        <f>'Bütçe aylık-TL'!$M$11</f>
        <v/>
      </c>
      <c r="AJ15" s="14">
        <f>'gerç aylık-tl'!$M$11</f>
        <v/>
      </c>
      <c r="AK15" s="7" t="n"/>
      <c r="AL15" s="21">
        <f>AP15-AO15</f>
        <v/>
      </c>
      <c r="AM15" s="22">
        <f>AP15/AO15-1</f>
        <v/>
      </c>
      <c r="AO15" s="44">
        <f>IF($A$1=$B$1,B15,IF($A$1=$E$1,E15,IF($A$1=$H$1,H15,IF($A$1=$K$1,K15,IF($A$1=$N$1,N15,IF($A$1=$Q$1,Q15,IF($A$1=$T$1,T15,IF($A$1=$W$1,W15,IF($A$1=$Z$1,Z15,IF($A$1=$AC$1,AC15,IF($A$1=$AF$1,AF15,IF($A$1=$AI$1,AI15))))))))))))</f>
        <v/>
      </c>
      <c r="AP15" s="44">
        <f>IF($A$1=$B$1,C15,IF($A$1=$E$1,F15,IF($A$1=$H$1,I15,IF($A$1=$K$1,L15,IF($A$1=$N$1,O15,IF($A$1=$Q$1,R15,IF($A$1=$T$1,U15,IF($A$1=$W$1,X15,IF($A$1=$Z$1,AA15,IF($A$1=$AC$1,AD15,IF($A$1=$AF$1,AG15,IF($A$1=$AI$1,AJ15))))))))))))</f>
        <v/>
      </c>
    </row>
    <row r="16" ht="15.5" customHeight="1">
      <c r="A16" s="26" t="inlineStr">
        <is>
          <t>Alüminyum</t>
        </is>
      </c>
      <c r="B16" s="7">
        <f>'Bütçe aylık-TL'!$B$12</f>
        <v/>
      </c>
      <c r="C16" s="14">
        <f>'gerç aylık-tl'!$B$12</f>
        <v/>
      </c>
      <c r="D16" s="7" t="n"/>
      <c r="E16" s="7">
        <f>'Bütçe aylık-TL'!$C$12</f>
        <v/>
      </c>
      <c r="F16" s="14">
        <f>'gerç aylık-tl'!$C$12</f>
        <v/>
      </c>
      <c r="G16" s="7" t="n"/>
      <c r="H16" s="7">
        <f>'Bütçe aylık-TL'!$D$12</f>
        <v/>
      </c>
      <c r="I16" s="14">
        <f>'gerç aylık-tl'!$D$12</f>
        <v/>
      </c>
      <c r="J16" s="7" t="n"/>
      <c r="K16" s="7">
        <f>'Bütçe aylık-TL'!$E$12</f>
        <v/>
      </c>
      <c r="L16" s="14">
        <f>'gerç aylık-tl'!$E$12</f>
        <v/>
      </c>
      <c r="M16" s="7" t="n"/>
      <c r="N16" s="7">
        <f>'Bütçe aylık-TL'!$F$12</f>
        <v/>
      </c>
      <c r="O16" s="14">
        <f>'gerç aylık-tl'!$F$12</f>
        <v/>
      </c>
      <c r="P16" s="7" t="n"/>
      <c r="Q16" s="7">
        <f>'Bütçe aylık-TL'!$G$12</f>
        <v/>
      </c>
      <c r="R16" s="14">
        <f>'gerç aylık-tl'!$G$12</f>
        <v/>
      </c>
      <c r="S16" s="7" t="n"/>
      <c r="T16" s="7">
        <f>'Bütçe aylık-TL'!$H$12</f>
        <v/>
      </c>
      <c r="U16" s="14">
        <f>'gerç aylık-tl'!$H$12</f>
        <v/>
      </c>
      <c r="V16" s="7" t="n"/>
      <c r="W16" s="7">
        <f>'Bütçe aylık-TL'!$I$12</f>
        <v/>
      </c>
      <c r="X16" s="14">
        <f>'gerç aylık-tl'!$I$12</f>
        <v/>
      </c>
      <c r="Y16" s="7" t="n"/>
      <c r="Z16" s="7">
        <f>'Bütçe aylık-TL'!$J$12</f>
        <v/>
      </c>
      <c r="AA16" s="14">
        <f>'gerç aylık-tl'!$J$12</f>
        <v/>
      </c>
      <c r="AB16" s="7" t="n"/>
      <c r="AC16" s="7">
        <f>'Bütçe aylık-TL'!$K$12</f>
        <v/>
      </c>
      <c r="AD16" s="14">
        <f>'gerç aylık-tl'!$K$12</f>
        <v/>
      </c>
      <c r="AE16" s="7" t="n"/>
      <c r="AF16" s="7">
        <f>'Bütçe aylık-TL'!$L$12</f>
        <v/>
      </c>
      <c r="AG16" s="14">
        <f>'gerç aylık-tl'!$L$12</f>
        <v/>
      </c>
      <c r="AH16" s="7" t="n"/>
      <c r="AI16" s="7">
        <f>'Bütçe aylık-TL'!$M$12</f>
        <v/>
      </c>
      <c r="AJ16" s="14">
        <f>'gerç aylık-tl'!$M$12</f>
        <v/>
      </c>
      <c r="AK16" s="7" t="n"/>
      <c r="AL16" s="21">
        <f>AP16-AO16</f>
        <v/>
      </c>
      <c r="AM16" s="22">
        <f>AP16/AO16-1</f>
        <v/>
      </c>
      <c r="AO16" s="44">
        <f>IF($A$1=$B$1,B16,IF($A$1=$E$1,E16,IF($A$1=$H$1,H16,IF($A$1=$K$1,K16,IF($A$1=$N$1,N16,IF($A$1=$Q$1,Q16,IF($A$1=$T$1,T16,IF($A$1=$W$1,W16,IF($A$1=$Z$1,Z16,IF($A$1=$AC$1,AC16,IF($A$1=$AF$1,AF16,IF($A$1=$AI$1,AI16))))))))))))</f>
        <v/>
      </c>
      <c r="AP16" s="44">
        <f>IF($A$1=$B$1,C16,IF($A$1=$E$1,F16,IF($A$1=$H$1,I16,IF($A$1=$K$1,L16,IF($A$1=$N$1,O16,IF($A$1=$Q$1,R16,IF($A$1=$T$1,U16,IF($A$1=$W$1,X16,IF($A$1=$Z$1,AA16,IF($A$1=$AC$1,AD16,IF($A$1=$AF$1,AG16,IF($A$1=$AI$1,AJ16))))))))))))</f>
        <v/>
      </c>
    </row>
    <row r="17" ht="15.5" customHeight="1">
      <c r="A17" s="2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21" t="n"/>
      <c r="AM17" s="22" t="n"/>
      <c r="AO17" s="44">
        <f>IF($A$1=$B$1,B17,IF($A$1=$E$1,E17,IF($A$1=$H$1,H17,IF($A$1=$K$1,K17,IF($A$1=$N$1,N17,IF($A$1=$Q$1,Q17,IF($A$1=$T$1,T17,IF($A$1=$W$1,W17,IF($A$1=$Z$1,Z17,IF($A$1=$AC$1,AC17,IF($A$1=$AF$1,AF17,IF($A$1=$AI$1,AI17))))))))))))</f>
        <v/>
      </c>
      <c r="AP17" s="44">
        <f>IF($A$1=$B$1,C17,IF($A$1=$E$1,F17,IF($A$1=$H$1,I17,IF($A$1=$K$1,L17,IF($A$1=$N$1,O17,IF($A$1=$Q$1,R17,IF($A$1=$T$1,U17,IF($A$1=$W$1,X17,IF($A$1=$Z$1,AA17,IF($A$1=$AC$1,AD17,IF($A$1=$AF$1,AG17,IF($A$1=$AI$1,AJ17))))))))))))</f>
        <v/>
      </c>
    </row>
    <row r="18" ht="15.5" customHeight="1">
      <c r="A18" s="2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21" t="n"/>
      <c r="AM18" s="22" t="n"/>
      <c r="AO18" s="44">
        <f>IF($A$1=$B$1,B18,IF($A$1=$E$1,E18,IF($A$1=$H$1,H18,IF($A$1=$K$1,K18,IF($A$1=$N$1,N18,IF($A$1=$Q$1,Q18,IF($A$1=$T$1,T18,IF($A$1=$W$1,W18,IF($A$1=$Z$1,Z18,IF($A$1=$AC$1,AC18,IF($A$1=$AF$1,AF18,IF($A$1=$AI$1,AI18))))))))))))</f>
        <v/>
      </c>
      <c r="AP18" s="44">
        <f>IF($A$1=$B$1,C18,IF($A$1=$E$1,F18,IF($A$1=$H$1,I18,IF($A$1=$K$1,L18,IF($A$1=$N$1,O18,IF($A$1=$Q$1,R18,IF($A$1=$T$1,U18,IF($A$1=$W$1,X18,IF($A$1=$Z$1,AA18,IF($A$1=$AC$1,AD18,IF($A$1=$AF$1,AG18,IF($A$1=$AI$1,AJ18))))))))))))</f>
        <v/>
      </c>
    </row>
    <row r="19" ht="17" customFormat="1" customHeight="1" s="51">
      <c r="A19" s="47" t="inlineStr">
        <is>
          <t>SHARE OF SALES (%)</t>
        </is>
      </c>
      <c r="B19" s="411" t="n"/>
      <c r="C19" s="412" t="n"/>
      <c r="D19" s="411" t="n"/>
      <c r="E19" s="411" t="n"/>
      <c r="F19" s="412" t="n"/>
      <c r="G19" s="411" t="n"/>
      <c r="H19" s="411" t="n"/>
      <c r="I19" s="412" t="n"/>
      <c r="J19" s="411" t="n"/>
      <c r="K19" s="411" t="n"/>
      <c r="L19" s="412" t="n"/>
      <c r="M19" s="411" t="n"/>
      <c r="N19" s="411" t="n"/>
      <c r="O19" s="412" t="n"/>
      <c r="P19" s="411" t="n"/>
      <c r="Q19" s="411" t="n"/>
      <c r="R19" s="412" t="n"/>
      <c r="S19" s="411" t="n"/>
      <c r="T19" s="411" t="n"/>
      <c r="U19" s="412" t="n"/>
      <c r="V19" s="411" t="n"/>
      <c r="W19" s="411" t="n"/>
      <c r="X19" s="412" t="n"/>
      <c r="Y19" s="411" t="n"/>
      <c r="Z19" s="411" t="n"/>
      <c r="AA19" s="412" t="n"/>
      <c r="AB19" s="411" t="n"/>
      <c r="AC19" s="411" t="n"/>
      <c r="AD19" s="412" t="n"/>
      <c r="AE19" s="411" t="n"/>
      <c r="AF19" s="411" t="n"/>
      <c r="AG19" s="412" t="n"/>
      <c r="AH19" s="411" t="n"/>
      <c r="AI19" s="411" t="n"/>
      <c r="AJ19" s="412" t="n"/>
      <c r="AK19" s="411" t="n"/>
      <c r="AL19" s="411" t="n"/>
      <c r="AM19" s="50" t="n"/>
    </row>
    <row r="20" ht="15.5" customHeight="1">
      <c r="A20" s="26" t="inlineStr">
        <is>
          <t xml:space="preserve">İnci Holding </t>
        </is>
      </c>
      <c r="B20" s="56">
        <f>B9/B6</f>
        <v/>
      </c>
      <c r="C20" s="56">
        <f>C9/C6</f>
        <v/>
      </c>
      <c r="D20" s="14" t="n"/>
      <c r="E20" s="56">
        <f>E9/E6</f>
        <v/>
      </c>
      <c r="F20" s="56">
        <f>F9/F6</f>
        <v/>
      </c>
      <c r="G20" s="14" t="n"/>
      <c r="H20" s="56">
        <f>H9/H6</f>
        <v/>
      </c>
      <c r="I20" s="56">
        <f>I9/I6</f>
        <v/>
      </c>
      <c r="J20" s="56" t="n"/>
      <c r="K20" s="56">
        <f>K9/K6</f>
        <v/>
      </c>
      <c r="L20" s="56">
        <f>L9/L6</f>
        <v/>
      </c>
      <c r="M20" s="56" t="n"/>
      <c r="N20" s="56">
        <f>N9/N6</f>
        <v/>
      </c>
      <c r="O20" s="56">
        <f>O9/O6</f>
        <v/>
      </c>
      <c r="P20" s="56" t="n"/>
      <c r="Q20" s="56">
        <f>Q9/Q6</f>
        <v/>
      </c>
      <c r="R20" s="56">
        <f>R9/R6</f>
        <v/>
      </c>
      <c r="S20" s="56" t="n"/>
      <c r="T20" s="56">
        <f>T9/T6</f>
        <v/>
      </c>
      <c r="U20" s="56">
        <f>U9/U6</f>
        <v/>
      </c>
      <c r="V20" s="56" t="n"/>
      <c r="W20" s="56">
        <f>W9/W6</f>
        <v/>
      </c>
      <c r="X20" s="56">
        <f>X9/X6</f>
        <v/>
      </c>
      <c r="Y20" s="56" t="n"/>
      <c r="Z20" s="56">
        <f>Z9/Z6</f>
        <v/>
      </c>
      <c r="AA20" s="56">
        <f>AA9/AA6</f>
        <v/>
      </c>
      <c r="AB20" s="56" t="n"/>
      <c r="AC20" s="56">
        <f>AC9/AC6</f>
        <v/>
      </c>
      <c r="AD20" s="56">
        <f>AD9/AD6</f>
        <v/>
      </c>
      <c r="AE20" s="56" t="n"/>
      <c r="AF20" s="56">
        <f>AF9/AF6</f>
        <v/>
      </c>
      <c r="AG20" s="56">
        <f>AG9/AG6</f>
        <v/>
      </c>
      <c r="AH20" s="56" t="n"/>
      <c r="AI20" s="56">
        <f>AI9/AI6</f>
        <v/>
      </c>
      <c r="AJ20" s="56">
        <f>AJ9/AJ6</f>
        <v/>
      </c>
      <c r="AK20" s="56" t="n"/>
      <c r="AL20" s="56">
        <f>AP20-AO20</f>
        <v/>
      </c>
      <c r="AM20" s="56" t="n"/>
      <c r="AO20" s="44">
        <f>IF($A$1=$B$1,B20,IF($A$1=$E$1,E20,IF($A$1=$H$1,H20,IF($A$1=$K$1,K20,IF($A$1=$N$1,N20,IF($A$1=$Q$1,Q20,IF($A$1=$T$1,T20,IF($A$1=$W$1,W20,IF($A$1=$Z$1,Z20,IF($A$1=$AC$1,AC20,IF($A$1=$AF$1,AF20,IF($A$1=$AI$1,AI20))))))))))))</f>
        <v/>
      </c>
      <c r="AP20" s="44">
        <f>IF($A$1=$B$1,C20,IF($A$1=$E$1,F20,IF($A$1=$H$1,I20,IF($A$1=$K$1,L20,IF($A$1=$N$1,O20,IF($A$1=$Q$1,R20,IF($A$1=$T$1,U20,IF($A$1=$W$1,X20,IF($A$1=$Z$1,AA20,IF($A$1=$AC$1,AD20,IF($A$1=$AF$1,AG20,IF($A$1=$AI$1,AJ20))))))))))))</f>
        <v/>
      </c>
    </row>
    <row r="21" ht="15.5" customHeight="1">
      <c r="A21" s="26" t="inlineStr">
        <is>
          <t xml:space="preserve">ISM </t>
        </is>
      </c>
      <c r="B21" s="56">
        <f>B10/B6</f>
        <v/>
      </c>
      <c r="C21" s="56">
        <f>C10/C6</f>
        <v/>
      </c>
      <c r="D21" s="7" t="n"/>
      <c r="E21" s="56">
        <f>E10/E6</f>
        <v/>
      </c>
      <c r="F21" s="56">
        <f>F10/F6</f>
        <v/>
      </c>
      <c r="G21" s="7" t="n"/>
      <c r="H21" s="56">
        <f>H10/H6</f>
        <v/>
      </c>
      <c r="I21" s="56">
        <f>I10/I6</f>
        <v/>
      </c>
      <c r="J21" s="56" t="n"/>
      <c r="K21" s="56">
        <f>K10/K6</f>
        <v/>
      </c>
      <c r="L21" s="56">
        <f>L10/L6</f>
        <v/>
      </c>
      <c r="M21" s="56" t="n"/>
      <c r="N21" s="56">
        <f>N10/N6</f>
        <v/>
      </c>
      <c r="O21" s="56">
        <f>O10/O6</f>
        <v/>
      </c>
      <c r="P21" s="56" t="n"/>
      <c r="Q21" s="56">
        <f>Q10/Q6</f>
        <v/>
      </c>
      <c r="R21" s="56">
        <f>R10/R6</f>
        <v/>
      </c>
      <c r="S21" s="56" t="n"/>
      <c r="T21" s="56">
        <f>T10/T6</f>
        <v/>
      </c>
      <c r="U21" s="56">
        <f>U10/U6</f>
        <v/>
      </c>
      <c r="V21" s="56" t="n"/>
      <c r="W21" s="56">
        <f>W10/W6</f>
        <v/>
      </c>
      <c r="X21" s="56">
        <f>X10/X6</f>
        <v/>
      </c>
      <c r="Y21" s="56" t="n"/>
      <c r="Z21" s="56">
        <f>Z10/Z6</f>
        <v/>
      </c>
      <c r="AA21" s="56">
        <f>AA10/AA6</f>
        <v/>
      </c>
      <c r="AB21" s="56" t="n"/>
      <c r="AC21" s="56">
        <f>AC10/AC6</f>
        <v/>
      </c>
      <c r="AD21" s="56">
        <f>AD10/AD6</f>
        <v/>
      </c>
      <c r="AE21" s="56" t="n"/>
      <c r="AF21" s="56">
        <f>AF10/AF6</f>
        <v/>
      </c>
      <c r="AG21" s="56">
        <f>AG10/AG6</f>
        <v/>
      </c>
      <c r="AH21" s="56" t="n"/>
      <c r="AI21" s="56">
        <f>AI10/AI6</f>
        <v/>
      </c>
      <c r="AJ21" s="56">
        <f>AJ10/AJ6</f>
        <v/>
      </c>
      <c r="AK21" s="56" t="n"/>
      <c r="AL21" s="56">
        <f>AP21-AO21</f>
        <v/>
      </c>
      <c r="AM21" s="56" t="n"/>
      <c r="AO21" s="44">
        <f>IF($A$1=$B$1,B21,IF($A$1=$E$1,E21,IF($A$1=$H$1,H21,IF($A$1=$K$1,K21,IF($A$1=$N$1,N21,IF($A$1=$Q$1,Q21,IF($A$1=$T$1,T21,IF($A$1=$W$1,W21,IF($A$1=$Z$1,Z21,IF($A$1=$AC$1,AC21,IF($A$1=$AF$1,AF21,IF($A$1=$AI$1,AI21))))))))))))</f>
        <v/>
      </c>
      <c r="AP21" s="44">
        <f>IF($A$1=$B$1,C21,IF($A$1=$E$1,F21,IF($A$1=$H$1,I21,IF($A$1=$K$1,L21,IF($A$1=$N$1,O21,IF($A$1=$Q$1,R21,IF($A$1=$T$1,U21,IF($A$1=$W$1,X21,IF($A$1=$Z$1,AA21,IF($A$1=$AC$1,AD21,IF($A$1=$AF$1,AG21,IF($A$1=$AI$1,AJ21))))))))))))</f>
        <v/>
      </c>
    </row>
    <row r="22" ht="15.5" customHeight="1">
      <c r="A22" s="26" t="inlineStr">
        <is>
          <t>İncitaş</t>
        </is>
      </c>
      <c r="B22" s="56">
        <f>B11/B6</f>
        <v/>
      </c>
      <c r="C22" s="56">
        <f>C11/C6</f>
        <v/>
      </c>
      <c r="D22" s="7" t="n"/>
      <c r="E22" s="56">
        <f>E11/E6</f>
        <v/>
      </c>
      <c r="F22" s="56">
        <f>F11/F6</f>
        <v/>
      </c>
      <c r="G22" s="7" t="n"/>
      <c r="H22" s="56">
        <f>H11/H6</f>
        <v/>
      </c>
      <c r="I22" s="56">
        <f>I11/I6</f>
        <v/>
      </c>
      <c r="J22" s="56" t="n"/>
      <c r="K22" s="56">
        <f>K11/K6</f>
        <v/>
      </c>
      <c r="L22" s="56">
        <f>L11/L6</f>
        <v/>
      </c>
      <c r="M22" s="56" t="n"/>
      <c r="N22" s="56">
        <f>N11/N6</f>
        <v/>
      </c>
      <c r="O22" s="56">
        <f>O11/O6</f>
        <v/>
      </c>
      <c r="P22" s="56" t="n"/>
      <c r="Q22" s="56">
        <f>Q11/Q6</f>
        <v/>
      </c>
      <c r="R22" s="56">
        <f>R11/R6</f>
        <v/>
      </c>
      <c r="S22" s="56" t="n"/>
      <c r="T22" s="56">
        <f>T11/T6</f>
        <v/>
      </c>
      <c r="U22" s="56">
        <f>U11/U6</f>
        <v/>
      </c>
      <c r="V22" s="56" t="n"/>
      <c r="W22" s="56">
        <f>W11/W6</f>
        <v/>
      </c>
      <c r="X22" s="56">
        <f>X11/X6</f>
        <v/>
      </c>
      <c r="Y22" s="56" t="n"/>
      <c r="Z22" s="56">
        <f>Z11/Z6</f>
        <v/>
      </c>
      <c r="AA22" s="56">
        <f>AA11/AA6</f>
        <v/>
      </c>
      <c r="AB22" s="56" t="n"/>
      <c r="AC22" s="56">
        <f>AC11/AC6</f>
        <v/>
      </c>
      <c r="AD22" s="56">
        <f>AD11/AD6</f>
        <v/>
      </c>
      <c r="AE22" s="56" t="n"/>
      <c r="AF22" s="56">
        <f>AF11/AF6</f>
        <v/>
      </c>
      <c r="AG22" s="56">
        <f>AG11/AG6</f>
        <v/>
      </c>
      <c r="AH22" s="56" t="n"/>
      <c r="AI22" s="56">
        <f>AI11/AI6</f>
        <v/>
      </c>
      <c r="AJ22" s="56">
        <f>AJ11/AJ6</f>
        <v/>
      </c>
      <c r="AK22" s="56" t="n"/>
      <c r="AL22" s="56">
        <f>AP22-AO22</f>
        <v/>
      </c>
      <c r="AM22" s="56" t="n"/>
      <c r="AO22" s="44">
        <f>IF($A$1=$B$1,B22,IF($A$1=$E$1,E22,IF($A$1=$H$1,H22,IF($A$1=$K$1,K22,IF($A$1=$N$1,N22,IF($A$1=$Q$1,Q22,IF($A$1=$T$1,T22,IF($A$1=$W$1,W22,IF($A$1=$Z$1,Z22,IF($A$1=$AC$1,AC22,IF($A$1=$AF$1,AF22,IF($A$1=$AI$1,AI22))))))))))))</f>
        <v/>
      </c>
      <c r="AP22" s="44">
        <f>IF($A$1=$B$1,C22,IF($A$1=$E$1,F22,IF($A$1=$H$1,I22,IF($A$1=$K$1,L22,IF($A$1=$N$1,O22,IF($A$1=$Q$1,R22,IF($A$1=$T$1,U22,IF($A$1=$W$1,X22,IF($A$1=$Z$1,AA22,IF($A$1=$AC$1,AD22,IF($A$1=$AF$1,AG22,IF($A$1=$AI$1,AJ22))))))))))))</f>
        <v/>
      </c>
    </row>
    <row r="23" ht="15.5" customHeight="1">
      <c r="A23" s="26" t="inlineStr">
        <is>
          <t>İnci GS Yuasa</t>
        </is>
      </c>
      <c r="B23" s="56">
        <f>B12*0.5/B6</f>
        <v/>
      </c>
      <c r="C23" s="56">
        <f>C12*0.5/C6</f>
        <v/>
      </c>
      <c r="D23" s="7" t="n"/>
      <c r="E23" s="56">
        <f>E12*0.5/E6</f>
        <v/>
      </c>
      <c r="F23" s="56">
        <f>F12*0.5/F6</f>
        <v/>
      </c>
      <c r="G23" s="7" t="n"/>
      <c r="H23" s="56">
        <f>H12*0.5/H6</f>
        <v/>
      </c>
      <c r="I23" s="56">
        <f>I12*0.5/I6</f>
        <v/>
      </c>
      <c r="J23" s="56" t="n"/>
      <c r="K23" s="56">
        <f>K12*0.5/K6</f>
        <v/>
      </c>
      <c r="L23" s="56">
        <f>L12*0.5/L6</f>
        <v/>
      </c>
      <c r="M23" s="56" t="n"/>
      <c r="N23" s="56">
        <f>N12*0.5/N6</f>
        <v/>
      </c>
      <c r="O23" s="56">
        <f>O12*0.5/O6</f>
        <v/>
      </c>
      <c r="P23" s="56" t="n"/>
      <c r="Q23" s="56">
        <f>Q12*0.5/Q6</f>
        <v/>
      </c>
      <c r="R23" s="56">
        <f>R12*0.5/R6</f>
        <v/>
      </c>
      <c r="S23" s="56" t="n"/>
      <c r="T23" s="56">
        <f>T12*0.5/T6</f>
        <v/>
      </c>
      <c r="U23" s="56">
        <f>U12*0.5/U6</f>
        <v/>
      </c>
      <c r="V23" s="56" t="n"/>
      <c r="W23" s="56">
        <f>W12*0.5/W6</f>
        <v/>
      </c>
      <c r="X23" s="56">
        <f>X12*0.5/X6</f>
        <v/>
      </c>
      <c r="Y23" s="56" t="n"/>
      <c r="Z23" s="56">
        <f>Z12*0.5/Z6</f>
        <v/>
      </c>
      <c r="AA23" s="56">
        <f>AA12*0.5/AA6</f>
        <v/>
      </c>
      <c r="AB23" s="56" t="n"/>
      <c r="AC23" s="56">
        <f>AC12*0.5/AC6</f>
        <v/>
      </c>
      <c r="AD23" s="56">
        <f>AD12*0.5/AD6</f>
        <v/>
      </c>
      <c r="AE23" s="56" t="n"/>
      <c r="AF23" s="56">
        <f>AF12*0.5/AF6</f>
        <v/>
      </c>
      <c r="AG23" s="56">
        <f>AG12*0.5/AG6</f>
        <v/>
      </c>
      <c r="AH23" s="56" t="n"/>
      <c r="AI23" s="56">
        <f>AI12*0.5/AI6</f>
        <v/>
      </c>
      <c r="AJ23" s="56">
        <f>AJ12*0.5/AJ6</f>
        <v/>
      </c>
      <c r="AK23" s="56" t="n"/>
      <c r="AL23" s="56">
        <f>AP23-AO23</f>
        <v/>
      </c>
      <c r="AM23" s="56" t="n"/>
      <c r="AO23" s="44">
        <f>IF($A$1=$B$1,B23,IF($A$1=$E$1,E23,IF($A$1=$H$1,H23,IF($A$1=$K$1,K23,IF($A$1=$N$1,N23,IF($A$1=$Q$1,Q23,IF($A$1=$T$1,T23,IF($A$1=$W$1,W23,IF($A$1=$Z$1,Z23,IF($A$1=$AC$1,AC23,IF($A$1=$AF$1,AF23,IF($A$1=$AI$1,AI23))))))))))))</f>
        <v/>
      </c>
      <c r="AP23" s="44">
        <f>IF($A$1=$B$1,C23,IF($A$1=$E$1,F23,IF($A$1=$H$1,I23,IF($A$1=$K$1,L23,IF($A$1=$N$1,O23,IF($A$1=$Q$1,R23,IF($A$1=$T$1,U23,IF($A$1=$W$1,X23,IF($A$1=$Z$1,AA23,IF($A$1=$AC$1,AD23,IF($A$1=$AF$1,AG23,IF($A$1=$AI$1,AJ23))))))))))))</f>
        <v/>
      </c>
    </row>
    <row r="24" ht="15.5" customFormat="1" customHeight="1" s="1">
      <c r="A24" s="26" t="inlineStr">
        <is>
          <t>Yusen İnci Loj.</t>
        </is>
      </c>
      <c r="B24" s="56">
        <f>B13*0.4/B6</f>
        <v/>
      </c>
      <c r="C24" s="56">
        <f>C13*0.4/C6</f>
        <v/>
      </c>
      <c r="D24" s="8" t="n"/>
      <c r="E24" s="56">
        <f>E13*0.4/E6</f>
        <v/>
      </c>
      <c r="F24" s="56">
        <f>F13*0.4/F6</f>
        <v/>
      </c>
      <c r="G24" s="8" t="n"/>
      <c r="H24" s="56">
        <f>H13*0.4/H6</f>
        <v/>
      </c>
      <c r="I24" s="56">
        <f>I13*0.4/I6</f>
        <v/>
      </c>
      <c r="J24" s="57" t="n"/>
      <c r="K24" s="56">
        <f>K13*0.4/K6</f>
        <v/>
      </c>
      <c r="L24" s="56">
        <f>L13*0.4/L6</f>
        <v/>
      </c>
      <c r="M24" s="57" t="n"/>
      <c r="N24" s="56">
        <f>N13*0.4/N6</f>
        <v/>
      </c>
      <c r="O24" s="56">
        <f>O13*0.4/O6</f>
        <v/>
      </c>
      <c r="P24" s="57" t="n"/>
      <c r="Q24" s="56">
        <f>Q13*0.4/Q6</f>
        <v/>
      </c>
      <c r="R24" s="56">
        <f>R13*0.4/R6</f>
        <v/>
      </c>
      <c r="S24" s="57" t="n"/>
      <c r="T24" s="56">
        <f>T13*0.4/T6</f>
        <v/>
      </c>
      <c r="U24" s="56">
        <f>U13*0.4/U6</f>
        <v/>
      </c>
      <c r="V24" s="57" t="n"/>
      <c r="W24" s="56">
        <f>W13*0.4/W6</f>
        <v/>
      </c>
      <c r="X24" s="56">
        <f>X13*0.4/X6</f>
        <v/>
      </c>
      <c r="Y24" s="57" t="n"/>
      <c r="Z24" s="56">
        <f>Z13*0.4/Z6</f>
        <v/>
      </c>
      <c r="AA24" s="56">
        <f>AA13*0.4/AA6</f>
        <v/>
      </c>
      <c r="AB24" s="57" t="n"/>
      <c r="AC24" s="56">
        <f>AC13*0.4/AC6</f>
        <v/>
      </c>
      <c r="AD24" s="56">
        <f>AD13*0.4/AD6</f>
        <v/>
      </c>
      <c r="AE24" s="57" t="n"/>
      <c r="AF24" s="56">
        <f>AF13*0.4/AF6</f>
        <v/>
      </c>
      <c r="AG24" s="56">
        <f>AG13*0.4/AG6</f>
        <v/>
      </c>
      <c r="AH24" s="57" t="n"/>
      <c r="AI24" s="56">
        <f>AI13*0.4/AI6</f>
        <v/>
      </c>
      <c r="AJ24" s="56">
        <f>AJ13*0.4/AJ6</f>
        <v/>
      </c>
      <c r="AK24" s="57" t="n"/>
      <c r="AL24" s="56">
        <f>AP24-AO24</f>
        <v/>
      </c>
      <c r="AM24" s="57" t="n"/>
      <c r="AO24" s="44">
        <f>IF($A$1=$B$1,B24,IF($A$1=$E$1,E24,IF($A$1=$H$1,H24,IF($A$1=$K$1,K24,IF($A$1=$N$1,N24,IF($A$1=$Q$1,Q24,IF($A$1=$T$1,T24,IF($A$1=$W$1,W24,IF($A$1=$Z$1,Z24,IF($A$1=$AC$1,AC24,IF($A$1=$AF$1,AF24,IF($A$1=$AI$1,AI24))))))))))))</f>
        <v/>
      </c>
      <c r="AP24" s="44">
        <f>IF($A$1=$B$1,C24,IF($A$1=$E$1,F24,IF($A$1=$H$1,I24,IF($A$1=$K$1,L24,IF($A$1=$N$1,O24,IF($A$1=$Q$1,R24,IF($A$1=$T$1,U24,IF($A$1=$W$1,X24,IF($A$1=$Z$1,AA24,IF($A$1=$AC$1,AD24,IF($A$1=$AF$1,AG24,IF($A$1=$AI$1,AJ24))))))))))))</f>
        <v/>
      </c>
    </row>
    <row r="25" ht="15.5" customHeight="1">
      <c r="A25" s="26" t="inlineStr">
        <is>
          <t>Jantaş</t>
        </is>
      </c>
      <c r="B25" s="56">
        <f>B14*0.4/B6</f>
        <v/>
      </c>
      <c r="C25" s="56">
        <f>C14*0.4/C6</f>
        <v/>
      </c>
      <c r="D25" s="7" t="n"/>
      <c r="E25" s="56">
        <f>E14*0.4/E6</f>
        <v/>
      </c>
      <c r="F25" s="56">
        <f>F14*0.4/F6</f>
        <v/>
      </c>
      <c r="G25" s="7" t="n"/>
      <c r="H25" s="56">
        <f>H14*0.4/H6</f>
        <v/>
      </c>
      <c r="I25" s="56">
        <f>I14*0.4/I6</f>
        <v/>
      </c>
      <c r="J25" s="56" t="n"/>
      <c r="K25" s="56">
        <f>K14*0.4/K6</f>
        <v/>
      </c>
      <c r="L25" s="56">
        <f>L14*0.4/L6</f>
        <v/>
      </c>
      <c r="M25" s="56" t="n"/>
      <c r="N25" s="56">
        <f>N14*0.4/N6</f>
        <v/>
      </c>
      <c r="O25" s="56">
        <f>O14*0.4/O6</f>
        <v/>
      </c>
      <c r="P25" s="56" t="n"/>
      <c r="Q25" s="56">
        <f>Q14*0.4/Q6</f>
        <v/>
      </c>
      <c r="R25" s="56">
        <f>R14*0.4/R6</f>
        <v/>
      </c>
      <c r="S25" s="56" t="n"/>
      <c r="T25" s="56">
        <f>T14*0.4/T6</f>
        <v/>
      </c>
      <c r="U25" s="56">
        <f>U14*0.4/U6</f>
        <v/>
      </c>
      <c r="V25" s="56" t="n"/>
      <c r="W25" s="56">
        <f>W14*0.4/W6</f>
        <v/>
      </c>
      <c r="X25" s="56">
        <f>X14*0.4/X6</f>
        <v/>
      </c>
      <c r="Y25" s="56" t="n"/>
      <c r="Z25" s="56">
        <f>Z14*0.4/Z6</f>
        <v/>
      </c>
      <c r="AA25" s="56">
        <f>AA14*0.4/AA6</f>
        <v/>
      </c>
      <c r="AB25" s="56" t="n"/>
      <c r="AC25" s="56">
        <f>AC14*0.4/AC6</f>
        <v/>
      </c>
      <c r="AD25" s="56">
        <f>AD14*0.4/AD6</f>
        <v/>
      </c>
      <c r="AE25" s="56" t="n"/>
      <c r="AF25" s="56">
        <f>AF14*0.4/AF6</f>
        <v/>
      </c>
      <c r="AG25" s="56">
        <f>AG14*0.4/AG6</f>
        <v/>
      </c>
      <c r="AH25" s="56" t="n"/>
      <c r="AI25" s="56">
        <f>AI14*0.4/AI6</f>
        <v/>
      </c>
      <c r="AJ25" s="56">
        <f>AJ14*0.4/AJ6</f>
        <v/>
      </c>
      <c r="AK25" s="56" t="n"/>
      <c r="AL25" s="56">
        <f>AP25-AO25</f>
        <v/>
      </c>
      <c r="AM25" s="56" t="n"/>
      <c r="AO25" s="44">
        <f>IF($A$1=$B$1,B25,IF($A$1=$E$1,E25,IF($A$1=$H$1,H25,IF($A$1=$K$1,K25,IF($A$1=$N$1,N25,IF($A$1=$Q$1,Q25,IF($A$1=$T$1,T25,IF($A$1=$W$1,W25,IF($A$1=$Z$1,Z25,IF($A$1=$AC$1,AC25,IF($A$1=$AF$1,AF25,IF($A$1=$AI$1,AI25))))))))))))</f>
        <v/>
      </c>
      <c r="AP25" s="44">
        <f>IF($A$1=$B$1,C25,IF($A$1=$E$1,F25,IF($A$1=$H$1,I25,IF($A$1=$K$1,L25,IF($A$1=$N$1,O25,IF($A$1=$Q$1,R25,IF($A$1=$T$1,U25,IF($A$1=$W$1,X25,IF($A$1=$Z$1,AA25,IF($A$1=$AC$1,AD25,IF($A$1=$AF$1,AG25,IF($A$1=$AI$1,AJ25))))))))))))</f>
        <v/>
      </c>
    </row>
    <row r="26" ht="15.5" customHeight="1">
      <c r="A26" s="26" t="inlineStr">
        <is>
          <t>Çelik</t>
        </is>
      </c>
      <c r="B26" s="56">
        <f>B15*0.4/B6</f>
        <v/>
      </c>
      <c r="C26" s="56">
        <f>C15*0.4/C6</f>
        <v/>
      </c>
      <c r="D26" s="7" t="n"/>
      <c r="E26" s="56">
        <f>E15*0.4/E6</f>
        <v/>
      </c>
      <c r="F26" s="56">
        <f>F15*0.4/F6</f>
        <v/>
      </c>
      <c r="G26" s="7" t="n"/>
      <c r="H26" s="56">
        <f>H15*0.4/H6</f>
        <v/>
      </c>
      <c r="I26" s="56">
        <f>I15*0.4/I6</f>
        <v/>
      </c>
      <c r="J26" s="56" t="n"/>
      <c r="K26" s="56">
        <f>K15*0.4/K6</f>
        <v/>
      </c>
      <c r="L26" s="56">
        <f>L15*0.4/L6</f>
        <v/>
      </c>
      <c r="M26" s="56" t="n"/>
      <c r="N26" s="56">
        <f>N15*0.4/N6</f>
        <v/>
      </c>
      <c r="O26" s="56">
        <f>O15*0.4/O6</f>
        <v/>
      </c>
      <c r="P26" s="56" t="n"/>
      <c r="Q26" s="56">
        <f>Q15*0.4/Q6</f>
        <v/>
      </c>
      <c r="R26" s="56">
        <f>R15*0.4/R6</f>
        <v/>
      </c>
      <c r="S26" s="56" t="n"/>
      <c r="T26" s="56">
        <f>T15*0.4/T6</f>
        <v/>
      </c>
      <c r="U26" s="56">
        <f>U15*0.4/U6</f>
        <v/>
      </c>
      <c r="V26" s="56" t="n"/>
      <c r="W26" s="56">
        <f>W15*0.4/W6</f>
        <v/>
      </c>
      <c r="X26" s="56">
        <f>X15*0.4/X6</f>
        <v/>
      </c>
      <c r="Y26" s="56" t="n"/>
      <c r="Z26" s="56">
        <f>Z15*0.4/Z6</f>
        <v/>
      </c>
      <c r="AA26" s="56">
        <f>AA15*0.4/AA6</f>
        <v/>
      </c>
      <c r="AB26" s="56" t="n"/>
      <c r="AC26" s="56">
        <f>AC15*0.4/AC6</f>
        <v/>
      </c>
      <c r="AD26" s="56">
        <f>AD15*0.4/AD6</f>
        <v/>
      </c>
      <c r="AE26" s="56" t="n"/>
      <c r="AF26" s="56">
        <f>AF15*0.4/AF6</f>
        <v/>
      </c>
      <c r="AG26" s="56">
        <f>AG15*0.4/AG6</f>
        <v/>
      </c>
      <c r="AH26" s="56" t="n"/>
      <c r="AI26" s="56">
        <f>AI15*0.4/AI6</f>
        <v/>
      </c>
      <c r="AJ26" s="56">
        <f>AJ15*0.4/AJ6</f>
        <v/>
      </c>
      <c r="AK26" s="56" t="n"/>
      <c r="AL26" s="56">
        <f>AP26-AO26</f>
        <v/>
      </c>
      <c r="AM26" s="56" t="n"/>
      <c r="AO26" s="44">
        <f>IF($A$1=$B$1,B26,IF($A$1=$E$1,E26,IF($A$1=$H$1,H26,IF($A$1=$K$1,K26,IF($A$1=$N$1,N26,IF($A$1=$Q$1,Q26,IF($A$1=$T$1,T26,IF($A$1=$W$1,W26,IF($A$1=$Z$1,Z26,IF($A$1=$AC$1,AC26,IF($A$1=$AF$1,AF26,IF($A$1=$AI$1,AI26))))))))))))</f>
        <v/>
      </c>
      <c r="AP26" s="44">
        <f>IF($A$1=$B$1,C26,IF($A$1=$E$1,F26,IF($A$1=$H$1,I26,IF($A$1=$K$1,L26,IF($A$1=$N$1,O26,IF($A$1=$Q$1,R26,IF($A$1=$T$1,U26,IF($A$1=$W$1,X26,IF($A$1=$Z$1,AA26,IF($A$1=$AC$1,AD26,IF($A$1=$AF$1,AG26,IF($A$1=$AI$1,AJ26))))))))))))</f>
        <v/>
      </c>
    </row>
    <row r="27" ht="15.5" customHeight="1">
      <c r="A27" s="26" t="inlineStr">
        <is>
          <t>Alüminyum</t>
        </is>
      </c>
      <c r="B27" s="56">
        <f>B16*0.4/B6</f>
        <v/>
      </c>
      <c r="C27" s="56">
        <f>C16*0.4/C6</f>
        <v/>
      </c>
      <c r="D27" s="7" t="n"/>
      <c r="E27" s="56">
        <f>E16*0.4/E6</f>
        <v/>
      </c>
      <c r="F27" s="56">
        <f>F16*0.4/F6</f>
        <v/>
      </c>
      <c r="G27" s="7" t="n"/>
      <c r="H27" s="56">
        <f>H16*0.4/H6</f>
        <v/>
      </c>
      <c r="I27" s="56">
        <f>I16*0.4/I6</f>
        <v/>
      </c>
      <c r="J27" s="56" t="n"/>
      <c r="K27" s="56">
        <f>K16*0.4/K6</f>
        <v/>
      </c>
      <c r="L27" s="56">
        <f>L16*0.4/L6</f>
        <v/>
      </c>
      <c r="M27" s="56" t="n"/>
      <c r="N27" s="56">
        <f>N16*0.4/N6</f>
        <v/>
      </c>
      <c r="O27" s="56">
        <f>O16*0.4/O6</f>
        <v/>
      </c>
      <c r="P27" s="56" t="n"/>
      <c r="Q27" s="56">
        <f>Q16*0.4/Q6</f>
        <v/>
      </c>
      <c r="R27" s="56">
        <f>R16*0.4/R6</f>
        <v/>
      </c>
      <c r="S27" s="56" t="n"/>
      <c r="T27" s="56">
        <f>T16*0.4/T6</f>
        <v/>
      </c>
      <c r="U27" s="56">
        <f>U16*0.4/U6</f>
        <v/>
      </c>
      <c r="V27" s="56" t="n"/>
      <c r="W27" s="56">
        <f>W16*0.4/W6</f>
        <v/>
      </c>
      <c r="X27" s="56">
        <f>X16*0.4/X6</f>
        <v/>
      </c>
      <c r="Y27" s="56" t="n"/>
      <c r="Z27" s="56">
        <f>Z16*0.4/Z6</f>
        <v/>
      </c>
      <c r="AA27" s="56">
        <f>AA16*0.4/AA6</f>
        <v/>
      </c>
      <c r="AB27" s="56" t="n"/>
      <c r="AC27" s="56">
        <f>AC16*0.4/AC6</f>
        <v/>
      </c>
      <c r="AD27" s="56">
        <f>AD16*0.4/AD6</f>
        <v/>
      </c>
      <c r="AE27" s="56" t="n"/>
      <c r="AF27" s="56">
        <f>AF16*0.4/AF6</f>
        <v/>
      </c>
      <c r="AG27" s="56">
        <f>AG16*0.4/AG6</f>
        <v/>
      </c>
      <c r="AH27" s="56" t="n"/>
      <c r="AI27" s="56">
        <f>AI16*0.4/AI6</f>
        <v/>
      </c>
      <c r="AJ27" s="56">
        <f>AJ16*0.4/AJ6</f>
        <v/>
      </c>
      <c r="AK27" s="56" t="n"/>
      <c r="AL27" s="56">
        <f>AP27-AO27</f>
        <v/>
      </c>
      <c r="AM27" s="56" t="n"/>
      <c r="AO27" s="44">
        <f>IF($A$1=$B$1,B27,IF($A$1=$E$1,E27,IF($A$1=$H$1,H27,IF($A$1=$K$1,K27,IF($A$1=$N$1,N27,IF($A$1=$Q$1,Q27,IF($A$1=$T$1,T27,IF($A$1=$W$1,W27,IF($A$1=$Z$1,Z27,IF($A$1=$AC$1,AC27,IF($A$1=$AF$1,AF27,IF($A$1=$AI$1,AI27))))))))))))</f>
        <v/>
      </c>
      <c r="AP27" s="44">
        <f>IF($A$1=$B$1,C27,IF($A$1=$E$1,F27,IF($A$1=$H$1,I27,IF($A$1=$K$1,L27,IF($A$1=$N$1,O27,IF($A$1=$Q$1,R27,IF($A$1=$T$1,U27,IF($A$1=$W$1,X27,IF($A$1=$Z$1,AA27,IF($A$1=$AC$1,AD27,IF($A$1=$AF$1,AG27,IF($A$1=$AI$1,AJ27))))))))))))</f>
        <v/>
      </c>
    </row>
    <row r="28" ht="15.5" customHeight="1">
      <c r="A28" s="26" t="n"/>
      <c r="B28" s="56" t="n"/>
      <c r="C28" s="56" t="n"/>
      <c r="D28" s="7" t="n"/>
      <c r="E28" s="56" t="n"/>
      <c r="F28" s="56" t="n"/>
      <c r="G28" s="7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>
        <f>AP28-AO28</f>
        <v/>
      </c>
      <c r="AM28" s="56" t="n"/>
      <c r="AO28" s="44">
        <f>IF($A$1=$B$1,B28,IF($A$1=$E$1,E28,IF($A$1=$H$1,H28,IF($A$1=$K$1,K28,IF($A$1=$N$1,N28,IF($A$1=$Q$1,Q28,IF($A$1=$T$1,T28,IF($A$1=$W$1,W28,IF($A$1=$Z$1,Z28,IF($A$1=$AC$1,AC28,IF($A$1=$AF$1,AF28,IF($A$1=$AI$1,AI28))))))))))))</f>
        <v/>
      </c>
      <c r="AP28" s="44">
        <f>IF($A$1=$B$1,C28,IF($A$1=$E$1,F28,IF($A$1=$H$1,I28,IF($A$1=$K$1,L28,IF($A$1=$N$1,O28,IF($A$1=$Q$1,R28,IF($A$1=$T$1,U28,IF($A$1=$W$1,X28,IF($A$1=$Z$1,AA28,IF($A$1=$AC$1,AD28,IF($A$1=$AF$1,AG28,IF($A$1=$AI$1,AJ28))))))))))))</f>
        <v/>
      </c>
    </row>
    <row r="29" ht="15.5" customHeight="1">
      <c r="A29" s="26" t="n"/>
      <c r="B29" s="56" t="n"/>
      <c r="C29" s="56" t="n"/>
      <c r="D29" s="7" t="n"/>
      <c r="E29" s="56" t="n"/>
      <c r="F29" s="56" t="n"/>
      <c r="G29" s="7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>
        <f>AP29-AO29</f>
        <v/>
      </c>
      <c r="AM29" s="56" t="n"/>
      <c r="AO29" s="44">
        <f>IF($A$1=$B$1,B29,IF($A$1=$E$1,E29,IF($A$1=$H$1,H29,IF($A$1=$K$1,K29,IF($A$1=$N$1,N29,IF($A$1=$Q$1,Q29,IF($A$1=$T$1,T29,IF($A$1=$W$1,W29,IF($A$1=$Z$1,Z29,IF($A$1=$AC$1,AC29,IF($A$1=$AF$1,AF29,IF($A$1=$AI$1,AI29))))))))))))</f>
        <v/>
      </c>
      <c r="AP29" s="44">
        <f>IF($A$1=$B$1,C29,IF($A$1=$E$1,F29,IF($A$1=$H$1,I29,IF($A$1=$K$1,L29,IF($A$1=$N$1,O29,IF($A$1=$Q$1,R29,IF($A$1=$T$1,U29,IF($A$1=$W$1,X29,IF($A$1=$Z$1,AA29,IF($A$1=$AC$1,AD29,IF($A$1=$AF$1,AG29,IF($A$1=$AI$1,AJ29))))))))))))</f>
        <v/>
      </c>
    </row>
    <row r="30" ht="15.5" customFormat="1" customHeight="1" s="45">
      <c r="A30" s="35" t="inlineStr">
        <is>
          <t>Net Sales</t>
        </is>
      </c>
      <c r="B30" s="36">
        <f>'Bütçe aylık-TL'!$B$4</f>
        <v/>
      </c>
      <c r="C30" s="36">
        <f>'gerç aylık-tl'!$B$4</f>
        <v/>
      </c>
      <c r="D30" s="19" t="n"/>
      <c r="E30" s="36">
        <f>'Bütçe aylık-TL'!$C$4</f>
        <v/>
      </c>
      <c r="F30" s="36">
        <f>'gerç aylık-tl'!$C$4</f>
        <v/>
      </c>
      <c r="G30" s="19" t="n"/>
      <c r="H30" s="36">
        <f>'Bütçe aylık-TL'!$D$4</f>
        <v/>
      </c>
      <c r="I30" s="36">
        <f>'gerç aylık-tl'!$D$4</f>
        <v/>
      </c>
      <c r="J30" s="19" t="n"/>
      <c r="K30" s="36">
        <f>'Bütçe aylık-TL'!$E$4</f>
        <v/>
      </c>
      <c r="L30" s="36">
        <f>'gerç aylık-tl'!$E$4</f>
        <v/>
      </c>
      <c r="M30" s="19" t="n"/>
      <c r="N30" s="36">
        <f>'Bütçe aylık-TL'!$F$4</f>
        <v/>
      </c>
      <c r="O30" s="36">
        <f>'gerç aylık-tl'!$F$4</f>
        <v/>
      </c>
      <c r="P30" s="19" t="n"/>
      <c r="Q30" s="36">
        <f>'Bütçe aylık-TL'!$G$4</f>
        <v/>
      </c>
      <c r="R30" s="36">
        <f>'gerç aylık-tl'!$G$4</f>
        <v/>
      </c>
      <c r="S30" s="19" t="n"/>
      <c r="T30" s="36">
        <f>'Bütçe aylık-TL'!$H$4</f>
        <v/>
      </c>
      <c r="U30" s="36">
        <f>'gerç aylık-tl'!$H$4</f>
        <v/>
      </c>
      <c r="V30" s="19" t="n"/>
      <c r="W30" s="36">
        <f>'Bütçe aylık-TL'!$I$4</f>
        <v/>
      </c>
      <c r="X30" s="36">
        <f>'gerç aylık-tl'!$I$4</f>
        <v/>
      </c>
      <c r="Y30" s="19" t="n"/>
      <c r="Z30" s="36">
        <f>'Bütçe aylık-TL'!$J$4</f>
        <v/>
      </c>
      <c r="AA30" s="36">
        <f>'gerç aylık-tl'!$J$4</f>
        <v/>
      </c>
      <c r="AB30" s="19" t="n"/>
      <c r="AC30" s="36">
        <f>'Bütçe aylık-TL'!$K$4</f>
        <v/>
      </c>
      <c r="AD30" s="36">
        <f>'gerç aylık-tl'!$K$4</f>
        <v/>
      </c>
      <c r="AE30" s="19" t="n"/>
      <c r="AF30" s="36">
        <f>'Bütçe aylık-TL'!$L$4</f>
        <v/>
      </c>
      <c r="AG30" s="36">
        <f>'gerç aylık-tl'!$L$4</f>
        <v/>
      </c>
      <c r="AH30" s="19" t="n"/>
      <c r="AI30" s="36">
        <f>'Bütçe aylık-TL'!$M$4</f>
        <v/>
      </c>
      <c r="AJ30" s="36">
        <f>'gerç aylık-tl'!$M$4</f>
        <v/>
      </c>
      <c r="AK30" s="19" t="n"/>
      <c r="AL30" s="37">
        <f>AP30-AO30</f>
        <v/>
      </c>
      <c r="AM30" s="38">
        <f>AP30/AO30-1</f>
        <v/>
      </c>
      <c r="AO30" s="44">
        <f>IF($A$1=$B$1,B30,IF($A$1=$E$1,E30,IF($A$1=$H$1,H30,IF($A$1=$K$1,K30,IF($A$1=$N$1,N30,IF($A$1=$Q$1,Q30,IF($A$1=$T$1,T30,IF($A$1=$W$1,W30,IF($A$1=$Z$1,Z30,IF($A$1=$AC$1,AC30,IF($A$1=$AF$1,AF30,IF($A$1=$AI$1,AI30))))))))))))</f>
        <v/>
      </c>
      <c r="AP30" s="44">
        <f>IF($A$1=$B$1,C30,IF($A$1=$E$1,F30,IF($A$1=$H$1,I30,IF($A$1=$K$1,L30,IF($A$1=$N$1,O30,IF($A$1=$Q$1,R30,IF($A$1=$T$1,U30,IF($A$1=$W$1,X30,IF($A$1=$Z$1,AA30,IF($A$1=$AC$1,AD30,IF($A$1=$AF$1,AG30,IF($A$1=$AI$1,AJ30))))))))))))</f>
        <v/>
      </c>
    </row>
    <row r="31" ht="15.5" customFormat="1" customHeight="1" s="45">
      <c r="A31" s="35" t="inlineStr">
        <is>
          <t>Cost of Sales</t>
        </is>
      </c>
      <c r="B31" s="36">
        <f>'Bütçe aylık-TL'!$B$15</f>
        <v/>
      </c>
      <c r="C31" s="36">
        <f>'gerç aylık-tl'!$B$15</f>
        <v/>
      </c>
      <c r="D31" s="19" t="n"/>
      <c r="E31" s="36">
        <f>'Bütçe aylık-TL'!$C$15</f>
        <v/>
      </c>
      <c r="F31" s="36">
        <f>'gerç aylık-tl'!$C$15</f>
        <v/>
      </c>
      <c r="G31" s="19" t="n"/>
      <c r="H31" s="36">
        <f>'Bütçe aylık-TL'!$D$15</f>
        <v/>
      </c>
      <c r="I31" s="36">
        <f>'gerç aylık-tl'!$D$15</f>
        <v/>
      </c>
      <c r="J31" s="19" t="n"/>
      <c r="K31" s="36">
        <f>'Bütçe aylık-TL'!$E$15</f>
        <v/>
      </c>
      <c r="L31" s="36">
        <f>'gerç aylık-tl'!$E$15</f>
        <v/>
      </c>
      <c r="M31" s="19" t="n"/>
      <c r="N31" s="36">
        <f>'Bütçe aylık-TL'!$F$15</f>
        <v/>
      </c>
      <c r="O31" s="36">
        <f>'gerç aylık-tl'!$F$15</f>
        <v/>
      </c>
      <c r="P31" s="19" t="n"/>
      <c r="Q31" s="36">
        <f>'Bütçe aylık-TL'!$G$15</f>
        <v/>
      </c>
      <c r="R31" s="36">
        <f>'gerç aylık-tl'!$G$15</f>
        <v/>
      </c>
      <c r="S31" s="19" t="n"/>
      <c r="T31" s="36">
        <f>'Bütçe aylık-TL'!$H$15</f>
        <v/>
      </c>
      <c r="U31" s="36">
        <f>'gerç aylık-tl'!$H$15</f>
        <v/>
      </c>
      <c r="V31" s="19" t="n"/>
      <c r="W31" s="36">
        <f>'Bütçe aylık-TL'!$I$15</f>
        <v/>
      </c>
      <c r="X31" s="36">
        <f>'gerç aylık-tl'!$I$15</f>
        <v/>
      </c>
      <c r="Y31" s="19" t="n"/>
      <c r="Z31" s="36">
        <f>'Bütçe aylık-TL'!$J$15</f>
        <v/>
      </c>
      <c r="AA31" s="36">
        <f>'gerç aylık-tl'!$J$15</f>
        <v/>
      </c>
      <c r="AB31" s="19" t="n"/>
      <c r="AC31" s="36">
        <f>'Bütçe aylık-TL'!$K$15</f>
        <v/>
      </c>
      <c r="AD31" s="36">
        <f>'gerç aylık-tl'!$K$15</f>
        <v/>
      </c>
      <c r="AE31" s="19" t="n"/>
      <c r="AF31" s="36">
        <f>'Bütçe aylık-TL'!$L$15</f>
        <v/>
      </c>
      <c r="AG31" s="36">
        <f>'gerç aylık-tl'!$L$15</f>
        <v/>
      </c>
      <c r="AH31" s="19" t="n"/>
      <c r="AI31" s="36">
        <f>'Bütçe aylık-TL'!$M$15</f>
        <v/>
      </c>
      <c r="AJ31" s="36">
        <f>'gerç aylık-tl'!$M$15</f>
        <v/>
      </c>
      <c r="AK31" s="19" t="n"/>
      <c r="AL31" s="37">
        <f>AP31-AO31</f>
        <v/>
      </c>
      <c r="AM31" s="38">
        <f>AP31/AO31-1</f>
        <v/>
      </c>
      <c r="AO31" s="44">
        <f>IF($A$1=$B$1,B31,IF($A$1=$E$1,E31,IF($A$1=$H$1,H31,IF($A$1=$K$1,K31,IF($A$1=$N$1,N31,IF($A$1=$Q$1,Q31,IF($A$1=$T$1,T31,IF($A$1=$W$1,W31,IF($A$1=$Z$1,Z31,IF($A$1=$AC$1,AC31,IF($A$1=$AF$1,AF31,IF($A$1=$AI$1,AI31))))))))))))</f>
        <v/>
      </c>
      <c r="AP31" s="44">
        <f>IF($A$1=$B$1,C31,IF($A$1=$E$1,F31,IF($A$1=$H$1,I31,IF($A$1=$K$1,L31,IF($A$1=$N$1,O31,IF($A$1=$Q$1,R31,IF($A$1=$T$1,U31,IF($A$1=$W$1,X31,IF($A$1=$Z$1,AA31,IF($A$1=$AC$1,AD31,IF($A$1=$AF$1,AG31,IF($A$1=$AI$1,AJ31))))))))))))</f>
        <v/>
      </c>
    </row>
    <row r="32" ht="15.5" customFormat="1" customHeight="1" s="44">
      <c r="A32" s="31" t="inlineStr">
        <is>
          <t>Gross Profit</t>
        </is>
      </c>
      <c r="B32" s="32">
        <f>'Bütçe aylık-TL'!$B$26</f>
        <v/>
      </c>
      <c r="C32" s="32">
        <f>'gerç aylık-tl'!$B$26</f>
        <v/>
      </c>
      <c r="D32" s="18" t="n"/>
      <c r="E32" s="32">
        <f>'Bütçe aylık-TL'!$C$26</f>
        <v/>
      </c>
      <c r="F32" s="32">
        <f>'gerç aylık-tl'!$C$26</f>
        <v/>
      </c>
      <c r="G32" s="18" t="n"/>
      <c r="H32" s="32">
        <f>'Bütçe aylık-TL'!$D$26</f>
        <v/>
      </c>
      <c r="I32" s="32">
        <f>'gerç aylık-tl'!$D$26</f>
        <v/>
      </c>
      <c r="J32" s="18" t="n"/>
      <c r="K32" s="32">
        <f>'Bütçe aylık-TL'!$E$26</f>
        <v/>
      </c>
      <c r="L32" s="32">
        <f>'gerç aylık-tl'!$E$26</f>
        <v/>
      </c>
      <c r="M32" s="18" t="n"/>
      <c r="N32" s="32">
        <f>'Bütçe aylık-TL'!$F$26</f>
        <v/>
      </c>
      <c r="O32" s="32">
        <f>'gerç aylık-tl'!$F$26</f>
        <v/>
      </c>
      <c r="P32" s="18" t="n"/>
      <c r="Q32" s="32">
        <f>'Bütçe aylık-TL'!$G$26</f>
        <v/>
      </c>
      <c r="R32" s="32">
        <f>'gerç aylık-tl'!$G$26</f>
        <v/>
      </c>
      <c r="S32" s="18" t="n"/>
      <c r="T32" s="32">
        <f>'Bütçe aylık-TL'!$H$26</f>
        <v/>
      </c>
      <c r="U32" s="32">
        <f>'gerç aylık-tl'!$H$26</f>
        <v/>
      </c>
      <c r="V32" s="18" t="n"/>
      <c r="W32" s="32">
        <f>'Bütçe aylık-TL'!$I$26</f>
        <v/>
      </c>
      <c r="X32" s="32">
        <f>'gerç aylık-tl'!$I$26</f>
        <v/>
      </c>
      <c r="Y32" s="18" t="n"/>
      <c r="Z32" s="32">
        <f>'Bütçe aylık-TL'!$J$26</f>
        <v/>
      </c>
      <c r="AA32" s="32">
        <f>'gerç aylık-tl'!$J$26</f>
        <v/>
      </c>
      <c r="AB32" s="18" t="n"/>
      <c r="AC32" s="32">
        <f>'Bütçe aylık-TL'!$K$26</f>
        <v/>
      </c>
      <c r="AD32" s="32">
        <f>'gerç aylık-tl'!$K$26</f>
        <v/>
      </c>
      <c r="AE32" s="18" t="n"/>
      <c r="AF32" s="32">
        <f>'Bütçe aylık-TL'!$L$26</f>
        <v/>
      </c>
      <c r="AG32" s="32">
        <f>'gerç aylık-tl'!$L$26</f>
        <v/>
      </c>
      <c r="AH32" s="18" t="n"/>
      <c r="AI32" s="32">
        <f>'Bütçe aylık-TL'!$M$26</f>
        <v/>
      </c>
      <c r="AJ32" s="32">
        <f>'gerç aylık-tl'!$M$26</f>
        <v/>
      </c>
      <c r="AK32" s="18" t="n"/>
      <c r="AL32" s="33">
        <f>AP32-AO32</f>
        <v/>
      </c>
      <c r="AM32" s="34">
        <f>AP32/AO32-1</f>
        <v/>
      </c>
      <c r="AO32" s="44">
        <f>IF($A$1=$B$1,B32,IF($A$1=$E$1,E32,IF($A$1=$H$1,H32,IF($A$1=$K$1,K32,IF($A$1=$N$1,N32,IF($A$1=$Q$1,Q32,IF($A$1=$T$1,T32,IF($A$1=$W$1,W32,IF($A$1=$Z$1,Z32,IF($A$1=$AC$1,AC32,IF($A$1=$AF$1,AF32,IF($A$1=$AI$1,AI32))))))))))))</f>
        <v/>
      </c>
      <c r="AP32" s="44">
        <f>IF($A$1=$B$1,C32,IF($A$1=$E$1,F32,IF($A$1=$H$1,I32,IF($A$1=$K$1,L32,IF($A$1=$N$1,O32,IF($A$1=$Q$1,R32,IF($A$1=$T$1,U32,IF($A$1=$W$1,X32,IF($A$1=$Z$1,AA32,IF($A$1=$AC$1,AD32,IF($A$1=$AF$1,AG32,IF($A$1=$AI$1,AJ32))))))))))))</f>
        <v/>
      </c>
    </row>
    <row r="33" ht="15.5" customFormat="1" customHeight="1" s="46">
      <c r="A33" s="29" t="inlineStr">
        <is>
          <t>Gross Profit Margin</t>
        </is>
      </c>
      <c r="B33" s="28">
        <f>B32/B30</f>
        <v/>
      </c>
      <c r="C33" s="28">
        <f>C32/C30</f>
        <v/>
      </c>
      <c r="D33" s="40" t="n"/>
      <c r="E33" s="28">
        <f>E32/E30</f>
        <v/>
      </c>
      <c r="F33" s="28">
        <f>F32/F30</f>
        <v/>
      </c>
      <c r="G33" s="40" t="n"/>
      <c r="H33" s="28">
        <f>H32/H30</f>
        <v/>
      </c>
      <c r="I33" s="28">
        <f>I32/I30</f>
        <v/>
      </c>
      <c r="J33" s="40" t="n"/>
      <c r="K33" s="28">
        <f>K32/K30</f>
        <v/>
      </c>
      <c r="L33" s="28">
        <f>L32/L30</f>
        <v/>
      </c>
      <c r="M33" s="40" t="n"/>
      <c r="N33" s="28">
        <f>N32/N30</f>
        <v/>
      </c>
      <c r="O33" s="28">
        <f>O32/O30</f>
        <v/>
      </c>
      <c r="P33" s="40" t="n"/>
      <c r="Q33" s="28">
        <f>Q32/Q30</f>
        <v/>
      </c>
      <c r="R33" s="28">
        <f>R32/R30</f>
        <v/>
      </c>
      <c r="S33" s="40" t="n"/>
      <c r="T33" s="28">
        <f>T32/T30</f>
        <v/>
      </c>
      <c r="U33" s="28">
        <f>U32/U30</f>
        <v/>
      </c>
      <c r="V33" s="40" t="n"/>
      <c r="W33" s="28">
        <f>W32/W30</f>
        <v/>
      </c>
      <c r="X33" s="28">
        <f>X32/X30</f>
        <v/>
      </c>
      <c r="Y33" s="40" t="n"/>
      <c r="Z33" s="28">
        <f>Z32/Z30</f>
        <v/>
      </c>
      <c r="AA33" s="28">
        <f>AA32/AA30</f>
        <v/>
      </c>
      <c r="AB33" s="40" t="n"/>
      <c r="AC33" s="28">
        <f>AC32/AC30</f>
        <v/>
      </c>
      <c r="AD33" s="28">
        <f>AD32/AD30</f>
        <v/>
      </c>
      <c r="AE33" s="40" t="n"/>
      <c r="AF33" s="28">
        <f>AF32/AF30</f>
        <v/>
      </c>
      <c r="AG33" s="28">
        <f>AG32/AG30</f>
        <v/>
      </c>
      <c r="AH33" s="40" t="n"/>
      <c r="AI33" s="28">
        <f>AI32/AI30</f>
        <v/>
      </c>
      <c r="AJ33" s="28">
        <f>AJ32/AJ30</f>
        <v/>
      </c>
      <c r="AK33" s="40" t="n"/>
      <c r="AL33" s="15" t="n"/>
      <c r="AM33" s="22">
        <f>AP33-AO33</f>
        <v/>
      </c>
      <c r="AO33" s="44">
        <f>IF($A$1=$B$1,B33,IF($A$1=$E$1,E33,IF($A$1=$H$1,H33,IF($A$1=$K$1,K33,IF($A$1=$N$1,N33,IF($A$1=$Q$1,Q33,IF($A$1=$T$1,T33,IF($A$1=$W$1,W33,IF($A$1=$Z$1,Z33,IF($A$1=$AC$1,AC33,IF($A$1=$AF$1,AF33,IF($A$1=$AI$1,AI33))))))))))))</f>
        <v/>
      </c>
      <c r="AP33" s="44">
        <f>IF($A$1=$B$1,C33,IF($A$1=$E$1,F33,IF($A$1=$H$1,I33,IF($A$1=$K$1,L33,IF($A$1=$N$1,O33,IF($A$1=$Q$1,R33,IF($A$1=$T$1,U33,IF($A$1=$W$1,X33,IF($A$1=$Z$1,AA33,IF($A$1=$AC$1,AD33,IF($A$1=$AF$1,AG33,IF($A$1=$AI$1,AJ33))))))))))))</f>
        <v/>
      </c>
    </row>
    <row r="34">
      <c r="A34" s="2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5" t="n"/>
    </row>
    <row r="35" ht="17" customFormat="1" customHeight="1" s="49">
      <c r="A35" s="47" t="inlineStr">
        <is>
          <t>GROSS PROFIT BY CHANNELS (100%)</t>
        </is>
      </c>
      <c r="B35" s="413" t="n"/>
      <c r="C35" s="413" t="n"/>
      <c r="D35" s="413" t="n"/>
      <c r="E35" s="413" t="n"/>
      <c r="F35" s="413" t="n"/>
      <c r="G35" s="413" t="n"/>
      <c r="H35" s="413" t="n"/>
      <c r="I35" s="413" t="n"/>
      <c r="J35" s="413" t="n"/>
      <c r="K35" s="413" t="n"/>
      <c r="L35" s="413" t="n"/>
      <c r="M35" s="413" t="n"/>
      <c r="N35" s="413" t="n"/>
      <c r="O35" s="413" t="n"/>
      <c r="P35" s="413" t="n"/>
      <c r="Q35" s="413" t="n"/>
      <c r="R35" s="413" t="n"/>
      <c r="S35" s="413" t="n"/>
      <c r="T35" s="413" t="n"/>
      <c r="U35" s="413" t="n"/>
      <c r="V35" s="413" t="n"/>
      <c r="W35" s="413" t="n"/>
      <c r="X35" s="413" t="n"/>
      <c r="Y35" s="413" t="n"/>
      <c r="Z35" s="413" t="n"/>
      <c r="AA35" s="413" t="n"/>
      <c r="AB35" s="413" t="n"/>
      <c r="AC35" s="413" t="n"/>
      <c r="AD35" s="413" t="n"/>
      <c r="AE35" s="413" t="n"/>
      <c r="AF35" s="413" t="n"/>
      <c r="AG35" s="413" t="n"/>
      <c r="AH35" s="413" t="n"/>
      <c r="AI35" s="413" t="n"/>
      <c r="AJ35" s="413" t="n"/>
      <c r="AK35" s="413" t="n"/>
      <c r="AL35" s="413" t="n"/>
      <c r="AM35" s="48" t="n"/>
    </row>
    <row r="36" ht="15.5" customHeight="1">
      <c r="A36" s="26" t="inlineStr">
        <is>
          <t xml:space="preserve">İnci Holding </t>
        </is>
      </c>
      <c r="B36" s="7">
        <f>'Bütçe aylık-TL'!$B$27</f>
        <v/>
      </c>
      <c r="C36" s="7">
        <f>'gerç aylık-tl'!$B$27</f>
        <v/>
      </c>
      <c r="D36" s="7" t="n"/>
      <c r="E36" s="7">
        <f>'Bütçe aylık-TL'!$C$27</f>
        <v/>
      </c>
      <c r="F36" s="7">
        <f>'gerç aylık-tl'!$C$27</f>
        <v/>
      </c>
      <c r="G36" s="7" t="n"/>
      <c r="H36" s="7">
        <f>'Bütçe aylık-TL'!$D$27</f>
        <v/>
      </c>
      <c r="I36" s="7">
        <f>'gerç aylık-tl'!$D$27</f>
        <v/>
      </c>
      <c r="J36" s="7" t="n"/>
      <c r="K36" s="7">
        <f>'Bütçe aylık-TL'!$E$27</f>
        <v/>
      </c>
      <c r="L36" s="7">
        <f>'gerç aylık-tl'!$E$27</f>
        <v/>
      </c>
      <c r="M36" s="7" t="n"/>
      <c r="N36" s="7">
        <f>'Bütçe aylık-TL'!$F$27</f>
        <v/>
      </c>
      <c r="O36" s="7">
        <f>'gerç aylık-tl'!$F$27</f>
        <v/>
      </c>
      <c r="P36" s="7" t="n"/>
      <c r="Q36" s="7">
        <f>'Bütçe aylık-TL'!$G$27</f>
        <v/>
      </c>
      <c r="R36" s="7">
        <f>'gerç aylık-tl'!$G$27</f>
        <v/>
      </c>
      <c r="S36" s="7" t="n"/>
      <c r="T36" s="7">
        <f>'Bütçe aylık-TL'!$H$27</f>
        <v/>
      </c>
      <c r="U36" s="7">
        <f>'gerç aylık-tl'!$H$27</f>
        <v/>
      </c>
      <c r="V36" s="7" t="n"/>
      <c r="W36" s="7">
        <f>'Bütçe aylık-TL'!$I$27</f>
        <v/>
      </c>
      <c r="X36" s="7">
        <f>'gerç aylık-tl'!$I$27</f>
        <v/>
      </c>
      <c r="Y36" s="7" t="n"/>
      <c r="Z36" s="7">
        <f>'Bütçe aylık-TL'!$J$27</f>
        <v/>
      </c>
      <c r="AA36" s="7">
        <f>'gerç aylık-tl'!$J$27</f>
        <v/>
      </c>
      <c r="AB36" s="7" t="n"/>
      <c r="AC36" s="7">
        <f>'Bütçe aylık-TL'!$K$27</f>
        <v/>
      </c>
      <c r="AD36" s="7">
        <f>'gerç aylık-tl'!$K$27</f>
        <v/>
      </c>
      <c r="AE36" s="7" t="n"/>
      <c r="AF36" s="7">
        <f>'Bütçe aylık-TL'!$L$27</f>
        <v/>
      </c>
      <c r="AG36" s="7">
        <f>'gerç aylık-tl'!$L$27</f>
        <v/>
      </c>
      <c r="AH36" s="7" t="n"/>
      <c r="AI36" s="7">
        <f>'Bütçe aylık-TL'!$M$27</f>
        <v/>
      </c>
      <c r="AJ36" s="7">
        <f>'gerç aylık-tl'!$M$27</f>
        <v/>
      </c>
      <c r="AK36" s="7" t="n"/>
      <c r="AL36" s="21">
        <f>AP36-AO36</f>
        <v/>
      </c>
      <c r="AM36" s="22">
        <f>AP36/AO36-1</f>
        <v/>
      </c>
      <c r="AO36" s="44">
        <f>IF($A$1=$B$1,B36,IF($A$1=$E$1,E36,IF($A$1=$H$1,H36,IF($A$1=$K$1,K36,IF($A$1=$N$1,N36,IF($A$1=$Q$1,Q36,IF($A$1=$T$1,T36,IF($A$1=$W$1,W36,IF($A$1=$Z$1,Z36,IF($A$1=$AC$1,AC36,IF($A$1=$AF$1,AF36,IF($A$1=$AI$1,AI36))))))))))))</f>
        <v/>
      </c>
      <c r="AP36" s="44">
        <f>IF($A$1=$B$1,C36,IF($A$1=$E$1,F36,IF($A$1=$H$1,I36,IF($A$1=$K$1,L36,IF($A$1=$N$1,O36,IF($A$1=$Q$1,R36,IF($A$1=$T$1,U36,IF($A$1=$W$1,X36,IF($A$1=$Z$1,AA36,IF($A$1=$AC$1,AD36,IF($A$1=$AF$1,AG36,IF($A$1=$AI$1,AJ36))))))))))))</f>
        <v/>
      </c>
    </row>
    <row r="37" ht="15.5" customHeight="1">
      <c r="A37" s="26" t="inlineStr">
        <is>
          <t xml:space="preserve">ISM </t>
        </is>
      </c>
      <c r="B37" s="7">
        <f>'Bütçe aylık-TL'!$B$28</f>
        <v/>
      </c>
      <c r="C37" s="7">
        <f>'gerç aylık-tl'!$B$28</f>
        <v/>
      </c>
      <c r="D37" s="7" t="n"/>
      <c r="E37" s="7">
        <f>'Bütçe aylık-TL'!$C$28</f>
        <v/>
      </c>
      <c r="F37" s="7">
        <f>'gerç aylık-tl'!$C$28</f>
        <v/>
      </c>
      <c r="G37" s="7" t="n"/>
      <c r="H37" s="7">
        <f>'Bütçe aylık-TL'!$D$28</f>
        <v/>
      </c>
      <c r="I37" s="7">
        <f>'gerç aylık-tl'!$D$28</f>
        <v/>
      </c>
      <c r="J37" s="7" t="n"/>
      <c r="K37" s="7">
        <f>'Bütçe aylık-TL'!$E$28</f>
        <v/>
      </c>
      <c r="L37" s="7">
        <f>'gerç aylık-tl'!$E$28</f>
        <v/>
      </c>
      <c r="M37" s="7" t="n"/>
      <c r="N37" s="7">
        <f>'Bütçe aylık-TL'!$F$28</f>
        <v/>
      </c>
      <c r="O37" s="7">
        <f>'gerç aylık-tl'!$F$28</f>
        <v/>
      </c>
      <c r="P37" s="7" t="n"/>
      <c r="Q37" s="7">
        <f>'Bütçe aylık-TL'!$G$28</f>
        <v/>
      </c>
      <c r="R37" s="7">
        <f>'gerç aylık-tl'!$G$28</f>
        <v/>
      </c>
      <c r="S37" s="7" t="n"/>
      <c r="T37" s="7">
        <f>'Bütçe aylık-TL'!$H$28</f>
        <v/>
      </c>
      <c r="U37" s="7">
        <f>'gerç aylık-tl'!$H$28</f>
        <v/>
      </c>
      <c r="V37" s="7" t="n"/>
      <c r="W37" s="7">
        <f>'Bütçe aylık-TL'!$I$28</f>
        <v/>
      </c>
      <c r="X37" s="7">
        <f>'gerç aylık-tl'!$I$28</f>
        <v/>
      </c>
      <c r="Y37" s="7" t="n"/>
      <c r="Z37" s="7">
        <f>'Bütçe aylık-TL'!$J$28</f>
        <v/>
      </c>
      <c r="AA37" s="7">
        <f>'gerç aylık-tl'!$J$28</f>
        <v/>
      </c>
      <c r="AB37" s="7" t="n"/>
      <c r="AC37" s="7">
        <f>'Bütçe aylık-TL'!$K$28</f>
        <v/>
      </c>
      <c r="AD37" s="7">
        <f>'gerç aylık-tl'!$K$28</f>
        <v/>
      </c>
      <c r="AE37" s="7" t="n"/>
      <c r="AF37" s="7">
        <f>'Bütçe aylık-TL'!$L$28</f>
        <v/>
      </c>
      <c r="AG37" s="7">
        <f>'gerç aylık-tl'!$L$28</f>
        <v/>
      </c>
      <c r="AH37" s="7" t="n"/>
      <c r="AI37" s="7">
        <f>'Bütçe aylık-TL'!$M$28</f>
        <v/>
      </c>
      <c r="AJ37" s="7">
        <f>'gerç aylık-tl'!$M$28</f>
        <v/>
      </c>
      <c r="AK37" s="7" t="n"/>
      <c r="AL37" s="21">
        <f>AP37-AO37</f>
        <v/>
      </c>
      <c r="AM37" s="22">
        <f>AP37/AO37-1</f>
        <v/>
      </c>
      <c r="AO37" s="44">
        <f>IF($A$1=$B$1,B37,IF($A$1=$E$1,E37,IF($A$1=$H$1,H37,IF($A$1=$K$1,K37,IF($A$1=$N$1,N37,IF($A$1=$Q$1,Q37,IF($A$1=$T$1,T37,IF($A$1=$W$1,W37,IF($A$1=$Z$1,Z37,IF($A$1=$AC$1,AC37,IF($A$1=$AF$1,AF37,IF($A$1=$AI$1,AI37))))))))))))</f>
        <v/>
      </c>
      <c r="AP37" s="44">
        <f>IF($A$1=$B$1,C37,IF($A$1=$E$1,F37,IF($A$1=$H$1,I37,IF($A$1=$K$1,L37,IF($A$1=$N$1,O37,IF($A$1=$Q$1,R37,IF($A$1=$T$1,U37,IF($A$1=$W$1,X37,IF($A$1=$Z$1,AA37,IF($A$1=$AC$1,AD37,IF($A$1=$AF$1,AG37,IF($A$1=$AI$1,AJ37))))))))))))</f>
        <v/>
      </c>
    </row>
    <row r="38" ht="15.5" customHeight="1">
      <c r="A38" s="26" t="inlineStr">
        <is>
          <t>İncitaş</t>
        </is>
      </c>
      <c r="B38" s="7">
        <f>'Bütçe aylık-TL'!$B$29</f>
        <v/>
      </c>
      <c r="C38" s="7">
        <f>'gerç aylık-tl'!$B$29</f>
        <v/>
      </c>
      <c r="D38" s="7" t="n"/>
      <c r="E38" s="7">
        <f>'Bütçe aylık-TL'!$C$29</f>
        <v/>
      </c>
      <c r="F38" s="7">
        <f>'gerç aylık-tl'!$C$29</f>
        <v/>
      </c>
      <c r="G38" s="7" t="n"/>
      <c r="H38" s="7">
        <f>'Bütçe aylık-TL'!$D$29</f>
        <v/>
      </c>
      <c r="I38" s="7">
        <f>'gerç aylık-tl'!$D$29</f>
        <v/>
      </c>
      <c r="J38" s="7" t="n"/>
      <c r="K38" s="7">
        <f>'Bütçe aylık-TL'!$E$29</f>
        <v/>
      </c>
      <c r="L38" s="7">
        <f>'gerç aylık-tl'!$E$29</f>
        <v/>
      </c>
      <c r="M38" s="7" t="n"/>
      <c r="N38" s="7">
        <f>'Bütçe aylık-TL'!$F$29</f>
        <v/>
      </c>
      <c r="O38" s="7">
        <f>'gerç aylık-tl'!$F$29</f>
        <v/>
      </c>
      <c r="P38" s="7" t="n"/>
      <c r="Q38" s="7">
        <f>'Bütçe aylık-TL'!$G$29</f>
        <v/>
      </c>
      <c r="R38" s="7">
        <f>'gerç aylık-tl'!$G$29</f>
        <v/>
      </c>
      <c r="S38" s="7" t="n"/>
      <c r="T38" s="7">
        <f>'Bütçe aylık-TL'!$H$29</f>
        <v/>
      </c>
      <c r="U38" s="7">
        <f>'gerç aylık-tl'!$H$29</f>
        <v/>
      </c>
      <c r="V38" s="7" t="n"/>
      <c r="W38" s="7">
        <f>'Bütçe aylık-TL'!$I$29</f>
        <v/>
      </c>
      <c r="X38" s="7">
        <f>'gerç aylık-tl'!$I$29</f>
        <v/>
      </c>
      <c r="Y38" s="7" t="n"/>
      <c r="Z38" s="7">
        <f>'Bütçe aylık-TL'!$J$29</f>
        <v/>
      </c>
      <c r="AA38" s="7">
        <f>'gerç aylık-tl'!$J$29</f>
        <v/>
      </c>
      <c r="AB38" s="7" t="n"/>
      <c r="AC38" s="7">
        <f>'Bütçe aylık-TL'!$K$29</f>
        <v/>
      </c>
      <c r="AD38" s="7">
        <f>'gerç aylık-tl'!$K$29</f>
        <v/>
      </c>
      <c r="AE38" s="7" t="n"/>
      <c r="AF38" s="7">
        <f>'Bütçe aylık-TL'!$L$29</f>
        <v/>
      </c>
      <c r="AG38" s="7">
        <f>'gerç aylık-tl'!$L$29</f>
        <v/>
      </c>
      <c r="AH38" s="7" t="n"/>
      <c r="AI38" s="7">
        <f>'Bütçe aylık-TL'!$M$29</f>
        <v/>
      </c>
      <c r="AJ38" s="7">
        <f>'gerç aylık-tl'!$M$29</f>
        <v/>
      </c>
      <c r="AK38" s="7" t="n"/>
      <c r="AL38" s="21">
        <f>AP38-AO38</f>
        <v/>
      </c>
      <c r="AM38" s="22">
        <f>AP38/AO38-1</f>
        <v/>
      </c>
      <c r="AO38" s="44">
        <f>IF($A$1=$B$1,B38,IF($A$1=$E$1,E38,IF($A$1=$H$1,H38,IF($A$1=$K$1,K38,IF($A$1=$N$1,N38,IF($A$1=$Q$1,Q38,IF($A$1=$T$1,T38,IF($A$1=$W$1,W38,IF($A$1=$Z$1,Z38,IF($A$1=$AC$1,AC38,IF($A$1=$AF$1,AF38,IF($A$1=$AI$1,AI38))))))))))))</f>
        <v/>
      </c>
      <c r="AP38" s="44">
        <f>IF($A$1=$B$1,C38,IF($A$1=$E$1,F38,IF($A$1=$H$1,I38,IF($A$1=$K$1,L38,IF($A$1=$N$1,O38,IF($A$1=$Q$1,R38,IF($A$1=$T$1,U38,IF($A$1=$W$1,X38,IF($A$1=$Z$1,AA38,IF($A$1=$AC$1,AD38,IF($A$1=$AF$1,AG38,IF($A$1=$AI$1,AJ38))))))))))))</f>
        <v/>
      </c>
    </row>
    <row r="39" ht="15.5" customHeight="1">
      <c r="A39" s="26" t="inlineStr">
        <is>
          <t>İnci GS Yuasa</t>
        </is>
      </c>
      <c r="B39" s="7">
        <f>'Bütçe aylık-TL'!$B$30</f>
        <v/>
      </c>
      <c r="C39" s="7">
        <f>'gerç aylık-tl'!$B$30</f>
        <v/>
      </c>
      <c r="D39" s="7" t="n"/>
      <c r="E39" s="7">
        <f>'Bütçe aylık-TL'!$C$30</f>
        <v/>
      </c>
      <c r="F39" s="7">
        <f>'gerç aylık-tl'!$C$30</f>
        <v/>
      </c>
      <c r="G39" s="7" t="n"/>
      <c r="H39" s="7">
        <f>'Bütçe aylık-TL'!$D$30</f>
        <v/>
      </c>
      <c r="I39" s="7">
        <f>'gerç aylık-tl'!$D$30</f>
        <v/>
      </c>
      <c r="J39" s="7" t="n"/>
      <c r="K39" s="7">
        <f>'Bütçe aylık-TL'!$E$30</f>
        <v/>
      </c>
      <c r="L39" s="7">
        <f>'gerç aylık-tl'!$E$30</f>
        <v/>
      </c>
      <c r="M39" s="7" t="n"/>
      <c r="N39" s="7">
        <f>'Bütçe aylık-TL'!$F$30</f>
        <v/>
      </c>
      <c r="O39" s="7">
        <f>'gerç aylık-tl'!$F$30</f>
        <v/>
      </c>
      <c r="P39" s="7" t="n"/>
      <c r="Q39" s="7">
        <f>'Bütçe aylık-TL'!$G$30</f>
        <v/>
      </c>
      <c r="R39" s="7">
        <f>'gerç aylık-tl'!$G$30</f>
        <v/>
      </c>
      <c r="S39" s="7" t="n"/>
      <c r="T39" s="7">
        <f>'Bütçe aylık-TL'!$H$30</f>
        <v/>
      </c>
      <c r="U39" s="7">
        <f>'gerç aylık-tl'!$H$30</f>
        <v/>
      </c>
      <c r="V39" s="7" t="n"/>
      <c r="W39" s="7">
        <f>'Bütçe aylık-TL'!$I$30</f>
        <v/>
      </c>
      <c r="X39" s="7">
        <f>'gerç aylık-tl'!$I$30</f>
        <v/>
      </c>
      <c r="Y39" s="7" t="n"/>
      <c r="Z39" s="7">
        <f>'Bütçe aylık-TL'!$J$30</f>
        <v/>
      </c>
      <c r="AA39" s="7">
        <f>'gerç aylık-tl'!$J$30</f>
        <v/>
      </c>
      <c r="AB39" s="7" t="n"/>
      <c r="AC39" s="7">
        <f>'Bütçe aylık-TL'!$K$30</f>
        <v/>
      </c>
      <c r="AD39" s="7">
        <f>'gerç aylık-tl'!$K$30</f>
        <v/>
      </c>
      <c r="AE39" s="7" t="n"/>
      <c r="AF39" s="7">
        <f>'Bütçe aylık-TL'!$L$30</f>
        <v/>
      </c>
      <c r="AG39" s="7">
        <f>'gerç aylık-tl'!$L$30</f>
        <v/>
      </c>
      <c r="AH39" s="7" t="n"/>
      <c r="AI39" s="7">
        <f>'Bütçe aylık-TL'!$M$30</f>
        <v/>
      </c>
      <c r="AJ39" s="7">
        <f>'gerç aylık-tl'!$M$30</f>
        <v/>
      </c>
      <c r="AK39" s="7" t="n"/>
      <c r="AL39" s="21">
        <f>AP39-AO39</f>
        <v/>
      </c>
      <c r="AM39" s="22">
        <f>AP39/AO39-1</f>
        <v/>
      </c>
      <c r="AO39" s="44">
        <f>IF($A$1=$B$1,B39,IF($A$1=$E$1,E39,IF($A$1=$H$1,H39,IF($A$1=$K$1,K39,IF($A$1=$N$1,N39,IF($A$1=$Q$1,Q39,IF($A$1=$T$1,T39,IF($A$1=$W$1,W39,IF($A$1=$Z$1,Z39,IF($A$1=$AC$1,AC39,IF($A$1=$AF$1,AF39,IF($A$1=$AI$1,AI39))))))))))))</f>
        <v/>
      </c>
      <c r="AP39" s="44">
        <f>IF($A$1=$B$1,C39,IF($A$1=$E$1,F39,IF($A$1=$H$1,I39,IF($A$1=$K$1,L39,IF($A$1=$N$1,O39,IF($A$1=$Q$1,R39,IF($A$1=$T$1,U39,IF($A$1=$W$1,X39,IF($A$1=$Z$1,AA39,IF($A$1=$AC$1,AD39,IF($A$1=$AF$1,AG39,IF($A$1=$AI$1,AJ39))))))))))))</f>
        <v/>
      </c>
    </row>
    <row r="40" ht="15.5" customFormat="1" customHeight="1" s="1">
      <c r="A40" s="26" t="inlineStr">
        <is>
          <t>Yusen İnci Loj.</t>
        </is>
      </c>
      <c r="B40" s="7">
        <f>'Bütçe aylık-TL'!$B$31</f>
        <v/>
      </c>
      <c r="C40" s="7">
        <f>'gerç aylık-tl'!$B$31</f>
        <v/>
      </c>
      <c r="D40" s="8" t="n"/>
      <c r="E40" s="7">
        <f>'Bütçe aylık-TL'!$C$31</f>
        <v/>
      </c>
      <c r="F40" s="7">
        <f>'gerç aylık-tl'!$C$31</f>
        <v/>
      </c>
      <c r="G40" s="8" t="n"/>
      <c r="H40" s="7">
        <f>'Bütçe aylık-TL'!$D$31</f>
        <v/>
      </c>
      <c r="I40" s="7">
        <f>'gerç aylık-tl'!$D$31</f>
        <v/>
      </c>
      <c r="J40" s="8" t="n"/>
      <c r="K40" s="7">
        <f>'Bütçe aylık-TL'!$E$31</f>
        <v/>
      </c>
      <c r="L40" s="7">
        <f>'gerç aylık-tl'!$E$31</f>
        <v/>
      </c>
      <c r="M40" s="8" t="n"/>
      <c r="N40" s="7">
        <f>'Bütçe aylık-TL'!$F$31</f>
        <v/>
      </c>
      <c r="O40" s="7">
        <f>'gerç aylık-tl'!$F$31</f>
        <v/>
      </c>
      <c r="P40" s="8" t="n"/>
      <c r="Q40" s="7">
        <f>'Bütçe aylık-TL'!$G$31</f>
        <v/>
      </c>
      <c r="R40" s="7">
        <f>'gerç aylık-tl'!$G$31</f>
        <v/>
      </c>
      <c r="S40" s="8" t="n"/>
      <c r="T40" s="7">
        <f>'Bütçe aylık-TL'!$H$31</f>
        <v/>
      </c>
      <c r="U40" s="7">
        <f>'gerç aylık-tl'!$H$31</f>
        <v/>
      </c>
      <c r="V40" s="8" t="n"/>
      <c r="W40" s="7">
        <f>'Bütçe aylık-TL'!$I$31</f>
        <v/>
      </c>
      <c r="X40" s="7">
        <f>'gerç aylık-tl'!$I$31</f>
        <v/>
      </c>
      <c r="Y40" s="8" t="n"/>
      <c r="Z40" s="7">
        <f>'Bütçe aylık-TL'!$J$31</f>
        <v/>
      </c>
      <c r="AA40" s="7">
        <f>'gerç aylık-tl'!$J$31</f>
        <v/>
      </c>
      <c r="AB40" s="8" t="n"/>
      <c r="AC40" s="7">
        <f>'Bütçe aylık-TL'!$K$31</f>
        <v/>
      </c>
      <c r="AD40" s="7">
        <f>'gerç aylık-tl'!$K$31</f>
        <v/>
      </c>
      <c r="AE40" s="8" t="n"/>
      <c r="AF40" s="7">
        <f>'Bütçe aylık-TL'!$L$31</f>
        <v/>
      </c>
      <c r="AG40" s="7">
        <f>'gerç aylık-tl'!$L$31</f>
        <v/>
      </c>
      <c r="AH40" s="8" t="n"/>
      <c r="AI40" s="7">
        <f>'Bütçe aylık-TL'!$M$31</f>
        <v/>
      </c>
      <c r="AJ40" s="7">
        <f>'gerç aylık-tl'!$M$31</f>
        <v/>
      </c>
      <c r="AK40" s="8" t="n"/>
      <c r="AL40" s="21">
        <f>AP40-AO40</f>
        <v/>
      </c>
      <c r="AM40" s="22">
        <f>AP40/AO40-1</f>
        <v/>
      </c>
      <c r="AO40" s="44">
        <f>IF($A$1=$B$1,B40,IF($A$1=$E$1,E40,IF($A$1=$H$1,H40,IF($A$1=$K$1,K40,IF($A$1=$N$1,N40,IF($A$1=$Q$1,Q40,IF($A$1=$T$1,T40,IF($A$1=$W$1,W40,IF($A$1=$Z$1,Z40,IF($A$1=$AC$1,AC40,IF($A$1=$AF$1,AF40,IF($A$1=$AI$1,AI40))))))))))))</f>
        <v/>
      </c>
      <c r="AP40" s="44">
        <f>IF($A$1=$B$1,C40,IF($A$1=$E$1,F40,IF($A$1=$H$1,I40,IF($A$1=$K$1,L40,IF($A$1=$N$1,O40,IF($A$1=$Q$1,R40,IF($A$1=$T$1,U40,IF($A$1=$W$1,X40,IF($A$1=$Z$1,AA40,IF($A$1=$AC$1,AD40,IF($A$1=$AF$1,AG40,IF($A$1=$AI$1,AJ40))))))))))))</f>
        <v/>
      </c>
    </row>
    <row r="41" ht="15.5" customHeight="1">
      <c r="A41" s="26" t="inlineStr">
        <is>
          <t>Jantaş</t>
        </is>
      </c>
      <c r="B41" s="7">
        <f>'Bütçe aylık-TL'!$B$32</f>
        <v/>
      </c>
      <c r="C41" s="7">
        <f>'gerç aylık-tl'!$B$32</f>
        <v/>
      </c>
      <c r="D41" s="7" t="n"/>
      <c r="E41" s="7">
        <f>'Bütçe aylık-TL'!$C$32</f>
        <v/>
      </c>
      <c r="F41" s="7">
        <f>'gerç aylık-tl'!$C$32</f>
        <v/>
      </c>
      <c r="G41" s="7" t="n"/>
      <c r="H41" s="7">
        <f>'Bütçe aylık-TL'!$D$32</f>
        <v/>
      </c>
      <c r="I41" s="7">
        <f>'gerç aylık-tl'!$D$32</f>
        <v/>
      </c>
      <c r="J41" s="7" t="n"/>
      <c r="K41" s="7">
        <f>'Bütçe aylık-TL'!$E$32</f>
        <v/>
      </c>
      <c r="L41" s="7">
        <f>'gerç aylık-tl'!$E$32</f>
        <v/>
      </c>
      <c r="M41" s="7" t="n"/>
      <c r="N41" s="7">
        <f>'Bütçe aylık-TL'!$F$32</f>
        <v/>
      </c>
      <c r="O41" s="7">
        <f>'gerç aylık-tl'!$F$32</f>
        <v/>
      </c>
      <c r="P41" s="7" t="n"/>
      <c r="Q41" s="7">
        <f>'Bütçe aylık-TL'!$G$32</f>
        <v/>
      </c>
      <c r="R41" s="7">
        <f>'gerç aylık-tl'!$G$32</f>
        <v/>
      </c>
      <c r="S41" s="7" t="n"/>
      <c r="T41" s="7">
        <f>'Bütçe aylık-TL'!$H$32</f>
        <v/>
      </c>
      <c r="U41" s="7">
        <f>'gerç aylık-tl'!$H$32</f>
        <v/>
      </c>
      <c r="V41" s="7" t="n"/>
      <c r="W41" s="7">
        <f>'Bütçe aylık-TL'!$I$32</f>
        <v/>
      </c>
      <c r="X41" s="7">
        <f>'gerç aylık-tl'!$I$32</f>
        <v/>
      </c>
      <c r="Y41" s="7" t="n"/>
      <c r="Z41" s="7">
        <f>'Bütçe aylık-TL'!$J$32</f>
        <v/>
      </c>
      <c r="AA41" s="7">
        <f>'gerç aylık-tl'!$J$32</f>
        <v/>
      </c>
      <c r="AB41" s="7" t="n"/>
      <c r="AC41" s="7">
        <f>'Bütçe aylık-TL'!$K$32</f>
        <v/>
      </c>
      <c r="AD41" s="7">
        <f>'gerç aylık-tl'!$K$32</f>
        <v/>
      </c>
      <c r="AE41" s="7" t="n"/>
      <c r="AF41" s="7">
        <f>'Bütçe aylık-TL'!$L$32</f>
        <v/>
      </c>
      <c r="AG41" s="7">
        <f>'gerç aylık-tl'!$L$32</f>
        <v/>
      </c>
      <c r="AH41" s="7" t="n"/>
      <c r="AI41" s="7">
        <f>'Bütçe aylık-TL'!$M$32</f>
        <v/>
      </c>
      <c r="AJ41" s="7">
        <f>'gerç aylık-tl'!$M$32</f>
        <v/>
      </c>
      <c r="AK41" s="7" t="n"/>
      <c r="AL41" s="21">
        <f>AP41-AO41</f>
        <v/>
      </c>
      <c r="AM41" s="22">
        <f>AP41/AO41-1</f>
        <v/>
      </c>
      <c r="AO41" s="44">
        <f>IF($A$1=$B$1,B41,IF($A$1=$E$1,E41,IF($A$1=$H$1,H41,IF($A$1=$K$1,K41,IF($A$1=$N$1,N41,IF($A$1=$Q$1,Q41,IF($A$1=$T$1,T41,IF($A$1=$W$1,W41,IF($A$1=$Z$1,Z41,IF($A$1=$AC$1,AC41,IF($A$1=$AF$1,AF41,IF($A$1=$AI$1,AI41))))))))))))</f>
        <v/>
      </c>
      <c r="AP41" s="44">
        <f>IF($A$1=$B$1,C41,IF($A$1=$E$1,F41,IF($A$1=$H$1,I41,IF($A$1=$K$1,L41,IF($A$1=$N$1,O41,IF($A$1=$Q$1,R41,IF($A$1=$T$1,U41,IF($A$1=$W$1,X41,IF($A$1=$Z$1,AA41,IF($A$1=$AC$1,AD41,IF($A$1=$AF$1,AG41,IF($A$1=$AI$1,AJ41))))))))))))</f>
        <v/>
      </c>
    </row>
    <row r="42" ht="15.5" customHeight="1">
      <c r="A42" s="26" t="inlineStr">
        <is>
          <t>Çelik</t>
        </is>
      </c>
      <c r="B42" s="7">
        <f>'Bütçe aylık-TL'!$B$33</f>
        <v/>
      </c>
      <c r="C42" s="7">
        <f>'gerç aylık-tl'!$B$33</f>
        <v/>
      </c>
      <c r="D42" s="7" t="n"/>
      <c r="E42" s="7">
        <f>'Bütçe aylık-TL'!$C$33</f>
        <v/>
      </c>
      <c r="F42" s="7">
        <f>'gerç aylık-tl'!$C$33</f>
        <v/>
      </c>
      <c r="G42" s="7" t="n"/>
      <c r="H42" s="7">
        <f>'Bütçe aylık-TL'!$D$33</f>
        <v/>
      </c>
      <c r="I42" s="7">
        <f>'gerç aylık-tl'!$D$33</f>
        <v/>
      </c>
      <c r="J42" s="7" t="n"/>
      <c r="K42" s="7">
        <f>'Bütçe aylık-TL'!$E$33</f>
        <v/>
      </c>
      <c r="L42" s="7">
        <f>'gerç aylık-tl'!$E$33</f>
        <v/>
      </c>
      <c r="M42" s="7" t="n"/>
      <c r="N42" s="7">
        <f>'Bütçe aylık-TL'!$F$33</f>
        <v/>
      </c>
      <c r="O42" s="7">
        <f>'gerç aylık-tl'!$F$33</f>
        <v/>
      </c>
      <c r="P42" s="7" t="n"/>
      <c r="Q42" s="7">
        <f>'Bütçe aylık-TL'!$G$33</f>
        <v/>
      </c>
      <c r="R42" s="7">
        <f>'gerç aylık-tl'!$G$33</f>
        <v/>
      </c>
      <c r="S42" s="7" t="n"/>
      <c r="T42" s="7">
        <f>'Bütçe aylık-TL'!$H$33</f>
        <v/>
      </c>
      <c r="U42" s="7">
        <f>'gerç aylık-tl'!$H$33</f>
        <v/>
      </c>
      <c r="V42" s="7" t="n"/>
      <c r="W42" s="7">
        <f>'Bütçe aylık-TL'!$I$33</f>
        <v/>
      </c>
      <c r="X42" s="7">
        <f>'gerç aylık-tl'!$I$33</f>
        <v/>
      </c>
      <c r="Y42" s="7" t="n"/>
      <c r="Z42" s="7">
        <f>'Bütçe aylık-TL'!$J$33</f>
        <v/>
      </c>
      <c r="AA42" s="7">
        <f>'gerç aylık-tl'!$J$33</f>
        <v/>
      </c>
      <c r="AB42" s="7" t="n"/>
      <c r="AC42" s="7">
        <f>'Bütçe aylık-TL'!$K$33</f>
        <v/>
      </c>
      <c r="AD42" s="7">
        <f>'gerç aylık-tl'!$K$33</f>
        <v/>
      </c>
      <c r="AE42" s="7" t="n"/>
      <c r="AF42" s="7">
        <f>'Bütçe aylık-TL'!$L$33</f>
        <v/>
      </c>
      <c r="AG42" s="7">
        <f>'gerç aylık-tl'!$L$33</f>
        <v/>
      </c>
      <c r="AH42" s="7" t="n"/>
      <c r="AI42" s="7">
        <f>'Bütçe aylık-TL'!$M$33</f>
        <v/>
      </c>
      <c r="AJ42" s="7">
        <f>'gerç aylık-tl'!$M$33</f>
        <v/>
      </c>
      <c r="AK42" s="7" t="n"/>
      <c r="AL42" s="21">
        <f>AP42-AO42</f>
        <v/>
      </c>
      <c r="AM42" s="22">
        <f>AP42/AO42-1</f>
        <v/>
      </c>
      <c r="AO42" s="44">
        <f>IF($A$1=$B$1,B42,IF($A$1=$E$1,E42,IF($A$1=$H$1,H42,IF($A$1=$K$1,K42,IF($A$1=$N$1,N42,IF($A$1=$Q$1,Q42,IF($A$1=$T$1,T42,IF($A$1=$W$1,W42,IF($A$1=$Z$1,Z42,IF($A$1=$AC$1,AC42,IF($A$1=$AF$1,AF42,IF($A$1=$AI$1,AI42))))))))))))</f>
        <v/>
      </c>
      <c r="AP42" s="44">
        <f>IF($A$1=$B$1,C42,IF($A$1=$E$1,F42,IF($A$1=$H$1,I42,IF($A$1=$K$1,L42,IF($A$1=$N$1,O42,IF($A$1=$Q$1,R42,IF($A$1=$T$1,U42,IF($A$1=$W$1,X42,IF($A$1=$Z$1,AA42,IF($A$1=$AC$1,AD42,IF($A$1=$AF$1,AG42,IF($A$1=$AI$1,AJ42))))))))))))</f>
        <v/>
      </c>
    </row>
    <row r="43" ht="15.5" customHeight="1">
      <c r="A43" s="26" t="inlineStr">
        <is>
          <t>Alüminyum</t>
        </is>
      </c>
      <c r="B43" s="7">
        <f>'Bütçe aylık-TL'!$B$34</f>
        <v/>
      </c>
      <c r="C43" s="7">
        <f>'gerç aylık-tl'!$B$34</f>
        <v/>
      </c>
      <c r="D43" s="7" t="n"/>
      <c r="E43" s="7">
        <f>'Bütçe aylık-TL'!$C$34</f>
        <v/>
      </c>
      <c r="F43" s="7">
        <f>'gerç aylık-tl'!$C$34</f>
        <v/>
      </c>
      <c r="G43" s="7" t="n"/>
      <c r="H43" s="7">
        <f>'Bütçe aylık-TL'!$D$34</f>
        <v/>
      </c>
      <c r="I43" s="7">
        <f>'gerç aylık-tl'!$D$34</f>
        <v/>
      </c>
      <c r="J43" s="7" t="n"/>
      <c r="K43" s="7">
        <f>'Bütçe aylık-TL'!$E$34</f>
        <v/>
      </c>
      <c r="L43" s="7">
        <f>'gerç aylık-tl'!$E$34</f>
        <v/>
      </c>
      <c r="M43" s="7" t="n"/>
      <c r="N43" s="7">
        <f>'Bütçe aylık-TL'!$F$34</f>
        <v/>
      </c>
      <c r="O43" s="7">
        <f>'gerç aylık-tl'!$F$34</f>
        <v/>
      </c>
      <c r="P43" s="7" t="n"/>
      <c r="Q43" s="7">
        <f>'Bütçe aylık-TL'!$G$34</f>
        <v/>
      </c>
      <c r="R43" s="7">
        <f>'gerç aylık-tl'!$G$34</f>
        <v/>
      </c>
      <c r="S43" s="7" t="n"/>
      <c r="T43" s="7">
        <f>'Bütçe aylık-TL'!$H$34</f>
        <v/>
      </c>
      <c r="U43" s="7">
        <f>'gerç aylık-tl'!$H$34</f>
        <v/>
      </c>
      <c r="V43" s="7" t="n"/>
      <c r="W43" s="7">
        <f>'Bütçe aylık-TL'!$I$34</f>
        <v/>
      </c>
      <c r="X43" s="7">
        <f>'gerç aylık-tl'!$I$34</f>
        <v/>
      </c>
      <c r="Y43" s="7" t="n"/>
      <c r="Z43" s="7">
        <f>'Bütçe aylık-TL'!$J$34</f>
        <v/>
      </c>
      <c r="AA43" s="7">
        <f>'gerç aylık-tl'!$J$34</f>
        <v/>
      </c>
      <c r="AB43" s="7" t="n"/>
      <c r="AC43" s="7">
        <f>'Bütçe aylık-TL'!$K$34</f>
        <v/>
      </c>
      <c r="AD43" s="7">
        <f>'gerç aylık-tl'!$K$34</f>
        <v/>
      </c>
      <c r="AE43" s="7" t="n"/>
      <c r="AF43" s="7">
        <f>'Bütçe aylık-TL'!$L$34</f>
        <v/>
      </c>
      <c r="AG43" s="7">
        <f>'gerç aylık-tl'!$L$34</f>
        <v/>
      </c>
      <c r="AH43" s="7" t="n"/>
      <c r="AI43" s="7">
        <f>'Bütçe aylık-TL'!$M$34</f>
        <v/>
      </c>
      <c r="AJ43" s="7">
        <f>'gerç aylık-tl'!$M$34</f>
        <v/>
      </c>
      <c r="AK43" s="7" t="n"/>
      <c r="AL43" s="21">
        <f>AP43-AO43</f>
        <v/>
      </c>
      <c r="AM43" s="22">
        <f>AP43/AO43-1</f>
        <v/>
      </c>
      <c r="AO43" s="44">
        <f>IF($A$1=$B$1,B43,IF($A$1=$E$1,E43,IF($A$1=$H$1,H43,IF($A$1=$K$1,K43,IF($A$1=$N$1,N43,IF($A$1=$Q$1,Q43,IF($A$1=$T$1,T43,IF($A$1=$W$1,W43,IF($A$1=$Z$1,Z43,IF($A$1=$AC$1,AC43,IF($A$1=$AF$1,AF43,IF($A$1=$AI$1,AI43))))))))))))</f>
        <v/>
      </c>
      <c r="AP43" s="44">
        <f>IF($A$1=$B$1,C43,IF($A$1=$E$1,F43,IF($A$1=$H$1,I43,IF($A$1=$K$1,L43,IF($A$1=$N$1,O43,IF($A$1=$Q$1,R43,IF($A$1=$T$1,U43,IF($A$1=$W$1,X43,IF($A$1=$Z$1,AA43,IF($A$1=$AC$1,AD43,IF($A$1=$AF$1,AG43,IF($A$1=$AI$1,AJ43))))))))))))</f>
        <v/>
      </c>
    </row>
    <row r="44" ht="15.5" customHeight="1">
      <c r="A44" s="2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21" t="n"/>
      <c r="AM44" s="22" t="n"/>
      <c r="AO44" s="44">
        <f>IF($A$1=$B$1,B44,IF($A$1=$E$1,E44,IF($A$1=$H$1,H44,IF($A$1=$K$1,K44,IF($A$1=$N$1,N44,IF($A$1=$Q$1,Q44,IF($A$1=$T$1,T44,IF($A$1=$W$1,W44,IF($A$1=$Z$1,Z44,IF($A$1=$AC$1,AC44,IF($A$1=$AF$1,AF44,IF($A$1=$AI$1,AI44))))))))))))</f>
        <v/>
      </c>
      <c r="AP44" s="44">
        <f>IF($A$1=$B$1,C44,IF($A$1=$E$1,F44,IF($A$1=$H$1,I44,IF($A$1=$K$1,L44,IF($A$1=$N$1,O44,IF($A$1=$Q$1,R44,IF($A$1=$T$1,U44,IF($A$1=$W$1,X44,IF($A$1=$Z$1,AA44,IF($A$1=$AC$1,AD44,IF($A$1=$AF$1,AG44,IF($A$1=$AI$1,AJ44))))))))))))</f>
        <v/>
      </c>
    </row>
    <row r="45" hidden="1" ht="15.75" customHeight="1">
      <c r="A45" s="2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21">
        <f>AP45-AO45</f>
        <v/>
      </c>
      <c r="AM45" s="22">
        <f>AP45/AO45-1</f>
        <v/>
      </c>
      <c r="AO45" s="44">
        <f>IF($A$1=$B$1,B45,IF($A$1=$E$1,E45,IF($A$1=$H$1,H45,IF($A$1=$K$1,K45,IF($A$1=$N$1,N45,IF($A$1=$Q$1,Q45,IF($A$1=$T$1,T45,IF($A$1=$W$1,W45,IF($A$1=$Z$1,Z45,IF($A$1=$AC$1,AC45,IF($A$1=$AF$1,AF45,IF($A$1=$AI$1,AI45))))))))))))</f>
        <v/>
      </c>
      <c r="AP45" s="44">
        <f>IF($A$1=$B$1,C45,IF($A$1=$E$1,F45,IF($A$1=$H$1,I45,IF($A$1=$K$1,L45,IF($A$1=$N$1,O45,IF($A$1=$Q$1,R45,IF($A$1=$T$1,U45,IF($A$1=$W$1,X45,IF($A$1=$Z$1,AA45,IF($A$1=$AC$1,AD45,IF($A$1=$AF$1,AG45,IF($A$1=$AI$1,AJ45))))))))))))</f>
        <v/>
      </c>
    </row>
    <row r="46" hidden="1" ht="15.75" customFormat="1" customHeight="1" s="1">
      <c r="A46" s="27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15">
        <f>AP46-AO46</f>
        <v/>
      </c>
      <c r="AM46" s="16">
        <f>AP46/AO46-1</f>
        <v/>
      </c>
      <c r="AO46" s="44">
        <f>IF($A$1=$B$1,B46,IF($A$1=$E$1,E46,IF($A$1=$H$1,H46,IF($A$1=$K$1,K46,IF($A$1=$N$1,N46,IF($A$1=$Q$1,Q46,IF($A$1=$T$1,T46,IF($A$1=$W$1,W46,IF($A$1=$Z$1,Z46,IF($A$1=$AC$1,AC46,IF($A$1=$AF$1,AF46,IF($A$1=$AI$1,AI46))))))))))))</f>
        <v/>
      </c>
      <c r="AP46" s="44">
        <f>IF($A$1=$B$1,C46,IF($A$1=$E$1,F46,IF($A$1=$H$1,I46,IF($A$1=$K$1,L46,IF($A$1=$N$1,O46,IF($A$1=$Q$1,R46,IF($A$1=$T$1,U46,IF($A$1=$W$1,X46,IF($A$1=$Z$1,AA46,IF($A$1=$AC$1,AD46,IF($A$1=$AF$1,AG46,IF($A$1=$AI$1,AJ46))))))))))))</f>
        <v/>
      </c>
    </row>
    <row r="47" hidden="1" ht="15.75" customHeight="1">
      <c r="A47" s="2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21">
        <f>AP47-AO47</f>
        <v/>
      </c>
      <c r="AM47" s="22">
        <f>AP47/AO47-1</f>
        <v/>
      </c>
      <c r="AO47" s="44">
        <f>IF($A$1=$B$1,B47,IF($A$1=$E$1,E47,IF($A$1=$H$1,H47,IF($A$1=$K$1,K47,IF($A$1=$N$1,N47,IF($A$1=$Q$1,Q47,IF($A$1=$T$1,T47,IF($A$1=$W$1,W47,IF($A$1=$Z$1,Z47,IF($A$1=$AC$1,AC47,IF($A$1=$AF$1,AF47,IF($A$1=$AI$1,AI47))))))))))))</f>
        <v/>
      </c>
      <c r="AP47" s="44">
        <f>IF($A$1=$B$1,C47,IF($A$1=$E$1,F47,IF($A$1=$H$1,I47,IF($A$1=$K$1,L47,IF($A$1=$N$1,O47,IF($A$1=$Q$1,R47,IF($A$1=$T$1,U47,IF($A$1=$W$1,X47,IF($A$1=$Z$1,AA47,IF($A$1=$AC$1,AD47,IF($A$1=$AF$1,AG47,IF($A$1=$AI$1,AJ47))))))))))))</f>
        <v/>
      </c>
    </row>
    <row r="48" hidden="1" ht="15.75" customFormat="1" customHeight="1" s="1">
      <c r="A48" s="27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15">
        <f>AP48-AO48</f>
        <v/>
      </c>
      <c r="AM48" s="16">
        <f>AP48/AO48-1</f>
        <v/>
      </c>
      <c r="AO48" s="44">
        <f>IF($A$1=$B$1,B48,IF($A$1=$E$1,E48,IF($A$1=$H$1,H48,IF($A$1=$K$1,K48,IF($A$1=$N$1,N48,IF($A$1=$Q$1,Q48,IF($A$1=$T$1,T48,IF($A$1=$W$1,W48,IF($A$1=$Z$1,Z48,IF($A$1=$AC$1,AC48,IF($A$1=$AF$1,AF48,IF($A$1=$AI$1,AI48))))))))))))</f>
        <v/>
      </c>
      <c r="AP48" s="44">
        <f>IF($A$1=$B$1,C48,IF($A$1=$E$1,F48,IF($A$1=$H$1,I48,IF($A$1=$K$1,L48,IF($A$1=$N$1,O48,IF($A$1=$Q$1,R48,IF($A$1=$T$1,U48,IF($A$1=$W$1,X48,IF($A$1=$Z$1,AA48,IF($A$1=$AC$1,AD48,IF($A$1=$AF$1,AG48,IF($A$1=$AI$1,AJ48))))))))))))</f>
        <v/>
      </c>
    </row>
    <row r="49" hidden="1" ht="15.75" customHeight="1">
      <c r="A49" s="2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21" t="n"/>
      <c r="AM49" s="22" t="n"/>
      <c r="AO49" s="44">
        <f>IF($A$1=$B$1,B49,IF($A$1=$E$1,E49,IF($A$1=$H$1,H49,IF($A$1=$K$1,K49,IF($A$1=$N$1,N49,IF($A$1=$Q$1,Q49,IF($A$1=$T$1,T49,IF($A$1=$W$1,W49,IF($A$1=$Z$1,Z49,IF($A$1=$AC$1,AC49,IF($A$1=$AF$1,AF49,IF($A$1=$AI$1,AI49))))))))))))</f>
        <v/>
      </c>
      <c r="AP49" s="44">
        <f>IF($A$1=$B$1,C49,IF($A$1=$E$1,F49,IF($A$1=$H$1,I49,IF($A$1=$K$1,L49,IF($A$1=$N$1,O49,IF($A$1=$Q$1,R49,IF($A$1=$T$1,U49,IF($A$1=$W$1,X49,IF($A$1=$Z$1,AA49,IF($A$1=$AC$1,AD49,IF($A$1=$AF$1,AG49,IF($A$1=$AI$1,AJ49))))))))))))</f>
        <v/>
      </c>
    </row>
    <row r="50" hidden="1" ht="15.75" customHeight="1">
      <c r="A50" s="2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21">
        <f>AP50-AO50</f>
        <v/>
      </c>
      <c r="AM50" s="22">
        <f>AP50/AO50-1</f>
        <v/>
      </c>
      <c r="AO50" s="44">
        <f>IF($A$1=$B$1,B50,IF($A$1=$E$1,E50,IF($A$1=$H$1,H50,IF($A$1=$K$1,K50,IF($A$1=$N$1,N50,IF($A$1=$Q$1,Q50,IF($A$1=$T$1,T50,IF($A$1=$W$1,W50,IF($A$1=$Z$1,Z50,IF($A$1=$AC$1,AC50,IF($A$1=$AF$1,AF50,IF($A$1=$AI$1,AI50))))))))))))</f>
        <v/>
      </c>
      <c r="AP50" s="44">
        <f>IF($A$1=$B$1,C50,IF($A$1=$E$1,F50,IF($A$1=$H$1,I50,IF($A$1=$K$1,L50,IF($A$1=$N$1,O50,IF($A$1=$Q$1,R50,IF($A$1=$T$1,U50,IF($A$1=$W$1,X50,IF($A$1=$Z$1,AA50,IF($A$1=$AC$1,AD50,IF($A$1=$AF$1,AG50,IF($A$1=$AI$1,AJ50))))))))))))</f>
        <v/>
      </c>
    </row>
    <row r="51" hidden="1" ht="15.75" customHeight="1">
      <c r="A51" s="2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21">
        <f>AP51-AO51</f>
        <v/>
      </c>
      <c r="AM51" s="22">
        <f>AP51/AO51-1</f>
        <v/>
      </c>
      <c r="AO51" s="44">
        <f>IF($A$1=$B$1,B51,IF($A$1=$E$1,E51,IF($A$1=$H$1,H51,IF($A$1=$K$1,K51,IF($A$1=$N$1,N51,IF($A$1=$Q$1,Q51,IF($A$1=$T$1,T51,IF($A$1=$W$1,W51,IF($A$1=$Z$1,Z51,IF($A$1=$AC$1,AC51,IF($A$1=$AF$1,AF51,IF($A$1=$AI$1,AI51))))))))))))</f>
        <v/>
      </c>
      <c r="AP51" s="44">
        <f>IF($A$1=$B$1,C51,IF($A$1=$E$1,F51,IF($A$1=$H$1,I51,IF($A$1=$K$1,L51,IF($A$1=$N$1,O51,IF($A$1=$Q$1,R51,IF($A$1=$T$1,U51,IF($A$1=$W$1,X51,IF($A$1=$Z$1,AA51,IF($A$1=$AC$1,AD51,IF($A$1=$AF$1,AG51,IF($A$1=$AI$1,AJ51))))))))))))</f>
        <v/>
      </c>
    </row>
    <row r="52" hidden="1" ht="15.75" customHeight="1">
      <c r="A52" s="2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21">
        <f>AP52-AO52</f>
        <v/>
      </c>
      <c r="AM52" s="22">
        <f>AP52/AO52-1</f>
        <v/>
      </c>
      <c r="AO52" s="44">
        <f>IF($A$1=$B$1,B52,IF($A$1=$E$1,E52,IF($A$1=$H$1,H52,IF($A$1=$K$1,K52,IF($A$1=$N$1,N52,IF($A$1=$Q$1,Q52,IF($A$1=$T$1,T52,IF($A$1=$W$1,W52,IF($A$1=$Z$1,Z52,IF($A$1=$AC$1,AC52,IF($A$1=$AF$1,AF52,IF($A$1=$AI$1,AI52))))))))))))</f>
        <v/>
      </c>
      <c r="AP52" s="44">
        <f>IF($A$1=$B$1,C52,IF($A$1=$E$1,F52,IF($A$1=$H$1,I52,IF($A$1=$K$1,L52,IF($A$1=$N$1,O52,IF($A$1=$Q$1,R52,IF($A$1=$T$1,U52,IF($A$1=$W$1,X52,IF($A$1=$Z$1,AA52,IF($A$1=$AC$1,AD52,IF($A$1=$AF$1,AG52,IF($A$1=$AI$1,AJ52))))))))))))</f>
        <v/>
      </c>
    </row>
    <row r="53" hidden="1" ht="15.75" customHeight="1">
      <c r="A53" s="2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21">
        <f>AP53-AO53</f>
        <v/>
      </c>
      <c r="AM53" s="22">
        <f>AP53/AO53-1</f>
        <v/>
      </c>
      <c r="AO53" s="44">
        <f>IF($A$1=$B$1,B53,IF($A$1=$E$1,E53,IF($A$1=$H$1,H53,IF($A$1=$K$1,K53,IF($A$1=$N$1,N53,IF($A$1=$Q$1,Q53,IF($A$1=$T$1,T53,IF($A$1=$W$1,W53,IF($A$1=$Z$1,Z53,IF($A$1=$AC$1,AC53,IF($A$1=$AF$1,AF53,IF($A$1=$AI$1,AI53))))))))))))</f>
        <v/>
      </c>
      <c r="AP53" s="44">
        <f>IF($A$1=$B$1,C53,IF($A$1=$E$1,F53,IF($A$1=$H$1,I53,IF($A$1=$K$1,L53,IF($A$1=$N$1,O53,IF($A$1=$Q$1,R53,IF($A$1=$T$1,U53,IF($A$1=$W$1,X53,IF($A$1=$Z$1,AA53,IF($A$1=$AC$1,AD53,IF($A$1=$AF$1,AG53,IF($A$1=$AI$1,AJ53))))))))))))</f>
        <v/>
      </c>
    </row>
    <row r="54" hidden="1" ht="15.75" customFormat="1" customHeight="1" s="1">
      <c r="A54" s="27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15">
        <f>AP54-AO54</f>
        <v/>
      </c>
      <c r="AM54" s="16">
        <f>AP54/AO54-1</f>
        <v/>
      </c>
      <c r="AO54" s="44">
        <f>IF($A$1=$B$1,B54,IF($A$1=$E$1,E54,IF($A$1=$H$1,H54,IF($A$1=$K$1,K54,IF($A$1=$N$1,N54,IF($A$1=$Q$1,Q54,IF($A$1=$T$1,T54,IF($A$1=$W$1,W54,IF($A$1=$Z$1,Z54,IF($A$1=$AC$1,AC54,IF($A$1=$AF$1,AF54,IF($A$1=$AI$1,AI54))))))))))))</f>
        <v/>
      </c>
      <c r="AP54" s="44">
        <f>IF($A$1=$B$1,C54,IF($A$1=$E$1,F54,IF($A$1=$H$1,I54,IF($A$1=$K$1,L54,IF($A$1=$N$1,O54,IF($A$1=$Q$1,R54,IF($A$1=$T$1,U54,IF($A$1=$W$1,X54,IF($A$1=$Z$1,AA54,IF($A$1=$AC$1,AD54,IF($A$1=$AF$1,AG54,IF($A$1=$AI$1,AJ54))))))))))))</f>
        <v/>
      </c>
    </row>
    <row r="55" hidden="1" ht="15.75" customHeight="1">
      <c r="A55" s="2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21">
        <f>AP55-AO55</f>
        <v/>
      </c>
      <c r="AM55" s="22">
        <f>AP55/AO55-1</f>
        <v/>
      </c>
      <c r="AO55" s="44">
        <f>IF($A$1=$B$1,B55,IF($A$1=$E$1,E55,IF($A$1=$H$1,H55,IF($A$1=$K$1,K55,IF($A$1=$N$1,N55,IF($A$1=$Q$1,Q55,IF($A$1=$T$1,T55,IF($A$1=$W$1,W55,IF($A$1=$Z$1,Z55,IF($A$1=$AC$1,AC55,IF($A$1=$AF$1,AF55,IF($A$1=$AI$1,AI55))))))))))))</f>
        <v/>
      </c>
      <c r="AP55" s="44">
        <f>IF($A$1=$B$1,C55,IF($A$1=$E$1,F55,IF($A$1=$H$1,I55,IF($A$1=$K$1,L55,IF($A$1=$N$1,O55,IF($A$1=$Q$1,R55,IF($A$1=$T$1,U55,IF($A$1=$W$1,X55,IF($A$1=$Z$1,AA55,IF($A$1=$AC$1,AD55,IF($A$1=$AF$1,AG55,IF($A$1=$AI$1,AJ55))))))))))))</f>
        <v/>
      </c>
    </row>
    <row r="56" hidden="1" ht="15.75" customHeight="1">
      <c r="A56" s="2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21">
        <f>AP56-AO56</f>
        <v/>
      </c>
      <c r="AM56" s="22">
        <f>AP56/AO56-1</f>
        <v/>
      </c>
      <c r="AO56" s="44">
        <f>IF($A$1=$B$1,B56,IF($A$1=$E$1,E56,IF($A$1=$H$1,H56,IF($A$1=$K$1,K56,IF($A$1=$N$1,N56,IF($A$1=$Q$1,Q56,IF($A$1=$T$1,T56,IF($A$1=$W$1,W56,IF($A$1=$Z$1,Z56,IF($A$1=$AC$1,AC56,IF($A$1=$AF$1,AF56,IF($A$1=$AI$1,AI56))))))))))))</f>
        <v/>
      </c>
      <c r="AP56" s="44">
        <f>IF($A$1=$B$1,C56,IF($A$1=$E$1,F56,IF($A$1=$H$1,I56,IF($A$1=$K$1,L56,IF($A$1=$N$1,O56,IF($A$1=$Q$1,R56,IF($A$1=$T$1,U56,IF($A$1=$W$1,X56,IF($A$1=$Z$1,AA56,IF($A$1=$AC$1,AD56,IF($A$1=$AF$1,AG56,IF($A$1=$AI$1,AJ56))))))))))))</f>
        <v/>
      </c>
    </row>
    <row r="57" hidden="1" ht="15.75" customHeight="1">
      <c r="A57" s="2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21">
        <f>AP57-AO57</f>
        <v/>
      </c>
      <c r="AM57" s="22">
        <f>AP57/AO57-1</f>
        <v/>
      </c>
      <c r="AO57" s="44">
        <f>IF($A$1=$B$1,B57,IF($A$1=$E$1,E57,IF($A$1=$H$1,H57,IF($A$1=$K$1,K57,IF($A$1=$N$1,N57,IF($A$1=$Q$1,Q57,IF($A$1=$T$1,T57,IF($A$1=$W$1,W57,IF($A$1=$Z$1,Z57,IF($A$1=$AC$1,AC57,IF($A$1=$AF$1,AF57,IF($A$1=$AI$1,AI57))))))))))))</f>
        <v/>
      </c>
      <c r="AP57" s="44">
        <f>IF($A$1=$B$1,C57,IF($A$1=$E$1,F57,IF($A$1=$H$1,I57,IF($A$1=$K$1,L57,IF($A$1=$N$1,O57,IF($A$1=$Q$1,R57,IF($A$1=$T$1,U57,IF($A$1=$W$1,X57,IF($A$1=$Z$1,AA57,IF($A$1=$AC$1,AD57,IF($A$1=$AF$1,AG57,IF($A$1=$AI$1,AJ57))))))))))))</f>
        <v/>
      </c>
    </row>
    <row r="58" hidden="1" ht="15.75" customHeight="1">
      <c r="A58" s="26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21">
        <f>AP58-AO58</f>
        <v/>
      </c>
      <c r="AM58" s="22">
        <f>AP58/AO58-1</f>
        <v/>
      </c>
      <c r="AO58" s="44">
        <f>IF($A$1=$B$1,B58,IF($A$1=$E$1,E58,IF($A$1=$H$1,H58,IF($A$1=$K$1,K58,IF($A$1=$N$1,N58,IF($A$1=$Q$1,Q58,IF($A$1=$T$1,T58,IF($A$1=$W$1,W58,IF($A$1=$Z$1,Z58,IF($A$1=$AC$1,AC58,IF($A$1=$AF$1,AF58,IF($A$1=$AI$1,AI58))))))))))))</f>
        <v/>
      </c>
      <c r="AP58" s="44">
        <f>IF($A$1=$B$1,C58,IF($A$1=$E$1,F58,IF($A$1=$H$1,I58,IF($A$1=$K$1,L58,IF($A$1=$N$1,O58,IF($A$1=$Q$1,R58,IF($A$1=$T$1,U58,IF($A$1=$W$1,X58,IF($A$1=$Z$1,AA58,IF($A$1=$AC$1,AD58,IF($A$1=$AF$1,AG58,IF($A$1=$AI$1,AJ58))))))))))))</f>
        <v/>
      </c>
    </row>
    <row r="59" hidden="1" ht="15.75" customHeight="1">
      <c r="A59" s="26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21">
        <f>AP59-AO59</f>
        <v/>
      </c>
      <c r="AM59" s="22">
        <f>AP59/AO59-1</f>
        <v/>
      </c>
      <c r="AO59" s="44">
        <f>IF($A$1=$B$1,B59,IF($A$1=$E$1,E59,IF($A$1=$H$1,H59,IF($A$1=$K$1,K59,IF($A$1=$N$1,N59,IF($A$1=$Q$1,Q59,IF($A$1=$T$1,T59,IF($A$1=$W$1,W59,IF($A$1=$Z$1,Z59,IF($A$1=$AC$1,AC59,IF($A$1=$AF$1,AF59,IF($A$1=$AI$1,AI59))))))))))))</f>
        <v/>
      </c>
      <c r="AP59" s="44">
        <f>IF($A$1=$B$1,C59,IF($A$1=$E$1,F59,IF($A$1=$H$1,I59,IF($A$1=$K$1,L59,IF($A$1=$N$1,O59,IF($A$1=$Q$1,R59,IF($A$1=$T$1,U59,IF($A$1=$W$1,X59,IF($A$1=$Z$1,AA59,IF($A$1=$AC$1,AD59,IF($A$1=$AF$1,AG59,IF($A$1=$AI$1,AJ59))))))))))))</f>
        <v/>
      </c>
    </row>
    <row r="60" hidden="1" ht="15.75" customFormat="1" customHeight="1" s="1">
      <c r="A60" s="27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15">
        <f>AP60-AO60</f>
        <v/>
      </c>
      <c r="AM60" s="16">
        <f>AP60/AO60-1</f>
        <v/>
      </c>
      <c r="AO60" s="44">
        <f>IF($A$1=$B$1,B60,IF($A$1=$E$1,E60,IF($A$1=$H$1,H60,IF($A$1=$K$1,K60,IF($A$1=$N$1,N60,IF($A$1=$Q$1,Q60,IF($A$1=$T$1,T60,IF($A$1=$W$1,W60,IF($A$1=$Z$1,Z60,IF($A$1=$AC$1,AC60,IF($A$1=$AF$1,AF60,IF($A$1=$AI$1,AI60))))))))))))</f>
        <v/>
      </c>
      <c r="AP60" s="44">
        <f>IF($A$1=$B$1,C60,IF($A$1=$E$1,F60,IF($A$1=$H$1,I60,IF($A$1=$K$1,L60,IF($A$1=$N$1,O60,IF($A$1=$Q$1,R60,IF($A$1=$T$1,U60,IF($A$1=$W$1,X60,IF($A$1=$Z$1,AA60,IF($A$1=$AC$1,AD60,IF($A$1=$AF$1,AG60,IF($A$1=$AI$1,AJ60))))))))))))</f>
        <v/>
      </c>
    </row>
    <row r="61" hidden="1" ht="15.75" customHeight="1">
      <c r="A61" s="26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21">
        <f>AP61-AO61</f>
        <v/>
      </c>
      <c r="AM61" s="22">
        <f>AP61/AO61-1</f>
        <v/>
      </c>
      <c r="AO61" s="44">
        <f>IF($A$1=$B$1,B61,IF($A$1=$E$1,E61,IF($A$1=$H$1,H61,IF($A$1=$K$1,K61,IF($A$1=$N$1,N61,IF($A$1=$Q$1,Q61,IF($A$1=$T$1,T61,IF($A$1=$W$1,W61,IF($A$1=$Z$1,Z61,IF($A$1=$AC$1,AC61,IF($A$1=$AF$1,AF61,IF($A$1=$AI$1,AI61))))))))))))</f>
        <v/>
      </c>
      <c r="AP61" s="44">
        <f>IF($A$1=$B$1,C61,IF($A$1=$E$1,F61,IF($A$1=$H$1,I61,IF($A$1=$K$1,L61,IF($A$1=$N$1,O61,IF($A$1=$Q$1,R61,IF($A$1=$T$1,U61,IF($A$1=$W$1,X61,IF($A$1=$Z$1,AA61,IF($A$1=$AC$1,AD61,IF($A$1=$AF$1,AG61,IF($A$1=$AI$1,AJ61))))))))))))</f>
        <v/>
      </c>
    </row>
    <row r="62" hidden="1" ht="15.75" customFormat="1" customHeight="1" s="1">
      <c r="A62" s="27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15">
        <f>AP62-AO62</f>
        <v/>
      </c>
      <c r="AM62" s="16">
        <f>AP62/AO62-1</f>
        <v/>
      </c>
      <c r="AO62" s="44">
        <f>IF($A$1=$B$1,B62,IF($A$1=$E$1,E62,IF($A$1=$H$1,H62,IF($A$1=$K$1,K62,IF($A$1=$N$1,N62,IF($A$1=$Q$1,Q62,IF($A$1=$T$1,T62,IF($A$1=$W$1,W62,IF($A$1=$Z$1,Z62,IF($A$1=$AC$1,AC62,IF($A$1=$AF$1,AF62,IF($A$1=$AI$1,AI62))))))))))))</f>
        <v/>
      </c>
      <c r="AP62" s="44">
        <f>IF($A$1=$B$1,C62,IF($A$1=$E$1,F62,IF($A$1=$H$1,I62,IF($A$1=$K$1,L62,IF($A$1=$N$1,O62,IF($A$1=$Q$1,R62,IF($A$1=$T$1,U62,IF($A$1=$W$1,X62,IF($A$1=$Z$1,AA62,IF($A$1=$AC$1,AD62,IF($A$1=$AF$1,AG62,IF($A$1=$AI$1,AJ62))))))))))))</f>
        <v/>
      </c>
    </row>
    <row r="63" hidden="1" ht="15.75" customHeight="1">
      <c r="A63" s="2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21">
        <f>AP63-AO63</f>
        <v/>
      </c>
      <c r="AM63" s="22">
        <f>AP63/AO63-1</f>
        <v/>
      </c>
      <c r="AO63" s="44">
        <f>IF($A$1=$B$1,B63,IF($A$1=$E$1,E63,IF($A$1=$H$1,H63,IF($A$1=$K$1,K63,IF($A$1=$N$1,N63,IF($A$1=$Q$1,Q63,IF($A$1=$T$1,T63,IF($A$1=$W$1,W63,IF($A$1=$Z$1,Z63,IF($A$1=$AC$1,AC63,IF($A$1=$AF$1,AF63,IF($A$1=$AI$1,AI63))))))))))))</f>
        <v/>
      </c>
      <c r="AP63" s="44">
        <f>IF($A$1=$B$1,C63,IF($A$1=$E$1,F63,IF($A$1=$H$1,I63,IF($A$1=$K$1,L63,IF($A$1=$N$1,O63,IF($A$1=$Q$1,R63,IF($A$1=$T$1,U63,IF($A$1=$W$1,X63,IF($A$1=$Z$1,AA63,IF($A$1=$AC$1,AD63,IF($A$1=$AF$1,AG63,IF($A$1=$AI$1,AJ63))))))))))))</f>
        <v/>
      </c>
    </row>
    <row r="64" hidden="1" ht="15.75" customHeight="1">
      <c r="A64" s="2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21">
        <f>AP64-AO64</f>
        <v/>
      </c>
      <c r="AM64" s="22">
        <f>AP64/AO64-1</f>
        <v/>
      </c>
      <c r="AO64" s="44">
        <f>IF($A$1=$B$1,B64,IF($A$1=$E$1,E64,IF($A$1=$H$1,H64,IF($A$1=$K$1,K64,IF($A$1=$N$1,N64,IF($A$1=$Q$1,Q64,IF($A$1=$T$1,T64,IF($A$1=$W$1,W64,IF($A$1=$Z$1,Z64,IF($A$1=$AC$1,AC64,IF($A$1=$AF$1,AF64,IF($A$1=$AI$1,AI64))))))))))))</f>
        <v/>
      </c>
      <c r="AP64" s="44">
        <f>IF($A$1=$B$1,C64,IF($A$1=$E$1,F64,IF($A$1=$H$1,I64,IF($A$1=$K$1,L64,IF($A$1=$N$1,O64,IF($A$1=$Q$1,R64,IF($A$1=$T$1,U64,IF($A$1=$W$1,X64,IF($A$1=$Z$1,AA64,IF($A$1=$AC$1,AD64,IF($A$1=$AF$1,AG64,IF($A$1=$AI$1,AJ64))))))))))))</f>
        <v/>
      </c>
    </row>
    <row r="65" hidden="1" ht="15.75" customHeight="1">
      <c r="A65" s="26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21">
        <f>AP65-AO65</f>
        <v/>
      </c>
      <c r="AM65" s="22">
        <f>AP65/AO65-1</f>
        <v/>
      </c>
      <c r="AO65" s="44">
        <f>IF($A$1=$B$1,B65,IF($A$1=$E$1,E65,IF($A$1=$H$1,H65,IF($A$1=$K$1,K65,IF($A$1=$N$1,N65,IF($A$1=$Q$1,Q65,IF($A$1=$T$1,T65,IF($A$1=$W$1,W65,IF($A$1=$Z$1,Z65,IF($A$1=$AC$1,AC65,IF($A$1=$AF$1,AF65,IF($A$1=$AI$1,AI65))))))))))))</f>
        <v/>
      </c>
      <c r="AP65" s="44">
        <f>IF($A$1=$B$1,C65,IF($A$1=$E$1,F65,IF($A$1=$H$1,I65,IF($A$1=$K$1,L65,IF($A$1=$N$1,O65,IF($A$1=$Q$1,R65,IF($A$1=$T$1,U65,IF($A$1=$W$1,X65,IF($A$1=$Z$1,AA65,IF($A$1=$AC$1,AD65,IF($A$1=$AF$1,AG65,IF($A$1=$AI$1,AJ65))))))))))))</f>
        <v/>
      </c>
    </row>
    <row r="66" hidden="1" ht="15.75" customHeight="1">
      <c r="A66" s="26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21">
        <f>AP66-AO66</f>
        <v/>
      </c>
      <c r="AM66" s="22">
        <f>AP66/AO66-1</f>
        <v/>
      </c>
      <c r="AO66" s="44">
        <f>IF($A$1=$B$1,B66,IF($A$1=$E$1,E66,IF($A$1=$H$1,H66,IF($A$1=$K$1,K66,IF($A$1=$N$1,N66,IF($A$1=$Q$1,Q66,IF($A$1=$T$1,T66,IF($A$1=$W$1,W66,IF($A$1=$Z$1,Z66,IF($A$1=$AC$1,AC66,IF($A$1=$AF$1,AF66,IF($A$1=$AI$1,AI66))))))))))))</f>
        <v/>
      </c>
      <c r="AP66" s="44">
        <f>IF($A$1=$B$1,C66,IF($A$1=$E$1,F66,IF($A$1=$H$1,I66,IF($A$1=$K$1,L66,IF($A$1=$N$1,O66,IF($A$1=$Q$1,R66,IF($A$1=$T$1,U66,IF($A$1=$W$1,X66,IF($A$1=$Z$1,AA66,IF($A$1=$AC$1,AD66,IF($A$1=$AF$1,AG66,IF($A$1=$AI$1,AJ66))))))))))))</f>
        <v/>
      </c>
    </row>
    <row r="67" hidden="1" ht="15.75" customHeight="1">
      <c r="A67" s="2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21">
        <f>AP67-AO67</f>
        <v/>
      </c>
      <c r="AM67" s="22">
        <f>AP67/AO67-1</f>
        <v/>
      </c>
      <c r="AO67" s="44">
        <f>IF($A$1=$B$1,B67,IF($A$1=$E$1,E67,IF($A$1=$H$1,H67,IF($A$1=$K$1,K67,IF($A$1=$N$1,N67,IF($A$1=$Q$1,Q67,IF($A$1=$T$1,T67,IF($A$1=$W$1,W67,IF($A$1=$Z$1,Z67,IF($A$1=$AC$1,AC67,IF($A$1=$AF$1,AF67,IF($A$1=$AI$1,AI67))))))))))))</f>
        <v/>
      </c>
      <c r="AP67" s="44">
        <f>IF($A$1=$B$1,C67,IF($A$1=$E$1,F67,IF($A$1=$H$1,I67,IF($A$1=$K$1,L67,IF($A$1=$N$1,O67,IF($A$1=$Q$1,R67,IF($A$1=$T$1,U67,IF($A$1=$W$1,X67,IF($A$1=$Z$1,AA67,IF($A$1=$AC$1,AD67,IF($A$1=$AF$1,AG67,IF($A$1=$AI$1,AJ67))))))))))))</f>
        <v/>
      </c>
    </row>
    <row r="68" hidden="1" ht="15.75" customFormat="1" customHeight="1" s="1">
      <c r="A68" s="27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15">
        <f>AP68-AO68</f>
        <v/>
      </c>
      <c r="AM68" s="16">
        <f>AP68/AO68-1</f>
        <v/>
      </c>
      <c r="AO68" s="44">
        <f>IF($A$1=$B$1,B68,IF($A$1=$E$1,E68,IF($A$1=$H$1,H68,IF($A$1=$K$1,K68,IF($A$1=$N$1,N68,IF($A$1=$Q$1,Q68,IF($A$1=$T$1,T68,IF($A$1=$W$1,W68,IF($A$1=$Z$1,Z68,IF($A$1=$AC$1,AC68,IF($A$1=$AF$1,AF68,IF($A$1=$AI$1,AI68))))))))))))</f>
        <v/>
      </c>
      <c r="AP68" s="44">
        <f>IF($A$1=$B$1,C68,IF($A$1=$E$1,F68,IF($A$1=$H$1,I68,IF($A$1=$K$1,L68,IF($A$1=$N$1,O68,IF($A$1=$Q$1,R68,IF($A$1=$T$1,U68,IF($A$1=$W$1,X68,IF($A$1=$Z$1,AA68,IF($A$1=$AC$1,AD68,IF($A$1=$AF$1,AG68,IF($A$1=$AI$1,AJ68))))))))))))</f>
        <v/>
      </c>
    </row>
    <row r="69" hidden="1" ht="15.75" customHeight="1">
      <c r="A69" s="26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21">
        <f>AP69-AO69</f>
        <v/>
      </c>
      <c r="AM69" s="22">
        <f>AP69/AO69-1</f>
        <v/>
      </c>
      <c r="AO69" s="44">
        <f>IF($A$1=$B$1,B69,IF($A$1=$E$1,E69,IF($A$1=$H$1,H69,IF($A$1=$K$1,K69,IF($A$1=$N$1,N69,IF($A$1=$Q$1,Q69,IF($A$1=$T$1,T69,IF($A$1=$W$1,W69,IF($A$1=$Z$1,Z69,IF($A$1=$AC$1,AC69,IF($A$1=$AF$1,AF69,IF($A$1=$AI$1,AI69))))))))))))</f>
        <v/>
      </c>
      <c r="AP69" s="44">
        <f>IF($A$1=$B$1,C69,IF($A$1=$E$1,F69,IF($A$1=$H$1,I69,IF($A$1=$K$1,L69,IF($A$1=$N$1,O69,IF($A$1=$Q$1,R69,IF($A$1=$T$1,U69,IF($A$1=$W$1,X69,IF($A$1=$Z$1,AA69,IF($A$1=$AC$1,AD69,IF($A$1=$AF$1,AG69,IF($A$1=$AI$1,AJ69))))))))))))</f>
        <v/>
      </c>
    </row>
    <row r="70" hidden="1" ht="15.75" customHeight="1">
      <c r="A70" s="26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21">
        <f>AP70-AO70</f>
        <v/>
      </c>
      <c r="AM70" s="22">
        <f>AP70/AO70-1</f>
        <v/>
      </c>
      <c r="AO70" s="44">
        <f>IF($A$1=$B$1,B70,IF($A$1=$E$1,E70,IF($A$1=$H$1,H70,IF($A$1=$K$1,K70,IF($A$1=$N$1,N70,IF($A$1=$Q$1,Q70,IF($A$1=$T$1,T70,IF($A$1=$W$1,W70,IF($A$1=$Z$1,Z70,IF($A$1=$AC$1,AC70,IF($A$1=$AF$1,AF70,IF($A$1=$AI$1,AI70))))))))))))</f>
        <v/>
      </c>
      <c r="AP70" s="44">
        <f>IF($A$1=$B$1,C70,IF($A$1=$E$1,F70,IF($A$1=$H$1,I70,IF($A$1=$K$1,L70,IF($A$1=$N$1,O70,IF($A$1=$Q$1,R70,IF($A$1=$T$1,U70,IF($A$1=$W$1,X70,IF($A$1=$Z$1,AA70,IF($A$1=$AC$1,AD70,IF($A$1=$AF$1,AG70,IF($A$1=$AI$1,AJ70))))))))))))</f>
        <v/>
      </c>
    </row>
    <row r="71" hidden="1" ht="15.75" customHeight="1">
      <c r="A71" s="2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21" t="n"/>
      <c r="AM71" s="22" t="n"/>
      <c r="AO71" s="44" t="n"/>
      <c r="AP71" s="44" t="n"/>
    </row>
    <row r="72" hidden="1" ht="15.75" customHeight="1">
      <c r="A72" s="26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21" t="n"/>
      <c r="AM72" s="22" t="n"/>
      <c r="AO72" s="44" t="n"/>
      <c r="AP72" s="44" t="n"/>
    </row>
    <row r="73" hidden="1" ht="15.75" customFormat="1" customHeight="1" s="1">
      <c r="A73" s="2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21">
        <f>AP73-AO73</f>
        <v/>
      </c>
      <c r="AM73" s="22">
        <f>AP73/AO73-1</f>
        <v/>
      </c>
      <c r="AO73" s="44">
        <f>IF($A$1=$B$1,B73,IF($A$1=$E$1,E73,IF($A$1=$H$1,H73,IF($A$1=$K$1,K73,IF($A$1=$N$1,N73,IF($A$1=$Q$1,Q73,IF($A$1=$T$1,T73,IF($A$1=$W$1,W73,IF($A$1=$Z$1,Z73,IF($A$1=$AC$1,AC73,IF($A$1=$AF$1,AF73,IF($A$1=$AI$1,AI73))))))))))))</f>
        <v/>
      </c>
      <c r="AP73" s="44">
        <f>IF($A$1=$B$1,C73,IF($A$1=$E$1,F73,IF($A$1=$H$1,I73,IF($A$1=$K$1,L73,IF($A$1=$N$1,O73,IF($A$1=$Q$1,R73,IF($A$1=$T$1,U73,IF($A$1=$W$1,X73,IF($A$1=$Z$1,AA73,IF($A$1=$AC$1,AD73,IF($A$1=$AF$1,AG73,IF($A$1=$AI$1,AJ73))))))))))))</f>
        <v/>
      </c>
    </row>
    <row r="74" hidden="1" ht="15.75" customHeight="1">
      <c r="A74" s="26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21">
        <f>AP74-AO74</f>
        <v/>
      </c>
      <c r="AM74" s="22">
        <f>AP74/AO74-1</f>
        <v/>
      </c>
      <c r="AO74" s="44">
        <f>IF($A$1=$B$1,B74,IF($A$1=$E$1,E74,IF($A$1=$H$1,H74,IF($A$1=$K$1,K74,IF($A$1=$N$1,N74,IF($A$1=$Q$1,Q74,IF($A$1=$T$1,T74,IF($A$1=$W$1,W74,IF($A$1=$Z$1,Z74,IF($A$1=$AC$1,AC74,IF($A$1=$AF$1,AF74,IF($A$1=$AI$1,AI74))))))))))))</f>
        <v/>
      </c>
      <c r="AP74" s="44">
        <f>IF($A$1=$B$1,C74,IF($A$1=$E$1,F74,IF($A$1=$H$1,I74,IF($A$1=$K$1,L74,IF($A$1=$N$1,O74,IF($A$1=$Q$1,R74,IF($A$1=$T$1,U74,IF($A$1=$W$1,X74,IF($A$1=$Z$1,AA74,IF($A$1=$AC$1,AD74,IF($A$1=$AF$1,AG74,IF($A$1=$AI$1,AJ74))))))))))))</f>
        <v/>
      </c>
    </row>
    <row r="75" hidden="1" ht="15.75" customFormat="1" customHeight="1" s="1">
      <c r="A75" s="2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21">
        <f>AP75-AO75</f>
        <v/>
      </c>
      <c r="AM75" s="22">
        <f>AP75/AO75-1</f>
        <v/>
      </c>
      <c r="AO75" s="44">
        <f>IF($A$1=$B$1,B75,IF($A$1=$E$1,E75,IF($A$1=$H$1,H75,IF($A$1=$K$1,K75,IF($A$1=$N$1,N75,IF($A$1=$Q$1,Q75,IF($A$1=$T$1,T75,IF($A$1=$W$1,W75,IF($A$1=$Z$1,Z75,IF($A$1=$AC$1,AC75,IF($A$1=$AF$1,AF75,IF($A$1=$AI$1,AI75))))))))))))</f>
        <v/>
      </c>
      <c r="AP75" s="44">
        <f>IF($A$1=$B$1,C75,IF($A$1=$E$1,F75,IF($A$1=$H$1,I75,IF($A$1=$K$1,L75,IF($A$1=$N$1,O75,IF($A$1=$Q$1,R75,IF($A$1=$T$1,U75,IF($A$1=$W$1,X75,IF($A$1=$Z$1,AA75,IF($A$1=$AC$1,AD75,IF($A$1=$AF$1,AG75,IF($A$1=$AI$1,AJ75))))))))))))</f>
        <v/>
      </c>
    </row>
    <row r="76" hidden="1" ht="15.75" customHeight="1">
      <c r="A76" s="2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15" t="n"/>
      <c r="AM76" s="16" t="n"/>
    </row>
    <row r="77">
      <c r="A77" s="2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5" t="n"/>
    </row>
    <row r="78" ht="17" customFormat="1" customHeight="1" s="49">
      <c r="A78" s="47" t="inlineStr">
        <is>
          <t>GROSS PROFIT MARGIN BY CHANNELS</t>
        </is>
      </c>
      <c r="B78" s="413" t="n"/>
      <c r="C78" s="413" t="n"/>
      <c r="D78" s="413" t="n"/>
      <c r="E78" s="413" t="n"/>
      <c r="F78" s="413" t="n"/>
      <c r="G78" s="413" t="n"/>
      <c r="H78" s="413" t="n"/>
      <c r="I78" s="413" t="n"/>
      <c r="J78" s="413" t="n"/>
      <c r="K78" s="413" t="n"/>
      <c r="L78" s="413" t="n"/>
      <c r="M78" s="413" t="n"/>
      <c r="N78" s="413" t="n"/>
      <c r="O78" s="413" t="n"/>
      <c r="P78" s="413" t="n"/>
      <c r="Q78" s="413" t="n"/>
      <c r="R78" s="413" t="n"/>
      <c r="S78" s="413" t="n"/>
      <c r="T78" s="413" t="n"/>
      <c r="U78" s="413" t="n"/>
      <c r="V78" s="413" t="n"/>
      <c r="W78" s="413" t="n"/>
      <c r="X78" s="413" t="n"/>
      <c r="Y78" s="413" t="n"/>
      <c r="Z78" s="413" t="n"/>
      <c r="AA78" s="413" t="n"/>
      <c r="AB78" s="413" t="n"/>
      <c r="AC78" s="413" t="n"/>
      <c r="AD78" s="413" t="n"/>
      <c r="AE78" s="413" t="n"/>
      <c r="AF78" s="413" t="n"/>
      <c r="AG78" s="413" t="n"/>
      <c r="AH78" s="413" t="n"/>
      <c r="AI78" s="413" t="n"/>
      <c r="AJ78" s="413" t="n"/>
      <c r="AK78" s="413" t="n"/>
      <c r="AL78" s="413" t="n"/>
      <c r="AM78" s="48" t="n"/>
    </row>
    <row r="79" ht="15.5" customFormat="1" customHeight="1" s="13">
      <c r="A79" s="26" t="inlineStr">
        <is>
          <t xml:space="preserve">İnci Holding </t>
        </is>
      </c>
      <c r="B79" s="12">
        <f>B36/B9</f>
        <v/>
      </c>
      <c r="C79" s="12">
        <f>IFERROR((C36/C9),"")</f>
        <v/>
      </c>
      <c r="D79" s="41" t="n"/>
      <c r="E79" s="12">
        <f>E36/E9</f>
        <v/>
      </c>
      <c r="F79" s="12">
        <f>IFERROR((F36/F9),"")</f>
        <v/>
      </c>
      <c r="G79" s="41" t="n"/>
      <c r="H79" s="12">
        <f>H36/H9</f>
        <v/>
      </c>
      <c r="I79" s="12">
        <f>IFERROR((I36/I9),"")</f>
        <v/>
      </c>
      <c r="J79" s="41" t="n"/>
      <c r="K79" s="12">
        <f>K36/K9</f>
        <v/>
      </c>
      <c r="L79" s="12">
        <f>IFERROR((L36/L9),"")</f>
        <v/>
      </c>
      <c r="M79" s="41" t="n"/>
      <c r="N79" s="12">
        <f>N36/N9</f>
        <v/>
      </c>
      <c r="O79" s="12">
        <f>IFERROR((O36/O9),"")</f>
        <v/>
      </c>
      <c r="P79" s="41" t="n"/>
      <c r="Q79" s="12">
        <f>Q36/Q9</f>
        <v/>
      </c>
      <c r="R79" s="12">
        <f>IFERROR((R36/R9),"")</f>
        <v/>
      </c>
      <c r="S79" s="41" t="n"/>
      <c r="T79" s="12">
        <f>T36/T9</f>
        <v/>
      </c>
      <c r="U79" s="12">
        <f>IFERROR((U36/U9),"")</f>
        <v/>
      </c>
      <c r="V79" s="41" t="n"/>
      <c r="W79" s="12">
        <f>W36/W9</f>
        <v/>
      </c>
      <c r="X79" s="12">
        <f>IFERROR((X36/X9),"")</f>
        <v/>
      </c>
      <c r="Y79" s="41" t="n"/>
      <c r="Z79" s="12">
        <f>Z36/Z9</f>
        <v/>
      </c>
      <c r="AA79" s="12">
        <f>IFERROR((AA36/AA9),"")</f>
        <v/>
      </c>
      <c r="AB79" s="41" t="n"/>
      <c r="AC79" s="12">
        <f>AC36/AC9</f>
        <v/>
      </c>
      <c r="AD79" s="12">
        <f>IFERROR((AD36/AD9),"")</f>
        <v/>
      </c>
      <c r="AE79" s="41" t="n"/>
      <c r="AF79" s="12">
        <f>AF36/AF9</f>
        <v/>
      </c>
      <c r="AG79" s="12">
        <f>IFERROR((AG36/AG9),"")</f>
        <v/>
      </c>
      <c r="AH79" s="41" t="n"/>
      <c r="AI79" s="12">
        <f>AI36/AI9</f>
        <v/>
      </c>
      <c r="AJ79" s="12">
        <f>IFERROR((AJ36/AJ9),"")</f>
        <v/>
      </c>
      <c r="AK79" s="41" t="n"/>
      <c r="AL79" s="15" t="n"/>
      <c r="AM79" s="22">
        <f>AP79-AO79</f>
        <v/>
      </c>
      <c r="AO79" s="44">
        <f>IF($A$1=$B$1,B79,IF($A$1=$E$1,E79,IF($A$1=$H$1,H79,IF($A$1=$K$1,K79,IF($A$1=$N$1,N79,IF($A$1=$Q$1,Q79,IF($A$1=$T$1,T79,IF($A$1=$W$1,W79,IF($A$1=$Z$1,Z79,IF($A$1=$AC$1,AC79,IF($A$1=$AF$1,AF79,IF($A$1=$AI$1,AI79))))))))))))</f>
        <v/>
      </c>
      <c r="AP79" s="44">
        <f>IF($A$1=$B$1,C79,IF($A$1=$E$1,F79,IF($A$1=$H$1,I79,IF($A$1=$K$1,L79,IF($A$1=$N$1,O79,IF($A$1=$Q$1,R79,IF($A$1=$T$1,U79,IF($A$1=$W$1,X79,IF($A$1=$Z$1,AA79,IF($A$1=$AC$1,AD79,IF($A$1=$AF$1,AG79,IF($A$1=$AI$1,AJ79))))))))))))</f>
        <v/>
      </c>
    </row>
    <row r="80" ht="15.5" customFormat="1" customHeight="1" s="13">
      <c r="A80" s="26" t="inlineStr">
        <is>
          <t xml:space="preserve">ISM </t>
        </is>
      </c>
      <c r="B80" s="12">
        <f>B37/B10</f>
        <v/>
      </c>
      <c r="C80" s="12">
        <f>IFERROR((C37/C10),"")</f>
        <v/>
      </c>
      <c r="D80" s="41" t="n"/>
      <c r="E80" s="12">
        <f>E37/E10</f>
        <v/>
      </c>
      <c r="F80" s="12">
        <f>IFERROR((F37/F10),"")</f>
        <v/>
      </c>
      <c r="G80" s="41" t="n"/>
      <c r="H80" s="12">
        <f>H37/H10</f>
        <v/>
      </c>
      <c r="I80" s="12">
        <f>IFERROR((I37/I10),"")</f>
        <v/>
      </c>
      <c r="J80" s="41" t="n"/>
      <c r="K80" s="12">
        <f>K37/K10</f>
        <v/>
      </c>
      <c r="L80" s="12">
        <f>IFERROR((L37/L10),"")</f>
        <v/>
      </c>
      <c r="M80" s="41" t="n"/>
      <c r="N80" s="12">
        <f>N37/N10</f>
        <v/>
      </c>
      <c r="O80" s="12">
        <f>IFERROR((O37/O10),"")</f>
        <v/>
      </c>
      <c r="P80" s="41" t="n"/>
      <c r="Q80" s="12">
        <f>Q37/Q10</f>
        <v/>
      </c>
      <c r="R80" s="12">
        <f>IFERROR((R37/R10),"")</f>
        <v/>
      </c>
      <c r="S80" s="41" t="n"/>
      <c r="T80" s="12">
        <f>T37/T10</f>
        <v/>
      </c>
      <c r="U80" s="12">
        <f>IFERROR((U37/U10),"")</f>
        <v/>
      </c>
      <c r="V80" s="41" t="n"/>
      <c r="W80" s="12">
        <f>W37/W10</f>
        <v/>
      </c>
      <c r="X80" s="12">
        <f>IFERROR((X37/X10),"")</f>
        <v/>
      </c>
      <c r="Y80" s="41" t="n"/>
      <c r="Z80" s="12">
        <f>Z37/Z10</f>
        <v/>
      </c>
      <c r="AA80" s="12">
        <f>IFERROR((AA37/AA10),"")</f>
        <v/>
      </c>
      <c r="AB80" s="41" t="n"/>
      <c r="AC80" s="12">
        <f>AC37/AC10</f>
        <v/>
      </c>
      <c r="AD80" s="12">
        <f>IFERROR((AD37/AD10),"")</f>
        <v/>
      </c>
      <c r="AE80" s="41" t="n"/>
      <c r="AF80" s="12">
        <f>AF37/AF10</f>
        <v/>
      </c>
      <c r="AG80" s="12">
        <f>IFERROR((AG37/AG10),"")</f>
        <v/>
      </c>
      <c r="AH80" s="41" t="n"/>
      <c r="AI80" s="12">
        <f>AI37/AI10</f>
        <v/>
      </c>
      <c r="AJ80" s="12">
        <f>IFERROR((AJ37/AJ10),"")</f>
        <v/>
      </c>
      <c r="AK80" s="41" t="n"/>
      <c r="AL80" s="15" t="n"/>
      <c r="AM80" s="22">
        <f>AP80-AO80</f>
        <v/>
      </c>
      <c r="AO80" s="44">
        <f>IF($A$1=$B$1,B80,IF($A$1=$E$1,E80,IF($A$1=$H$1,H80,IF($A$1=$K$1,K80,IF($A$1=$N$1,N80,IF($A$1=$Q$1,Q80,IF($A$1=$T$1,T80,IF($A$1=$W$1,W80,IF($A$1=$Z$1,Z80,IF($A$1=$AC$1,AC80,IF($A$1=$AF$1,AF80,IF($A$1=$AI$1,AI80))))))))))))</f>
        <v/>
      </c>
      <c r="AP80" s="44">
        <f>IF($A$1=$B$1,C80,IF($A$1=$E$1,F80,IF($A$1=$H$1,I80,IF($A$1=$K$1,L80,IF($A$1=$N$1,O80,IF($A$1=$Q$1,R80,IF($A$1=$T$1,U80,IF($A$1=$W$1,X80,IF($A$1=$Z$1,AA80,IF($A$1=$AC$1,AD80,IF($A$1=$AF$1,AG80,IF($A$1=$AI$1,AJ80))))))))))))</f>
        <v/>
      </c>
    </row>
    <row r="81" ht="15.5" customFormat="1" customHeight="1" s="13">
      <c r="A81" s="26" t="inlineStr">
        <is>
          <t>İncitaş</t>
        </is>
      </c>
      <c r="B81" s="12">
        <f>B38/B11</f>
        <v/>
      </c>
      <c r="C81" s="12">
        <f>IFERROR((C38/C11),"")</f>
        <v/>
      </c>
      <c r="D81" s="41" t="n"/>
      <c r="E81" s="12">
        <f>E38/E11</f>
        <v/>
      </c>
      <c r="F81" s="12">
        <f>IFERROR((F38/F11),"")</f>
        <v/>
      </c>
      <c r="G81" s="41" t="n"/>
      <c r="H81" s="12">
        <f>H38/H11</f>
        <v/>
      </c>
      <c r="I81" s="12">
        <f>IFERROR((I38/I11),"")</f>
        <v/>
      </c>
      <c r="J81" s="41" t="n"/>
      <c r="K81" s="12">
        <f>K38/K11</f>
        <v/>
      </c>
      <c r="L81" s="12">
        <f>IFERROR((L38/L11),"")</f>
        <v/>
      </c>
      <c r="M81" s="41" t="n"/>
      <c r="N81" s="12">
        <f>N38/N11</f>
        <v/>
      </c>
      <c r="O81" s="12">
        <f>IFERROR((O38/O11),"")</f>
        <v/>
      </c>
      <c r="P81" s="41" t="n"/>
      <c r="Q81" s="12">
        <f>Q38/Q11</f>
        <v/>
      </c>
      <c r="R81" s="12">
        <f>IFERROR((R38/R11),"")</f>
        <v/>
      </c>
      <c r="S81" s="41" t="n"/>
      <c r="T81" s="12">
        <f>T38/T11</f>
        <v/>
      </c>
      <c r="U81" s="12">
        <f>IFERROR((U38/U11),"")</f>
        <v/>
      </c>
      <c r="V81" s="41" t="n"/>
      <c r="W81" s="12">
        <f>W38/W11</f>
        <v/>
      </c>
      <c r="X81" s="12">
        <f>IFERROR((X38/X11),"")</f>
        <v/>
      </c>
      <c r="Y81" s="41" t="n"/>
      <c r="Z81" s="12">
        <f>Z38/Z11</f>
        <v/>
      </c>
      <c r="AA81" s="12">
        <f>IFERROR((AA38/AA11),"")</f>
        <v/>
      </c>
      <c r="AB81" s="41" t="n"/>
      <c r="AC81" s="12">
        <f>AC38/AC11</f>
        <v/>
      </c>
      <c r="AD81" s="12">
        <f>IFERROR((AD38/AD11),"")</f>
        <v/>
      </c>
      <c r="AE81" s="41" t="n"/>
      <c r="AF81" s="12">
        <f>AF38/AF11</f>
        <v/>
      </c>
      <c r="AG81" s="12">
        <f>IFERROR((AG38/AG11),"")</f>
        <v/>
      </c>
      <c r="AH81" s="41" t="n"/>
      <c r="AI81" s="12">
        <f>AI38/AI11</f>
        <v/>
      </c>
      <c r="AJ81" s="12">
        <f>IFERROR((AJ38/AJ11),"")</f>
        <v/>
      </c>
      <c r="AK81" s="41" t="n"/>
      <c r="AL81" s="15" t="n"/>
      <c r="AM81" s="22">
        <f>AP81-AO81</f>
        <v/>
      </c>
      <c r="AO81" s="44">
        <f>IF($A$1=$B$1,B81,IF($A$1=$E$1,E81,IF($A$1=$H$1,H81,IF($A$1=$K$1,K81,IF($A$1=$N$1,N81,IF($A$1=$Q$1,Q81,IF($A$1=$T$1,T81,IF($A$1=$W$1,W81,IF($A$1=$Z$1,Z81,IF($A$1=$AC$1,AC81,IF($A$1=$AF$1,AF81,IF($A$1=$AI$1,AI81))))))))))))</f>
        <v/>
      </c>
      <c r="AP81" s="44">
        <f>IF($A$1=$B$1,C81,IF($A$1=$E$1,F81,IF($A$1=$H$1,I81,IF($A$1=$K$1,L81,IF($A$1=$N$1,O81,IF($A$1=$Q$1,R81,IF($A$1=$T$1,U81,IF($A$1=$W$1,X81,IF($A$1=$Z$1,AA81,IF($A$1=$AC$1,AD81,IF($A$1=$AF$1,AG81,IF($A$1=$AI$1,AJ81))))))))))))</f>
        <v/>
      </c>
    </row>
    <row r="82" ht="15.5" customFormat="1" customHeight="1" s="13">
      <c r="A82" s="26" t="inlineStr">
        <is>
          <t>İnci GS Yuasa</t>
        </is>
      </c>
      <c r="B82" s="12">
        <f>B39/B12</f>
        <v/>
      </c>
      <c r="C82" s="12">
        <f>IFERROR((C39/C12),"")</f>
        <v/>
      </c>
      <c r="D82" s="41" t="n"/>
      <c r="E82" s="12">
        <f>E39/E12</f>
        <v/>
      </c>
      <c r="F82" s="12">
        <f>IFERROR((F39/F12),"")</f>
        <v/>
      </c>
      <c r="G82" s="41" t="n"/>
      <c r="H82" s="12">
        <f>H39/H12</f>
        <v/>
      </c>
      <c r="I82" s="12">
        <f>IFERROR((I39/I12),"")</f>
        <v/>
      </c>
      <c r="J82" s="41" t="n"/>
      <c r="K82" s="12">
        <f>K39/K12</f>
        <v/>
      </c>
      <c r="L82" s="12">
        <f>IFERROR((L39/L12),"")</f>
        <v/>
      </c>
      <c r="M82" s="41" t="n"/>
      <c r="N82" s="12">
        <f>N39/N12</f>
        <v/>
      </c>
      <c r="O82" s="12">
        <f>IFERROR((O39/O12),"")</f>
        <v/>
      </c>
      <c r="P82" s="41" t="n"/>
      <c r="Q82" s="12">
        <f>Q39/Q12</f>
        <v/>
      </c>
      <c r="R82" s="12">
        <f>IFERROR((R39/R12),"")</f>
        <v/>
      </c>
      <c r="S82" s="41" t="n"/>
      <c r="T82" s="12">
        <f>T39/T12</f>
        <v/>
      </c>
      <c r="U82" s="12">
        <f>IFERROR((U39/U12),"")</f>
        <v/>
      </c>
      <c r="V82" s="41" t="n"/>
      <c r="W82" s="12">
        <f>W39/W12</f>
        <v/>
      </c>
      <c r="X82" s="12">
        <f>IFERROR((X39/X12),"")</f>
        <v/>
      </c>
      <c r="Y82" s="41" t="n"/>
      <c r="Z82" s="12">
        <f>Z39/Z12</f>
        <v/>
      </c>
      <c r="AA82" s="12">
        <f>IFERROR((AA39/AA12),"")</f>
        <v/>
      </c>
      <c r="AB82" s="41" t="n"/>
      <c r="AC82" s="12">
        <f>AC39/AC12</f>
        <v/>
      </c>
      <c r="AD82" s="12">
        <f>IFERROR((AD39/AD12),"")</f>
        <v/>
      </c>
      <c r="AE82" s="41" t="n"/>
      <c r="AF82" s="12">
        <f>AF39/AF12</f>
        <v/>
      </c>
      <c r="AG82" s="12">
        <f>IFERROR((AG39/AG12),"")</f>
        <v/>
      </c>
      <c r="AH82" s="41" t="n"/>
      <c r="AI82" s="12">
        <f>AI39/AI12</f>
        <v/>
      </c>
      <c r="AJ82" s="12">
        <f>IFERROR((AJ39/AJ12),"")</f>
        <v/>
      </c>
      <c r="AK82" s="41" t="n"/>
      <c r="AL82" s="15" t="n"/>
      <c r="AM82" s="22">
        <f>AP82-AO82</f>
        <v/>
      </c>
      <c r="AO82" s="44">
        <f>IF($A$1=$B$1,B82,IF($A$1=$E$1,E82,IF($A$1=$H$1,H82,IF($A$1=$K$1,K82,IF($A$1=$N$1,N82,IF($A$1=$Q$1,Q82,IF($A$1=$T$1,T82,IF($A$1=$W$1,W82,IF($A$1=$Z$1,Z82,IF($A$1=$AC$1,AC82,IF($A$1=$AF$1,AF82,IF($A$1=$AI$1,AI82))))))))))))</f>
        <v/>
      </c>
      <c r="AP82" s="44">
        <f>IF($A$1=$B$1,C82,IF($A$1=$E$1,F82,IF($A$1=$H$1,I82,IF($A$1=$K$1,L82,IF($A$1=$N$1,O82,IF($A$1=$Q$1,R82,IF($A$1=$T$1,U82,IF($A$1=$W$1,X82,IF($A$1=$Z$1,AA82,IF($A$1=$AC$1,AD82,IF($A$1=$AF$1,AG82,IF($A$1=$AI$1,AJ82))))))))))))</f>
        <v/>
      </c>
    </row>
    <row r="83" ht="15.5" customFormat="1" customHeight="1" s="13">
      <c r="A83" s="26" t="inlineStr">
        <is>
          <t>Yusen İnci Loj.</t>
        </is>
      </c>
      <c r="B83" s="12">
        <f>B40/B13</f>
        <v/>
      </c>
      <c r="C83" s="30">
        <f>IFERROR((C40/C13),"")</f>
        <v/>
      </c>
      <c r="D83" s="41" t="n"/>
      <c r="E83" s="12">
        <f>E40/E13</f>
        <v/>
      </c>
      <c r="F83" s="30">
        <f>IFERROR((F40/F13),"")</f>
        <v/>
      </c>
      <c r="G83" s="41" t="n"/>
      <c r="H83" s="12">
        <f>H40/H13</f>
        <v/>
      </c>
      <c r="I83" s="30">
        <f>IFERROR((I40/I13),"")</f>
        <v/>
      </c>
      <c r="J83" s="41" t="n"/>
      <c r="K83" s="12">
        <f>K40/K13</f>
        <v/>
      </c>
      <c r="L83" s="30">
        <f>IFERROR((L40/L13),"")</f>
        <v/>
      </c>
      <c r="M83" s="41" t="n"/>
      <c r="N83" s="12">
        <f>N40/N13</f>
        <v/>
      </c>
      <c r="O83" s="30">
        <f>IFERROR((O40/O13),"")</f>
        <v/>
      </c>
      <c r="P83" s="41" t="n"/>
      <c r="Q83" s="12">
        <f>Q40/Q13</f>
        <v/>
      </c>
      <c r="R83" s="30">
        <f>IFERROR((R40/R13),"")</f>
        <v/>
      </c>
      <c r="S83" s="41" t="n"/>
      <c r="T83" s="12">
        <f>T40/T13</f>
        <v/>
      </c>
      <c r="U83" s="30">
        <f>IFERROR((U40/U13),"")</f>
        <v/>
      </c>
      <c r="V83" s="41" t="n"/>
      <c r="W83" s="12">
        <f>W40/W13</f>
        <v/>
      </c>
      <c r="X83" s="30">
        <f>IFERROR((X40/X13),"")</f>
        <v/>
      </c>
      <c r="Y83" s="41" t="n"/>
      <c r="Z83" s="12">
        <f>Z40/Z13</f>
        <v/>
      </c>
      <c r="AA83" s="30">
        <f>IFERROR((AA40/AA13),"")</f>
        <v/>
      </c>
      <c r="AB83" s="41" t="n"/>
      <c r="AC83" s="12">
        <f>AC40/AC13</f>
        <v/>
      </c>
      <c r="AD83" s="30">
        <f>IFERROR((AD40/AD13),"")</f>
        <v/>
      </c>
      <c r="AE83" s="41" t="n"/>
      <c r="AF83" s="12">
        <f>AF40/AF13</f>
        <v/>
      </c>
      <c r="AG83" s="30">
        <f>IFERROR((AG40/AG13),"")</f>
        <v/>
      </c>
      <c r="AH83" s="41" t="n"/>
      <c r="AI83" s="12">
        <f>AI40/AI13</f>
        <v/>
      </c>
      <c r="AJ83" s="30">
        <f>IFERROR((AJ40/AJ13),"")</f>
        <v/>
      </c>
      <c r="AK83" s="41" t="n"/>
      <c r="AL83" s="15" t="n"/>
      <c r="AM83" s="22">
        <f>AP83-AO83</f>
        <v/>
      </c>
      <c r="AO83" s="44">
        <f>IF($A$1=$B$1,B83,IF($A$1=$E$1,E83,IF($A$1=$H$1,H83,IF($A$1=$K$1,K83,IF($A$1=$N$1,N83,IF($A$1=$Q$1,Q83,IF($A$1=$T$1,T83,IF($A$1=$W$1,W83,IF($A$1=$Z$1,Z83,IF($A$1=$AC$1,AC83,IF($A$1=$AF$1,AF83,IF($A$1=$AI$1,AI83))))))))))))</f>
        <v/>
      </c>
      <c r="AP83" s="44">
        <f>IF($A$1=$B$1,C83,IF($A$1=$E$1,F83,IF($A$1=$H$1,I83,IF($A$1=$K$1,L83,IF($A$1=$N$1,O83,IF($A$1=$Q$1,R83,IF($A$1=$T$1,U83,IF($A$1=$W$1,X83,IF($A$1=$Z$1,AA83,IF($A$1=$AC$1,AD83,IF($A$1=$AF$1,AG83,IF($A$1=$AI$1,AJ83))))))))))))</f>
        <v/>
      </c>
    </row>
    <row r="84" ht="15.5" customFormat="1" customHeight="1" s="13">
      <c r="A84" s="26" t="inlineStr">
        <is>
          <t>Jantaş</t>
        </is>
      </c>
      <c r="B84" s="12">
        <f>B41/B14</f>
        <v/>
      </c>
      <c r="C84" s="12">
        <f>IFERROR((C41/C14),"")</f>
        <v/>
      </c>
      <c r="D84" s="41" t="n"/>
      <c r="E84" s="12">
        <f>E41/E14</f>
        <v/>
      </c>
      <c r="F84" s="12">
        <f>IFERROR((F41/F14),"")</f>
        <v/>
      </c>
      <c r="G84" s="41" t="n"/>
      <c r="H84" s="12">
        <f>H41/H14</f>
        <v/>
      </c>
      <c r="I84" s="12">
        <f>IFERROR((I41/I14),"")</f>
        <v/>
      </c>
      <c r="J84" s="41" t="n"/>
      <c r="K84" s="12">
        <f>K41/K14</f>
        <v/>
      </c>
      <c r="L84" s="12">
        <f>IFERROR((L41/L14),"")</f>
        <v/>
      </c>
      <c r="M84" s="41" t="n"/>
      <c r="N84" s="12">
        <f>N41/N14</f>
        <v/>
      </c>
      <c r="O84" s="12">
        <f>IFERROR((O41/O14),"")</f>
        <v/>
      </c>
      <c r="P84" s="41" t="n"/>
      <c r="Q84" s="12">
        <f>Q41/Q14</f>
        <v/>
      </c>
      <c r="R84" s="12">
        <f>IFERROR((R41/R14),"")</f>
        <v/>
      </c>
      <c r="S84" s="41" t="n"/>
      <c r="T84" s="12">
        <f>T41/T14</f>
        <v/>
      </c>
      <c r="U84" s="12">
        <f>IFERROR((U41/U14),"")</f>
        <v/>
      </c>
      <c r="V84" s="41" t="n"/>
      <c r="W84" s="12">
        <f>W41/W14</f>
        <v/>
      </c>
      <c r="X84" s="12">
        <f>IFERROR((X41/X14),"")</f>
        <v/>
      </c>
      <c r="Y84" s="41" t="n"/>
      <c r="Z84" s="12">
        <f>Z41/Z14</f>
        <v/>
      </c>
      <c r="AA84" s="12">
        <f>IFERROR((AA41/AA14),"")</f>
        <v/>
      </c>
      <c r="AB84" s="41" t="n"/>
      <c r="AC84" s="12">
        <f>AC41/AC14</f>
        <v/>
      </c>
      <c r="AD84" s="12">
        <f>IFERROR((AD41/AD14),"")</f>
        <v/>
      </c>
      <c r="AE84" s="41" t="n"/>
      <c r="AF84" s="12">
        <f>AF41/AF14</f>
        <v/>
      </c>
      <c r="AG84" s="12">
        <f>IFERROR((AG41/AG14),"")</f>
        <v/>
      </c>
      <c r="AH84" s="41" t="n"/>
      <c r="AI84" s="12">
        <f>AI41/AI14</f>
        <v/>
      </c>
      <c r="AJ84" s="12">
        <f>IFERROR((AJ41/AJ14),"")</f>
        <v/>
      </c>
      <c r="AK84" s="41" t="n"/>
      <c r="AL84" s="15" t="n"/>
      <c r="AM84" s="22">
        <f>AP84-AO84</f>
        <v/>
      </c>
      <c r="AO84" s="44">
        <f>IF($A$1=$B$1,B84,IF($A$1=$E$1,E84,IF($A$1=$H$1,H84,IF($A$1=$K$1,K84,IF($A$1=$N$1,N84,IF($A$1=$Q$1,Q84,IF($A$1=$T$1,T84,IF($A$1=$W$1,W84,IF($A$1=$Z$1,Z84,IF($A$1=$AC$1,AC84,IF($A$1=$AF$1,AF84,IF($A$1=$AI$1,AI84))))))))))))</f>
        <v/>
      </c>
      <c r="AP84" s="44">
        <f>IF($A$1=$B$1,C84,IF($A$1=$E$1,F84,IF($A$1=$H$1,I84,IF($A$1=$K$1,L84,IF($A$1=$N$1,O84,IF($A$1=$Q$1,R84,IF($A$1=$T$1,U84,IF($A$1=$W$1,X84,IF($A$1=$Z$1,AA84,IF($A$1=$AC$1,AD84,IF($A$1=$AF$1,AG84,IF($A$1=$AI$1,AJ84))))))))))))</f>
        <v/>
      </c>
    </row>
    <row r="85" ht="15.5" customFormat="1" customHeight="1" s="13">
      <c r="A85" s="26" t="inlineStr">
        <is>
          <t>Çelik</t>
        </is>
      </c>
      <c r="B85" s="12">
        <f>B42/B15</f>
        <v/>
      </c>
      <c r="C85" s="12">
        <f>IFERROR((C42/C15),"")</f>
        <v/>
      </c>
      <c r="D85" s="41" t="n"/>
      <c r="E85" s="12">
        <f>E42/E15</f>
        <v/>
      </c>
      <c r="F85" s="12">
        <f>IFERROR((F42/F15),"")</f>
        <v/>
      </c>
      <c r="G85" s="41" t="n"/>
      <c r="H85" s="12">
        <f>H42/H15</f>
        <v/>
      </c>
      <c r="I85" s="12">
        <f>IFERROR((I42/I15),"")</f>
        <v/>
      </c>
      <c r="J85" s="41" t="n"/>
      <c r="K85" s="12">
        <f>K42/K15</f>
        <v/>
      </c>
      <c r="L85" s="12">
        <f>IFERROR((L42/L15),"")</f>
        <v/>
      </c>
      <c r="M85" s="41" t="n"/>
      <c r="N85" s="12">
        <f>N42/N15</f>
        <v/>
      </c>
      <c r="O85" s="12">
        <f>IFERROR((O42/O15),"")</f>
        <v/>
      </c>
      <c r="P85" s="41" t="n"/>
      <c r="Q85" s="12">
        <f>Q42/Q15</f>
        <v/>
      </c>
      <c r="R85" s="12">
        <f>IFERROR((R42/R15),"")</f>
        <v/>
      </c>
      <c r="S85" s="41" t="n"/>
      <c r="T85" s="12">
        <f>T42/T15</f>
        <v/>
      </c>
      <c r="U85" s="12">
        <f>IFERROR((U42/U15),"")</f>
        <v/>
      </c>
      <c r="V85" s="41" t="n"/>
      <c r="W85" s="12">
        <f>W42/W15</f>
        <v/>
      </c>
      <c r="X85" s="12">
        <f>IFERROR((X42/X15),"")</f>
        <v/>
      </c>
      <c r="Y85" s="41" t="n"/>
      <c r="Z85" s="12">
        <f>Z42/Z15</f>
        <v/>
      </c>
      <c r="AA85" s="12">
        <f>IFERROR((AA42/AA15),"")</f>
        <v/>
      </c>
      <c r="AB85" s="41" t="n"/>
      <c r="AC85" s="12">
        <f>AC42/AC15</f>
        <v/>
      </c>
      <c r="AD85" s="12">
        <f>IFERROR((AD42/AD15),"")</f>
        <v/>
      </c>
      <c r="AE85" s="41" t="n"/>
      <c r="AF85" s="12">
        <f>AF42/AF15</f>
        <v/>
      </c>
      <c r="AG85" s="12">
        <f>IFERROR((AG42/AG15),"")</f>
        <v/>
      </c>
      <c r="AH85" s="41" t="n"/>
      <c r="AI85" s="12">
        <f>AI42/AI15</f>
        <v/>
      </c>
      <c r="AJ85" s="12">
        <f>IFERROR((AJ42/AJ15),"")</f>
        <v/>
      </c>
      <c r="AK85" s="41" t="n"/>
      <c r="AL85" s="15" t="n"/>
      <c r="AM85" s="22">
        <f>AP85-AO85</f>
        <v/>
      </c>
      <c r="AO85" s="44">
        <f>IF($A$1=$B$1,B85,IF($A$1=$E$1,E85,IF($A$1=$H$1,H85,IF($A$1=$K$1,K85,IF($A$1=$N$1,N85,IF($A$1=$Q$1,Q85,IF($A$1=$T$1,T85,IF($A$1=$W$1,W85,IF($A$1=$Z$1,Z85,IF($A$1=$AC$1,AC85,IF($A$1=$AF$1,AF85,IF($A$1=$AI$1,AI85))))))))))))</f>
        <v/>
      </c>
      <c r="AP85" s="44">
        <f>IF($A$1=$B$1,C85,IF($A$1=$E$1,F85,IF($A$1=$H$1,I85,IF($A$1=$K$1,L85,IF($A$1=$N$1,O85,IF($A$1=$Q$1,R85,IF($A$1=$T$1,U85,IF($A$1=$W$1,X85,IF($A$1=$Z$1,AA85,IF($A$1=$AC$1,AD85,IF($A$1=$AF$1,AG85,IF($A$1=$AI$1,AJ85))))))))))))</f>
        <v/>
      </c>
    </row>
    <row r="86" ht="15.5" customFormat="1" customHeight="1" s="13">
      <c r="A86" s="26" t="inlineStr">
        <is>
          <t>Alüminyum</t>
        </is>
      </c>
      <c r="B86" s="12">
        <f>B43/B16</f>
        <v/>
      </c>
      <c r="C86" s="12">
        <f>IFERROR((C43/C16),"")</f>
        <v/>
      </c>
      <c r="D86" s="41" t="n"/>
      <c r="E86" s="12">
        <f>E43/E16</f>
        <v/>
      </c>
      <c r="F86" s="12">
        <f>IFERROR((F43/F16),"")</f>
        <v/>
      </c>
      <c r="G86" s="41" t="n"/>
      <c r="H86" s="12">
        <f>H43/H16</f>
        <v/>
      </c>
      <c r="I86" s="12">
        <f>IFERROR((I43/I16),"")</f>
        <v/>
      </c>
      <c r="J86" s="41" t="n"/>
      <c r="K86" s="12">
        <f>K43/K16</f>
        <v/>
      </c>
      <c r="L86" s="12">
        <f>IFERROR((L43/L16),"")</f>
        <v/>
      </c>
      <c r="M86" s="41" t="n"/>
      <c r="N86" s="12">
        <f>N43/N16</f>
        <v/>
      </c>
      <c r="O86" s="12">
        <f>IFERROR((O43/O16),"")</f>
        <v/>
      </c>
      <c r="P86" s="41" t="n"/>
      <c r="Q86" s="12">
        <f>Q43/Q16</f>
        <v/>
      </c>
      <c r="R86" s="12">
        <f>IFERROR((R43/R16),"")</f>
        <v/>
      </c>
      <c r="S86" s="41" t="n"/>
      <c r="T86" s="12">
        <f>T43/T16</f>
        <v/>
      </c>
      <c r="U86" s="12">
        <f>IFERROR((U43/U16),"")</f>
        <v/>
      </c>
      <c r="V86" s="41" t="n"/>
      <c r="W86" s="12">
        <f>W43/W16</f>
        <v/>
      </c>
      <c r="X86" s="12">
        <f>IFERROR((X43/X16),"")</f>
        <v/>
      </c>
      <c r="Y86" s="41" t="n"/>
      <c r="Z86" s="12">
        <f>Z43/Z16</f>
        <v/>
      </c>
      <c r="AA86" s="12">
        <f>IFERROR((AA43/AA16),"")</f>
        <v/>
      </c>
      <c r="AB86" s="41" t="n"/>
      <c r="AC86" s="12">
        <f>AC43/AC16</f>
        <v/>
      </c>
      <c r="AD86" s="12">
        <f>IFERROR((AD43/AD16),"")</f>
        <v/>
      </c>
      <c r="AE86" s="41" t="n"/>
      <c r="AF86" s="12">
        <f>AF43/AF16</f>
        <v/>
      </c>
      <c r="AG86" s="12">
        <f>IFERROR((AG43/AG16),"")</f>
        <v/>
      </c>
      <c r="AH86" s="41" t="n"/>
      <c r="AI86" s="12">
        <f>AI43/AI16</f>
        <v/>
      </c>
      <c r="AJ86" s="12">
        <f>IFERROR((AJ43/AJ16),"")</f>
        <v/>
      </c>
      <c r="AK86" s="41" t="n"/>
      <c r="AL86" s="15" t="n"/>
      <c r="AM86" s="22">
        <f>AP86-AO86</f>
        <v/>
      </c>
      <c r="AO86" s="44">
        <f>IF($A$1=$B$1,B86,IF($A$1=$E$1,E86,IF($A$1=$H$1,H86,IF($A$1=$K$1,K86,IF($A$1=$N$1,N86,IF($A$1=$Q$1,Q86,IF($A$1=$T$1,T86,IF($A$1=$W$1,W86,IF($A$1=$Z$1,Z86,IF($A$1=$AC$1,AC86,IF($A$1=$AF$1,AF86,IF($A$1=$AI$1,AI86))))))))))))</f>
        <v/>
      </c>
      <c r="AP86" s="44">
        <f>IF($A$1=$B$1,C86,IF($A$1=$E$1,F86,IF($A$1=$H$1,I86,IF($A$1=$K$1,L86,IF($A$1=$N$1,O86,IF($A$1=$Q$1,R86,IF($A$1=$T$1,U86,IF($A$1=$W$1,X86,IF($A$1=$Z$1,AA86,IF($A$1=$AC$1,AD86,IF($A$1=$AF$1,AG86,IF($A$1=$AI$1,AJ86))))))))))))</f>
        <v/>
      </c>
    </row>
    <row r="87" ht="15.5" customFormat="1" customHeight="1" s="13">
      <c r="A87" s="26" t="n"/>
      <c r="B87" s="12" t="n"/>
      <c r="C87" s="12">
        <f>IFERROR((C44/C17),"")</f>
        <v/>
      </c>
      <c r="D87" s="41" t="n"/>
      <c r="E87" s="12" t="n"/>
      <c r="F87" s="12">
        <f>IFERROR((F44/F17),"")</f>
        <v/>
      </c>
      <c r="G87" s="41" t="n"/>
      <c r="H87" s="12" t="n"/>
      <c r="I87" s="12">
        <f>IFERROR((I44/I17),"")</f>
        <v/>
      </c>
      <c r="J87" s="41" t="n"/>
      <c r="K87" s="12" t="n"/>
      <c r="L87" s="12">
        <f>IFERROR((L44/L17),"")</f>
        <v/>
      </c>
      <c r="M87" s="41" t="n"/>
      <c r="N87" s="12" t="n"/>
      <c r="O87" s="12">
        <f>IFERROR((O44/O17),"")</f>
        <v/>
      </c>
      <c r="P87" s="41" t="n"/>
      <c r="Q87" s="12" t="n"/>
      <c r="R87" s="12">
        <f>IFERROR((R44/R17),"")</f>
        <v/>
      </c>
      <c r="S87" s="41" t="n"/>
      <c r="T87" s="12" t="n"/>
      <c r="U87" s="12">
        <f>IFERROR((U44/U17),"")</f>
        <v/>
      </c>
      <c r="V87" s="41" t="n"/>
      <c r="W87" s="12" t="n"/>
      <c r="X87" s="12">
        <f>IFERROR((X44/X17),"")</f>
        <v/>
      </c>
      <c r="Y87" s="41" t="n"/>
      <c r="Z87" s="12" t="n"/>
      <c r="AA87" s="12">
        <f>IFERROR((AA44/AA17),"")</f>
        <v/>
      </c>
      <c r="AB87" s="41" t="n"/>
      <c r="AC87" s="12" t="n"/>
      <c r="AD87" s="12">
        <f>IFERROR((AD44/AD17),"")</f>
        <v/>
      </c>
      <c r="AE87" s="41" t="n"/>
      <c r="AF87" s="12" t="n"/>
      <c r="AG87" s="12">
        <f>IFERROR((AG44/AG17),"")</f>
        <v/>
      </c>
      <c r="AH87" s="41" t="n"/>
      <c r="AI87" s="12" t="n"/>
      <c r="AJ87" s="12">
        <f>IFERROR((AJ44/AJ17),"")</f>
        <v/>
      </c>
      <c r="AK87" s="41" t="n"/>
      <c r="AL87" s="15" t="n"/>
      <c r="AM87" s="22" t="n"/>
      <c r="AO87" s="44">
        <f>IF($A$1=$B$1,B87,IF($A$1=$E$1,E87,IF($A$1=$H$1,H87,IF($A$1=$K$1,K87,IF($A$1=$N$1,N87,IF($A$1=$Q$1,Q87,IF($A$1=$T$1,T87,IF($A$1=$W$1,W87,IF($A$1=$Z$1,Z87,IF($A$1=$AC$1,AC87,IF($A$1=$AF$1,AF87,IF($A$1=$AI$1,AI87))))))))))))</f>
        <v/>
      </c>
      <c r="AP87" s="44">
        <f>IF($A$1=$B$1,C87,IF($A$1=$E$1,F87,IF($A$1=$H$1,I87,IF($A$1=$K$1,L87,IF($A$1=$N$1,O87,IF($A$1=$Q$1,R87,IF($A$1=$T$1,U87,IF($A$1=$W$1,X87,IF($A$1=$Z$1,AA87,IF($A$1=$AC$1,AD87,IF($A$1=$AF$1,AG87,IF($A$1=$AI$1,AJ87))))))))))))</f>
        <v/>
      </c>
    </row>
    <row r="88" ht="15.5" customFormat="1" customHeight="1" s="44">
      <c r="A88" s="31" t="inlineStr">
        <is>
          <t>Operating Expenses</t>
        </is>
      </c>
      <c r="B88" s="32">
        <f>-'Bütçe aylık-TL'!$B$37</f>
        <v/>
      </c>
      <c r="C88" s="32">
        <f>'gerç aylık-tl'!$B$37+'gerç aylık-tl'!$B$48</f>
        <v/>
      </c>
      <c r="D88" s="18" t="n"/>
      <c r="E88" s="32">
        <f>-'Bütçe aylık-TL'!$C$37</f>
        <v/>
      </c>
      <c r="F88" s="32">
        <f>'gerç aylık-tl'!$C$37+'gerç aylık-tl'!$C$48</f>
        <v/>
      </c>
      <c r="G88" s="18" t="n"/>
      <c r="H88" s="32">
        <f>-'Bütçe aylık-TL'!$D$37</f>
        <v/>
      </c>
      <c r="I88" s="32">
        <f>'gerç aylık-tl'!$D$37+'gerç aylık-tl'!$D$48</f>
        <v/>
      </c>
      <c r="J88" s="18" t="n"/>
      <c r="K88" s="32">
        <f>-'Bütçe aylık-TL'!$E$37</f>
        <v/>
      </c>
      <c r="L88" s="32">
        <f>'gerç aylık-tl'!$E$37+'gerç aylık-tl'!$E$48</f>
        <v/>
      </c>
      <c r="M88" s="18" t="n"/>
      <c r="N88" s="32">
        <f>-'Bütçe aylık-TL'!$F$37</f>
        <v/>
      </c>
      <c r="O88" s="32">
        <f>'gerç aylık-tl'!$F$37+'gerç aylık-tl'!$F$48</f>
        <v/>
      </c>
      <c r="P88" s="18" t="n"/>
      <c r="Q88" s="32">
        <f>-'Bütçe aylık-TL'!$G$37</f>
        <v/>
      </c>
      <c r="R88" s="32">
        <f>'gerç aylık-tl'!$G$37+'gerç aylık-tl'!$G$48</f>
        <v/>
      </c>
      <c r="S88" s="18" t="n"/>
      <c r="T88" s="32">
        <f>-'Bütçe aylık-TL'!$H$37</f>
        <v/>
      </c>
      <c r="U88" s="32">
        <f>'gerç aylık-tl'!$H$37+'gerç aylık-tl'!$H$48</f>
        <v/>
      </c>
      <c r="V88" s="18" t="n"/>
      <c r="W88" s="32">
        <f>-'Bütçe aylık-TL'!$I$37</f>
        <v/>
      </c>
      <c r="X88" s="32">
        <f>'gerç aylık-tl'!$I$37+'gerç aylık-tl'!$I$48</f>
        <v/>
      </c>
      <c r="Y88" s="18" t="n"/>
      <c r="Z88" s="32">
        <f>-'Bütçe aylık-TL'!$J$37</f>
        <v/>
      </c>
      <c r="AA88" s="32">
        <f>'gerç aylık-tl'!$J$37+'gerç aylık-tl'!$J$48</f>
        <v/>
      </c>
      <c r="AB88" s="18" t="n"/>
      <c r="AC88" s="32">
        <f>-'Bütçe aylık-TL'!$K$37</f>
        <v/>
      </c>
      <c r="AD88" s="32">
        <f>'gerç aylık-tl'!$K$37+'gerç aylık-tl'!$K$48</f>
        <v/>
      </c>
      <c r="AE88" s="18" t="n"/>
      <c r="AF88" s="32">
        <f>-'Bütçe aylık-TL'!$L$37</f>
        <v/>
      </c>
      <c r="AG88" s="32">
        <f>'gerç aylık-tl'!$L$37+'gerç aylık-tl'!$L$48</f>
        <v/>
      </c>
      <c r="AH88" s="18" t="n"/>
      <c r="AI88" s="32">
        <f>-'Bütçe aylık-TL'!$M$37</f>
        <v/>
      </c>
      <c r="AJ88" s="32">
        <f>'gerç aylık-tl'!$M$37+'gerç aylık-tl'!$M$48</f>
        <v/>
      </c>
      <c r="AK88" s="18" t="n"/>
      <c r="AL88" s="33">
        <f>AP88-AO88</f>
        <v/>
      </c>
      <c r="AM88" s="34">
        <f>AP88/AO88-1</f>
        <v/>
      </c>
      <c r="AO88" s="44">
        <f>IF($A$1=$B$1,B88,IF($A$1=$E$1,E88,IF($A$1=$H$1,H88,IF($A$1=$K$1,K88,IF($A$1=$N$1,N88,IF($A$1=$Q$1,Q88,IF($A$1=$T$1,T88,IF($A$1=$W$1,W88,IF($A$1=$Z$1,Z88,IF($A$1=$AC$1,AC88,IF($A$1=$AF$1,AF88,IF($A$1=$AI$1,AI88))))))))))))</f>
        <v/>
      </c>
      <c r="AP88" s="44">
        <f>IF($A$1=$B$1,C88,IF($A$1=$E$1,F88,IF($A$1=$H$1,I88,IF($A$1=$K$1,L88,IF($A$1=$N$1,O88,IF($A$1=$Q$1,R88,IF($A$1=$T$1,U88,IF($A$1=$W$1,X88,IF($A$1=$Z$1,AA88,IF($A$1=$AC$1,AD88,IF($A$1=$AF$1,AG88,IF($A$1=$AI$1,AJ88))))))))))))</f>
        <v/>
      </c>
    </row>
    <row r="89" ht="15.5" customFormat="1" customHeight="1" s="13">
      <c r="A89" s="27" t="n"/>
      <c r="B89" s="30">
        <f>IFERROR((B46/#REF!),"")</f>
        <v/>
      </c>
      <c r="C89" s="30">
        <f>IFERROR((C46/#REF!),"")</f>
        <v/>
      </c>
      <c r="D89" s="41" t="n"/>
      <c r="E89" s="30">
        <f>IFERROR((E46/#REF!),"")</f>
        <v/>
      </c>
      <c r="F89" s="30">
        <f>IFERROR((F46/#REF!),"")</f>
        <v/>
      </c>
      <c r="G89" s="41" t="n"/>
      <c r="H89" s="30">
        <f>IFERROR((H46/#REF!),"")</f>
        <v/>
      </c>
      <c r="I89" s="30">
        <f>IFERROR((I46/#REF!),"")</f>
        <v/>
      </c>
      <c r="J89" s="41" t="n"/>
      <c r="K89" s="30">
        <f>IFERROR((K46/#REF!),"")</f>
        <v/>
      </c>
      <c r="L89" s="30">
        <f>IFERROR((L46/#REF!),"")</f>
        <v/>
      </c>
      <c r="M89" s="41" t="n"/>
      <c r="N89" s="30">
        <f>IFERROR((N46/#REF!),"")</f>
        <v/>
      </c>
      <c r="O89" s="30">
        <f>IFERROR((O46/#REF!),"")</f>
        <v/>
      </c>
      <c r="P89" s="41" t="n"/>
      <c r="Q89" s="30">
        <f>IFERROR((Q46/#REF!),"")</f>
        <v/>
      </c>
      <c r="R89" s="30">
        <f>IFERROR((R46/#REF!),"")</f>
        <v/>
      </c>
      <c r="S89" s="41" t="n"/>
      <c r="T89" s="125" t="n"/>
      <c r="U89" s="125" t="n"/>
      <c r="V89" s="41" t="n"/>
      <c r="W89" s="30">
        <f>IFERROR((W46/#REF!),"")</f>
        <v/>
      </c>
      <c r="X89" s="30">
        <f>IFERROR((X46/#REF!),"")</f>
        <v/>
      </c>
      <c r="Y89" s="41" t="n"/>
      <c r="Z89" s="30">
        <f>IFERROR((Z46/#REF!),"")</f>
        <v/>
      </c>
      <c r="AA89" s="30">
        <f>IFERROR((AA46/#REF!),"")</f>
        <v/>
      </c>
      <c r="AB89" s="41" t="n"/>
      <c r="AC89" s="30">
        <f>IFERROR((AC46/#REF!),"")</f>
        <v/>
      </c>
      <c r="AD89" s="30">
        <f>IFERROR((AD46/#REF!),"")</f>
        <v/>
      </c>
      <c r="AE89" s="41" t="n"/>
      <c r="AF89" s="30">
        <f>IFERROR((AF46/#REF!),"")</f>
        <v/>
      </c>
      <c r="AG89" s="30">
        <f>IFERROR((AG46/#REF!),"")</f>
        <v/>
      </c>
      <c r="AH89" s="41" t="n"/>
      <c r="AI89" s="30">
        <f>IFERROR((AI46/#REF!),"")</f>
        <v/>
      </c>
      <c r="AJ89" s="30">
        <f>IFERROR((AJ46/#REF!),"")</f>
        <v/>
      </c>
      <c r="AK89" s="41" t="n"/>
      <c r="AL89" s="15" t="n"/>
      <c r="AM89" s="22" t="n"/>
      <c r="AO89" s="44">
        <f>IF($A$1=$B$1,B89,IF($A$1=$E$1,E89,IF($A$1=$H$1,H89,IF($A$1=$K$1,K89,IF($A$1=$N$1,N89,IF($A$1=$Q$1,Q89,IF($A$1=$T$1,T89,IF($A$1=$W$1,W89,IF($A$1=$Z$1,Z89,IF($A$1=$AC$1,AC89,IF($A$1=$AF$1,AF89,IF($A$1=$AI$1,AI89))))))))))))</f>
        <v/>
      </c>
      <c r="AP89" s="44">
        <f>IF($A$1=$B$1,C89,IF($A$1=$E$1,F89,IF($A$1=$H$1,I89,IF($A$1=$K$1,L89,IF($A$1=$N$1,O89,IF($A$1=$Q$1,R89,IF($A$1=$T$1,U89,IF($A$1=$W$1,X89,IF($A$1=$Z$1,AA89,IF($A$1=$AC$1,AD89,IF($A$1=$AF$1,AG89,IF($A$1=$AI$1,AJ89))))))))))))</f>
        <v/>
      </c>
    </row>
    <row r="90" ht="17" customFormat="1" customHeight="1" s="49">
      <c r="A90" s="47" t="inlineStr">
        <is>
          <t>Operating Expenses by channels (100%)</t>
        </is>
      </c>
      <c r="B90" s="413" t="n"/>
      <c r="C90" s="413" t="n"/>
      <c r="D90" s="413" t="n"/>
      <c r="E90" s="413" t="n"/>
      <c r="F90" s="413" t="n"/>
      <c r="G90" s="413" t="n"/>
      <c r="H90" s="413" t="n"/>
      <c r="I90" s="413" t="n"/>
      <c r="J90" s="413" t="n"/>
      <c r="K90" s="413" t="n"/>
      <c r="L90" s="413" t="n"/>
      <c r="M90" s="413" t="n"/>
      <c r="N90" s="413" t="n"/>
      <c r="O90" s="413" t="n"/>
      <c r="P90" s="413" t="n"/>
      <c r="Q90" s="413" t="n"/>
      <c r="R90" s="413" t="n"/>
      <c r="S90" s="413" t="n"/>
      <c r="T90" s="413" t="n"/>
      <c r="U90" s="413" t="n"/>
      <c r="V90" s="413" t="n"/>
      <c r="W90" s="413" t="n"/>
      <c r="X90" s="413" t="n"/>
      <c r="Y90" s="413" t="n"/>
      <c r="Z90" s="413" t="n"/>
      <c r="AA90" s="413" t="n"/>
      <c r="AB90" s="413" t="n"/>
      <c r="AC90" s="413" t="n"/>
      <c r="AD90" s="413" t="n"/>
      <c r="AE90" s="413" t="n"/>
      <c r="AF90" s="413" t="n"/>
      <c r="AG90" s="413" t="n"/>
      <c r="AH90" s="413" t="n"/>
      <c r="AI90" s="413" t="n"/>
      <c r="AJ90" s="413" t="n"/>
      <c r="AK90" s="413" t="n"/>
      <c r="AL90" s="413" t="n"/>
      <c r="AM90" s="48" t="n"/>
    </row>
    <row r="91" ht="15.5" customHeight="1">
      <c r="A91" s="26" t="inlineStr">
        <is>
          <t xml:space="preserve">İnci Holding </t>
        </is>
      </c>
      <c r="B91" s="7">
        <f>-'Bütçe aylık-TL'!$B$38</f>
        <v/>
      </c>
      <c r="C91" s="7">
        <f>'gerç aylık-tl'!$B$38+'gerç aylık-tl'!$B$49</f>
        <v/>
      </c>
      <c r="D91" s="7" t="n"/>
      <c r="E91" s="7">
        <f>-'Bütçe aylık-TL'!$C$38</f>
        <v/>
      </c>
      <c r="F91" s="7">
        <f>'gerç aylık-tl'!$C$38+'gerç aylık-tl'!$C$49</f>
        <v/>
      </c>
      <c r="G91" s="7" t="n"/>
      <c r="H91" s="7">
        <f>-'Bütçe aylık-TL'!$D$38</f>
        <v/>
      </c>
      <c r="I91" s="7">
        <f>'gerç aylık-tl'!$D$38+'gerç aylık-tl'!$D$49</f>
        <v/>
      </c>
      <c r="J91" s="7" t="n"/>
      <c r="K91" s="7">
        <f>-'Bütçe aylık-TL'!$E$38</f>
        <v/>
      </c>
      <c r="L91" s="7">
        <f>'gerç aylık-tl'!$E$38+'gerç aylık-tl'!$E$49</f>
        <v/>
      </c>
      <c r="M91" s="7" t="n"/>
      <c r="N91" s="7">
        <f>-'Bütçe aylık-TL'!$F$38</f>
        <v/>
      </c>
      <c r="O91" s="7">
        <f>'gerç aylık-tl'!$F$38+'gerç aylık-tl'!$F$49</f>
        <v/>
      </c>
      <c r="P91" s="7" t="n"/>
      <c r="Q91" s="7">
        <f>-'Bütçe aylık-TL'!$G$38</f>
        <v/>
      </c>
      <c r="R91" s="7">
        <f>'gerç aylık-tl'!$G$38+'gerç aylık-tl'!$G$49</f>
        <v/>
      </c>
      <c r="S91" s="7" t="n"/>
      <c r="T91" s="7">
        <f>-'Bütçe aylık-TL'!$H$38</f>
        <v/>
      </c>
      <c r="U91" s="7">
        <f>'gerç aylık-tl'!$H$38+'gerç aylık-tl'!$H$49</f>
        <v/>
      </c>
      <c r="V91" s="7" t="n"/>
      <c r="W91" s="7">
        <f>-'Bütçe aylık-TL'!$I$38</f>
        <v/>
      </c>
      <c r="X91" s="7">
        <f>'gerç aylık-tl'!$I$38+'gerç aylık-tl'!$I$49</f>
        <v/>
      </c>
      <c r="Y91" s="7" t="n"/>
      <c r="Z91" s="7">
        <f>-'Bütçe aylık-TL'!$J$38</f>
        <v/>
      </c>
      <c r="AA91" s="7">
        <f>'gerç aylık-tl'!$J$38+'gerç aylık-tl'!$J$49</f>
        <v/>
      </c>
      <c r="AB91" s="7" t="n"/>
      <c r="AC91" s="7">
        <f>-'Bütçe aylık-TL'!$K$38</f>
        <v/>
      </c>
      <c r="AD91" s="7">
        <f>'gerç aylık-tl'!$K$38+'gerç aylık-tl'!$K$49</f>
        <v/>
      </c>
      <c r="AE91" s="7" t="n"/>
      <c r="AF91" s="7">
        <f>-'Bütçe aylık-TL'!$L$38</f>
        <v/>
      </c>
      <c r="AG91" s="7">
        <f>'gerç aylık-tl'!$L$38+'gerç aylık-tl'!$L$49</f>
        <v/>
      </c>
      <c r="AH91" s="7" t="n"/>
      <c r="AI91" s="7">
        <f>'Bütçe aylık-TL'!$M$38</f>
        <v/>
      </c>
      <c r="AJ91" s="7">
        <f>'gerç aylık-tl'!$M$38+'gerç aylık-tl'!$M$49</f>
        <v/>
      </c>
      <c r="AK91" s="7" t="n"/>
      <c r="AL91" s="21">
        <f>AP91-AO91</f>
        <v/>
      </c>
      <c r="AM91" s="22">
        <f>AP91/AO91-1</f>
        <v/>
      </c>
      <c r="AO91" s="44">
        <f>IF($A$1=$B$1,B91,IF($A$1=$E$1,E91,IF($A$1=$H$1,H91,IF($A$1=$K$1,K91,IF($A$1=$N$1,N91,IF($A$1=$Q$1,Q91,IF($A$1=$T$1,T91,IF($A$1=$W$1,W91,IF($A$1=$Z$1,Z91,IF($A$1=$AC$1,AC91,IF($A$1=$AF$1,AF91,IF($A$1=$AI$1,AI91))))))))))))</f>
        <v/>
      </c>
      <c r="AP91" s="44">
        <f>IF($A$1=$B$1,C91,IF($A$1=$E$1,F91,IF($A$1=$H$1,I91,IF($A$1=$K$1,L91,IF($A$1=$N$1,O91,IF($A$1=$Q$1,R91,IF($A$1=$T$1,U91,IF($A$1=$W$1,X91,IF($A$1=$Z$1,AA91,IF($A$1=$AC$1,AD91,IF($A$1=$AF$1,AG91,IF($A$1=$AI$1,AJ91))))))))))))</f>
        <v/>
      </c>
    </row>
    <row r="92" ht="15.5" customHeight="1">
      <c r="A92" s="26" t="inlineStr">
        <is>
          <t xml:space="preserve">ISM </t>
        </is>
      </c>
      <c r="B92" s="7">
        <f>-'Bütçe aylık-TL'!$B$39</f>
        <v/>
      </c>
      <c r="C92" s="7">
        <f>'gerç aylık-tl'!$B$39+'gerç aylık-tl'!$B$50</f>
        <v/>
      </c>
      <c r="D92" s="7" t="n"/>
      <c r="E92" s="7">
        <f>-'Bütçe aylık-TL'!$C$39</f>
        <v/>
      </c>
      <c r="F92" s="7">
        <f>'gerç aylık-tl'!$C$39+'gerç aylık-tl'!$C$50</f>
        <v/>
      </c>
      <c r="G92" s="7" t="n"/>
      <c r="H92" s="7">
        <f>-'Bütçe aylık-TL'!$D$39</f>
        <v/>
      </c>
      <c r="I92" s="7">
        <f>'gerç aylık-tl'!$D$39+'gerç aylık-tl'!$D$50</f>
        <v/>
      </c>
      <c r="J92" s="7" t="n"/>
      <c r="K92" s="7">
        <f>-'Bütçe aylık-TL'!$E$39</f>
        <v/>
      </c>
      <c r="L92" s="7">
        <f>'gerç aylık-tl'!$E$39+'gerç aylık-tl'!$E$50</f>
        <v/>
      </c>
      <c r="M92" s="7" t="n"/>
      <c r="N92" s="7">
        <f>-'Bütçe aylık-TL'!$F$39</f>
        <v/>
      </c>
      <c r="O92" s="7">
        <f>'gerç aylık-tl'!$F$39+'gerç aylık-tl'!$F$50</f>
        <v/>
      </c>
      <c r="P92" s="7" t="n"/>
      <c r="Q92" s="7">
        <f>-'Bütçe aylık-TL'!$G$39</f>
        <v/>
      </c>
      <c r="R92" s="7">
        <f>'gerç aylık-tl'!$G$39+'gerç aylık-tl'!$G$50</f>
        <v/>
      </c>
      <c r="S92" s="7" t="n"/>
      <c r="T92" s="7">
        <f>-'Bütçe aylık-TL'!$H$39</f>
        <v/>
      </c>
      <c r="U92" s="7">
        <f>'gerç aylık-tl'!$H$39+'gerç aylık-tl'!$H$50</f>
        <v/>
      </c>
      <c r="V92" s="7" t="n"/>
      <c r="W92" s="7">
        <f>-'Bütçe aylık-TL'!$I$39</f>
        <v/>
      </c>
      <c r="X92" s="7">
        <f>'gerç aylık-tl'!$I$39+'gerç aylık-tl'!$I$50</f>
        <v/>
      </c>
      <c r="Y92" s="7" t="n"/>
      <c r="Z92" s="7">
        <f>-'Bütçe aylık-TL'!$J$39</f>
        <v/>
      </c>
      <c r="AA92" s="7">
        <f>'gerç aylık-tl'!$J$39+'gerç aylık-tl'!$J$50</f>
        <v/>
      </c>
      <c r="AB92" s="7" t="n"/>
      <c r="AC92" s="7">
        <f>-'Bütçe aylık-TL'!$K$39</f>
        <v/>
      </c>
      <c r="AD92" s="7">
        <f>'gerç aylık-tl'!$K$39+'gerç aylık-tl'!$K$50</f>
        <v/>
      </c>
      <c r="AE92" s="7" t="n"/>
      <c r="AF92" s="7">
        <f>-'Bütçe aylık-TL'!$L$39</f>
        <v/>
      </c>
      <c r="AG92" s="7">
        <f>'gerç aylık-tl'!$L$39+'gerç aylık-tl'!$L$50</f>
        <v/>
      </c>
      <c r="AH92" s="7" t="n"/>
      <c r="AI92" s="7">
        <f>'Bütçe aylık-TL'!$M$39</f>
        <v/>
      </c>
      <c r="AJ92" s="7">
        <f>'gerç aylık-tl'!$M$39+'gerç aylık-tl'!$M$50</f>
        <v/>
      </c>
      <c r="AK92" s="7" t="n"/>
      <c r="AL92" s="21">
        <f>AP92-AO92</f>
        <v/>
      </c>
      <c r="AM92" s="22">
        <f>AP92/AO92-1</f>
        <v/>
      </c>
      <c r="AO92" s="44">
        <f>IF($A$1=$B$1,B92,IF($A$1=$E$1,E92,IF($A$1=$H$1,H92,IF($A$1=$K$1,K92,IF($A$1=$N$1,N92,IF($A$1=$Q$1,Q92,IF($A$1=$T$1,T92,IF($A$1=$W$1,W92,IF($A$1=$Z$1,Z92,IF($A$1=$AC$1,AC92,IF($A$1=$AF$1,AF92,IF($A$1=$AI$1,AI92))))))))))))</f>
        <v/>
      </c>
      <c r="AP92" s="44">
        <f>IF($A$1=$B$1,C92,IF($A$1=$E$1,F92,IF($A$1=$H$1,I92,IF($A$1=$K$1,L92,IF($A$1=$N$1,O92,IF($A$1=$Q$1,R92,IF($A$1=$T$1,U92,IF($A$1=$W$1,X92,IF($A$1=$Z$1,AA92,IF($A$1=$AC$1,AD92,IF($A$1=$AF$1,AG92,IF($A$1=$AI$1,AJ92))))))))))))</f>
        <v/>
      </c>
    </row>
    <row r="93" ht="15.5" customHeight="1">
      <c r="A93" s="26" t="inlineStr">
        <is>
          <t>İncitaş</t>
        </is>
      </c>
      <c r="B93" s="7">
        <f>-'Bütçe aylık-TL'!$B$40</f>
        <v/>
      </c>
      <c r="C93" s="7">
        <f>'gerç aylık-tl'!$B$40+'gerç aylık-tl'!$B$51</f>
        <v/>
      </c>
      <c r="D93" s="7" t="n"/>
      <c r="E93" s="7">
        <f>-'Bütçe aylık-TL'!$C$40</f>
        <v/>
      </c>
      <c r="F93" s="7">
        <f>'gerç aylık-tl'!$C$40+'gerç aylık-tl'!$C$51</f>
        <v/>
      </c>
      <c r="G93" s="7" t="n"/>
      <c r="H93" s="7">
        <f>-'Bütçe aylık-TL'!$D$40</f>
        <v/>
      </c>
      <c r="I93" s="7">
        <f>'gerç aylık-tl'!$D$40+'gerç aylık-tl'!$D$51</f>
        <v/>
      </c>
      <c r="J93" s="7" t="n"/>
      <c r="K93" s="7">
        <f>-'Bütçe aylık-TL'!$E$40</f>
        <v/>
      </c>
      <c r="L93" s="7">
        <f>'gerç aylık-tl'!$E$40+'gerç aylık-tl'!$E$51</f>
        <v/>
      </c>
      <c r="M93" s="7" t="n"/>
      <c r="N93" s="7">
        <f>-'Bütçe aylık-TL'!$F$40</f>
        <v/>
      </c>
      <c r="O93" s="7">
        <f>'gerç aylık-tl'!$F$40+'gerç aylık-tl'!$F$51</f>
        <v/>
      </c>
      <c r="P93" s="7" t="n"/>
      <c r="Q93" s="7">
        <f>-'Bütçe aylık-TL'!$G$40</f>
        <v/>
      </c>
      <c r="R93" s="7">
        <f>'gerç aylık-tl'!$G$40+'gerç aylık-tl'!$G$51</f>
        <v/>
      </c>
      <c r="S93" s="7" t="n"/>
      <c r="T93" s="7">
        <f>-'Bütçe aylık-TL'!$H$40</f>
        <v/>
      </c>
      <c r="U93" s="7">
        <f>'gerç aylık-tl'!$H$40+'gerç aylık-tl'!$H$51</f>
        <v/>
      </c>
      <c r="V93" s="7" t="n"/>
      <c r="W93" s="7">
        <f>-'Bütçe aylık-TL'!$I$40</f>
        <v/>
      </c>
      <c r="X93" s="7">
        <f>'gerç aylık-tl'!$I$40+'gerç aylık-tl'!$I$51</f>
        <v/>
      </c>
      <c r="Y93" s="7" t="n"/>
      <c r="Z93" s="7">
        <f>-'Bütçe aylık-TL'!$J$40</f>
        <v/>
      </c>
      <c r="AA93" s="7">
        <f>'gerç aylık-tl'!$J$40+'gerç aylık-tl'!$J$51</f>
        <v/>
      </c>
      <c r="AB93" s="7" t="n"/>
      <c r="AC93" s="7">
        <f>-'Bütçe aylık-TL'!$K$40</f>
        <v/>
      </c>
      <c r="AD93" s="7">
        <f>'gerç aylık-tl'!$K$40+'gerç aylık-tl'!$K$51</f>
        <v/>
      </c>
      <c r="AE93" s="7" t="n"/>
      <c r="AF93" s="7">
        <f>-'Bütçe aylık-TL'!$L$40</f>
        <v/>
      </c>
      <c r="AG93" s="7">
        <f>'gerç aylık-tl'!$L$40+'gerç aylık-tl'!$L$51</f>
        <v/>
      </c>
      <c r="AH93" s="7" t="n"/>
      <c r="AI93" s="7">
        <f>'Bütçe aylık-TL'!$M$40</f>
        <v/>
      </c>
      <c r="AJ93" s="7">
        <f>'gerç aylık-tl'!$M$40+'gerç aylık-tl'!$M$51</f>
        <v/>
      </c>
      <c r="AK93" s="7" t="n"/>
      <c r="AL93" s="21">
        <f>AP93-AO93</f>
        <v/>
      </c>
      <c r="AM93" s="22">
        <f>AP93/AO93-1</f>
        <v/>
      </c>
      <c r="AO93" s="44">
        <f>IF($A$1=$B$1,B93,IF($A$1=$E$1,E93,IF($A$1=$H$1,H93,IF($A$1=$K$1,K93,IF($A$1=$N$1,N93,IF($A$1=$Q$1,Q93,IF($A$1=$T$1,T93,IF($A$1=$W$1,W93,IF($A$1=$Z$1,Z93,IF($A$1=$AC$1,AC93,IF($A$1=$AF$1,AF93,IF($A$1=$AI$1,AI93))))))))))))</f>
        <v/>
      </c>
      <c r="AP93" s="44">
        <f>IF($A$1=$B$1,C93,IF($A$1=$E$1,F93,IF($A$1=$H$1,I93,IF($A$1=$K$1,L93,IF($A$1=$N$1,O93,IF($A$1=$Q$1,R93,IF($A$1=$T$1,U93,IF($A$1=$W$1,X93,IF($A$1=$Z$1,AA93,IF($A$1=$AC$1,AD93,IF($A$1=$AF$1,AG93,IF($A$1=$AI$1,AJ93))))))))))))</f>
        <v/>
      </c>
    </row>
    <row r="94" ht="15.5" customHeight="1">
      <c r="A94" s="26" t="inlineStr">
        <is>
          <t>İnci GS Yuasa</t>
        </is>
      </c>
      <c r="B94" s="7">
        <f>-'Bütçe aylık-TL'!$B$41</f>
        <v/>
      </c>
      <c r="C94" s="7">
        <f>'gerç aylık-tl'!$B$41+'gerç aylık-tl'!$B$52</f>
        <v/>
      </c>
      <c r="D94" s="7" t="n"/>
      <c r="E94" s="7">
        <f>-'Bütçe aylık-TL'!$C$41</f>
        <v/>
      </c>
      <c r="F94" s="7">
        <f>'gerç aylık-tl'!$C$41+'gerç aylık-tl'!$C$52</f>
        <v/>
      </c>
      <c r="G94" s="7" t="n"/>
      <c r="H94" s="7">
        <f>-'Bütçe aylık-TL'!$D$41</f>
        <v/>
      </c>
      <c r="I94" s="7">
        <f>'gerç aylık-tl'!$D$41+'gerç aylık-tl'!$D$52</f>
        <v/>
      </c>
      <c r="J94" s="7" t="n"/>
      <c r="K94" s="7">
        <f>-'Bütçe aylık-TL'!$E$41</f>
        <v/>
      </c>
      <c r="L94" s="7">
        <f>'gerç aylık-tl'!$E$41+'gerç aylık-tl'!$E$52</f>
        <v/>
      </c>
      <c r="M94" s="7" t="n"/>
      <c r="N94" s="7">
        <f>-'Bütçe aylık-TL'!$F$41</f>
        <v/>
      </c>
      <c r="O94" s="7">
        <f>'gerç aylık-tl'!$F$41+'gerç aylık-tl'!$F$52</f>
        <v/>
      </c>
      <c r="P94" s="7" t="n"/>
      <c r="Q94" s="7">
        <f>-'Bütçe aylık-TL'!$G$41</f>
        <v/>
      </c>
      <c r="R94" s="7">
        <f>'gerç aylık-tl'!$G$41+'gerç aylık-tl'!$G$52</f>
        <v/>
      </c>
      <c r="S94" s="7" t="n"/>
      <c r="T94" s="7">
        <f>-'Bütçe aylık-TL'!$H$41</f>
        <v/>
      </c>
      <c r="U94" s="7">
        <f>'gerç aylık-tl'!$H$41+'gerç aylık-tl'!$H$52</f>
        <v/>
      </c>
      <c r="V94" s="7" t="n"/>
      <c r="W94" s="7">
        <f>-'Bütçe aylık-TL'!$I$41</f>
        <v/>
      </c>
      <c r="X94" s="7">
        <f>'gerç aylık-tl'!$I$41+'gerç aylık-tl'!$I$52</f>
        <v/>
      </c>
      <c r="Y94" s="7" t="n"/>
      <c r="Z94" s="7">
        <f>-'Bütçe aylık-TL'!$J$41</f>
        <v/>
      </c>
      <c r="AA94" s="7">
        <f>'gerç aylık-tl'!$J$41+'gerç aylık-tl'!$J$52</f>
        <v/>
      </c>
      <c r="AB94" s="7" t="n"/>
      <c r="AC94" s="7">
        <f>-'Bütçe aylık-TL'!$K$41</f>
        <v/>
      </c>
      <c r="AD94" s="7">
        <f>'gerç aylık-tl'!$K$41+'gerç aylık-tl'!$K$52</f>
        <v/>
      </c>
      <c r="AE94" s="7" t="n"/>
      <c r="AF94" s="7">
        <f>-'Bütçe aylık-TL'!$L$41</f>
        <v/>
      </c>
      <c r="AG94" s="7">
        <f>'gerç aylık-tl'!$L$41+'gerç aylık-tl'!$L$52</f>
        <v/>
      </c>
      <c r="AH94" s="7" t="n"/>
      <c r="AI94" s="7">
        <f>'Bütçe aylık-TL'!$M$41</f>
        <v/>
      </c>
      <c r="AJ94" s="7">
        <f>'gerç aylık-tl'!$M$41+'gerç aylık-tl'!$M$52</f>
        <v/>
      </c>
      <c r="AK94" s="7" t="n"/>
      <c r="AL94" s="21">
        <f>AP94-AO94</f>
        <v/>
      </c>
      <c r="AM94" s="22">
        <f>AP94/AO94-1</f>
        <v/>
      </c>
      <c r="AO94" s="44">
        <f>IF($A$1=$B$1,B94,IF($A$1=$E$1,E94,IF($A$1=$H$1,H94,IF($A$1=$K$1,K94,IF($A$1=$N$1,N94,IF($A$1=$Q$1,Q94,IF($A$1=$T$1,T94,IF($A$1=$W$1,W94,IF($A$1=$Z$1,Z94,IF($A$1=$AC$1,AC94,IF($A$1=$AF$1,AF94,IF($A$1=$AI$1,AI94))))))))))))</f>
        <v/>
      </c>
      <c r="AP94" s="44">
        <f>IF($A$1=$B$1,C94,IF($A$1=$E$1,F94,IF($A$1=$H$1,I94,IF($A$1=$K$1,L94,IF($A$1=$N$1,O94,IF($A$1=$Q$1,R94,IF($A$1=$T$1,U94,IF($A$1=$W$1,X94,IF($A$1=$Z$1,AA94,IF($A$1=$AC$1,AD94,IF($A$1=$AF$1,AG94,IF($A$1=$AI$1,AJ94))))))))))))</f>
        <v/>
      </c>
    </row>
    <row r="95" ht="15.5" customFormat="1" customHeight="1" s="1">
      <c r="A95" s="26" t="inlineStr">
        <is>
          <t>Yusen İnci Loj.</t>
        </is>
      </c>
      <c r="B95" s="7">
        <f>-'Bütçe aylık-TL'!$B$42</f>
        <v/>
      </c>
      <c r="C95" s="7">
        <f>'gerç aylık-tl'!$B$42+'gerç aylık-tl'!$B$53</f>
        <v/>
      </c>
      <c r="D95" s="8" t="n"/>
      <c r="E95" s="7">
        <f>-'Bütçe aylık-TL'!$C$42</f>
        <v/>
      </c>
      <c r="F95" s="7">
        <f>'gerç aylık-tl'!$C$42+'gerç aylık-tl'!$C$53</f>
        <v/>
      </c>
      <c r="G95" s="8" t="n"/>
      <c r="H95" s="7">
        <f>-'Bütçe aylık-TL'!$D$42</f>
        <v/>
      </c>
      <c r="I95" s="7">
        <f>'gerç aylık-tl'!$D$42+'gerç aylık-tl'!$D$53</f>
        <v/>
      </c>
      <c r="J95" s="8" t="n"/>
      <c r="K95" s="7">
        <f>-'Bütçe aylık-TL'!$E$42</f>
        <v/>
      </c>
      <c r="L95" s="7">
        <f>'gerç aylık-tl'!$E$42+'gerç aylık-tl'!$E$53</f>
        <v/>
      </c>
      <c r="M95" s="8" t="n"/>
      <c r="N95" s="7">
        <f>-'Bütçe aylık-TL'!$F$42</f>
        <v/>
      </c>
      <c r="O95" s="7">
        <f>'gerç aylık-tl'!$F$42+'gerç aylık-tl'!$F$53</f>
        <v/>
      </c>
      <c r="P95" s="8" t="n"/>
      <c r="Q95" s="7">
        <f>-'Bütçe aylık-TL'!$G$42</f>
        <v/>
      </c>
      <c r="R95" s="7">
        <f>'gerç aylık-tl'!$G$42+'gerç aylık-tl'!$G$53</f>
        <v/>
      </c>
      <c r="S95" s="8" t="n"/>
      <c r="T95" s="7">
        <f>-'Bütçe aylık-TL'!$H$42</f>
        <v/>
      </c>
      <c r="U95" s="7">
        <f>'gerç aylık-tl'!$H$42+'gerç aylık-tl'!$H$53</f>
        <v/>
      </c>
      <c r="V95" s="8" t="n"/>
      <c r="W95" s="7">
        <f>-'Bütçe aylık-TL'!$I$42</f>
        <v/>
      </c>
      <c r="X95" s="7">
        <f>'gerç aylık-tl'!$I$42+'gerç aylık-tl'!$I$53</f>
        <v/>
      </c>
      <c r="Y95" s="8" t="n"/>
      <c r="Z95" s="7">
        <f>-'Bütçe aylık-TL'!$J$42</f>
        <v/>
      </c>
      <c r="AA95" s="7">
        <f>'gerç aylık-tl'!$J$42+'gerç aylık-tl'!$J$53</f>
        <v/>
      </c>
      <c r="AB95" s="8" t="n"/>
      <c r="AC95" s="7">
        <f>-'Bütçe aylık-TL'!$K$42</f>
        <v/>
      </c>
      <c r="AD95" s="7">
        <f>'gerç aylık-tl'!$K$42+'gerç aylık-tl'!$K$53</f>
        <v/>
      </c>
      <c r="AE95" s="8" t="n"/>
      <c r="AF95" s="7">
        <f>-'Bütçe aylık-TL'!$L$42</f>
        <v/>
      </c>
      <c r="AG95" s="7">
        <f>'gerç aylık-tl'!$L$42+'gerç aylık-tl'!$L$53</f>
        <v/>
      </c>
      <c r="AH95" s="8" t="n"/>
      <c r="AI95" s="7">
        <f>'Bütçe aylık-TL'!$M$42</f>
        <v/>
      </c>
      <c r="AJ95" s="7">
        <f>'gerç aylık-tl'!$M$42+'gerç aylık-tl'!$M$53</f>
        <v/>
      </c>
      <c r="AK95" s="8" t="n"/>
      <c r="AL95" s="21">
        <f>AP95-AO95</f>
        <v/>
      </c>
      <c r="AM95" s="22">
        <f>AP95/AO95-1</f>
        <v/>
      </c>
      <c r="AO95" s="44">
        <f>IF($A$1=$B$1,B95,IF($A$1=$E$1,E95,IF($A$1=$H$1,H95,IF($A$1=$K$1,K95,IF($A$1=$N$1,N95,IF($A$1=$Q$1,Q95,IF($A$1=$T$1,T95,IF($A$1=$W$1,W95,IF($A$1=$Z$1,Z95,IF($A$1=$AC$1,AC95,IF($A$1=$AF$1,AF95,IF($A$1=$AI$1,AI95))))))))))))</f>
        <v/>
      </c>
      <c r="AP95" s="44">
        <f>IF($A$1=$B$1,C95,IF($A$1=$E$1,F95,IF($A$1=$H$1,I95,IF($A$1=$K$1,L95,IF($A$1=$N$1,O95,IF($A$1=$Q$1,R95,IF($A$1=$T$1,U95,IF($A$1=$W$1,X95,IF($A$1=$Z$1,AA95,IF($A$1=$AC$1,AD95,IF($A$1=$AF$1,AG95,IF($A$1=$AI$1,AJ95))))))))))))</f>
        <v/>
      </c>
    </row>
    <row r="96" ht="15.5" customHeight="1">
      <c r="A96" s="26" t="inlineStr">
        <is>
          <t>Jantaş</t>
        </is>
      </c>
      <c r="B96" s="7">
        <f>-'Bütçe aylık-TL'!$B$43</f>
        <v/>
      </c>
      <c r="C96" s="7">
        <f>'gerç aylık-tl'!$B$43+'gerç aylık-tl'!$B$54</f>
        <v/>
      </c>
      <c r="D96" s="7" t="n"/>
      <c r="E96" s="7">
        <f>-'Bütçe aylık-TL'!$C$43</f>
        <v/>
      </c>
      <c r="F96" s="7">
        <f>'gerç aylık-tl'!$C$43+'gerç aylık-tl'!$C$54</f>
        <v/>
      </c>
      <c r="G96" s="7" t="n"/>
      <c r="H96" s="7">
        <f>-'Bütçe aylık-TL'!$D$43</f>
        <v/>
      </c>
      <c r="I96" s="7">
        <f>'gerç aylık-tl'!$D$43+'gerç aylık-tl'!$D$54</f>
        <v/>
      </c>
      <c r="J96" s="7" t="n"/>
      <c r="K96" s="7">
        <f>-'Bütçe aylık-TL'!$E$43</f>
        <v/>
      </c>
      <c r="L96" s="7">
        <f>'gerç aylık-tl'!$E$43+'gerç aylık-tl'!$E$54</f>
        <v/>
      </c>
      <c r="M96" s="7" t="n"/>
      <c r="N96" s="7">
        <f>-'Bütçe aylık-TL'!$F$43</f>
        <v/>
      </c>
      <c r="O96" s="7">
        <f>'gerç aylık-tl'!$F$43+'gerç aylık-tl'!$F$54</f>
        <v/>
      </c>
      <c r="P96" s="7" t="n"/>
      <c r="Q96" s="7">
        <f>-'Bütçe aylık-TL'!$G$43</f>
        <v/>
      </c>
      <c r="R96" s="7">
        <f>'gerç aylık-tl'!$G$43+'gerç aylık-tl'!$G$54</f>
        <v/>
      </c>
      <c r="S96" s="7" t="n"/>
      <c r="T96" s="7">
        <f>-'Bütçe aylık-TL'!$H$43</f>
        <v/>
      </c>
      <c r="U96" s="7">
        <f>'gerç aylık-tl'!$H$43+'gerç aylık-tl'!$H$54</f>
        <v/>
      </c>
      <c r="V96" s="7" t="n"/>
      <c r="W96" s="7">
        <f>-'Bütçe aylık-TL'!$I$43</f>
        <v/>
      </c>
      <c r="X96" s="7">
        <f>'gerç aylık-tl'!$I$43+'gerç aylık-tl'!$I$54</f>
        <v/>
      </c>
      <c r="Y96" s="7" t="n"/>
      <c r="Z96" s="7">
        <f>-'Bütçe aylık-TL'!$J$43</f>
        <v/>
      </c>
      <c r="AA96" s="7">
        <f>'gerç aylık-tl'!$J$43+'gerç aylık-tl'!$J$54</f>
        <v/>
      </c>
      <c r="AB96" s="7" t="n"/>
      <c r="AC96" s="7">
        <f>-'Bütçe aylık-TL'!$K$43</f>
        <v/>
      </c>
      <c r="AD96" s="7">
        <f>'gerç aylık-tl'!$K$43+'gerç aylık-tl'!$K$54</f>
        <v/>
      </c>
      <c r="AE96" s="7" t="n"/>
      <c r="AF96" s="7">
        <f>-'Bütçe aylık-TL'!$L$43</f>
        <v/>
      </c>
      <c r="AG96" s="7">
        <f>'gerç aylık-tl'!$L$43+'gerç aylık-tl'!$L$54</f>
        <v/>
      </c>
      <c r="AH96" s="7" t="n"/>
      <c r="AI96" s="7">
        <f>'Bütçe aylık-TL'!$M$43</f>
        <v/>
      </c>
      <c r="AJ96" s="7">
        <f>'gerç aylık-tl'!$M$43+'gerç aylık-tl'!$M$54</f>
        <v/>
      </c>
      <c r="AK96" s="7" t="n"/>
      <c r="AL96" s="21">
        <f>AP96-AO96</f>
        <v/>
      </c>
      <c r="AM96" s="22">
        <f>AP96/AO96-1</f>
        <v/>
      </c>
      <c r="AO96" s="44">
        <f>IF($A$1=$B$1,B96,IF($A$1=$E$1,E96,IF($A$1=$H$1,H96,IF($A$1=$K$1,K96,IF($A$1=$N$1,N96,IF($A$1=$Q$1,Q96,IF($A$1=$T$1,T96,IF($A$1=$W$1,W96,IF($A$1=$Z$1,Z96,IF($A$1=$AC$1,AC96,IF($A$1=$AF$1,AF96,IF($A$1=$AI$1,AI96))))))))))))</f>
        <v/>
      </c>
      <c r="AP96" s="44">
        <f>IF($A$1=$B$1,C96,IF($A$1=$E$1,F96,IF($A$1=$H$1,I96,IF($A$1=$K$1,L96,IF($A$1=$N$1,O96,IF($A$1=$Q$1,R96,IF($A$1=$T$1,U96,IF($A$1=$W$1,X96,IF($A$1=$Z$1,AA96,IF($A$1=$AC$1,AD96,IF($A$1=$AF$1,AG96,IF($A$1=$AI$1,AJ96))))))))))))</f>
        <v/>
      </c>
    </row>
    <row r="97" ht="15.5" customHeight="1">
      <c r="A97" s="26" t="inlineStr">
        <is>
          <t>Çelik</t>
        </is>
      </c>
      <c r="B97" s="7">
        <f>-'Bütçe aylık-TL'!$B$44</f>
        <v/>
      </c>
      <c r="C97" s="7">
        <f>'gerç aylık-tl'!$B$44+'gerç aylık-tl'!$B$55</f>
        <v/>
      </c>
      <c r="D97" s="7" t="n"/>
      <c r="E97" s="7">
        <f>-'Bütçe aylık-TL'!$C$44</f>
        <v/>
      </c>
      <c r="F97" s="7">
        <f>'gerç aylık-tl'!$C$44+'gerç aylık-tl'!$C$55</f>
        <v/>
      </c>
      <c r="G97" s="7" t="n"/>
      <c r="H97" s="7">
        <f>-'Bütçe aylık-TL'!$D$44</f>
        <v/>
      </c>
      <c r="I97" s="7">
        <f>'gerç aylık-tl'!$D$44+'gerç aylık-tl'!$D$55</f>
        <v/>
      </c>
      <c r="J97" s="7" t="n"/>
      <c r="K97" s="7">
        <f>-'Bütçe aylık-TL'!$E$44</f>
        <v/>
      </c>
      <c r="L97" s="7">
        <f>'gerç aylık-tl'!$E$44+'gerç aylık-tl'!$E$55</f>
        <v/>
      </c>
      <c r="M97" s="7" t="n"/>
      <c r="N97" s="7">
        <f>-'Bütçe aylık-TL'!$F$44</f>
        <v/>
      </c>
      <c r="O97" s="7">
        <f>'gerç aylık-tl'!$F$44+'gerç aylık-tl'!$F$55</f>
        <v/>
      </c>
      <c r="P97" s="7" t="n"/>
      <c r="Q97" s="7">
        <f>-'Bütçe aylık-TL'!$G$44</f>
        <v/>
      </c>
      <c r="R97" s="7">
        <f>'gerç aylık-tl'!$G$44+'gerç aylık-tl'!$G$55</f>
        <v/>
      </c>
      <c r="S97" s="7" t="n"/>
      <c r="T97" s="7">
        <f>-'Bütçe aylık-TL'!$H$44</f>
        <v/>
      </c>
      <c r="U97" s="7">
        <f>'gerç aylık-tl'!$H$44+'gerç aylık-tl'!$H$55</f>
        <v/>
      </c>
      <c r="V97" s="7" t="n"/>
      <c r="W97" s="7">
        <f>-'Bütçe aylık-TL'!$I$44</f>
        <v/>
      </c>
      <c r="X97" s="7">
        <f>'gerç aylık-tl'!$I$44+'gerç aylık-tl'!$I$55</f>
        <v/>
      </c>
      <c r="Y97" s="7" t="n"/>
      <c r="Z97" s="7">
        <f>-'Bütçe aylık-TL'!$J$44</f>
        <v/>
      </c>
      <c r="AA97" s="7">
        <f>'gerç aylık-tl'!$J$44+'gerç aylık-tl'!$J$55</f>
        <v/>
      </c>
      <c r="AB97" s="7" t="n"/>
      <c r="AC97" s="7">
        <f>-'Bütçe aylık-TL'!$K$44</f>
        <v/>
      </c>
      <c r="AD97" s="7">
        <f>'gerç aylık-tl'!$K$44+'gerç aylık-tl'!$K$55</f>
        <v/>
      </c>
      <c r="AE97" s="7" t="n"/>
      <c r="AF97" s="7">
        <f>-'Bütçe aylık-TL'!$L$44</f>
        <v/>
      </c>
      <c r="AG97" s="7">
        <f>'gerç aylık-tl'!$L$44+'gerç aylık-tl'!$L$55</f>
        <v/>
      </c>
      <c r="AH97" s="7" t="n"/>
      <c r="AI97" s="7">
        <f>'Bütçe aylık-TL'!$M$44</f>
        <v/>
      </c>
      <c r="AJ97" s="7">
        <f>'gerç aylık-tl'!$M$44+'gerç aylık-tl'!$M$55</f>
        <v/>
      </c>
      <c r="AK97" s="7" t="n"/>
      <c r="AL97" s="21">
        <f>AP97-AO97</f>
        <v/>
      </c>
      <c r="AM97" s="22">
        <f>AP97/AO97-1</f>
        <v/>
      </c>
      <c r="AO97" s="44">
        <f>IF($A$1=$B$1,B97,IF($A$1=$E$1,E97,IF($A$1=$H$1,H97,IF($A$1=$K$1,K97,IF($A$1=$N$1,N97,IF($A$1=$Q$1,Q97,IF($A$1=$T$1,T97,IF($A$1=$W$1,W97,IF($A$1=$Z$1,Z97,IF($A$1=$AC$1,AC97,IF($A$1=$AF$1,AF97,IF($A$1=$AI$1,AI97))))))))))))</f>
        <v/>
      </c>
      <c r="AP97" s="44">
        <f>IF($A$1=$B$1,C97,IF($A$1=$E$1,F97,IF($A$1=$H$1,I97,IF($A$1=$K$1,L97,IF($A$1=$N$1,O97,IF($A$1=$Q$1,R97,IF($A$1=$T$1,U97,IF($A$1=$W$1,X97,IF($A$1=$Z$1,AA97,IF($A$1=$AC$1,AD97,IF($A$1=$AF$1,AG97,IF($A$1=$AI$1,AJ97))))))))))))</f>
        <v/>
      </c>
    </row>
    <row r="98" ht="15.5" customHeight="1">
      <c r="A98" s="26" t="inlineStr">
        <is>
          <t>Alüminyum</t>
        </is>
      </c>
      <c r="B98" s="7">
        <f>-'Bütçe aylık-TL'!$B$45</f>
        <v/>
      </c>
      <c r="C98" s="7">
        <f>'gerç aylık-tl'!$B$45+'gerç aylık-tl'!$B$56</f>
        <v/>
      </c>
      <c r="D98" s="7" t="n"/>
      <c r="E98" s="7">
        <f>-'Bütçe aylık-TL'!$C$45</f>
        <v/>
      </c>
      <c r="F98" s="7">
        <f>'gerç aylık-tl'!$C$45+'gerç aylık-tl'!$C$56</f>
        <v/>
      </c>
      <c r="G98" s="7" t="n"/>
      <c r="H98" s="7">
        <f>-'Bütçe aylık-TL'!$D$45</f>
        <v/>
      </c>
      <c r="I98" s="7">
        <f>'gerç aylık-tl'!$D$45+'gerç aylık-tl'!$D$56</f>
        <v/>
      </c>
      <c r="J98" s="7" t="n"/>
      <c r="K98" s="7">
        <f>-'Bütçe aylık-TL'!$E$45</f>
        <v/>
      </c>
      <c r="L98" s="7">
        <f>'gerç aylık-tl'!$E$45+'gerç aylık-tl'!$E$56</f>
        <v/>
      </c>
      <c r="M98" s="7" t="n"/>
      <c r="N98" s="7">
        <f>-'Bütçe aylık-TL'!$F$45</f>
        <v/>
      </c>
      <c r="O98" s="7">
        <f>'gerç aylık-tl'!$F$45+'gerç aylık-tl'!$F$56</f>
        <v/>
      </c>
      <c r="P98" s="7" t="n"/>
      <c r="Q98" s="7">
        <f>-'Bütçe aylık-TL'!$G$45</f>
        <v/>
      </c>
      <c r="R98" s="7">
        <f>'gerç aylık-tl'!$G$45+'gerç aylık-tl'!$G$56</f>
        <v/>
      </c>
      <c r="S98" s="7" t="n"/>
      <c r="T98" s="7">
        <f>-'Bütçe aylık-TL'!$H$45</f>
        <v/>
      </c>
      <c r="U98" s="7">
        <f>'gerç aylık-tl'!$H$45+'gerç aylık-tl'!$H$56</f>
        <v/>
      </c>
      <c r="V98" s="7" t="n"/>
      <c r="W98" s="7">
        <f>-'Bütçe aylık-TL'!$I$45</f>
        <v/>
      </c>
      <c r="X98" s="7">
        <f>'gerç aylık-tl'!$I$45+'gerç aylık-tl'!$I$56</f>
        <v/>
      </c>
      <c r="Y98" s="7" t="n"/>
      <c r="Z98" s="7">
        <f>-'Bütçe aylık-TL'!$J$45</f>
        <v/>
      </c>
      <c r="AA98" s="7">
        <f>'gerç aylık-tl'!$J$45+'gerç aylık-tl'!$J$56</f>
        <v/>
      </c>
      <c r="AB98" s="7" t="n"/>
      <c r="AC98" s="7">
        <f>-'Bütçe aylık-TL'!$K$45</f>
        <v/>
      </c>
      <c r="AD98" s="7">
        <f>'gerç aylık-tl'!$K$45+'gerç aylık-tl'!$K$56</f>
        <v/>
      </c>
      <c r="AE98" s="7" t="n"/>
      <c r="AF98" s="7">
        <f>-'Bütçe aylık-TL'!$L$45</f>
        <v/>
      </c>
      <c r="AG98" s="7">
        <f>'gerç aylık-tl'!$L$45+'gerç aylık-tl'!$L$56</f>
        <v/>
      </c>
      <c r="AH98" s="7" t="n"/>
      <c r="AI98" s="7">
        <f>'Bütçe aylık-TL'!$M$45</f>
        <v/>
      </c>
      <c r="AJ98" s="7">
        <f>'gerç aylık-tl'!$M$45+'gerç aylık-tl'!$M$56</f>
        <v/>
      </c>
      <c r="AK98" s="7" t="n"/>
      <c r="AL98" s="21">
        <f>AP98-AO98</f>
        <v/>
      </c>
      <c r="AM98" s="22">
        <f>AP98/AO98-1</f>
        <v/>
      </c>
      <c r="AO98" s="44">
        <f>IF($A$1=$B$1,B98,IF($A$1=$E$1,E98,IF($A$1=$H$1,H98,IF($A$1=$K$1,K98,IF($A$1=$N$1,N98,IF($A$1=$Q$1,Q98,IF($A$1=$T$1,T98,IF($A$1=$W$1,W98,IF($A$1=$Z$1,Z98,IF($A$1=$AC$1,AC98,IF($A$1=$AF$1,AF98,IF($A$1=$AI$1,AI98))))))))))))</f>
        <v/>
      </c>
      <c r="AP98" s="44">
        <f>IF($A$1=$B$1,C98,IF($A$1=$E$1,F98,IF($A$1=$H$1,I98,IF($A$1=$K$1,L98,IF($A$1=$N$1,O98,IF($A$1=$Q$1,R98,IF($A$1=$T$1,U98,IF($A$1=$W$1,X98,IF($A$1=$Z$1,AA98,IF($A$1=$AC$1,AD98,IF($A$1=$AF$1,AG98,IF($A$1=$AI$1,AJ98))))))))))))</f>
        <v/>
      </c>
    </row>
    <row r="99" ht="15.5" customHeight="1">
      <c r="A99" s="2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21" t="n"/>
      <c r="AM99" s="22" t="n"/>
      <c r="AO99" s="44">
        <f>IF($A$1=$B$1,B99,IF($A$1=$E$1,E99,IF($A$1=$H$1,H99,IF($A$1=$K$1,K99,IF($A$1=$N$1,N99,IF($A$1=$Q$1,Q99,IF($A$1=$T$1,T99,IF($A$1=$W$1,W99,IF($A$1=$Z$1,Z99,IF($A$1=$AC$1,AC99,IF($A$1=$AF$1,AF99,IF($A$1=$AI$1,AI99))))))))))))</f>
        <v/>
      </c>
      <c r="AP99" s="44">
        <f>IF($A$1=$B$1,C99,IF($A$1=$E$1,F99,IF($A$1=$H$1,I99,IF($A$1=$K$1,L99,IF($A$1=$N$1,O99,IF($A$1=$Q$1,R99,IF($A$1=$T$1,U99,IF($A$1=$W$1,X99,IF($A$1=$Z$1,AA99,IF($A$1=$AC$1,AD99,IF($A$1=$AF$1,AG99,IF($A$1=$AI$1,AJ99))))))))))))</f>
        <v/>
      </c>
    </row>
    <row r="100">
      <c r="A100" s="2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5" t="n"/>
    </row>
    <row r="101" ht="17" customFormat="1" customHeight="1" s="49">
      <c r="A101" s="47" t="inlineStr">
        <is>
          <t>Operating expense/Sales</t>
        </is>
      </c>
      <c r="B101" s="413" t="n"/>
      <c r="C101" s="413" t="n"/>
      <c r="D101" s="413" t="n"/>
      <c r="E101" s="413" t="n"/>
      <c r="F101" s="413" t="n"/>
      <c r="G101" s="413" t="n"/>
      <c r="H101" s="413" t="n"/>
      <c r="I101" s="413" t="n"/>
      <c r="J101" s="413" t="n"/>
      <c r="K101" s="413" t="n"/>
      <c r="L101" s="413" t="n"/>
      <c r="M101" s="413" t="n"/>
      <c r="N101" s="413" t="n"/>
      <c r="O101" s="413" t="n"/>
      <c r="P101" s="413" t="n"/>
      <c r="Q101" s="413" t="n"/>
      <c r="R101" s="413" t="n"/>
      <c r="S101" s="413" t="n"/>
      <c r="T101" s="413" t="n"/>
      <c r="U101" s="413" t="n"/>
      <c r="V101" s="413" t="n"/>
      <c r="W101" s="413" t="n"/>
      <c r="X101" s="413" t="n"/>
      <c r="Y101" s="413" t="n"/>
      <c r="Z101" s="413" t="n"/>
      <c r="AA101" s="413" t="n"/>
      <c r="AB101" s="413" t="n"/>
      <c r="AC101" s="413" t="n"/>
      <c r="AD101" s="413" t="n"/>
      <c r="AE101" s="413" t="n"/>
      <c r="AF101" s="413" t="n"/>
      <c r="AG101" s="413" t="n"/>
      <c r="AH101" s="413" t="n"/>
      <c r="AI101" s="413" t="n"/>
      <c r="AJ101" s="413" t="n"/>
      <c r="AK101" s="413" t="n"/>
      <c r="AL101" s="413" t="n"/>
      <c r="AM101" s="48" t="n"/>
    </row>
    <row r="102" ht="15.5" customFormat="1" customHeight="1" s="13">
      <c r="A102" s="26" t="inlineStr">
        <is>
          <t xml:space="preserve">İnci Holding </t>
        </is>
      </c>
      <c r="B102" s="12">
        <f>B91*-1/B9</f>
        <v/>
      </c>
      <c r="C102" s="12">
        <f>C91*-1/C9</f>
        <v/>
      </c>
      <c r="D102" s="41" t="n"/>
      <c r="E102" s="12">
        <f>E91*-1/E9</f>
        <v/>
      </c>
      <c r="F102" s="12">
        <f>F91*-1/F9</f>
        <v/>
      </c>
      <c r="G102" s="41" t="n"/>
      <c r="H102" s="12">
        <f>H91*-1/H9</f>
        <v/>
      </c>
      <c r="I102" s="12">
        <f>I91*-1/I9</f>
        <v/>
      </c>
      <c r="J102" s="41" t="n"/>
      <c r="K102" s="12">
        <f>K91*-1/K9</f>
        <v/>
      </c>
      <c r="L102" s="12">
        <f>L91*-1/L9</f>
        <v/>
      </c>
      <c r="M102" s="41" t="n"/>
      <c r="N102" s="12">
        <f>N91*-1/N9</f>
        <v/>
      </c>
      <c r="O102" s="12">
        <f>O91*-1/O9</f>
        <v/>
      </c>
      <c r="P102" s="41" t="n"/>
      <c r="Q102" s="12">
        <f>Q91*-1/Q9</f>
        <v/>
      </c>
      <c r="R102" s="12">
        <f>R91*-1/R9</f>
        <v/>
      </c>
      <c r="S102" s="41" t="n"/>
      <c r="T102" s="12">
        <f>T91*-1/T9</f>
        <v/>
      </c>
      <c r="U102" s="12">
        <f>U91*-1/U9</f>
        <v/>
      </c>
      <c r="V102" s="41" t="n"/>
      <c r="W102" s="12">
        <f>W91*-1/W9</f>
        <v/>
      </c>
      <c r="X102" s="12">
        <f>X91*-1/X9</f>
        <v/>
      </c>
      <c r="Y102" s="41" t="n"/>
      <c r="Z102" s="12">
        <f>Z91*-1/Z9</f>
        <v/>
      </c>
      <c r="AA102" s="12">
        <f>AA91*-1/AA9</f>
        <v/>
      </c>
      <c r="AB102" s="41" t="n"/>
      <c r="AC102" s="12">
        <f>AC91*-1/AC9</f>
        <v/>
      </c>
      <c r="AD102" s="12">
        <f>AD91*-1/AD9</f>
        <v/>
      </c>
      <c r="AE102" s="41" t="n"/>
      <c r="AF102" s="12">
        <f>AF91*-1/AF9</f>
        <v/>
      </c>
      <c r="AG102" s="12">
        <f>AG91*-1/AG9</f>
        <v/>
      </c>
      <c r="AH102" s="41" t="n"/>
      <c r="AI102" s="12">
        <f>AI91*-1/AI9</f>
        <v/>
      </c>
      <c r="AJ102" s="12">
        <f>AJ91*-1/AJ9</f>
        <v/>
      </c>
      <c r="AK102" s="41" t="n"/>
      <c r="AL102" s="15" t="n"/>
      <c r="AM102" s="22">
        <f>AP102-AO102</f>
        <v/>
      </c>
      <c r="AO102" s="44">
        <f>IF($A$1=$B$1,B102,IF($A$1=$E$1,E102,IF($A$1=$H$1,H102,IF($A$1=$K$1,K102,IF($A$1=$N$1,N102,IF($A$1=$Q$1,Q102,IF($A$1=$T$1,T102,IF($A$1=$W$1,W102,IF($A$1=$Z$1,Z102,IF($A$1=$AC$1,AC102,IF($A$1=$AF$1,AF102,IF($A$1=$AI$1,AI102))))))))))))</f>
        <v/>
      </c>
      <c r="AP102" s="44">
        <f>IF($A$1=$B$1,C102,IF($A$1=$E$1,F102,IF($A$1=$H$1,I102,IF($A$1=$K$1,L102,IF($A$1=$N$1,O102,IF($A$1=$Q$1,R102,IF($A$1=$T$1,U102,IF($A$1=$W$1,X102,IF($A$1=$Z$1,AA102,IF($A$1=$AC$1,AD102,IF($A$1=$AF$1,AG102,IF($A$1=$AI$1,AJ102))))))))))))</f>
        <v/>
      </c>
    </row>
    <row r="103" ht="15.5" customFormat="1" customHeight="1" s="13">
      <c r="A103" s="26" t="inlineStr">
        <is>
          <t xml:space="preserve">ISM </t>
        </is>
      </c>
      <c r="B103" s="12">
        <f>B92*-1/B10</f>
        <v/>
      </c>
      <c r="C103" s="12">
        <f>C92*-1/C10</f>
        <v/>
      </c>
      <c r="D103" s="41" t="n"/>
      <c r="E103" s="12">
        <f>E92*-1/E10</f>
        <v/>
      </c>
      <c r="F103" s="12">
        <f>F92*-1/F10</f>
        <v/>
      </c>
      <c r="G103" s="41" t="n"/>
      <c r="H103" s="12">
        <f>H92*-1/H10</f>
        <v/>
      </c>
      <c r="I103" s="12">
        <f>I92*-1/I10</f>
        <v/>
      </c>
      <c r="J103" s="41" t="n"/>
      <c r="K103" s="12">
        <f>K92*-1/K10</f>
        <v/>
      </c>
      <c r="L103" s="12">
        <f>L92*-1/L10</f>
        <v/>
      </c>
      <c r="M103" s="41" t="n"/>
      <c r="N103" s="12">
        <f>N92*-1/N10</f>
        <v/>
      </c>
      <c r="O103" s="12">
        <f>O92*-1/O10</f>
        <v/>
      </c>
      <c r="P103" s="41" t="n"/>
      <c r="Q103" s="12">
        <f>Q92*-1/Q10</f>
        <v/>
      </c>
      <c r="R103" s="12">
        <f>R92*-1/R10</f>
        <v/>
      </c>
      <c r="S103" s="41" t="n"/>
      <c r="T103" s="12">
        <f>T92*-1/T10</f>
        <v/>
      </c>
      <c r="U103" s="12">
        <f>U92*-1/U10</f>
        <v/>
      </c>
      <c r="V103" s="41" t="n"/>
      <c r="W103" s="12">
        <f>W92*-1/W10</f>
        <v/>
      </c>
      <c r="X103" s="12">
        <f>X92*-1/X10</f>
        <v/>
      </c>
      <c r="Y103" s="41" t="n"/>
      <c r="Z103" s="12">
        <f>Z92*-1/Z10</f>
        <v/>
      </c>
      <c r="AA103" s="12">
        <f>AA92*-1/AA10</f>
        <v/>
      </c>
      <c r="AB103" s="41" t="n"/>
      <c r="AC103" s="12">
        <f>AC92*-1/AC10</f>
        <v/>
      </c>
      <c r="AD103" s="12">
        <f>AD92*-1/AD10</f>
        <v/>
      </c>
      <c r="AE103" s="41" t="n"/>
      <c r="AF103" s="12">
        <f>AF92*-1/AF10</f>
        <v/>
      </c>
      <c r="AG103" s="12">
        <f>AG92*-1/AG10</f>
        <v/>
      </c>
      <c r="AH103" s="41" t="n"/>
      <c r="AI103" s="12">
        <f>AI92*-1/AI10</f>
        <v/>
      </c>
      <c r="AJ103" s="12">
        <f>AJ92*-1/AJ10</f>
        <v/>
      </c>
      <c r="AK103" s="41" t="n"/>
      <c r="AL103" s="15" t="n"/>
      <c r="AM103" s="22">
        <f>AP103-AO103</f>
        <v/>
      </c>
      <c r="AO103" s="44">
        <f>IF($A$1=$B$1,B103,IF($A$1=$E$1,E103,IF($A$1=$H$1,H103,IF($A$1=$K$1,K103,IF($A$1=$N$1,N103,IF($A$1=$Q$1,Q103,IF($A$1=$T$1,T103,IF($A$1=$W$1,W103,IF($A$1=$Z$1,Z103,IF($A$1=$AC$1,AC103,IF($A$1=$AF$1,AF103,IF($A$1=$AI$1,AI103))))))))))))</f>
        <v/>
      </c>
      <c r="AP103" s="44">
        <f>IF($A$1=$B$1,C103,IF($A$1=$E$1,F103,IF($A$1=$H$1,I103,IF($A$1=$K$1,L103,IF($A$1=$N$1,O103,IF($A$1=$Q$1,R103,IF($A$1=$T$1,U103,IF($A$1=$W$1,X103,IF($A$1=$Z$1,AA103,IF($A$1=$AC$1,AD103,IF($A$1=$AF$1,AG103,IF($A$1=$AI$1,AJ103))))))))))))</f>
        <v/>
      </c>
    </row>
    <row r="104" ht="15.5" customFormat="1" customHeight="1" s="13">
      <c r="A104" s="26" t="inlineStr">
        <is>
          <t>İncitaş</t>
        </is>
      </c>
      <c r="B104" s="12">
        <f>B93*-1/B11</f>
        <v/>
      </c>
      <c r="C104" s="12">
        <f>C93*-1/C11</f>
        <v/>
      </c>
      <c r="D104" s="41" t="n"/>
      <c r="E104" s="12">
        <f>E93*-1/E11</f>
        <v/>
      </c>
      <c r="F104" s="12">
        <f>F93*-1/F11</f>
        <v/>
      </c>
      <c r="G104" s="41" t="n"/>
      <c r="H104" s="12">
        <f>H93*-1/H11</f>
        <v/>
      </c>
      <c r="I104" s="12">
        <f>I93*-1/I11</f>
        <v/>
      </c>
      <c r="J104" s="41" t="n"/>
      <c r="K104" s="12">
        <f>K93*-1/K11</f>
        <v/>
      </c>
      <c r="L104" s="12">
        <f>L93*-1/L11</f>
        <v/>
      </c>
      <c r="M104" s="41" t="n"/>
      <c r="N104" s="12">
        <f>N93*-1/N11</f>
        <v/>
      </c>
      <c r="O104" s="12">
        <f>O93*-1/O11</f>
        <v/>
      </c>
      <c r="P104" s="41" t="n"/>
      <c r="Q104" s="12">
        <f>Q93*-1/Q11</f>
        <v/>
      </c>
      <c r="R104" s="12">
        <f>R93*-1/R11</f>
        <v/>
      </c>
      <c r="S104" s="41" t="n"/>
      <c r="T104" s="12">
        <f>T93*-1/T11</f>
        <v/>
      </c>
      <c r="U104" s="12">
        <f>U93*-1/U11</f>
        <v/>
      </c>
      <c r="V104" s="41" t="n"/>
      <c r="W104" s="12">
        <f>W93*-1/W11</f>
        <v/>
      </c>
      <c r="X104" s="12">
        <f>X93*-1/X11</f>
        <v/>
      </c>
      <c r="Y104" s="41" t="n"/>
      <c r="Z104" s="12">
        <f>Z93*-1/Z11</f>
        <v/>
      </c>
      <c r="AA104" s="12">
        <f>AA93*-1/AA11</f>
        <v/>
      </c>
      <c r="AB104" s="41" t="n"/>
      <c r="AC104" s="12">
        <f>AC93*-1/AC11</f>
        <v/>
      </c>
      <c r="AD104" s="12">
        <f>AD93*-1/AD11</f>
        <v/>
      </c>
      <c r="AE104" s="41" t="n"/>
      <c r="AF104" s="12">
        <f>AF93*-1/AF11</f>
        <v/>
      </c>
      <c r="AG104" s="12">
        <f>AG93*-1/AG11</f>
        <v/>
      </c>
      <c r="AH104" s="41" t="n"/>
      <c r="AI104" s="12">
        <f>AI93*-1/AI11</f>
        <v/>
      </c>
      <c r="AJ104" s="12">
        <f>AJ93*-1/AJ11</f>
        <v/>
      </c>
      <c r="AK104" s="41" t="n"/>
      <c r="AL104" s="15" t="n"/>
      <c r="AM104" s="22">
        <f>AP104-AO104</f>
        <v/>
      </c>
      <c r="AO104" s="44">
        <f>IF($A$1=$B$1,B104,IF($A$1=$E$1,E104,IF($A$1=$H$1,H104,IF($A$1=$K$1,K104,IF($A$1=$N$1,N104,IF($A$1=$Q$1,Q104,IF($A$1=$T$1,T104,IF($A$1=$W$1,W104,IF($A$1=$Z$1,Z104,IF($A$1=$AC$1,AC104,IF($A$1=$AF$1,AF104,IF($A$1=$AI$1,AI104))))))))))))</f>
        <v/>
      </c>
      <c r="AP104" s="44">
        <f>IF($A$1=$B$1,C104,IF($A$1=$E$1,F104,IF($A$1=$H$1,I104,IF($A$1=$K$1,L104,IF($A$1=$N$1,O104,IF($A$1=$Q$1,R104,IF($A$1=$T$1,U104,IF($A$1=$W$1,X104,IF($A$1=$Z$1,AA104,IF($A$1=$AC$1,AD104,IF($A$1=$AF$1,AG104,IF($A$1=$AI$1,AJ104))))))))))))</f>
        <v/>
      </c>
    </row>
    <row r="105" ht="15.5" customFormat="1" customHeight="1" s="13">
      <c r="A105" s="26" t="inlineStr">
        <is>
          <t>İnci GS Yuasa</t>
        </is>
      </c>
      <c r="B105" s="12">
        <f>B94*-1/B12</f>
        <v/>
      </c>
      <c r="C105" s="12">
        <f>C94*-1/C12</f>
        <v/>
      </c>
      <c r="D105" s="41" t="n"/>
      <c r="E105" s="12">
        <f>E94*-1/E12</f>
        <v/>
      </c>
      <c r="F105" s="12">
        <f>F94*-1/F12</f>
        <v/>
      </c>
      <c r="G105" s="41" t="n"/>
      <c r="H105" s="12">
        <f>H94*-1/H12</f>
        <v/>
      </c>
      <c r="I105" s="12">
        <f>I94*-1/I12</f>
        <v/>
      </c>
      <c r="J105" s="41" t="n"/>
      <c r="K105" s="12">
        <f>K94*-1/K12</f>
        <v/>
      </c>
      <c r="L105" s="12">
        <f>L94*-1/L12</f>
        <v/>
      </c>
      <c r="M105" s="41" t="n"/>
      <c r="N105" s="12">
        <f>N94*-1/N12</f>
        <v/>
      </c>
      <c r="O105" s="12">
        <f>O94*-1/O12</f>
        <v/>
      </c>
      <c r="P105" s="41" t="n"/>
      <c r="Q105" s="12">
        <f>Q94*-1/Q12</f>
        <v/>
      </c>
      <c r="R105" s="12">
        <f>R94*-1/R12</f>
        <v/>
      </c>
      <c r="S105" s="41" t="n"/>
      <c r="T105" s="12">
        <f>T94*-1/T12</f>
        <v/>
      </c>
      <c r="U105" s="12">
        <f>U94*-1/U12</f>
        <v/>
      </c>
      <c r="V105" s="41" t="n"/>
      <c r="W105" s="12">
        <f>W94*-1/W12</f>
        <v/>
      </c>
      <c r="X105" s="12">
        <f>X94*-1/X12</f>
        <v/>
      </c>
      <c r="Y105" s="41" t="n"/>
      <c r="Z105" s="12">
        <f>Z94*-1/Z12</f>
        <v/>
      </c>
      <c r="AA105" s="12">
        <f>AA94*-1/AA12</f>
        <v/>
      </c>
      <c r="AB105" s="41" t="n"/>
      <c r="AC105" s="12">
        <f>AC94*-1/AC12</f>
        <v/>
      </c>
      <c r="AD105" s="12">
        <f>AD94*-1/AD12</f>
        <v/>
      </c>
      <c r="AE105" s="41" t="n"/>
      <c r="AF105" s="12">
        <f>AF94*-1/AF12</f>
        <v/>
      </c>
      <c r="AG105" s="12">
        <f>AG94*-1/AG12</f>
        <v/>
      </c>
      <c r="AH105" s="41" t="n"/>
      <c r="AI105" s="12">
        <f>AI94*-1/AI12</f>
        <v/>
      </c>
      <c r="AJ105" s="12">
        <f>AJ94*-1/AJ12</f>
        <v/>
      </c>
      <c r="AK105" s="41" t="n"/>
      <c r="AL105" s="15" t="n"/>
      <c r="AM105" s="22">
        <f>AP105-AO105</f>
        <v/>
      </c>
      <c r="AO105" s="44">
        <f>IF($A$1=$B$1,B105,IF($A$1=$E$1,E105,IF($A$1=$H$1,H105,IF($A$1=$K$1,K105,IF($A$1=$N$1,N105,IF($A$1=$Q$1,Q105,IF($A$1=$T$1,T105,IF($A$1=$W$1,W105,IF($A$1=$Z$1,Z105,IF($A$1=$AC$1,AC105,IF($A$1=$AF$1,AF105,IF($A$1=$AI$1,AI105))))))))))))</f>
        <v/>
      </c>
      <c r="AP105" s="44">
        <f>IF($A$1=$B$1,C105,IF($A$1=$E$1,F105,IF($A$1=$H$1,I105,IF($A$1=$K$1,L105,IF($A$1=$N$1,O105,IF($A$1=$Q$1,R105,IF($A$1=$T$1,U105,IF($A$1=$W$1,X105,IF($A$1=$Z$1,AA105,IF($A$1=$AC$1,AD105,IF($A$1=$AF$1,AG105,IF($A$1=$AI$1,AJ105))))))))))))</f>
        <v/>
      </c>
    </row>
    <row r="106" ht="15.5" customFormat="1" customHeight="1" s="13">
      <c r="A106" s="26" t="inlineStr">
        <is>
          <t>Yusen İnci Loj.</t>
        </is>
      </c>
      <c r="B106" s="12">
        <f>B95*-1/B13</f>
        <v/>
      </c>
      <c r="C106" s="12">
        <f>C95*-1/C13</f>
        <v/>
      </c>
      <c r="D106" s="41" t="n"/>
      <c r="E106" s="12">
        <f>E95*-1/E13</f>
        <v/>
      </c>
      <c r="F106" s="12">
        <f>F95*-1/F13</f>
        <v/>
      </c>
      <c r="G106" s="41" t="n"/>
      <c r="H106" s="12">
        <f>H95*-1/H13</f>
        <v/>
      </c>
      <c r="I106" s="12">
        <f>I95*-1/I13</f>
        <v/>
      </c>
      <c r="J106" s="41" t="n"/>
      <c r="K106" s="12">
        <f>K95*-1/K13</f>
        <v/>
      </c>
      <c r="L106" s="12">
        <f>L95*-1/L13</f>
        <v/>
      </c>
      <c r="M106" s="41" t="n"/>
      <c r="N106" s="12">
        <f>N95*-1/N13</f>
        <v/>
      </c>
      <c r="O106" s="12">
        <f>O95*-1/O13</f>
        <v/>
      </c>
      <c r="P106" s="41" t="n"/>
      <c r="Q106" s="12">
        <f>Q95*-1/Q13</f>
        <v/>
      </c>
      <c r="R106" s="12">
        <f>R95*-1/R13</f>
        <v/>
      </c>
      <c r="S106" s="41" t="n"/>
      <c r="T106" s="12">
        <f>T95*-1/T13</f>
        <v/>
      </c>
      <c r="U106" s="12">
        <f>U95*-1/U13</f>
        <v/>
      </c>
      <c r="V106" s="41" t="n"/>
      <c r="W106" s="12">
        <f>W95*-1/W13</f>
        <v/>
      </c>
      <c r="X106" s="12">
        <f>X95*-1/X13</f>
        <v/>
      </c>
      <c r="Y106" s="41" t="n"/>
      <c r="Z106" s="12">
        <f>Z95*-1/Z13</f>
        <v/>
      </c>
      <c r="AA106" s="12">
        <f>AA95*-1/AA13</f>
        <v/>
      </c>
      <c r="AB106" s="41" t="n"/>
      <c r="AC106" s="12">
        <f>AC95*-1/AC13</f>
        <v/>
      </c>
      <c r="AD106" s="12">
        <f>AD95*-1/AD13</f>
        <v/>
      </c>
      <c r="AE106" s="41" t="n"/>
      <c r="AF106" s="12">
        <f>AF95*-1/AF13</f>
        <v/>
      </c>
      <c r="AG106" s="12">
        <f>AG95*-1/AG13</f>
        <v/>
      </c>
      <c r="AH106" s="41" t="n"/>
      <c r="AI106" s="12">
        <f>AI95*-1/AI13</f>
        <v/>
      </c>
      <c r="AJ106" s="12">
        <f>AJ95*-1/AJ13</f>
        <v/>
      </c>
      <c r="AK106" s="41" t="n"/>
      <c r="AL106" s="15" t="n"/>
      <c r="AM106" s="22">
        <f>AP106-AO106</f>
        <v/>
      </c>
      <c r="AO106" s="44">
        <f>IF($A$1=$B$1,B106,IF($A$1=$E$1,E106,IF($A$1=$H$1,H106,IF($A$1=$K$1,K106,IF($A$1=$N$1,N106,IF($A$1=$Q$1,Q106,IF($A$1=$T$1,T106,IF($A$1=$W$1,W106,IF($A$1=$Z$1,Z106,IF($A$1=$AC$1,AC106,IF($A$1=$AF$1,AF106,IF($A$1=$AI$1,AI106))))))))))))</f>
        <v/>
      </c>
      <c r="AP106" s="44">
        <f>IF($A$1=$B$1,C106,IF($A$1=$E$1,F106,IF($A$1=$H$1,I106,IF($A$1=$K$1,L106,IF($A$1=$N$1,O106,IF($A$1=$Q$1,R106,IF($A$1=$T$1,U106,IF($A$1=$W$1,X106,IF($A$1=$Z$1,AA106,IF($A$1=$AC$1,AD106,IF($A$1=$AF$1,AG106,IF($A$1=$AI$1,AJ106))))))))))))</f>
        <v/>
      </c>
    </row>
    <row r="107" ht="15.5" customFormat="1" customHeight="1" s="13">
      <c r="A107" s="26" t="inlineStr">
        <is>
          <t>Jantaş</t>
        </is>
      </c>
      <c r="B107" s="12">
        <f>B96*-1/B14</f>
        <v/>
      </c>
      <c r="C107" s="12">
        <f>C96*-1/C14</f>
        <v/>
      </c>
      <c r="D107" s="41" t="n"/>
      <c r="E107" s="12">
        <f>E96*-1/E14</f>
        <v/>
      </c>
      <c r="F107" s="12">
        <f>F96*-1/F14</f>
        <v/>
      </c>
      <c r="G107" s="41" t="n"/>
      <c r="H107" s="12">
        <f>H96*-1/H14</f>
        <v/>
      </c>
      <c r="I107" s="12">
        <f>I96*-1/I14</f>
        <v/>
      </c>
      <c r="J107" s="41" t="n"/>
      <c r="K107" s="12">
        <f>K96*-1/K14</f>
        <v/>
      </c>
      <c r="L107" s="12">
        <f>L96*-1/L14</f>
        <v/>
      </c>
      <c r="M107" s="41" t="n"/>
      <c r="N107" s="12">
        <f>N96*-1/N14</f>
        <v/>
      </c>
      <c r="O107" s="12">
        <f>O96*-1/O14</f>
        <v/>
      </c>
      <c r="P107" s="41" t="n"/>
      <c r="Q107" s="12">
        <f>Q96*-1/Q14</f>
        <v/>
      </c>
      <c r="R107" s="12">
        <f>R96*-1/R14</f>
        <v/>
      </c>
      <c r="S107" s="41" t="n"/>
      <c r="T107" s="12">
        <f>T96*-1/T14</f>
        <v/>
      </c>
      <c r="U107" s="12">
        <f>U96*-1/U14</f>
        <v/>
      </c>
      <c r="V107" s="41" t="n"/>
      <c r="W107" s="12">
        <f>W96*-1/W14</f>
        <v/>
      </c>
      <c r="X107" s="12">
        <f>X96*-1/X14</f>
        <v/>
      </c>
      <c r="Y107" s="41" t="n"/>
      <c r="Z107" s="12">
        <f>Z96*-1/Z14</f>
        <v/>
      </c>
      <c r="AA107" s="12">
        <f>AA96*-1/AA14</f>
        <v/>
      </c>
      <c r="AB107" s="41" t="n"/>
      <c r="AC107" s="12">
        <f>AC96*-1/AC14</f>
        <v/>
      </c>
      <c r="AD107" s="12">
        <f>AD96*-1/AD14</f>
        <v/>
      </c>
      <c r="AE107" s="41" t="n"/>
      <c r="AF107" s="12">
        <f>AF96*-1/AF14</f>
        <v/>
      </c>
      <c r="AG107" s="12">
        <f>AG96*-1/AG14</f>
        <v/>
      </c>
      <c r="AH107" s="41" t="n"/>
      <c r="AI107" s="12">
        <f>AI96*-1/AI14</f>
        <v/>
      </c>
      <c r="AJ107" s="12">
        <f>AJ96*-1/AJ14</f>
        <v/>
      </c>
      <c r="AK107" s="41" t="n"/>
      <c r="AL107" s="15" t="n"/>
      <c r="AM107" s="22">
        <f>AP107-AO107</f>
        <v/>
      </c>
      <c r="AO107" s="44">
        <f>IF($A$1=$B$1,B107,IF($A$1=$E$1,E107,IF($A$1=$H$1,H107,IF($A$1=$K$1,K107,IF($A$1=$N$1,N107,IF($A$1=$Q$1,Q107,IF($A$1=$T$1,T107,IF($A$1=$W$1,W107,IF($A$1=$Z$1,Z107,IF($A$1=$AC$1,AC107,IF($A$1=$AF$1,AF107,IF($A$1=$AI$1,AI107))))))))))))</f>
        <v/>
      </c>
      <c r="AP107" s="44">
        <f>IF($A$1=$B$1,C107,IF($A$1=$E$1,F107,IF($A$1=$H$1,I107,IF($A$1=$K$1,L107,IF($A$1=$N$1,O107,IF($A$1=$Q$1,R107,IF($A$1=$T$1,U107,IF($A$1=$W$1,X107,IF($A$1=$Z$1,AA107,IF($A$1=$AC$1,AD107,IF($A$1=$AF$1,AG107,IF($A$1=$AI$1,AJ107))))))))))))</f>
        <v/>
      </c>
    </row>
    <row r="108" ht="15.5" customFormat="1" customHeight="1" s="13">
      <c r="A108" s="26" t="inlineStr">
        <is>
          <t>Çelik</t>
        </is>
      </c>
      <c r="B108" s="12">
        <f>B97*-1/B15</f>
        <v/>
      </c>
      <c r="C108" s="12">
        <f>C97*-1/C15</f>
        <v/>
      </c>
      <c r="D108" s="41" t="n"/>
      <c r="E108" s="12">
        <f>E97*-1/E15</f>
        <v/>
      </c>
      <c r="F108" s="12">
        <f>F97*-1/F15</f>
        <v/>
      </c>
      <c r="G108" s="41" t="n"/>
      <c r="H108" s="12">
        <f>H97*-1/H15</f>
        <v/>
      </c>
      <c r="I108" s="12">
        <f>I97*-1/I15</f>
        <v/>
      </c>
      <c r="J108" s="41" t="n"/>
      <c r="K108" s="12">
        <f>K97*-1/K15</f>
        <v/>
      </c>
      <c r="L108" s="12">
        <f>L97*-1/L15</f>
        <v/>
      </c>
      <c r="M108" s="41" t="n"/>
      <c r="N108" s="12">
        <f>N97*-1/N15</f>
        <v/>
      </c>
      <c r="O108" s="12">
        <f>O97*-1/O15</f>
        <v/>
      </c>
      <c r="P108" s="41" t="n"/>
      <c r="Q108" s="12">
        <f>Q97*-1/Q15</f>
        <v/>
      </c>
      <c r="R108" s="12">
        <f>R97*-1/R15</f>
        <v/>
      </c>
      <c r="S108" s="41" t="n"/>
      <c r="T108" s="12">
        <f>T97*-1/T15</f>
        <v/>
      </c>
      <c r="U108" s="12">
        <f>U97*-1/U15</f>
        <v/>
      </c>
      <c r="V108" s="41" t="n"/>
      <c r="W108" s="12">
        <f>W97*-1/W15</f>
        <v/>
      </c>
      <c r="X108" s="12">
        <f>X97*-1/X15</f>
        <v/>
      </c>
      <c r="Y108" s="41" t="n"/>
      <c r="Z108" s="12">
        <f>Z97*-1/Z15</f>
        <v/>
      </c>
      <c r="AA108" s="12">
        <f>AA97*-1/AA15</f>
        <v/>
      </c>
      <c r="AB108" s="41" t="n"/>
      <c r="AC108" s="12">
        <f>AC97*-1/AC15</f>
        <v/>
      </c>
      <c r="AD108" s="12">
        <f>AD97*-1/AD15</f>
        <v/>
      </c>
      <c r="AE108" s="41" t="n"/>
      <c r="AF108" s="12">
        <f>AF97*-1/AF15</f>
        <v/>
      </c>
      <c r="AG108" s="12">
        <f>AG97*-1/AG15</f>
        <v/>
      </c>
      <c r="AH108" s="41" t="n"/>
      <c r="AI108" s="12">
        <f>AI97*-1/AI15</f>
        <v/>
      </c>
      <c r="AJ108" s="12">
        <f>AJ97*-1/AJ15</f>
        <v/>
      </c>
      <c r="AK108" s="41" t="n"/>
      <c r="AL108" s="15" t="n"/>
      <c r="AM108" s="22">
        <f>AP108-AO108</f>
        <v/>
      </c>
      <c r="AO108" s="44">
        <f>IF($A$1=$B$1,B108,IF($A$1=$E$1,E108,IF($A$1=$H$1,H108,IF($A$1=$K$1,K108,IF($A$1=$N$1,N108,IF($A$1=$Q$1,Q108,IF($A$1=$T$1,T108,IF($A$1=$W$1,W108,IF($A$1=$Z$1,Z108,IF($A$1=$AC$1,AC108,IF($A$1=$AF$1,AF108,IF($A$1=$AI$1,AI108))))))))))))</f>
        <v/>
      </c>
      <c r="AP108" s="44">
        <f>IF($A$1=$B$1,C108,IF($A$1=$E$1,F108,IF($A$1=$H$1,I108,IF($A$1=$K$1,L108,IF($A$1=$N$1,O108,IF($A$1=$Q$1,R108,IF($A$1=$T$1,U108,IF($A$1=$W$1,X108,IF($A$1=$Z$1,AA108,IF($A$1=$AC$1,AD108,IF($A$1=$AF$1,AG108,IF($A$1=$AI$1,AJ108))))))))))))</f>
        <v/>
      </c>
    </row>
    <row r="109" ht="15.5" customFormat="1" customHeight="1" s="13">
      <c r="A109" s="26" t="inlineStr">
        <is>
          <t>Alüminyum</t>
        </is>
      </c>
      <c r="B109" s="12">
        <f>B98*-1/B16</f>
        <v/>
      </c>
      <c r="C109" s="12">
        <f>C98*-1/C16</f>
        <v/>
      </c>
      <c r="D109" s="41" t="n"/>
      <c r="E109" s="12">
        <f>E98*-1/E16</f>
        <v/>
      </c>
      <c r="F109" s="12">
        <f>F98*-1/F16</f>
        <v/>
      </c>
      <c r="G109" s="41" t="n"/>
      <c r="H109" s="12">
        <f>H98*-1/H16</f>
        <v/>
      </c>
      <c r="I109" s="12">
        <f>I98*-1/I16</f>
        <v/>
      </c>
      <c r="J109" s="41" t="n"/>
      <c r="K109" s="12">
        <f>K98*-1/K16</f>
        <v/>
      </c>
      <c r="L109" s="12">
        <f>L98*-1/L16</f>
        <v/>
      </c>
      <c r="M109" s="41" t="n"/>
      <c r="N109" s="12">
        <f>N98*-1/N16</f>
        <v/>
      </c>
      <c r="O109" s="12">
        <f>O98*-1/O16</f>
        <v/>
      </c>
      <c r="P109" s="41" t="n"/>
      <c r="Q109" s="12">
        <f>Q98*-1/Q16</f>
        <v/>
      </c>
      <c r="R109" s="12">
        <f>R98*-1/R16</f>
        <v/>
      </c>
      <c r="S109" s="41" t="n"/>
      <c r="T109" s="12">
        <f>T98*-1/T16</f>
        <v/>
      </c>
      <c r="U109" s="12">
        <f>U98*-1/U16</f>
        <v/>
      </c>
      <c r="V109" s="41" t="n"/>
      <c r="W109" s="12">
        <f>W98*-1/W16</f>
        <v/>
      </c>
      <c r="X109" s="12">
        <f>X98*-1/X16</f>
        <v/>
      </c>
      <c r="Y109" s="41" t="n"/>
      <c r="Z109" s="12">
        <f>Z98*-1/Z16</f>
        <v/>
      </c>
      <c r="AA109" s="12">
        <f>AA98*-1/AA16</f>
        <v/>
      </c>
      <c r="AB109" s="41" t="n"/>
      <c r="AC109" s="12">
        <f>AC98*-1/AC16</f>
        <v/>
      </c>
      <c r="AD109" s="12">
        <f>AD98*-1/AD16</f>
        <v/>
      </c>
      <c r="AE109" s="41" t="n"/>
      <c r="AF109" s="12">
        <f>AF98*-1/AF16</f>
        <v/>
      </c>
      <c r="AG109" s="12">
        <f>AG98*-1/AG16</f>
        <v/>
      </c>
      <c r="AH109" s="41" t="n"/>
      <c r="AI109" s="12">
        <f>AI98*-1/AI16</f>
        <v/>
      </c>
      <c r="AJ109" s="12">
        <f>AJ98*-1/AJ16</f>
        <v/>
      </c>
      <c r="AK109" s="41" t="n"/>
      <c r="AL109" s="15" t="n"/>
      <c r="AM109" s="22">
        <f>AP109-AO109</f>
        <v/>
      </c>
      <c r="AO109" s="44">
        <f>IF($A$1=$B$1,B109,IF($A$1=$E$1,E109,IF($A$1=$H$1,H109,IF($A$1=$K$1,K109,IF($A$1=$N$1,N109,IF($A$1=$Q$1,Q109,IF($A$1=$T$1,T109,IF($A$1=$W$1,W109,IF($A$1=$Z$1,Z109,IF($A$1=$AC$1,AC109,IF($A$1=$AF$1,AF109,IF($A$1=$AI$1,AI109))))))))))))</f>
        <v/>
      </c>
      <c r="AP109" s="44">
        <f>IF($A$1=$B$1,C109,IF($A$1=$E$1,F109,IF($A$1=$H$1,I109,IF($A$1=$K$1,L109,IF($A$1=$N$1,O109,IF($A$1=$Q$1,R109,IF($A$1=$T$1,U109,IF($A$1=$W$1,X109,IF($A$1=$Z$1,AA109,IF($A$1=$AC$1,AD109,IF($A$1=$AF$1,AG109,IF($A$1=$AI$1,AJ109))))))))))))</f>
        <v/>
      </c>
    </row>
    <row r="110" ht="15.5" customFormat="1" customHeight="1" s="13">
      <c r="A110" s="26" t="n"/>
      <c r="B110" s="12" t="n"/>
      <c r="C110" s="30" t="n"/>
      <c r="D110" s="41" t="n"/>
      <c r="E110" s="12" t="n"/>
      <c r="F110" s="30" t="n"/>
      <c r="G110" s="41" t="n"/>
      <c r="H110" s="12" t="n"/>
      <c r="I110" s="30" t="n"/>
      <c r="J110" s="41" t="n"/>
      <c r="K110" s="12" t="n"/>
      <c r="L110" s="30" t="n"/>
      <c r="M110" s="41" t="n"/>
      <c r="N110" s="12" t="n"/>
      <c r="O110" s="30" t="n"/>
      <c r="P110" s="41" t="n"/>
      <c r="Q110" s="12" t="n"/>
      <c r="R110" s="30" t="n"/>
      <c r="S110" s="41" t="n"/>
      <c r="T110" s="12" t="n"/>
      <c r="U110" s="30" t="n"/>
      <c r="V110" s="41" t="n"/>
      <c r="W110" s="12" t="n"/>
      <c r="X110" s="30" t="n"/>
      <c r="Y110" s="41" t="n"/>
      <c r="Z110" s="12" t="n"/>
      <c r="AA110" s="30" t="n"/>
      <c r="AB110" s="41" t="n"/>
      <c r="AC110" s="12" t="n"/>
      <c r="AD110" s="30" t="n"/>
      <c r="AE110" s="41" t="n"/>
      <c r="AF110" s="12" t="n"/>
      <c r="AG110" s="30" t="n"/>
      <c r="AH110" s="41" t="n"/>
      <c r="AI110" s="12" t="n"/>
      <c r="AJ110" s="30" t="n"/>
      <c r="AK110" s="41" t="n"/>
      <c r="AL110" s="15" t="n"/>
      <c r="AM110" s="22" t="n"/>
      <c r="AO110" s="44" t="n"/>
      <c r="AP110" s="44" t="n"/>
    </row>
    <row r="111" ht="15.5" customFormat="1" customHeight="1" s="13">
      <c r="A111" s="26" t="n"/>
      <c r="B111" s="12" t="n"/>
      <c r="C111" s="30" t="n"/>
      <c r="D111" s="41" t="n"/>
      <c r="E111" s="12" t="n"/>
      <c r="F111" s="30" t="n"/>
      <c r="G111" s="41" t="n"/>
      <c r="H111" s="12" t="n"/>
      <c r="I111" s="30" t="n"/>
      <c r="J111" s="41" t="n"/>
      <c r="K111" s="12" t="n"/>
      <c r="L111" s="30" t="n"/>
      <c r="M111" s="41" t="n"/>
      <c r="N111" s="12" t="n"/>
      <c r="O111" s="30" t="n"/>
      <c r="P111" s="41" t="n"/>
      <c r="Q111" s="12" t="n"/>
      <c r="R111" s="30" t="n"/>
      <c r="S111" s="41" t="n"/>
      <c r="T111" s="12" t="n"/>
      <c r="U111" s="30" t="n"/>
      <c r="V111" s="41" t="n"/>
      <c r="W111" s="12" t="n"/>
      <c r="X111" s="30" t="n"/>
      <c r="Y111" s="41" t="n"/>
      <c r="Z111" s="12" t="n"/>
      <c r="AA111" s="30" t="n"/>
      <c r="AB111" s="41" t="n"/>
      <c r="AC111" s="12" t="n"/>
      <c r="AD111" s="30" t="n"/>
      <c r="AE111" s="41" t="n"/>
      <c r="AF111" s="12" t="n"/>
      <c r="AG111" s="30" t="n"/>
      <c r="AH111" s="41" t="n"/>
      <c r="AI111" s="12" t="n"/>
      <c r="AJ111" s="30" t="n"/>
      <c r="AK111" s="41" t="n"/>
      <c r="AL111" s="15" t="n"/>
      <c r="AM111" s="22" t="n"/>
      <c r="AO111" s="44" t="n"/>
      <c r="AP111" s="44" t="n"/>
    </row>
    <row r="112" ht="15.5" customFormat="1" customHeight="1" s="44">
      <c r="A112" s="31" t="inlineStr">
        <is>
          <t>EBİT</t>
        </is>
      </c>
      <c r="B112" s="32">
        <f>'Bütçe aylık-TL'!$B$59</f>
        <v/>
      </c>
      <c r="C112" s="32">
        <f>'gerç aylık-tl'!$B$59</f>
        <v/>
      </c>
      <c r="D112" s="18" t="n"/>
      <c r="E112" s="32">
        <f>'Bütçe aylık-TL'!$C$59</f>
        <v/>
      </c>
      <c r="F112" s="32">
        <f>'gerç aylık-tl'!$C$59</f>
        <v/>
      </c>
      <c r="G112" s="18" t="n"/>
      <c r="H112" s="32">
        <f>'Bütçe aylık-TL'!$D$59</f>
        <v/>
      </c>
      <c r="I112" s="32">
        <f>'gerç aylık-tl'!$D$59</f>
        <v/>
      </c>
      <c r="J112" s="18" t="n"/>
      <c r="K112" s="32">
        <f>'Bütçe aylık-TL'!$E$59</f>
        <v/>
      </c>
      <c r="L112" s="32">
        <f>'gerç aylık-tl'!$E$59</f>
        <v/>
      </c>
      <c r="M112" s="18" t="n"/>
      <c r="N112" s="32">
        <f>'Bütçe aylık-TL'!$F$59</f>
        <v/>
      </c>
      <c r="O112" s="32">
        <f>'gerç aylık-tl'!$F$59</f>
        <v/>
      </c>
      <c r="P112" s="18" t="n"/>
      <c r="Q112" s="32">
        <f>'Bütçe aylık-TL'!$G$59</f>
        <v/>
      </c>
      <c r="R112" s="32">
        <f>'gerç aylık-tl'!$G$59</f>
        <v/>
      </c>
      <c r="S112" s="18" t="n"/>
      <c r="T112" s="32">
        <f>'Bütçe aylık-TL'!$H$59</f>
        <v/>
      </c>
      <c r="U112" s="32">
        <f>'gerç aylık-tl'!$H$59</f>
        <v/>
      </c>
      <c r="V112" s="18" t="n"/>
      <c r="W112" s="32">
        <f>'Bütçe aylık-TL'!$I$59</f>
        <v/>
      </c>
      <c r="X112" s="32">
        <f>'gerç aylık-tl'!$I$59</f>
        <v/>
      </c>
      <c r="Y112" s="18" t="n"/>
      <c r="Z112" s="32">
        <f>'Bütçe aylık-TL'!$J$59</f>
        <v/>
      </c>
      <c r="AA112" s="32">
        <f>'gerç aylık-tl'!$J$59</f>
        <v/>
      </c>
      <c r="AB112" s="18" t="n"/>
      <c r="AC112" s="32">
        <f>'Bütçe aylık-TL'!$K$59</f>
        <v/>
      </c>
      <c r="AD112" s="32">
        <f>'gerç aylık-tl'!$K$59</f>
        <v/>
      </c>
      <c r="AE112" s="18" t="n"/>
      <c r="AF112" s="32">
        <f>'Bütçe aylık-TL'!$L$59</f>
        <v/>
      </c>
      <c r="AG112" s="32">
        <f>'gerç aylık-tl'!$L$59</f>
        <v/>
      </c>
      <c r="AH112" s="18" t="n"/>
      <c r="AI112" s="32">
        <f>'Bütçe aylık-TL'!$M$59</f>
        <v/>
      </c>
      <c r="AJ112" s="32">
        <f>'gerç aylık-tl'!$M$59</f>
        <v/>
      </c>
      <c r="AK112" s="18" t="n"/>
      <c r="AL112" s="33">
        <f>AP112-AO112</f>
        <v/>
      </c>
      <c r="AM112" s="34">
        <f>AP112/AO112-1</f>
        <v/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/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/>
      </c>
    </row>
    <row r="113" ht="15.5" customFormat="1" customHeight="1" s="13">
      <c r="A113" s="27" t="n"/>
      <c r="B113" s="30">
        <f>IFERROR((B70/#REF!),"")</f>
        <v/>
      </c>
      <c r="C113" s="30">
        <f>IFERROR((C70/#REF!),"")</f>
        <v/>
      </c>
      <c r="D113" s="41" t="n"/>
      <c r="E113" s="30">
        <f>IFERROR((E70/#REF!),"")</f>
        <v/>
      </c>
      <c r="F113" s="30">
        <f>IFERROR((F70/#REF!),"")</f>
        <v/>
      </c>
      <c r="G113" s="41" t="n"/>
      <c r="H113" s="30">
        <f>IFERROR((H70/#REF!),"")</f>
        <v/>
      </c>
      <c r="I113" s="30">
        <f>IFERROR((I70/#REF!),"")</f>
        <v/>
      </c>
      <c r="J113" s="41" t="n"/>
      <c r="K113" s="30">
        <f>IFERROR((K70/#REF!),"")</f>
        <v/>
      </c>
      <c r="L113" s="30">
        <f>IFERROR((L70/#REF!),"")</f>
        <v/>
      </c>
      <c r="M113" s="41" t="n"/>
      <c r="N113" s="30">
        <f>IFERROR((N70/#REF!),"")</f>
        <v/>
      </c>
      <c r="O113" s="30">
        <f>IFERROR((O70/#REF!),"")</f>
        <v/>
      </c>
      <c r="P113" s="41" t="n"/>
      <c r="Q113" s="30">
        <f>IFERROR((Q70/#REF!),"")</f>
        <v/>
      </c>
      <c r="R113" s="30">
        <f>IFERROR((R70/#REF!),"")</f>
        <v/>
      </c>
      <c r="S113" s="41" t="n"/>
      <c r="T113" s="30">
        <f>IFERROR((T70/#REF!),"")</f>
        <v/>
      </c>
      <c r="U113" s="30">
        <f>IFERROR((U70/#REF!),"")</f>
        <v/>
      </c>
      <c r="V113" s="41" t="n"/>
      <c r="W113" s="30">
        <f>IFERROR((W70/#REF!),"")</f>
        <v/>
      </c>
      <c r="X113" s="30">
        <f>IFERROR((X70/#REF!),"")</f>
        <v/>
      </c>
      <c r="Y113" s="41" t="n"/>
      <c r="Z113" s="30">
        <f>IFERROR((Z70/#REF!),"")</f>
        <v/>
      </c>
      <c r="AA113" s="30">
        <f>IFERROR((AA70/#REF!),"")</f>
        <v/>
      </c>
      <c r="AB113" s="41" t="n"/>
      <c r="AC113" s="30">
        <f>IFERROR((AC70/#REF!),"")</f>
        <v/>
      </c>
      <c r="AD113" s="30">
        <f>IFERROR((AD70/#REF!),"")</f>
        <v/>
      </c>
      <c r="AE113" s="41" t="n"/>
      <c r="AF113" s="30">
        <f>IFERROR((AF70/#REF!),"")</f>
        <v/>
      </c>
      <c r="AG113" s="30">
        <f>IFERROR((AG70/#REF!),"")</f>
        <v/>
      </c>
      <c r="AH113" s="41" t="n"/>
      <c r="AI113" s="30">
        <f>IFERROR((AI70/#REF!),"")</f>
        <v/>
      </c>
      <c r="AJ113" s="30">
        <f>IFERROR((AJ70/#REF!),"")</f>
        <v/>
      </c>
      <c r="AK113" s="41" t="n"/>
      <c r="AL113" s="15" t="n"/>
      <c r="AM113" s="22" t="n"/>
      <c r="AO113" s="44">
        <f>IF($A$1=$B$1,B113,IF($A$1=$E$1,E113,IF($A$1=$H$1,H113,IF($A$1=$K$1,K113,IF($A$1=$N$1,N113,IF($A$1=$Q$1,Q113,IF($A$1=$T$1,T113,IF($A$1=$W$1,W113,IF($A$1=$Z$1,Z113,IF($A$1=$AC$1,AC113,IF($A$1=$AF$1,AF113,IF($A$1=$AI$1,AI113))))))))))))</f>
        <v/>
      </c>
      <c r="AP113" s="44">
        <f>IF($A$1=$B$1,C113,IF($A$1=$E$1,F113,IF($A$1=$H$1,I113,IF($A$1=$K$1,L113,IF($A$1=$N$1,O113,IF($A$1=$Q$1,R113,IF($A$1=$T$1,U113,IF($A$1=$W$1,X113,IF($A$1=$Z$1,AA113,IF($A$1=$AC$1,AD113,IF($A$1=$AF$1,AG113,IF($A$1=$AI$1,AJ113))))))))))))</f>
        <v/>
      </c>
    </row>
    <row r="114" ht="17" customFormat="1" customHeight="1" s="49">
      <c r="A114" s="47" t="inlineStr">
        <is>
          <t>Ebit by channels (100%)</t>
        </is>
      </c>
      <c r="B114" s="413" t="n"/>
      <c r="C114" s="413" t="n"/>
      <c r="D114" s="413" t="n"/>
      <c r="E114" s="413" t="n"/>
      <c r="F114" s="413" t="n"/>
      <c r="G114" s="413" t="n"/>
      <c r="H114" s="413" t="n"/>
      <c r="I114" s="413" t="n"/>
      <c r="J114" s="413" t="n"/>
      <c r="K114" s="413" t="n"/>
      <c r="L114" s="413" t="n"/>
      <c r="M114" s="413" t="n"/>
      <c r="N114" s="413" t="n"/>
      <c r="O114" s="413" t="n"/>
      <c r="P114" s="413" t="n"/>
      <c r="Q114" s="413" t="n"/>
      <c r="R114" s="413" t="n"/>
      <c r="S114" s="413" t="n"/>
      <c r="T114" s="413" t="n"/>
      <c r="U114" s="413" t="n"/>
      <c r="V114" s="413" t="n"/>
      <c r="W114" s="413" t="n"/>
      <c r="X114" s="413" t="n"/>
      <c r="Y114" s="413" t="n"/>
      <c r="Z114" s="413" t="n"/>
      <c r="AA114" s="413" t="n"/>
      <c r="AB114" s="413" t="n"/>
      <c r="AC114" s="413" t="n"/>
      <c r="AD114" s="413" t="n"/>
      <c r="AE114" s="413" t="n"/>
      <c r="AF114" s="413" t="n"/>
      <c r="AG114" s="413" t="n"/>
      <c r="AH114" s="413" t="n"/>
      <c r="AI114" s="413" t="n"/>
      <c r="AJ114" s="413" t="n"/>
      <c r="AK114" s="413" t="n"/>
      <c r="AL114" s="413" t="n"/>
      <c r="AM114" s="48" t="n"/>
    </row>
    <row r="115" ht="15.5" customHeight="1">
      <c r="A115" s="26" t="inlineStr">
        <is>
          <t xml:space="preserve">İnci Holding </t>
        </is>
      </c>
      <c r="B115" s="7">
        <f>'Bütçe aylık-TL'!$B$60</f>
        <v/>
      </c>
      <c r="C115" s="7">
        <f>'gerç aylık-tl'!$B$60</f>
        <v/>
      </c>
      <c r="D115" s="7" t="n"/>
      <c r="E115" s="7">
        <f>'Bütçe aylık-TL'!$C$60</f>
        <v/>
      </c>
      <c r="F115" s="7">
        <f>'gerç aylık-tl'!$C$60</f>
        <v/>
      </c>
      <c r="G115" s="7" t="n"/>
      <c r="H115" s="7">
        <f>'Bütçe aylık-TL'!$D$60</f>
        <v/>
      </c>
      <c r="I115" s="7">
        <f>'gerç aylık-tl'!$D$60</f>
        <v/>
      </c>
      <c r="J115" s="7" t="n"/>
      <c r="K115" s="7">
        <f>'Bütçe aylık-TL'!$E$60</f>
        <v/>
      </c>
      <c r="L115" s="7">
        <f>'gerç aylık-tl'!$E$60</f>
        <v/>
      </c>
      <c r="M115" s="7" t="n"/>
      <c r="N115" s="7">
        <f>'Bütçe aylık-TL'!$F$60</f>
        <v/>
      </c>
      <c r="O115" s="7">
        <f>'gerç aylık-tl'!$F$60</f>
        <v/>
      </c>
      <c r="P115" s="7" t="n"/>
      <c r="Q115" s="7">
        <f>'Bütçe aylık-TL'!$G$60</f>
        <v/>
      </c>
      <c r="R115" s="7">
        <f>'gerç aylık-tl'!$G$60</f>
        <v/>
      </c>
      <c r="S115" s="7" t="n"/>
      <c r="T115" s="7">
        <f>'Bütçe aylık-TL'!$H$60</f>
        <v/>
      </c>
      <c r="U115" s="7">
        <f>'gerç aylık-tl'!$H$60</f>
        <v/>
      </c>
      <c r="V115" s="7" t="n"/>
      <c r="W115" s="7">
        <f>'Bütçe aylık-TL'!$I$60</f>
        <v/>
      </c>
      <c r="X115" s="7">
        <f>'gerç aylık-tl'!$I$60</f>
        <v/>
      </c>
      <c r="Y115" s="7" t="n"/>
      <c r="Z115" s="7">
        <f>'Bütçe aylık-TL'!$J$60</f>
        <v/>
      </c>
      <c r="AA115" s="7">
        <f>'gerç aylık-tl'!$J$60</f>
        <v/>
      </c>
      <c r="AB115" s="7" t="n"/>
      <c r="AC115" s="7">
        <f>'Bütçe aylık-TL'!$K$60</f>
        <v/>
      </c>
      <c r="AD115" s="7">
        <f>'gerç aylık-tl'!$K$60</f>
        <v/>
      </c>
      <c r="AE115" s="7" t="n"/>
      <c r="AF115" s="7">
        <f>'Bütçe aylık-TL'!$L$60</f>
        <v/>
      </c>
      <c r="AG115" s="7">
        <f>'gerç aylık-tl'!$L$60</f>
        <v/>
      </c>
      <c r="AH115" s="7" t="n"/>
      <c r="AI115" s="7">
        <f>'Bütçe aylık-TL'!$M$60</f>
        <v/>
      </c>
      <c r="AJ115" s="7">
        <f>'gerç aylık-tl'!$M$60</f>
        <v/>
      </c>
      <c r="AK115" s="7" t="n"/>
      <c r="AL115" s="21">
        <f>AP115-AO115</f>
        <v/>
      </c>
      <c r="AM115" s="22">
        <f>AP115/AO115-1</f>
        <v/>
      </c>
      <c r="AO115" s="44">
        <f>IF($A$1=$B$1,B115,IF($A$1=$E$1,E115,IF($A$1=$H$1,H115,IF($A$1=$K$1,K115,IF($A$1=$N$1,N115,IF($A$1=$Q$1,Q115,IF($A$1=$T$1,T115,IF($A$1=$W$1,W115,IF($A$1=$Z$1,Z115,IF($A$1=$AC$1,AC115,IF($A$1=$AF$1,AF115,IF($A$1=$AI$1,AI115))))))))))))</f>
        <v/>
      </c>
      <c r="AP115" s="44">
        <f>IF($A$1=$B$1,C115,IF($A$1=$E$1,F115,IF($A$1=$H$1,I115,IF($A$1=$K$1,L115,IF($A$1=$N$1,O115,IF($A$1=$Q$1,R115,IF($A$1=$T$1,U115,IF($A$1=$W$1,X115,IF($A$1=$Z$1,AA115,IF($A$1=$AC$1,AD115,IF($A$1=$AF$1,AG115,IF($A$1=$AI$1,AJ115))))))))))))</f>
        <v/>
      </c>
    </row>
    <row r="116" ht="15.5" customHeight="1">
      <c r="A116" s="26" t="inlineStr">
        <is>
          <t xml:space="preserve">ISM </t>
        </is>
      </c>
      <c r="B116" s="7">
        <f>'Bütçe aylık-TL'!$B$61</f>
        <v/>
      </c>
      <c r="C116" s="7">
        <f>'gerç aylık-tl'!$B$61</f>
        <v/>
      </c>
      <c r="D116" s="7" t="n"/>
      <c r="E116" s="7">
        <f>'Bütçe aylık-TL'!$C$61</f>
        <v/>
      </c>
      <c r="F116" s="7">
        <f>'gerç aylık-tl'!$C$61</f>
        <v/>
      </c>
      <c r="G116" s="7" t="n"/>
      <c r="H116" s="7">
        <f>'Bütçe aylık-TL'!$D$61</f>
        <v/>
      </c>
      <c r="I116" s="7">
        <f>'gerç aylık-tl'!$D$61</f>
        <v/>
      </c>
      <c r="J116" s="7" t="n"/>
      <c r="K116" s="7">
        <f>'Bütçe aylık-TL'!$E$61</f>
        <v/>
      </c>
      <c r="L116" s="7">
        <f>'gerç aylık-tl'!$E$61</f>
        <v/>
      </c>
      <c r="M116" s="7" t="n"/>
      <c r="N116" s="7">
        <f>'Bütçe aylık-TL'!$F$61</f>
        <v/>
      </c>
      <c r="O116" s="7">
        <f>'gerç aylık-tl'!$F$61</f>
        <v/>
      </c>
      <c r="P116" s="7" t="n"/>
      <c r="Q116" s="7">
        <f>'Bütçe aylık-TL'!$G$61</f>
        <v/>
      </c>
      <c r="R116" s="7">
        <f>'gerç aylık-tl'!$G$61</f>
        <v/>
      </c>
      <c r="S116" s="7" t="n"/>
      <c r="T116" s="7">
        <f>'Bütçe aylık-TL'!$H$61</f>
        <v/>
      </c>
      <c r="U116" s="7">
        <f>'gerç aylık-tl'!$H$61</f>
        <v/>
      </c>
      <c r="V116" s="7" t="n"/>
      <c r="W116" s="7">
        <f>'Bütçe aylık-TL'!$I$61</f>
        <v/>
      </c>
      <c r="X116" s="7">
        <f>'gerç aylık-tl'!$I$61</f>
        <v/>
      </c>
      <c r="Y116" s="7" t="n"/>
      <c r="Z116" s="7">
        <f>'Bütçe aylık-TL'!$J$61</f>
        <v/>
      </c>
      <c r="AA116" s="7">
        <f>'gerç aylık-tl'!$J$61</f>
        <v/>
      </c>
      <c r="AB116" s="7" t="n"/>
      <c r="AC116" s="7">
        <f>'Bütçe aylık-TL'!$K$61</f>
        <v/>
      </c>
      <c r="AD116" s="7">
        <f>'gerç aylık-tl'!$K$61</f>
        <v/>
      </c>
      <c r="AE116" s="7" t="n"/>
      <c r="AF116" s="7">
        <f>'Bütçe aylık-TL'!$L$61</f>
        <v/>
      </c>
      <c r="AG116" s="7">
        <f>'gerç aylık-tl'!$L$61</f>
        <v/>
      </c>
      <c r="AH116" s="7" t="n"/>
      <c r="AI116" s="7">
        <f>'Bütçe aylık-TL'!$M$61</f>
        <v/>
      </c>
      <c r="AJ116" s="7">
        <f>'gerç aylık-tl'!$M$61</f>
        <v/>
      </c>
      <c r="AK116" s="7" t="n"/>
      <c r="AL116" s="21">
        <f>AP116-AO116</f>
        <v/>
      </c>
      <c r="AM116" s="22">
        <f>AP116/AO116-1</f>
        <v/>
      </c>
      <c r="AO116" s="44">
        <f>IF($A$1=$B$1,B116,IF($A$1=$E$1,E116,IF($A$1=$H$1,H116,IF($A$1=$K$1,K116,IF($A$1=$N$1,N116,IF($A$1=$Q$1,Q116,IF($A$1=$T$1,T116,IF($A$1=$W$1,W116,IF($A$1=$Z$1,Z116,IF($A$1=$AC$1,AC116,IF($A$1=$AF$1,AF116,IF($A$1=$AI$1,AI116))))))))))))</f>
        <v/>
      </c>
      <c r="AP116" s="44">
        <f>IF($A$1=$B$1,C116,IF($A$1=$E$1,F116,IF($A$1=$H$1,I116,IF($A$1=$K$1,L116,IF($A$1=$N$1,O116,IF($A$1=$Q$1,R116,IF($A$1=$T$1,U116,IF($A$1=$W$1,X116,IF($A$1=$Z$1,AA116,IF($A$1=$AC$1,AD116,IF($A$1=$AF$1,AG116,IF($A$1=$AI$1,AJ116))))))))))))</f>
        <v/>
      </c>
    </row>
    <row r="117" ht="15.5" customHeight="1">
      <c r="A117" s="26" t="inlineStr">
        <is>
          <t>İncitaş</t>
        </is>
      </c>
      <c r="B117" s="7">
        <f>'Bütçe aylık-TL'!$B$62</f>
        <v/>
      </c>
      <c r="C117" s="7">
        <f>'gerç aylık-tl'!$B$62</f>
        <v/>
      </c>
      <c r="D117" s="7" t="n"/>
      <c r="E117" s="7">
        <f>'Bütçe aylık-TL'!$C$62</f>
        <v/>
      </c>
      <c r="F117" s="7">
        <f>'gerç aylık-tl'!$C$62</f>
        <v/>
      </c>
      <c r="G117" s="7" t="n"/>
      <c r="H117" s="7">
        <f>'Bütçe aylık-TL'!$D$62</f>
        <v/>
      </c>
      <c r="I117" s="7">
        <f>'gerç aylık-tl'!$D$62</f>
        <v/>
      </c>
      <c r="J117" s="7" t="n"/>
      <c r="K117" s="7">
        <f>'Bütçe aylık-TL'!$E$62</f>
        <v/>
      </c>
      <c r="L117" s="7">
        <f>'gerç aylık-tl'!$E$62</f>
        <v/>
      </c>
      <c r="M117" s="7" t="n"/>
      <c r="N117" s="7">
        <f>'Bütçe aylık-TL'!$F$62</f>
        <v/>
      </c>
      <c r="O117" s="7">
        <f>'gerç aylık-tl'!$F$62</f>
        <v/>
      </c>
      <c r="P117" s="7" t="n"/>
      <c r="Q117" s="7">
        <f>'Bütçe aylık-TL'!$G$62</f>
        <v/>
      </c>
      <c r="R117" s="7">
        <f>'gerç aylık-tl'!$G$62</f>
        <v/>
      </c>
      <c r="S117" s="7" t="n"/>
      <c r="T117" s="7">
        <f>'Bütçe aylık-TL'!$H$62</f>
        <v/>
      </c>
      <c r="U117" s="7">
        <f>'gerç aylık-tl'!$H$62</f>
        <v/>
      </c>
      <c r="V117" s="7" t="n"/>
      <c r="W117" s="7">
        <f>'Bütçe aylık-TL'!$I$62</f>
        <v/>
      </c>
      <c r="X117" s="7">
        <f>'gerç aylık-tl'!$I$62</f>
        <v/>
      </c>
      <c r="Y117" s="7" t="n"/>
      <c r="Z117" s="7">
        <f>'Bütçe aylık-TL'!$J$62</f>
        <v/>
      </c>
      <c r="AA117" s="7">
        <f>'gerç aylık-tl'!$J$62</f>
        <v/>
      </c>
      <c r="AB117" s="7" t="n"/>
      <c r="AC117" s="7">
        <f>'Bütçe aylık-TL'!$K$62</f>
        <v/>
      </c>
      <c r="AD117" s="7">
        <f>'gerç aylık-tl'!$K$62</f>
        <v/>
      </c>
      <c r="AE117" s="7" t="n"/>
      <c r="AF117" s="7">
        <f>'Bütçe aylık-TL'!$L$62</f>
        <v/>
      </c>
      <c r="AG117" s="7">
        <f>'gerç aylık-tl'!$L$62</f>
        <v/>
      </c>
      <c r="AH117" s="7" t="n"/>
      <c r="AI117" s="7">
        <f>'Bütçe aylık-TL'!$M$62</f>
        <v/>
      </c>
      <c r="AJ117" s="7">
        <f>'gerç aylık-tl'!$M$62</f>
        <v/>
      </c>
      <c r="AK117" s="7" t="n"/>
      <c r="AL117" s="21">
        <f>AP117-AO117</f>
        <v/>
      </c>
      <c r="AM117" s="22">
        <f>AP117/AO117-1</f>
        <v/>
      </c>
      <c r="AO117" s="44">
        <f>IF($A$1=$B$1,B117,IF($A$1=$E$1,E117,IF($A$1=$H$1,H117,IF($A$1=$K$1,K117,IF($A$1=$N$1,N117,IF($A$1=$Q$1,Q117,IF($A$1=$T$1,T117,IF($A$1=$W$1,W117,IF($A$1=$Z$1,Z117,IF($A$1=$AC$1,AC117,IF($A$1=$AF$1,AF117,IF($A$1=$AI$1,AI117))))))))))))</f>
        <v/>
      </c>
      <c r="AP117" s="44">
        <f>IF($A$1=$B$1,C117,IF($A$1=$E$1,F117,IF($A$1=$H$1,I117,IF($A$1=$K$1,L117,IF($A$1=$N$1,O117,IF($A$1=$Q$1,R117,IF($A$1=$T$1,U117,IF($A$1=$W$1,X117,IF($A$1=$Z$1,AA117,IF($A$1=$AC$1,AD117,IF($A$1=$AF$1,AG117,IF($A$1=$AI$1,AJ117))))))))))))</f>
        <v/>
      </c>
    </row>
    <row r="118" ht="15.5" customHeight="1">
      <c r="A118" s="26" t="inlineStr">
        <is>
          <t>İnci GS Yuasa</t>
        </is>
      </c>
      <c r="B118" s="7">
        <f>'Bütçe aylık-TL'!$B$63</f>
        <v/>
      </c>
      <c r="C118" s="7">
        <f>'gerç aylık-tl'!$B$63</f>
        <v/>
      </c>
      <c r="D118" s="7" t="n"/>
      <c r="E118" s="7">
        <f>'Bütçe aylık-TL'!$C$63</f>
        <v/>
      </c>
      <c r="F118" s="7">
        <f>'gerç aylık-tl'!$C$63</f>
        <v/>
      </c>
      <c r="G118" s="7" t="n"/>
      <c r="H118" s="7">
        <f>'Bütçe aylık-TL'!$D$63</f>
        <v/>
      </c>
      <c r="I118" s="7">
        <f>'gerç aylık-tl'!$D$63</f>
        <v/>
      </c>
      <c r="J118" s="7" t="n"/>
      <c r="K118" s="7">
        <f>'Bütçe aylık-TL'!$E$63</f>
        <v/>
      </c>
      <c r="L118" s="7">
        <f>'gerç aylık-tl'!$E$63</f>
        <v/>
      </c>
      <c r="M118" s="7" t="n"/>
      <c r="N118" s="7">
        <f>'Bütçe aylık-TL'!$F$63</f>
        <v/>
      </c>
      <c r="O118" s="7">
        <f>'gerç aylık-tl'!$F$63</f>
        <v/>
      </c>
      <c r="P118" s="7" t="n"/>
      <c r="Q118" s="7">
        <f>'Bütçe aylık-TL'!$G$63</f>
        <v/>
      </c>
      <c r="R118" s="7">
        <f>'gerç aylık-tl'!$G$63</f>
        <v/>
      </c>
      <c r="S118" s="7" t="n"/>
      <c r="T118" s="7">
        <f>'Bütçe aylık-TL'!$H$63</f>
        <v/>
      </c>
      <c r="U118" s="7">
        <f>'gerç aylık-tl'!$H$63</f>
        <v/>
      </c>
      <c r="V118" s="7" t="n"/>
      <c r="W118" s="7">
        <f>'Bütçe aylık-TL'!$I$63</f>
        <v/>
      </c>
      <c r="X118" s="7">
        <f>'gerç aylık-tl'!$I$63</f>
        <v/>
      </c>
      <c r="Y118" s="7" t="n"/>
      <c r="Z118" s="7">
        <f>'Bütçe aylık-TL'!$J$63</f>
        <v/>
      </c>
      <c r="AA118" s="7">
        <f>'gerç aylık-tl'!$J$63</f>
        <v/>
      </c>
      <c r="AB118" s="7" t="n"/>
      <c r="AC118" s="7">
        <f>'Bütçe aylık-TL'!$K$63</f>
        <v/>
      </c>
      <c r="AD118" s="7">
        <f>'gerç aylık-tl'!$K$63</f>
        <v/>
      </c>
      <c r="AE118" s="7" t="n"/>
      <c r="AF118" s="7">
        <f>'Bütçe aylık-TL'!$L$63</f>
        <v/>
      </c>
      <c r="AG118" s="7">
        <f>'gerç aylık-tl'!$L$63</f>
        <v/>
      </c>
      <c r="AH118" s="7" t="n"/>
      <c r="AI118" s="7">
        <f>'Bütçe aylık-TL'!$M$63</f>
        <v/>
      </c>
      <c r="AJ118" s="7">
        <f>'gerç aylık-tl'!$M$63</f>
        <v/>
      </c>
      <c r="AK118" s="7" t="n"/>
      <c r="AL118" s="21">
        <f>AP118-AO118</f>
        <v/>
      </c>
      <c r="AM118" s="22">
        <f>AP118/AO118-1</f>
        <v/>
      </c>
      <c r="AO118" s="44">
        <f>IF($A$1=$B$1,B118,IF($A$1=$E$1,E118,IF($A$1=$H$1,H118,IF($A$1=$K$1,K118,IF($A$1=$N$1,N118,IF($A$1=$Q$1,Q118,IF($A$1=$T$1,T118,IF($A$1=$W$1,W118,IF($A$1=$Z$1,Z118,IF($A$1=$AC$1,AC118,IF($A$1=$AF$1,AF118,IF($A$1=$AI$1,AI118))))))))))))</f>
        <v/>
      </c>
      <c r="AP118" s="44">
        <f>IF($A$1=$B$1,C118,IF($A$1=$E$1,F118,IF($A$1=$H$1,I118,IF($A$1=$K$1,L118,IF($A$1=$N$1,O118,IF($A$1=$Q$1,R118,IF($A$1=$T$1,U118,IF($A$1=$W$1,X118,IF($A$1=$Z$1,AA118,IF($A$1=$AC$1,AD118,IF($A$1=$AF$1,AG118,IF($A$1=$AI$1,AJ118))))))))))))</f>
        <v/>
      </c>
    </row>
    <row r="119" ht="15.5" customFormat="1" customHeight="1" s="1">
      <c r="A119" s="26" t="inlineStr">
        <is>
          <t>Yusen İnci Loj.</t>
        </is>
      </c>
      <c r="B119" s="7">
        <f>'Bütçe aylık-TL'!$B$64</f>
        <v/>
      </c>
      <c r="C119" s="7">
        <f>'gerç aylık-tl'!$B$64</f>
        <v/>
      </c>
      <c r="D119" s="8" t="n"/>
      <c r="E119" s="7">
        <f>'Bütçe aylık-TL'!$C$64</f>
        <v/>
      </c>
      <c r="F119" s="7">
        <f>'gerç aylık-tl'!$C$64</f>
        <v/>
      </c>
      <c r="G119" s="8" t="n"/>
      <c r="H119" s="7">
        <f>'Bütçe aylık-TL'!$D$64</f>
        <v/>
      </c>
      <c r="I119" s="7">
        <f>'gerç aylık-tl'!$D$64</f>
        <v/>
      </c>
      <c r="J119" s="8" t="n"/>
      <c r="K119" s="7">
        <f>'Bütçe aylık-TL'!$E$64</f>
        <v/>
      </c>
      <c r="L119" s="7">
        <f>'gerç aylık-tl'!$E$64</f>
        <v/>
      </c>
      <c r="M119" s="8" t="n"/>
      <c r="N119" s="7">
        <f>'Bütçe aylık-TL'!$F$64</f>
        <v/>
      </c>
      <c r="O119" s="7">
        <f>'gerç aylık-tl'!$F$64</f>
        <v/>
      </c>
      <c r="P119" s="8" t="n"/>
      <c r="Q119" s="7">
        <f>'Bütçe aylık-TL'!$G$64</f>
        <v/>
      </c>
      <c r="R119" s="7">
        <f>'gerç aylık-tl'!$G$64</f>
        <v/>
      </c>
      <c r="S119" s="8" t="n"/>
      <c r="T119" s="7">
        <f>'Bütçe aylık-TL'!$H$64</f>
        <v/>
      </c>
      <c r="U119" s="7">
        <f>'gerç aylık-tl'!$H$64</f>
        <v/>
      </c>
      <c r="V119" s="8" t="n"/>
      <c r="W119" s="7">
        <f>'Bütçe aylık-TL'!$I$64</f>
        <v/>
      </c>
      <c r="X119" s="7">
        <f>'gerç aylık-tl'!$I$64</f>
        <v/>
      </c>
      <c r="Y119" s="8" t="n"/>
      <c r="Z119" s="7">
        <f>'Bütçe aylık-TL'!$J$64</f>
        <v/>
      </c>
      <c r="AA119" s="7">
        <f>'gerç aylık-tl'!$J$64</f>
        <v/>
      </c>
      <c r="AB119" s="8" t="n"/>
      <c r="AC119" s="7">
        <f>'Bütçe aylık-TL'!$K$64</f>
        <v/>
      </c>
      <c r="AD119" s="7">
        <f>'gerç aylık-tl'!$K$64</f>
        <v/>
      </c>
      <c r="AE119" s="8" t="n"/>
      <c r="AF119" s="7">
        <f>'Bütçe aylık-TL'!$L$64</f>
        <v/>
      </c>
      <c r="AG119" s="7">
        <f>'gerç aylık-tl'!$L$64</f>
        <v/>
      </c>
      <c r="AH119" s="8" t="n"/>
      <c r="AI119" s="7">
        <f>'Bütçe aylık-TL'!$M$64</f>
        <v/>
      </c>
      <c r="AJ119" s="7">
        <f>'gerç aylık-tl'!$M$64</f>
        <v/>
      </c>
      <c r="AK119" s="8" t="n"/>
      <c r="AL119" s="21">
        <f>AP119-AO119</f>
        <v/>
      </c>
      <c r="AM119" s="22">
        <f>AP119/AO119-1</f>
        <v/>
      </c>
      <c r="AO119" s="44">
        <f>IF($A$1=$B$1,B119,IF($A$1=$E$1,E119,IF($A$1=$H$1,H119,IF($A$1=$K$1,K119,IF($A$1=$N$1,N119,IF($A$1=$Q$1,Q119,IF($A$1=$T$1,T119,IF($A$1=$W$1,W119,IF($A$1=$Z$1,Z119,IF($A$1=$AC$1,AC119,IF($A$1=$AF$1,AF119,IF($A$1=$AI$1,AI119))))))))))))</f>
        <v/>
      </c>
      <c r="AP119" s="44">
        <f>IF($A$1=$B$1,C119,IF($A$1=$E$1,F119,IF($A$1=$H$1,I119,IF($A$1=$K$1,L119,IF($A$1=$N$1,O119,IF($A$1=$Q$1,R119,IF($A$1=$T$1,U119,IF($A$1=$W$1,X119,IF($A$1=$Z$1,AA119,IF($A$1=$AC$1,AD119,IF($A$1=$AF$1,AG119,IF($A$1=$AI$1,AJ119))))))))))))</f>
        <v/>
      </c>
    </row>
    <row r="120" ht="15.5" customHeight="1">
      <c r="A120" s="26" t="inlineStr">
        <is>
          <t>Jantaş</t>
        </is>
      </c>
      <c r="B120" s="7">
        <f>'Bütçe aylık-TL'!$B$65</f>
        <v/>
      </c>
      <c r="C120" s="7">
        <f>'gerç aylık-tl'!$B$65</f>
        <v/>
      </c>
      <c r="D120" s="7" t="n"/>
      <c r="E120" s="7">
        <f>'Bütçe aylık-TL'!$C$65</f>
        <v/>
      </c>
      <c r="F120" s="7">
        <f>'gerç aylık-tl'!$C$65</f>
        <v/>
      </c>
      <c r="G120" s="7" t="n"/>
      <c r="H120" s="7">
        <f>'Bütçe aylık-TL'!$D$65</f>
        <v/>
      </c>
      <c r="I120" s="7">
        <f>'gerç aylık-tl'!$D$65</f>
        <v/>
      </c>
      <c r="J120" s="7" t="n"/>
      <c r="K120" s="7">
        <f>'Bütçe aylık-TL'!$E$65</f>
        <v/>
      </c>
      <c r="L120" s="7">
        <f>'gerç aylık-tl'!$E$65</f>
        <v/>
      </c>
      <c r="M120" s="7" t="n"/>
      <c r="N120" s="7">
        <f>'Bütçe aylık-TL'!$F$65</f>
        <v/>
      </c>
      <c r="O120" s="7">
        <f>'gerç aylık-tl'!$F$65</f>
        <v/>
      </c>
      <c r="P120" s="7" t="n"/>
      <c r="Q120" s="7">
        <f>'Bütçe aylık-TL'!$G$65</f>
        <v/>
      </c>
      <c r="R120" s="7">
        <f>'gerç aylık-tl'!$G$65</f>
        <v/>
      </c>
      <c r="S120" s="7" t="n"/>
      <c r="T120" s="7">
        <f>'Bütçe aylık-TL'!$H$65</f>
        <v/>
      </c>
      <c r="U120" s="7">
        <f>'gerç aylık-tl'!$H$65</f>
        <v/>
      </c>
      <c r="V120" s="7" t="n"/>
      <c r="W120" s="7">
        <f>'Bütçe aylık-TL'!$I$65</f>
        <v/>
      </c>
      <c r="X120" s="7">
        <f>'gerç aylık-tl'!$I$65</f>
        <v/>
      </c>
      <c r="Y120" s="7" t="n"/>
      <c r="Z120" s="7">
        <f>'Bütçe aylık-TL'!$J$65</f>
        <v/>
      </c>
      <c r="AA120" s="7">
        <f>'gerç aylık-tl'!$J$65</f>
        <v/>
      </c>
      <c r="AB120" s="7" t="n"/>
      <c r="AC120" s="7">
        <f>'Bütçe aylık-TL'!$K$65</f>
        <v/>
      </c>
      <c r="AD120" s="7">
        <f>'gerç aylık-tl'!$K$65</f>
        <v/>
      </c>
      <c r="AE120" s="7" t="n"/>
      <c r="AF120" s="7">
        <f>'Bütçe aylık-TL'!$L$65</f>
        <v/>
      </c>
      <c r="AG120" s="7">
        <f>'gerç aylık-tl'!$L$65</f>
        <v/>
      </c>
      <c r="AH120" s="7" t="n"/>
      <c r="AI120" s="7">
        <f>'Bütçe aylık-TL'!$M$65</f>
        <v/>
      </c>
      <c r="AJ120" s="7">
        <f>'gerç aylık-tl'!$M$65</f>
        <v/>
      </c>
      <c r="AK120" s="7" t="n"/>
      <c r="AL120" s="21">
        <f>AP120-AO120</f>
        <v/>
      </c>
      <c r="AM120" s="22">
        <f>AP120/AO120-1</f>
        <v/>
      </c>
      <c r="AO120" s="44">
        <f>IF($A$1=$B$1,B120,IF($A$1=$E$1,E120,IF($A$1=$H$1,H120,IF($A$1=$K$1,K120,IF($A$1=$N$1,N120,IF($A$1=$Q$1,Q120,IF($A$1=$T$1,T120,IF($A$1=$W$1,W120,IF($A$1=$Z$1,Z120,IF($A$1=$AC$1,AC120,IF($A$1=$AF$1,AF120,IF($A$1=$AI$1,AI120))))))))))))</f>
        <v/>
      </c>
      <c r="AP120" s="44">
        <f>IF($A$1=$B$1,C120,IF($A$1=$E$1,F120,IF($A$1=$H$1,I120,IF($A$1=$K$1,L120,IF($A$1=$N$1,O120,IF($A$1=$Q$1,R120,IF($A$1=$T$1,U120,IF($A$1=$W$1,X120,IF($A$1=$Z$1,AA120,IF($A$1=$AC$1,AD120,IF($A$1=$AF$1,AG120,IF($A$1=$AI$1,AJ120))))))))))))</f>
        <v/>
      </c>
    </row>
    <row r="121" ht="15.5" customHeight="1">
      <c r="A121" s="26" t="inlineStr">
        <is>
          <t>Çelik</t>
        </is>
      </c>
      <c r="B121" s="7">
        <f>'Bütçe aylık-TL'!$B$66</f>
        <v/>
      </c>
      <c r="C121" s="7">
        <f>'gerç aylık-tl'!$B$66</f>
        <v/>
      </c>
      <c r="D121" s="7" t="n"/>
      <c r="E121" s="7">
        <f>'Bütçe aylık-TL'!$C$66</f>
        <v/>
      </c>
      <c r="F121" s="7">
        <f>'gerç aylık-tl'!$C$66</f>
        <v/>
      </c>
      <c r="G121" s="7" t="n"/>
      <c r="H121" s="7">
        <f>'Bütçe aylık-TL'!$D$66</f>
        <v/>
      </c>
      <c r="I121" s="7">
        <f>'gerç aylık-tl'!$D$66</f>
        <v/>
      </c>
      <c r="J121" s="7" t="n"/>
      <c r="K121" s="7">
        <f>'Bütçe aylık-TL'!$E$66</f>
        <v/>
      </c>
      <c r="L121" s="7">
        <f>'gerç aylık-tl'!$E$66</f>
        <v/>
      </c>
      <c r="M121" s="7" t="n"/>
      <c r="N121" s="7">
        <f>'Bütçe aylık-TL'!$F$66</f>
        <v/>
      </c>
      <c r="O121" s="7">
        <f>'gerç aylık-tl'!$F$66</f>
        <v/>
      </c>
      <c r="P121" s="7" t="n"/>
      <c r="Q121" s="7">
        <f>'Bütçe aylık-TL'!$G$66</f>
        <v/>
      </c>
      <c r="R121" s="7">
        <f>'gerç aylık-tl'!$G$66</f>
        <v/>
      </c>
      <c r="S121" s="7" t="n"/>
      <c r="T121" s="7">
        <f>'Bütçe aylık-TL'!$H$66</f>
        <v/>
      </c>
      <c r="U121" s="7">
        <f>'gerç aylık-tl'!$H$66</f>
        <v/>
      </c>
      <c r="V121" s="7" t="n"/>
      <c r="W121" s="7">
        <f>'Bütçe aylık-TL'!$I$66</f>
        <v/>
      </c>
      <c r="X121" s="7">
        <f>'gerç aylık-tl'!$I$66</f>
        <v/>
      </c>
      <c r="Y121" s="7" t="n"/>
      <c r="Z121" s="7">
        <f>'Bütçe aylık-TL'!$J$66</f>
        <v/>
      </c>
      <c r="AA121" s="7">
        <f>'gerç aylık-tl'!$J$66</f>
        <v/>
      </c>
      <c r="AB121" s="7" t="n"/>
      <c r="AC121" s="7">
        <f>'Bütçe aylık-TL'!$K$66</f>
        <v/>
      </c>
      <c r="AD121" s="7">
        <f>'gerç aylık-tl'!$K$66</f>
        <v/>
      </c>
      <c r="AE121" s="7" t="n"/>
      <c r="AF121" s="7">
        <f>'Bütçe aylık-TL'!$L$66</f>
        <v/>
      </c>
      <c r="AG121" s="7">
        <f>'gerç aylık-tl'!$L$66</f>
        <v/>
      </c>
      <c r="AH121" s="7" t="n"/>
      <c r="AI121" s="7">
        <f>'Bütçe aylık-TL'!$M$66</f>
        <v/>
      </c>
      <c r="AJ121" s="7">
        <f>'gerç aylık-tl'!$M$66</f>
        <v/>
      </c>
      <c r="AK121" s="7" t="n"/>
      <c r="AL121" s="21">
        <f>AP121-AO121</f>
        <v/>
      </c>
      <c r="AM121" s="22">
        <f>AP121/AO121-1</f>
        <v/>
      </c>
      <c r="AO121" s="44">
        <f>IF($A$1=$B$1,B121,IF($A$1=$E$1,E121,IF($A$1=$H$1,H121,IF($A$1=$K$1,K121,IF($A$1=$N$1,N121,IF($A$1=$Q$1,Q121,IF($A$1=$T$1,T121,IF($A$1=$W$1,W121,IF($A$1=$Z$1,Z121,IF($A$1=$AC$1,AC121,IF($A$1=$AF$1,AF121,IF($A$1=$AI$1,AI121))))))))))))</f>
        <v/>
      </c>
      <c r="AP121" s="44">
        <f>IF($A$1=$B$1,C121,IF($A$1=$E$1,F121,IF($A$1=$H$1,I121,IF($A$1=$K$1,L121,IF($A$1=$N$1,O121,IF($A$1=$Q$1,R121,IF($A$1=$T$1,U121,IF($A$1=$W$1,X121,IF($A$1=$Z$1,AA121,IF($A$1=$AC$1,AD121,IF($A$1=$AF$1,AG121,IF($A$1=$AI$1,AJ121))))))))))))</f>
        <v/>
      </c>
    </row>
    <row r="122" ht="15.5" customHeight="1">
      <c r="A122" s="26" t="inlineStr">
        <is>
          <t>Alüminyum</t>
        </is>
      </c>
      <c r="B122" s="7">
        <f>'Bütçe aylık-TL'!$B$67</f>
        <v/>
      </c>
      <c r="C122" s="7">
        <f>'gerç aylık-tl'!$B$67</f>
        <v/>
      </c>
      <c r="D122" s="7" t="n"/>
      <c r="E122" s="7">
        <f>'Bütçe aylık-TL'!$C$67</f>
        <v/>
      </c>
      <c r="F122" s="7">
        <f>'gerç aylık-tl'!$C$67</f>
        <v/>
      </c>
      <c r="G122" s="7" t="n"/>
      <c r="H122" s="7">
        <f>'Bütçe aylık-TL'!$D$67</f>
        <v/>
      </c>
      <c r="I122" s="7">
        <f>'gerç aylık-tl'!$D$67</f>
        <v/>
      </c>
      <c r="J122" s="7" t="n"/>
      <c r="K122" s="7">
        <f>'Bütçe aylık-TL'!$E$67</f>
        <v/>
      </c>
      <c r="L122" s="7">
        <f>'gerç aylık-tl'!$E$67</f>
        <v/>
      </c>
      <c r="M122" s="7" t="n"/>
      <c r="N122" s="7">
        <f>'Bütçe aylık-TL'!$F$67</f>
        <v/>
      </c>
      <c r="O122" s="7">
        <f>'gerç aylık-tl'!$F$67</f>
        <v/>
      </c>
      <c r="P122" s="7" t="n"/>
      <c r="Q122" s="7">
        <f>'Bütçe aylık-TL'!$G$67</f>
        <v/>
      </c>
      <c r="R122" s="7">
        <f>'gerç aylık-tl'!$G$67</f>
        <v/>
      </c>
      <c r="S122" s="7" t="n"/>
      <c r="T122" s="7">
        <f>'Bütçe aylık-TL'!$H$67</f>
        <v/>
      </c>
      <c r="U122" s="7">
        <f>'gerç aylık-tl'!$H$67</f>
        <v/>
      </c>
      <c r="V122" s="7" t="n"/>
      <c r="W122" s="7">
        <f>'Bütçe aylık-TL'!$I$67</f>
        <v/>
      </c>
      <c r="X122" s="7">
        <f>'gerç aylık-tl'!$I$67</f>
        <v/>
      </c>
      <c r="Y122" s="7" t="n"/>
      <c r="Z122" s="7">
        <f>'Bütçe aylık-TL'!$J$67</f>
        <v/>
      </c>
      <c r="AA122" s="7">
        <f>'gerç aylık-tl'!$J$67</f>
        <v/>
      </c>
      <c r="AB122" s="7" t="n"/>
      <c r="AC122" s="7">
        <f>'Bütçe aylık-TL'!$K$67</f>
        <v/>
      </c>
      <c r="AD122" s="7">
        <f>'gerç aylık-tl'!$K$67</f>
        <v/>
      </c>
      <c r="AE122" s="7" t="n"/>
      <c r="AF122" s="7">
        <f>'Bütçe aylık-TL'!$L$67</f>
        <v/>
      </c>
      <c r="AG122" s="7">
        <f>'gerç aylık-tl'!$L$67</f>
        <v/>
      </c>
      <c r="AH122" s="7" t="n"/>
      <c r="AI122" s="7">
        <f>'Bütçe aylık-TL'!$M$67</f>
        <v/>
      </c>
      <c r="AJ122" s="7">
        <f>'gerç aylık-tl'!$M$67</f>
        <v/>
      </c>
      <c r="AK122" s="7" t="n"/>
      <c r="AL122" s="21">
        <f>AP122-AO122</f>
        <v/>
      </c>
      <c r="AM122" s="22">
        <f>AP122/AO122-1</f>
        <v/>
      </c>
      <c r="AO122" s="44">
        <f>IF($A$1=$B$1,B122,IF($A$1=$E$1,E122,IF($A$1=$H$1,H122,IF($A$1=$K$1,K122,IF($A$1=$N$1,N122,IF($A$1=$Q$1,Q122,IF($A$1=$T$1,T122,IF($A$1=$W$1,W122,IF($A$1=$Z$1,Z122,IF($A$1=$AC$1,AC122,IF($A$1=$AF$1,AF122,IF($A$1=$AI$1,AI122))))))))))))</f>
        <v/>
      </c>
      <c r="AP122" s="44">
        <f>IF($A$1=$B$1,C122,IF($A$1=$E$1,F122,IF($A$1=$H$1,I122,IF($A$1=$K$1,L122,IF($A$1=$N$1,O122,IF($A$1=$Q$1,R122,IF($A$1=$T$1,U122,IF($A$1=$W$1,X122,IF($A$1=$Z$1,AA122,IF($A$1=$AC$1,AD122,IF($A$1=$AF$1,AG122,IF($A$1=$AI$1,AJ122))))))))))))</f>
        <v/>
      </c>
    </row>
    <row r="123" ht="15.5" customHeight="1">
      <c r="A123" s="26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21" t="n"/>
      <c r="AM123" s="22" t="n"/>
      <c r="AO123" s="44">
        <f>IF($A$1=$B$1,B123,IF($A$1=$E$1,E123,IF($A$1=$H$1,H123,IF($A$1=$K$1,K123,IF($A$1=$N$1,N123,IF($A$1=$Q$1,Q123,IF($A$1=$T$1,T123,IF($A$1=$W$1,W123,IF($A$1=$Z$1,Z123,IF($A$1=$AC$1,AC123,IF($A$1=$AF$1,AF123,IF($A$1=$AI$1,AI123))))))))))))</f>
        <v/>
      </c>
      <c r="AP123" s="44">
        <f>IF($A$1=$B$1,C123,IF($A$1=$E$1,F123,IF($A$1=$H$1,I123,IF($A$1=$K$1,L123,IF($A$1=$N$1,O123,IF($A$1=$Q$1,R123,IF($A$1=$T$1,U123,IF($A$1=$W$1,X123,IF($A$1=$Z$1,AA123,IF($A$1=$AC$1,AD123,IF($A$1=$AF$1,AG123,IF($A$1=$AI$1,AJ123))))))))))))</f>
        <v/>
      </c>
    </row>
    <row r="124">
      <c r="A124" s="2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5" t="n"/>
    </row>
    <row r="125" ht="17" customFormat="1" customHeight="1" s="49">
      <c r="A125" s="47" t="inlineStr">
        <is>
          <t>Ebit Margin</t>
        </is>
      </c>
      <c r="B125" s="413" t="n"/>
      <c r="C125" s="413" t="n"/>
      <c r="D125" s="413" t="n"/>
      <c r="E125" s="413" t="n"/>
      <c r="F125" s="413" t="n"/>
      <c r="G125" s="413" t="n"/>
      <c r="H125" s="413" t="n"/>
      <c r="I125" s="413" t="n"/>
      <c r="J125" s="413" t="n"/>
      <c r="K125" s="413" t="n"/>
      <c r="L125" s="413" t="n"/>
      <c r="M125" s="413" t="n"/>
      <c r="N125" s="413" t="n"/>
      <c r="O125" s="413" t="n"/>
      <c r="P125" s="413" t="n"/>
      <c r="Q125" s="413" t="n"/>
      <c r="R125" s="413" t="n"/>
      <c r="S125" s="413" t="n"/>
      <c r="T125" s="413" t="n"/>
      <c r="U125" s="413" t="n"/>
      <c r="V125" s="413" t="n"/>
      <c r="W125" s="413" t="n"/>
      <c r="X125" s="413" t="n"/>
      <c r="Y125" s="413" t="n"/>
      <c r="Z125" s="413" t="n"/>
      <c r="AA125" s="413" t="n"/>
      <c r="AB125" s="413" t="n"/>
      <c r="AC125" s="413" t="n"/>
      <c r="AD125" s="413" t="n"/>
      <c r="AE125" s="413" t="n"/>
      <c r="AF125" s="413" t="n"/>
      <c r="AG125" s="413" t="n"/>
      <c r="AH125" s="413" t="n"/>
      <c r="AI125" s="413" t="n"/>
      <c r="AJ125" s="413" t="n"/>
      <c r="AK125" s="413" t="n"/>
      <c r="AL125" s="413" t="n"/>
      <c r="AM125" s="48" t="n"/>
    </row>
    <row r="126" ht="15.5" customFormat="1" customHeight="1" s="13">
      <c r="A126" s="26" t="inlineStr">
        <is>
          <t xml:space="preserve">İnci Holding </t>
        </is>
      </c>
      <c r="B126" s="12">
        <f>B115/B9</f>
        <v/>
      </c>
      <c r="C126" s="12">
        <f>C115/C9</f>
        <v/>
      </c>
      <c r="D126" s="41" t="n"/>
      <c r="E126" s="12">
        <f>E115/E9</f>
        <v/>
      </c>
      <c r="F126" s="12">
        <f>F115/F9</f>
        <v/>
      </c>
      <c r="G126" s="41" t="n"/>
      <c r="H126" s="12">
        <f>H115/H9</f>
        <v/>
      </c>
      <c r="I126" s="12">
        <f>I115/I9</f>
        <v/>
      </c>
      <c r="J126" s="41" t="n"/>
      <c r="K126" s="12">
        <f>K115/K9</f>
        <v/>
      </c>
      <c r="L126" s="12">
        <f>L115/L9</f>
        <v/>
      </c>
      <c r="M126" s="41" t="n"/>
      <c r="N126" s="12">
        <f>N115/N9</f>
        <v/>
      </c>
      <c r="O126" s="12">
        <f>O115/O9</f>
        <v/>
      </c>
      <c r="P126" s="41" t="n"/>
      <c r="Q126" s="12">
        <f>Q115/Q9</f>
        <v/>
      </c>
      <c r="R126" s="12">
        <f>R115/R9</f>
        <v/>
      </c>
      <c r="S126" s="41" t="n"/>
      <c r="T126" s="12">
        <f>T115/T9</f>
        <v/>
      </c>
      <c r="U126" s="12">
        <f>U115/U9</f>
        <v/>
      </c>
      <c r="V126" s="41" t="n"/>
      <c r="W126" s="12">
        <f>W115/W9</f>
        <v/>
      </c>
      <c r="X126" s="12">
        <f>X115/X9</f>
        <v/>
      </c>
      <c r="Y126" s="41" t="n"/>
      <c r="Z126" s="12">
        <f>Z115/Z9</f>
        <v/>
      </c>
      <c r="AA126" s="12">
        <f>AA115/AA9</f>
        <v/>
      </c>
      <c r="AB126" s="41" t="n"/>
      <c r="AC126" s="12">
        <f>AC115/AC9</f>
        <v/>
      </c>
      <c r="AD126" s="12">
        <f>AD115/AD9</f>
        <v/>
      </c>
      <c r="AE126" s="41" t="n"/>
      <c r="AF126" s="12">
        <f>AF115/AF9</f>
        <v/>
      </c>
      <c r="AG126" s="12">
        <f>AG115/AG9</f>
        <v/>
      </c>
      <c r="AH126" s="41" t="n"/>
      <c r="AI126" s="12">
        <f>AI115/AI9</f>
        <v/>
      </c>
      <c r="AJ126" s="12">
        <f>AJ115/AJ9</f>
        <v/>
      </c>
      <c r="AK126" s="41" t="n"/>
      <c r="AL126" s="15" t="n"/>
      <c r="AM126" s="22">
        <f>AP126-AO126</f>
        <v/>
      </c>
      <c r="AO126" s="44">
        <f>IF($A$1=$B$1,B126,IF($A$1=$E$1,E126,IF($A$1=$H$1,H126,IF($A$1=$K$1,K126,IF($A$1=$N$1,N126,IF($A$1=$Q$1,Q126,IF($A$1=$T$1,T126,IF($A$1=$W$1,W126,IF($A$1=$Z$1,Z126,IF($A$1=$AC$1,AC126,IF($A$1=$AF$1,AF126,IF($A$1=$AI$1,AI126))))))))))))</f>
        <v/>
      </c>
      <c r="AP126" s="44">
        <f>IF($A$1=$B$1,C126,IF($A$1=$E$1,F126,IF($A$1=$H$1,I126,IF($A$1=$K$1,L126,IF($A$1=$N$1,O126,IF($A$1=$Q$1,R126,IF($A$1=$T$1,U126,IF($A$1=$W$1,X126,IF($A$1=$Z$1,AA126,IF($A$1=$AC$1,AD126,IF($A$1=$AF$1,AG126,IF($A$1=$AI$1,AJ126))))))))))))</f>
        <v/>
      </c>
    </row>
    <row r="127" ht="15.5" customFormat="1" customHeight="1" s="13">
      <c r="A127" s="26" t="inlineStr">
        <is>
          <t xml:space="preserve">ISM </t>
        </is>
      </c>
      <c r="B127" s="12">
        <f>B116/B10</f>
        <v/>
      </c>
      <c r="C127" s="12">
        <f>C116/C10</f>
        <v/>
      </c>
      <c r="D127" s="41" t="n"/>
      <c r="E127" s="12">
        <f>E116/E10</f>
        <v/>
      </c>
      <c r="F127" s="12">
        <f>F116/F10</f>
        <v/>
      </c>
      <c r="G127" s="41" t="n"/>
      <c r="H127" s="12">
        <f>H116/H10</f>
        <v/>
      </c>
      <c r="I127" s="12">
        <f>I116/I10</f>
        <v/>
      </c>
      <c r="J127" s="41" t="n"/>
      <c r="K127" s="12">
        <f>K116/K10</f>
        <v/>
      </c>
      <c r="L127" s="12">
        <f>L116/L10</f>
        <v/>
      </c>
      <c r="M127" s="41" t="n"/>
      <c r="N127" s="12">
        <f>N116/N10</f>
        <v/>
      </c>
      <c r="O127" s="12">
        <f>O116/O10</f>
        <v/>
      </c>
      <c r="P127" s="41" t="n"/>
      <c r="Q127" s="12">
        <f>Q116/Q10</f>
        <v/>
      </c>
      <c r="R127" s="12">
        <f>R116/R10</f>
        <v/>
      </c>
      <c r="S127" s="41" t="n"/>
      <c r="T127" s="12">
        <f>T116/T10</f>
        <v/>
      </c>
      <c r="U127" s="12">
        <f>U116/U10</f>
        <v/>
      </c>
      <c r="V127" s="41" t="n"/>
      <c r="W127" s="12">
        <f>W116/W10</f>
        <v/>
      </c>
      <c r="X127" s="12">
        <f>X116/X10</f>
        <v/>
      </c>
      <c r="Y127" s="41" t="n"/>
      <c r="Z127" s="12">
        <f>Z116/Z10</f>
        <v/>
      </c>
      <c r="AA127" s="12">
        <f>AA116/AA10</f>
        <v/>
      </c>
      <c r="AB127" s="41" t="n"/>
      <c r="AC127" s="12">
        <f>AC116/AC10</f>
        <v/>
      </c>
      <c r="AD127" s="12">
        <f>AD116/AD10</f>
        <v/>
      </c>
      <c r="AE127" s="41" t="n"/>
      <c r="AF127" s="12">
        <f>AF116/AF10</f>
        <v/>
      </c>
      <c r="AG127" s="12">
        <f>AG116/AG10</f>
        <v/>
      </c>
      <c r="AH127" s="41" t="n"/>
      <c r="AI127" s="12">
        <f>AI116/AI10</f>
        <v/>
      </c>
      <c r="AJ127" s="12">
        <f>AJ116/AJ10</f>
        <v/>
      </c>
      <c r="AK127" s="41" t="n"/>
      <c r="AL127" s="15" t="n"/>
      <c r="AM127" s="22">
        <f>AP127-AO127</f>
        <v/>
      </c>
      <c r="AO127" s="44">
        <f>IF($A$1=$B$1,B127,IF($A$1=$E$1,E127,IF($A$1=$H$1,H127,IF($A$1=$K$1,K127,IF($A$1=$N$1,N127,IF($A$1=$Q$1,Q127,IF($A$1=$T$1,T127,IF($A$1=$W$1,W127,IF($A$1=$Z$1,Z127,IF($A$1=$AC$1,AC127,IF($A$1=$AF$1,AF127,IF($A$1=$AI$1,AI127))))))))))))</f>
        <v/>
      </c>
      <c r="AP127" s="44">
        <f>IF($A$1=$B$1,C127,IF($A$1=$E$1,F127,IF($A$1=$H$1,I127,IF($A$1=$K$1,L127,IF($A$1=$N$1,O127,IF($A$1=$Q$1,R127,IF($A$1=$T$1,U127,IF($A$1=$W$1,X127,IF($A$1=$Z$1,AA127,IF($A$1=$AC$1,AD127,IF($A$1=$AF$1,AG127,IF($A$1=$AI$1,AJ127))))))))))))</f>
        <v/>
      </c>
    </row>
    <row r="128" ht="15.5" customFormat="1" customHeight="1" s="13">
      <c r="A128" s="26" t="inlineStr">
        <is>
          <t>İncitaş</t>
        </is>
      </c>
      <c r="B128" s="12">
        <f>B117/B11</f>
        <v/>
      </c>
      <c r="C128" s="12">
        <f>C117/C11</f>
        <v/>
      </c>
      <c r="D128" s="41" t="n"/>
      <c r="E128" s="12">
        <f>E117/E11</f>
        <v/>
      </c>
      <c r="F128" s="12">
        <f>F117/F11</f>
        <v/>
      </c>
      <c r="G128" s="41" t="n"/>
      <c r="H128" s="12">
        <f>H117/H11</f>
        <v/>
      </c>
      <c r="I128" s="12">
        <f>I117/I11</f>
        <v/>
      </c>
      <c r="J128" s="41" t="n"/>
      <c r="K128" s="12">
        <f>K117/K11</f>
        <v/>
      </c>
      <c r="L128" s="12">
        <f>L117/L11</f>
        <v/>
      </c>
      <c r="M128" s="41" t="n"/>
      <c r="N128" s="12">
        <f>N117/N11</f>
        <v/>
      </c>
      <c r="O128" s="12">
        <f>O117/O11</f>
        <v/>
      </c>
      <c r="P128" s="41" t="n"/>
      <c r="Q128" s="12">
        <f>Q117/Q11</f>
        <v/>
      </c>
      <c r="R128" s="12">
        <f>R117/R11</f>
        <v/>
      </c>
      <c r="S128" s="41" t="n"/>
      <c r="T128" s="12">
        <f>T117/T11</f>
        <v/>
      </c>
      <c r="U128" s="12">
        <f>U117/U11</f>
        <v/>
      </c>
      <c r="V128" s="41" t="n"/>
      <c r="W128" s="12">
        <f>W117/W11</f>
        <v/>
      </c>
      <c r="X128" s="12">
        <f>X117/X11</f>
        <v/>
      </c>
      <c r="Y128" s="41" t="n"/>
      <c r="Z128" s="12">
        <f>Z117/Z11</f>
        <v/>
      </c>
      <c r="AA128" s="12">
        <f>AA117/AA11</f>
        <v/>
      </c>
      <c r="AB128" s="41" t="n"/>
      <c r="AC128" s="12">
        <f>AC117/AC11</f>
        <v/>
      </c>
      <c r="AD128" s="12">
        <f>AD117/AD11</f>
        <v/>
      </c>
      <c r="AE128" s="41" t="n"/>
      <c r="AF128" s="12">
        <f>AF117/AF11</f>
        <v/>
      </c>
      <c r="AG128" s="12">
        <f>AG117/AG11</f>
        <v/>
      </c>
      <c r="AH128" s="41" t="n"/>
      <c r="AI128" s="12">
        <f>AI117/AI11</f>
        <v/>
      </c>
      <c r="AJ128" s="12">
        <f>AJ117/AJ11</f>
        <v/>
      </c>
      <c r="AK128" s="41" t="n"/>
      <c r="AL128" s="15" t="n"/>
      <c r="AM128" s="22">
        <f>AP128-AO128</f>
        <v/>
      </c>
      <c r="AO128" s="44">
        <f>IF($A$1=$B$1,B128,IF($A$1=$E$1,E128,IF($A$1=$H$1,H128,IF($A$1=$K$1,K128,IF($A$1=$N$1,N128,IF($A$1=$Q$1,Q128,IF($A$1=$T$1,T128,IF($A$1=$W$1,W128,IF($A$1=$Z$1,Z128,IF($A$1=$AC$1,AC128,IF($A$1=$AF$1,AF128,IF($A$1=$AI$1,AI128))))))))))))</f>
        <v/>
      </c>
      <c r="AP128" s="44">
        <f>IF($A$1=$B$1,C128,IF($A$1=$E$1,F128,IF($A$1=$H$1,I128,IF($A$1=$K$1,L128,IF($A$1=$N$1,O128,IF($A$1=$Q$1,R128,IF($A$1=$T$1,U128,IF($A$1=$W$1,X128,IF($A$1=$Z$1,AA128,IF($A$1=$AC$1,AD128,IF($A$1=$AF$1,AG128,IF($A$1=$AI$1,AJ128))))))))))))</f>
        <v/>
      </c>
    </row>
    <row r="129" ht="15.5" customFormat="1" customHeight="1" s="13">
      <c r="A129" s="26" t="inlineStr">
        <is>
          <t>İnci GS Yuasa</t>
        </is>
      </c>
      <c r="B129" s="12">
        <f>B118/B12</f>
        <v/>
      </c>
      <c r="C129" s="12">
        <f>C118/C12</f>
        <v/>
      </c>
      <c r="D129" s="41" t="n"/>
      <c r="E129" s="12">
        <f>E118/E12</f>
        <v/>
      </c>
      <c r="F129" s="12">
        <f>F118/F12</f>
        <v/>
      </c>
      <c r="G129" s="41" t="n"/>
      <c r="H129" s="12">
        <f>H118/H12</f>
        <v/>
      </c>
      <c r="I129" s="12">
        <f>I118/I12</f>
        <v/>
      </c>
      <c r="J129" s="41" t="n"/>
      <c r="K129" s="12">
        <f>K118/K12</f>
        <v/>
      </c>
      <c r="L129" s="12">
        <f>L118/L12</f>
        <v/>
      </c>
      <c r="M129" s="41" t="n"/>
      <c r="N129" s="12">
        <f>N118/N12</f>
        <v/>
      </c>
      <c r="O129" s="12">
        <f>O118/O12</f>
        <v/>
      </c>
      <c r="P129" s="41" t="n"/>
      <c r="Q129" s="12">
        <f>Q118/Q12</f>
        <v/>
      </c>
      <c r="R129" s="12">
        <f>R118/R12</f>
        <v/>
      </c>
      <c r="S129" s="41" t="n"/>
      <c r="T129" s="12">
        <f>T118/T12</f>
        <v/>
      </c>
      <c r="U129" s="12">
        <f>U118/U12</f>
        <v/>
      </c>
      <c r="V129" s="41" t="n"/>
      <c r="W129" s="12">
        <f>W118/W12</f>
        <v/>
      </c>
      <c r="X129" s="12">
        <f>X118/X12</f>
        <v/>
      </c>
      <c r="Y129" s="41" t="n"/>
      <c r="Z129" s="12">
        <f>Z118/Z12</f>
        <v/>
      </c>
      <c r="AA129" s="12">
        <f>AA118/AA12</f>
        <v/>
      </c>
      <c r="AB129" s="41" t="n"/>
      <c r="AC129" s="12">
        <f>AC118/AC12</f>
        <v/>
      </c>
      <c r="AD129" s="12">
        <f>AD118/AD12</f>
        <v/>
      </c>
      <c r="AE129" s="41" t="n"/>
      <c r="AF129" s="12">
        <f>AF118/AF12</f>
        <v/>
      </c>
      <c r="AG129" s="12">
        <f>AG118/AG12</f>
        <v/>
      </c>
      <c r="AH129" s="41" t="n"/>
      <c r="AI129" s="12">
        <f>AI118/AI12</f>
        <v/>
      </c>
      <c r="AJ129" s="12">
        <f>AJ118/AJ12</f>
        <v/>
      </c>
      <c r="AK129" s="41" t="n"/>
      <c r="AL129" s="15" t="n"/>
      <c r="AM129" s="22">
        <f>AP129-AO129</f>
        <v/>
      </c>
      <c r="AO129" s="44">
        <f>IF($A$1=$B$1,B129,IF($A$1=$E$1,E129,IF($A$1=$H$1,H129,IF($A$1=$K$1,K129,IF($A$1=$N$1,N129,IF($A$1=$Q$1,Q129,IF($A$1=$T$1,T129,IF($A$1=$W$1,W129,IF($A$1=$Z$1,Z129,IF($A$1=$AC$1,AC129,IF($A$1=$AF$1,AF129,IF($A$1=$AI$1,AI129))))))))))))</f>
        <v/>
      </c>
      <c r="AP129" s="44">
        <f>IF($A$1=$B$1,C129,IF($A$1=$E$1,F129,IF($A$1=$H$1,I129,IF($A$1=$K$1,L129,IF($A$1=$N$1,O129,IF($A$1=$Q$1,R129,IF($A$1=$T$1,U129,IF($A$1=$W$1,X129,IF($A$1=$Z$1,AA129,IF($A$1=$AC$1,AD129,IF($A$1=$AF$1,AG129,IF($A$1=$AI$1,AJ129))))))))))))</f>
        <v/>
      </c>
    </row>
    <row r="130" ht="15.5" customFormat="1" customHeight="1" s="13">
      <c r="A130" s="26" t="inlineStr">
        <is>
          <t>Yusen İnci Loj.</t>
        </is>
      </c>
      <c r="B130" s="12">
        <f>B119/B13</f>
        <v/>
      </c>
      <c r="C130" s="12">
        <f>C119/C13</f>
        <v/>
      </c>
      <c r="D130" s="41" t="n"/>
      <c r="E130" s="12">
        <f>E119/E13</f>
        <v/>
      </c>
      <c r="F130" s="12">
        <f>F119/F13</f>
        <v/>
      </c>
      <c r="G130" s="41" t="n"/>
      <c r="H130" s="12">
        <f>H119/H13</f>
        <v/>
      </c>
      <c r="I130" s="12">
        <f>I119/I13</f>
        <v/>
      </c>
      <c r="J130" s="41" t="n"/>
      <c r="K130" s="12">
        <f>K119/K13</f>
        <v/>
      </c>
      <c r="L130" s="12">
        <f>L119/L13</f>
        <v/>
      </c>
      <c r="M130" s="41" t="n"/>
      <c r="N130" s="12">
        <f>N119/N13</f>
        <v/>
      </c>
      <c r="O130" s="12">
        <f>O119/O13</f>
        <v/>
      </c>
      <c r="P130" s="41" t="n"/>
      <c r="Q130" s="12">
        <f>Q119/Q13</f>
        <v/>
      </c>
      <c r="R130" s="12">
        <f>R119/R13</f>
        <v/>
      </c>
      <c r="S130" s="41" t="n"/>
      <c r="T130" s="12">
        <f>T119/T13</f>
        <v/>
      </c>
      <c r="U130" s="12">
        <f>U119/U13</f>
        <v/>
      </c>
      <c r="V130" s="41" t="n"/>
      <c r="W130" s="12">
        <f>W119/W13</f>
        <v/>
      </c>
      <c r="X130" s="12">
        <f>X119/X13</f>
        <v/>
      </c>
      <c r="Y130" s="41" t="n"/>
      <c r="Z130" s="12">
        <f>Z119/Z13</f>
        <v/>
      </c>
      <c r="AA130" s="12">
        <f>AA119/AA13</f>
        <v/>
      </c>
      <c r="AB130" s="41" t="n"/>
      <c r="AC130" s="12">
        <f>AC119/AC13</f>
        <v/>
      </c>
      <c r="AD130" s="12">
        <f>AD119/AD13</f>
        <v/>
      </c>
      <c r="AE130" s="41" t="n"/>
      <c r="AF130" s="12">
        <f>AF119/AF13</f>
        <v/>
      </c>
      <c r="AG130" s="12">
        <f>AG119/AG13</f>
        <v/>
      </c>
      <c r="AH130" s="41" t="n"/>
      <c r="AI130" s="12">
        <f>AI119/AI13</f>
        <v/>
      </c>
      <c r="AJ130" s="12">
        <f>AJ119/AJ13</f>
        <v/>
      </c>
      <c r="AK130" s="41" t="n"/>
      <c r="AL130" s="15" t="n"/>
      <c r="AM130" s="22">
        <f>AP130-AO130</f>
        <v/>
      </c>
      <c r="AO130" s="44">
        <f>IF($A$1=$B$1,B130,IF($A$1=$E$1,E130,IF($A$1=$H$1,H130,IF($A$1=$K$1,K130,IF($A$1=$N$1,N130,IF($A$1=$Q$1,Q130,IF($A$1=$T$1,T130,IF($A$1=$W$1,W130,IF($A$1=$Z$1,Z130,IF($A$1=$AC$1,AC130,IF($A$1=$AF$1,AF130,IF($A$1=$AI$1,AI130))))))))))))</f>
        <v/>
      </c>
      <c r="AP130" s="44">
        <f>IF($A$1=$B$1,C130,IF($A$1=$E$1,F130,IF($A$1=$H$1,I130,IF($A$1=$K$1,L130,IF($A$1=$N$1,O130,IF($A$1=$Q$1,R130,IF($A$1=$T$1,U130,IF($A$1=$W$1,X130,IF($A$1=$Z$1,AA130,IF($A$1=$AC$1,AD130,IF($A$1=$AF$1,AG130,IF($A$1=$AI$1,AJ130))))))))))))</f>
        <v/>
      </c>
    </row>
    <row r="131" ht="15.5" customFormat="1" customHeight="1" s="13">
      <c r="A131" s="26" t="inlineStr">
        <is>
          <t>Jantaş</t>
        </is>
      </c>
      <c r="B131" s="12">
        <f>B120/B14</f>
        <v/>
      </c>
      <c r="C131" s="12">
        <f>C120/C14</f>
        <v/>
      </c>
      <c r="D131" s="41" t="n"/>
      <c r="E131" s="12">
        <f>E120/E14</f>
        <v/>
      </c>
      <c r="F131" s="12">
        <f>F120/F14</f>
        <v/>
      </c>
      <c r="G131" s="41" t="n"/>
      <c r="H131" s="12">
        <f>H120/H14</f>
        <v/>
      </c>
      <c r="I131" s="12">
        <f>I120/I14</f>
        <v/>
      </c>
      <c r="J131" s="41" t="n"/>
      <c r="K131" s="12">
        <f>K120/K14</f>
        <v/>
      </c>
      <c r="L131" s="12">
        <f>L120/L14</f>
        <v/>
      </c>
      <c r="M131" s="41" t="n"/>
      <c r="N131" s="12">
        <f>N120/N14</f>
        <v/>
      </c>
      <c r="O131" s="12">
        <f>O120/O14</f>
        <v/>
      </c>
      <c r="P131" s="41" t="n"/>
      <c r="Q131" s="12">
        <f>Q120/Q14</f>
        <v/>
      </c>
      <c r="R131" s="12">
        <f>R120/R14</f>
        <v/>
      </c>
      <c r="S131" s="41" t="n"/>
      <c r="T131" s="12">
        <f>T120/T14</f>
        <v/>
      </c>
      <c r="U131" s="12">
        <f>U120/U14</f>
        <v/>
      </c>
      <c r="V131" s="41" t="n"/>
      <c r="W131" s="12">
        <f>W120/W14</f>
        <v/>
      </c>
      <c r="X131" s="12">
        <f>X120/X14</f>
        <v/>
      </c>
      <c r="Y131" s="41" t="n"/>
      <c r="Z131" s="12">
        <f>Z120/Z14</f>
        <v/>
      </c>
      <c r="AA131" s="12">
        <f>AA120/AA14</f>
        <v/>
      </c>
      <c r="AB131" s="41" t="n"/>
      <c r="AC131" s="12">
        <f>AC120/AC14</f>
        <v/>
      </c>
      <c r="AD131" s="12">
        <f>AD120/AD14</f>
        <v/>
      </c>
      <c r="AE131" s="41" t="n"/>
      <c r="AF131" s="12">
        <f>AF120/AF14</f>
        <v/>
      </c>
      <c r="AG131" s="12">
        <f>AG120/AG14</f>
        <v/>
      </c>
      <c r="AH131" s="41" t="n"/>
      <c r="AI131" s="12">
        <f>AI120/AI14</f>
        <v/>
      </c>
      <c r="AJ131" s="12">
        <f>AJ120/AJ14</f>
        <v/>
      </c>
      <c r="AK131" s="41" t="n"/>
      <c r="AL131" s="15" t="n"/>
      <c r="AM131" s="22">
        <f>AP131-AO131</f>
        <v/>
      </c>
      <c r="AO131" s="44">
        <f>IF($A$1=$B$1,B131,IF($A$1=$E$1,E131,IF($A$1=$H$1,H131,IF($A$1=$K$1,K131,IF($A$1=$N$1,N131,IF($A$1=$Q$1,Q131,IF($A$1=$T$1,T131,IF($A$1=$W$1,W131,IF($A$1=$Z$1,Z131,IF($A$1=$AC$1,AC131,IF($A$1=$AF$1,AF131,IF($A$1=$AI$1,AI131))))))))))))</f>
        <v/>
      </c>
      <c r="AP131" s="44">
        <f>IF($A$1=$B$1,C131,IF($A$1=$E$1,F131,IF($A$1=$H$1,I131,IF($A$1=$K$1,L131,IF($A$1=$N$1,O131,IF($A$1=$Q$1,R131,IF($A$1=$T$1,U131,IF($A$1=$W$1,X131,IF($A$1=$Z$1,AA131,IF($A$1=$AC$1,AD131,IF($A$1=$AF$1,AG131,IF($A$1=$AI$1,AJ131))))))))))))</f>
        <v/>
      </c>
    </row>
    <row r="132" ht="15.5" customFormat="1" customHeight="1" s="13">
      <c r="A132" s="26" t="inlineStr">
        <is>
          <t>Çelik</t>
        </is>
      </c>
      <c r="B132" s="12">
        <f>B121/B15</f>
        <v/>
      </c>
      <c r="C132" s="12">
        <f>C121/C15</f>
        <v/>
      </c>
      <c r="D132" s="41" t="n"/>
      <c r="E132" s="12">
        <f>E121/E15</f>
        <v/>
      </c>
      <c r="F132" s="12">
        <f>F121/F15</f>
        <v/>
      </c>
      <c r="G132" s="41" t="n"/>
      <c r="H132" s="12">
        <f>H121/H15</f>
        <v/>
      </c>
      <c r="I132" s="12">
        <f>I121/I15</f>
        <v/>
      </c>
      <c r="J132" s="41" t="n"/>
      <c r="K132" s="12">
        <f>K121/K15</f>
        <v/>
      </c>
      <c r="L132" s="12">
        <f>L121/L15</f>
        <v/>
      </c>
      <c r="M132" s="41" t="n"/>
      <c r="N132" s="12">
        <f>N121/N15</f>
        <v/>
      </c>
      <c r="O132" s="12">
        <f>O121/O15</f>
        <v/>
      </c>
      <c r="P132" s="41" t="n"/>
      <c r="Q132" s="12">
        <f>Q121/Q15</f>
        <v/>
      </c>
      <c r="R132" s="12">
        <f>R121/R15</f>
        <v/>
      </c>
      <c r="S132" s="41" t="n"/>
      <c r="T132" s="12">
        <f>T121/T15</f>
        <v/>
      </c>
      <c r="U132" s="12">
        <f>U121/U15</f>
        <v/>
      </c>
      <c r="V132" s="41" t="n"/>
      <c r="W132" s="12">
        <f>W121/W15</f>
        <v/>
      </c>
      <c r="X132" s="12">
        <f>X121/X15</f>
        <v/>
      </c>
      <c r="Y132" s="41" t="n"/>
      <c r="Z132" s="12">
        <f>Z121/Z15</f>
        <v/>
      </c>
      <c r="AA132" s="12">
        <f>AA121/AA15</f>
        <v/>
      </c>
      <c r="AB132" s="41" t="n"/>
      <c r="AC132" s="12">
        <f>AC121/AC15</f>
        <v/>
      </c>
      <c r="AD132" s="12">
        <f>AD121/AD15</f>
        <v/>
      </c>
      <c r="AE132" s="41" t="n"/>
      <c r="AF132" s="12">
        <f>AF121/AF15</f>
        <v/>
      </c>
      <c r="AG132" s="12">
        <f>AG121/AG15</f>
        <v/>
      </c>
      <c r="AH132" s="41" t="n"/>
      <c r="AI132" s="12">
        <f>AI121/AI15</f>
        <v/>
      </c>
      <c r="AJ132" s="12">
        <f>AJ121/AJ15</f>
        <v/>
      </c>
      <c r="AK132" s="41" t="n"/>
      <c r="AL132" s="15" t="n"/>
      <c r="AM132" s="22">
        <f>AP132-AO132</f>
        <v/>
      </c>
      <c r="AO132" s="44">
        <f>IF($A$1=$B$1,B132,IF($A$1=$E$1,E132,IF($A$1=$H$1,H132,IF($A$1=$K$1,K132,IF($A$1=$N$1,N132,IF($A$1=$Q$1,Q132,IF($A$1=$T$1,T132,IF($A$1=$W$1,W132,IF($A$1=$Z$1,Z132,IF($A$1=$AC$1,AC132,IF($A$1=$AF$1,AF132,IF($A$1=$AI$1,AI132))))))))))))</f>
        <v/>
      </c>
      <c r="AP132" s="44">
        <f>IF($A$1=$B$1,C132,IF($A$1=$E$1,F132,IF($A$1=$H$1,I132,IF($A$1=$K$1,L132,IF($A$1=$N$1,O132,IF($A$1=$Q$1,R132,IF($A$1=$T$1,U132,IF($A$1=$W$1,X132,IF($A$1=$Z$1,AA132,IF($A$1=$AC$1,AD132,IF($A$1=$AF$1,AG132,IF($A$1=$AI$1,AJ132))))))))))))</f>
        <v/>
      </c>
    </row>
    <row r="133" ht="15.5" customFormat="1" customHeight="1" s="13">
      <c r="A133" s="26" t="inlineStr">
        <is>
          <t>Alüminyum</t>
        </is>
      </c>
      <c r="B133" s="12">
        <f>B122/B16</f>
        <v/>
      </c>
      <c r="C133" s="12">
        <f>C122/C16</f>
        <v/>
      </c>
      <c r="D133" s="41" t="n"/>
      <c r="E133" s="12">
        <f>E122/E16</f>
        <v/>
      </c>
      <c r="F133" s="12">
        <f>F122/F16</f>
        <v/>
      </c>
      <c r="G133" s="41" t="n"/>
      <c r="H133" s="12">
        <f>H122/H16</f>
        <v/>
      </c>
      <c r="I133" s="12">
        <f>I122/I16</f>
        <v/>
      </c>
      <c r="J133" s="41" t="n"/>
      <c r="K133" s="12">
        <f>K122/K16</f>
        <v/>
      </c>
      <c r="L133" s="12">
        <f>L122/L16</f>
        <v/>
      </c>
      <c r="M133" s="41" t="n"/>
      <c r="N133" s="12">
        <f>N122/N16</f>
        <v/>
      </c>
      <c r="O133" s="12">
        <f>O122/O16</f>
        <v/>
      </c>
      <c r="P133" s="41" t="n"/>
      <c r="Q133" s="12">
        <f>Q122/Q16</f>
        <v/>
      </c>
      <c r="R133" s="12">
        <f>R122/R16</f>
        <v/>
      </c>
      <c r="S133" s="41" t="n"/>
      <c r="T133" s="12">
        <f>T122/T16</f>
        <v/>
      </c>
      <c r="U133" s="12">
        <f>U122/U16</f>
        <v/>
      </c>
      <c r="V133" s="41" t="n"/>
      <c r="W133" s="12">
        <f>W122/W16</f>
        <v/>
      </c>
      <c r="X133" s="12">
        <f>X122/X16</f>
        <v/>
      </c>
      <c r="Y133" s="41" t="n"/>
      <c r="Z133" s="12">
        <f>Z122/Z16</f>
        <v/>
      </c>
      <c r="AA133" s="12">
        <f>AA122/AA16</f>
        <v/>
      </c>
      <c r="AB133" s="41" t="n"/>
      <c r="AC133" s="12">
        <f>AC122/AC16</f>
        <v/>
      </c>
      <c r="AD133" s="12">
        <f>AD122/AD16</f>
        <v/>
      </c>
      <c r="AE133" s="41" t="n"/>
      <c r="AF133" s="12">
        <f>AF122/AF16</f>
        <v/>
      </c>
      <c r="AG133" s="12">
        <f>AG122/AG16</f>
        <v/>
      </c>
      <c r="AH133" s="41" t="n"/>
      <c r="AI133" s="12">
        <f>AI122/AI16</f>
        <v/>
      </c>
      <c r="AJ133" s="12">
        <f>AJ122/AJ16</f>
        <v/>
      </c>
      <c r="AK133" s="41" t="n"/>
      <c r="AL133" s="15" t="n"/>
      <c r="AM133" s="22">
        <f>AP133-AO133</f>
        <v/>
      </c>
      <c r="AO133" s="44">
        <f>IF($A$1=$B$1,B133,IF($A$1=$E$1,E133,IF($A$1=$H$1,H133,IF($A$1=$K$1,K133,IF($A$1=$N$1,N133,IF($A$1=$Q$1,Q133,IF($A$1=$T$1,T133,IF($A$1=$W$1,W133,IF($A$1=$Z$1,Z133,IF($A$1=$AC$1,AC133,IF($A$1=$AF$1,AF133,IF($A$1=$AI$1,AI133))))))))))))</f>
        <v/>
      </c>
      <c r="AP133" s="44">
        <f>IF($A$1=$B$1,C133,IF($A$1=$E$1,F133,IF($A$1=$H$1,I133,IF($A$1=$K$1,L133,IF($A$1=$N$1,O133,IF($A$1=$Q$1,R133,IF($A$1=$T$1,U133,IF($A$1=$W$1,X133,IF($A$1=$Z$1,AA133,IF($A$1=$AC$1,AD133,IF($A$1=$AF$1,AG133,IF($A$1=$AI$1,AJ133))))))))))))</f>
        <v/>
      </c>
    </row>
    <row r="134" ht="15.5" customFormat="1" customHeight="1" s="13">
      <c r="A134" s="26" t="n"/>
      <c r="B134" s="12" t="n"/>
      <c r="C134" s="30" t="n"/>
      <c r="D134" s="41" t="n"/>
      <c r="E134" s="12" t="n"/>
      <c r="F134" s="30" t="n"/>
      <c r="G134" s="41" t="n"/>
      <c r="H134" s="12" t="n"/>
      <c r="I134" s="30" t="n"/>
      <c r="J134" s="41" t="n"/>
      <c r="K134" s="12" t="n"/>
      <c r="L134" s="30" t="n"/>
      <c r="M134" s="41" t="n"/>
      <c r="N134" s="12" t="n"/>
      <c r="O134" s="30" t="n"/>
      <c r="P134" s="41" t="n"/>
      <c r="Q134" s="12" t="n"/>
      <c r="R134" s="30" t="n"/>
      <c r="S134" s="41" t="n"/>
      <c r="T134" s="12" t="n"/>
      <c r="U134" s="30" t="n"/>
      <c r="V134" s="41" t="n"/>
      <c r="W134" s="12" t="n"/>
      <c r="X134" s="30" t="n"/>
      <c r="Y134" s="41" t="n"/>
      <c r="Z134" s="12" t="n"/>
      <c r="AA134" s="30" t="n"/>
      <c r="AB134" s="41" t="n"/>
      <c r="AC134" s="12" t="n"/>
      <c r="AD134" s="30" t="n"/>
      <c r="AE134" s="41" t="n"/>
      <c r="AF134" s="12" t="n"/>
      <c r="AG134" s="30" t="n"/>
      <c r="AH134" s="41" t="n"/>
      <c r="AI134" s="12" t="n"/>
      <c r="AJ134" s="30" t="n"/>
      <c r="AK134" s="41" t="n"/>
      <c r="AL134" s="15" t="n"/>
      <c r="AM134" s="22" t="n"/>
      <c r="AO134" s="44" t="n"/>
      <c r="AP134" s="44" t="n"/>
    </row>
    <row r="135" ht="15.5" customFormat="1" customHeight="1" s="13">
      <c r="A135" s="26" t="n"/>
      <c r="B135" s="12" t="n"/>
      <c r="C135" s="30" t="n"/>
      <c r="D135" s="41" t="n"/>
      <c r="E135" s="12" t="n"/>
      <c r="F135" s="30" t="n"/>
      <c r="G135" s="41" t="n"/>
      <c r="H135" s="12" t="n"/>
      <c r="I135" s="30" t="n"/>
      <c r="J135" s="41" t="n"/>
      <c r="K135" s="12" t="n"/>
      <c r="L135" s="30" t="n"/>
      <c r="M135" s="41" t="n"/>
      <c r="N135" s="12" t="n"/>
      <c r="O135" s="30" t="n"/>
      <c r="P135" s="41" t="n"/>
      <c r="Q135" s="12" t="n"/>
      <c r="R135" s="30" t="n"/>
      <c r="S135" s="41" t="n"/>
      <c r="T135" s="12" t="n"/>
      <c r="U135" s="30" t="n"/>
      <c r="V135" s="41" t="n"/>
      <c r="W135" s="12" t="n"/>
      <c r="X135" s="30" t="n"/>
      <c r="Y135" s="41" t="n"/>
      <c r="Z135" s="12" t="n"/>
      <c r="AA135" s="30" t="n"/>
      <c r="AB135" s="41" t="n"/>
      <c r="AC135" s="12" t="n"/>
      <c r="AD135" s="30" t="n"/>
      <c r="AE135" s="41" t="n"/>
      <c r="AF135" s="12" t="n"/>
      <c r="AG135" s="30" t="n"/>
      <c r="AH135" s="41" t="n"/>
      <c r="AI135" s="12" t="n"/>
      <c r="AJ135" s="30" t="n"/>
      <c r="AK135" s="41" t="n"/>
      <c r="AL135" s="15" t="n"/>
      <c r="AM135" s="22" t="n"/>
      <c r="AO135" s="44" t="n"/>
      <c r="AP135" s="44" t="n"/>
    </row>
    <row r="136" ht="15.5" customFormat="1" customHeight="1" s="44">
      <c r="A136" s="31" t="inlineStr">
        <is>
          <t>EBİTDA</t>
        </is>
      </c>
      <c r="B136" s="32">
        <f>'Bütçe aylık-TL'!$B$81</f>
        <v/>
      </c>
      <c r="C136" s="32">
        <f>'gerç aylık-tl'!$B$80</f>
        <v/>
      </c>
      <c r="D136" s="18" t="n"/>
      <c r="E136" s="32">
        <f>'Bütçe aylık-TL'!$C$81</f>
        <v/>
      </c>
      <c r="F136" s="32">
        <f>'gerç aylık-tl'!$C$80</f>
        <v/>
      </c>
      <c r="G136" s="18" t="n"/>
      <c r="H136" s="32">
        <f>'Bütçe aylık-TL'!$D$81</f>
        <v/>
      </c>
      <c r="I136" s="32">
        <f>'gerç aylık-tl'!$D$80</f>
        <v/>
      </c>
      <c r="J136" s="18" t="n"/>
      <c r="K136" s="32">
        <f>'Bütçe aylık-TL'!$E$81</f>
        <v/>
      </c>
      <c r="L136" s="32">
        <f>'gerç aylık-tl'!$E$80</f>
        <v/>
      </c>
      <c r="M136" s="18" t="n"/>
      <c r="N136" s="32">
        <f>'Bütçe aylık-TL'!$F$81</f>
        <v/>
      </c>
      <c r="O136" s="32">
        <f>'gerç aylık-tl'!$F$80</f>
        <v/>
      </c>
      <c r="P136" s="18" t="n"/>
      <c r="Q136" s="32">
        <f>'Bütçe aylık-TL'!$G$81</f>
        <v/>
      </c>
      <c r="R136" s="32">
        <f>'gerç aylık-tl'!$G$80</f>
        <v/>
      </c>
      <c r="S136" s="18" t="n"/>
      <c r="T136" s="32">
        <f>'Bütçe aylık-TL'!$H$81</f>
        <v/>
      </c>
      <c r="U136" s="32">
        <f>'gerç aylık-tl'!$H$80</f>
        <v/>
      </c>
      <c r="V136" s="18" t="n"/>
      <c r="W136" s="32">
        <f>'Bütçe aylık-TL'!$I$81</f>
        <v/>
      </c>
      <c r="X136" s="32">
        <f>'gerç aylık-tl'!$I$80</f>
        <v/>
      </c>
      <c r="Y136" s="18" t="n"/>
      <c r="Z136" s="32">
        <f>'Bütçe aylık-TL'!$J$81</f>
        <v/>
      </c>
      <c r="AA136" s="32">
        <f>'gerç aylık-tl'!$J$80</f>
        <v/>
      </c>
      <c r="AB136" s="18" t="n"/>
      <c r="AC136" s="32">
        <f>'Bütçe aylık-TL'!$K$81</f>
        <v/>
      </c>
      <c r="AD136" s="32">
        <f>'gerç aylık-tl'!$K$80</f>
        <v/>
      </c>
      <c r="AE136" s="18" t="n"/>
      <c r="AF136" s="32">
        <f>'Bütçe aylık-TL'!$L$81</f>
        <v/>
      </c>
      <c r="AG136" s="32">
        <f>'gerç aylık-tl'!$L$80</f>
        <v/>
      </c>
      <c r="AH136" s="18" t="n"/>
      <c r="AI136" s="32">
        <f>'Bütçe aylık-TL'!$M$81</f>
        <v/>
      </c>
      <c r="AJ136" s="32">
        <f>'gerç aylık-tl'!$M$80</f>
        <v/>
      </c>
      <c r="AK136" s="18" t="n"/>
      <c r="AL136" s="33">
        <f>AP136-AO136</f>
        <v/>
      </c>
      <c r="AM136" s="34">
        <f>AP136/AO136-1</f>
        <v/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/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/>
      </c>
    </row>
    <row r="137" ht="15.5" customFormat="1" customHeight="1" s="13">
      <c r="A137" s="27" t="n"/>
      <c r="B137" s="30" t="n"/>
      <c r="C137" s="30">
        <f>IFERROR((C94/#REF!),"")</f>
        <v/>
      </c>
      <c r="D137" s="41" t="n"/>
      <c r="E137" s="30" t="n"/>
      <c r="F137" s="30">
        <f>IFERROR((F94/#REF!),"")</f>
        <v/>
      </c>
      <c r="G137" s="41" t="n"/>
      <c r="H137" s="30" t="n"/>
      <c r="I137" s="30">
        <f>IFERROR((I94/#REF!),"")</f>
        <v/>
      </c>
      <c r="J137" s="41" t="n"/>
      <c r="K137" s="30" t="n"/>
      <c r="L137" s="30">
        <f>IFERROR((L94/#REF!),"")</f>
        <v/>
      </c>
      <c r="M137" s="41" t="n"/>
      <c r="N137" s="30" t="n"/>
      <c r="O137" s="30">
        <f>IFERROR((O94/#REF!),"")</f>
        <v/>
      </c>
      <c r="P137" s="41" t="n"/>
      <c r="Q137" s="30" t="n"/>
      <c r="R137" s="30">
        <f>IFERROR((R94/#REF!),"")</f>
        <v/>
      </c>
      <c r="S137" s="41" t="n"/>
      <c r="T137" s="30" t="n"/>
      <c r="U137" s="30">
        <f>IFERROR((U94/#REF!),"")</f>
        <v/>
      </c>
      <c r="V137" s="41" t="n"/>
      <c r="W137" s="30" t="n"/>
      <c r="X137" s="30">
        <f>IFERROR((X94/#REF!),"")</f>
        <v/>
      </c>
      <c r="Y137" s="41" t="n"/>
      <c r="Z137" s="30" t="n"/>
      <c r="AA137" s="30">
        <f>IFERROR((AA94/#REF!),"")</f>
        <v/>
      </c>
      <c r="AB137" s="41" t="n"/>
      <c r="AC137" s="30" t="n"/>
      <c r="AD137" s="30">
        <f>IFERROR((AD94/#REF!),"")</f>
        <v/>
      </c>
      <c r="AE137" s="41" t="n"/>
      <c r="AF137" s="30" t="n"/>
      <c r="AG137" s="30">
        <f>IFERROR((AG94/#REF!),"")</f>
        <v/>
      </c>
      <c r="AH137" s="41" t="n"/>
      <c r="AI137" s="30" t="n"/>
      <c r="AJ137" s="30">
        <f>IFERROR((AJ94/#REF!),"")</f>
        <v/>
      </c>
      <c r="AK137" s="41" t="n"/>
      <c r="AL137" s="15" t="n"/>
      <c r="AM137" s="22" t="n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/>
      </c>
      <c r="AP137" s="44">
        <f>IF($A$1=$B$1,C137,IF($A$1=$E$1,F137,IF($A$1=$H$1,I137,IF($A$1=$K$1,L137,IF($A$1=$N$1,O137,IF($A$1=$Q$1,R137,IF($A$1=$T$1,U137,IF($A$1=$W$1,X137,IF($A$1=$Z$1,AA137,IF($A$1=$AC$1,AD137,IF($A$1=$AF$1,AG137,IF($A$1=$AI$1,AJ137))))))))))))</f>
        <v/>
      </c>
    </row>
    <row r="138" ht="17" customFormat="1" customHeight="1" s="49">
      <c r="A138" s="47" t="inlineStr">
        <is>
          <t>Ebitda by channels (100%)</t>
        </is>
      </c>
      <c r="B138" s="413" t="n"/>
      <c r="C138" s="413" t="n"/>
      <c r="D138" s="413" t="n"/>
      <c r="E138" s="413" t="n"/>
      <c r="F138" s="413" t="n"/>
      <c r="G138" s="413" t="n"/>
      <c r="H138" s="413" t="n"/>
      <c r="I138" s="413" t="n"/>
      <c r="J138" s="413" t="n"/>
      <c r="K138" s="413" t="n"/>
      <c r="L138" s="413" t="n"/>
      <c r="M138" s="413" t="n"/>
      <c r="N138" s="413" t="n"/>
      <c r="O138" s="413" t="n"/>
      <c r="P138" s="413" t="n"/>
      <c r="Q138" s="413" t="n"/>
      <c r="R138" s="413" t="n"/>
      <c r="S138" s="413" t="n"/>
      <c r="T138" s="413" t="n"/>
      <c r="U138" s="413" t="n"/>
      <c r="V138" s="413" t="n"/>
      <c r="W138" s="413" t="n"/>
      <c r="X138" s="413" t="n"/>
      <c r="Y138" s="413" t="n"/>
      <c r="Z138" s="413" t="n"/>
      <c r="AA138" s="413" t="n"/>
      <c r="AB138" s="413" t="n"/>
      <c r="AC138" s="413" t="n"/>
      <c r="AD138" s="413" t="n"/>
      <c r="AE138" s="413" t="n"/>
      <c r="AF138" s="413" t="n"/>
      <c r="AG138" s="413" t="n"/>
      <c r="AH138" s="413" t="n"/>
      <c r="AI138" s="413" t="n"/>
      <c r="AJ138" s="413" t="n"/>
      <c r="AK138" s="413" t="n"/>
      <c r="AL138" s="413" t="n"/>
      <c r="AM138" s="48" t="n"/>
    </row>
    <row r="139" ht="15.5" customHeight="1">
      <c r="A139" s="26" t="inlineStr">
        <is>
          <t xml:space="preserve">İnci Holding </t>
        </is>
      </c>
      <c r="B139" s="7">
        <f>'Bütçe aylık-TL'!$B$82</f>
        <v/>
      </c>
      <c r="C139" s="7">
        <f>'gerç aylık-tl'!$B$81</f>
        <v/>
      </c>
      <c r="D139" s="7" t="n"/>
      <c r="E139" s="7">
        <f>'Bütçe aylık-TL'!$C$82</f>
        <v/>
      </c>
      <c r="F139" s="7">
        <f>'gerç aylık-tl'!$C$81</f>
        <v/>
      </c>
      <c r="G139" s="7" t="n"/>
      <c r="H139" s="7">
        <f>'Bütçe aylık-TL'!$D$82</f>
        <v/>
      </c>
      <c r="I139" s="7">
        <f>'gerç aylık-tl'!$D$81</f>
        <v/>
      </c>
      <c r="J139" s="7" t="n"/>
      <c r="K139" s="7">
        <f>'Bütçe aylık-TL'!$E$82</f>
        <v/>
      </c>
      <c r="L139" s="7">
        <f>'gerç aylık-tl'!$E$81</f>
        <v/>
      </c>
      <c r="M139" s="7" t="n"/>
      <c r="N139" s="7">
        <f>'Bütçe aylık-TL'!$F$82</f>
        <v/>
      </c>
      <c r="O139" s="7">
        <f>'gerç aylık-tl'!$F$81</f>
        <v/>
      </c>
      <c r="P139" s="7" t="n"/>
      <c r="Q139" s="7">
        <f>'Bütçe aylık-TL'!$G$82</f>
        <v/>
      </c>
      <c r="R139" s="7">
        <f>'gerç aylık-tl'!$G$81</f>
        <v/>
      </c>
      <c r="S139" s="7" t="n"/>
      <c r="T139" s="7">
        <f>'Bütçe aylık-TL'!$H$82</f>
        <v/>
      </c>
      <c r="U139" s="7">
        <f>'gerç aylık-tl'!$H$81</f>
        <v/>
      </c>
      <c r="V139" s="7" t="n"/>
      <c r="W139" s="7">
        <f>'Bütçe aylık-TL'!$I$82</f>
        <v/>
      </c>
      <c r="X139" s="7">
        <f>'gerç aylık-tl'!$I$81</f>
        <v/>
      </c>
      <c r="Y139" s="7" t="n"/>
      <c r="Z139" s="7">
        <f>'Bütçe aylık-TL'!$J$82</f>
        <v/>
      </c>
      <c r="AA139" s="7">
        <f>'gerç aylık-tl'!$J$81</f>
        <v/>
      </c>
      <c r="AB139" s="7" t="n"/>
      <c r="AC139" s="7">
        <f>'Bütçe aylık-TL'!$K$82</f>
        <v/>
      </c>
      <c r="AD139" s="7">
        <f>'gerç aylık-tl'!$K$81</f>
        <v/>
      </c>
      <c r="AE139" s="7" t="n"/>
      <c r="AF139" s="7">
        <f>'Bütçe aylık-TL'!$L$82</f>
        <v/>
      </c>
      <c r="AG139" s="7">
        <f>'gerç aylık-tl'!$L$81</f>
        <v/>
      </c>
      <c r="AH139" s="7" t="n"/>
      <c r="AI139" s="7">
        <f>'Bütçe aylık-TL'!$M$82</f>
        <v/>
      </c>
      <c r="AJ139" s="7">
        <f>'gerç aylık-tl'!$M$81</f>
        <v/>
      </c>
      <c r="AK139" s="7" t="n"/>
      <c r="AL139" s="21">
        <f>AP139-AO139</f>
        <v/>
      </c>
      <c r="AM139" s="22">
        <f>AP139/AO139-1</f>
        <v/>
      </c>
      <c r="AO139" s="44">
        <f>IF($A$1=$B$1,B139,IF($A$1=$E$1,E139,IF($A$1=$H$1,H139,IF($A$1=$K$1,K139,IF($A$1=$N$1,N139,IF($A$1=$Q$1,Q139,IF($A$1=$T$1,T139,IF($A$1=$W$1,W139,IF($A$1=$Z$1,Z139,IF($A$1=$AC$1,AC139,IF($A$1=$AF$1,AF139,IF($A$1=$AI$1,AI139))))))))))))</f>
        <v/>
      </c>
      <c r="AP139" s="44">
        <f>IF($A$1=$B$1,C139,IF($A$1=$E$1,F139,IF($A$1=$H$1,I139,IF($A$1=$K$1,L139,IF($A$1=$N$1,O139,IF($A$1=$Q$1,R139,IF($A$1=$T$1,U139,IF($A$1=$W$1,X139,IF($A$1=$Z$1,AA139,IF($A$1=$AC$1,AD139,IF($A$1=$AF$1,AG139,IF($A$1=$AI$1,AJ139))))))))))))</f>
        <v/>
      </c>
    </row>
    <row r="140" ht="15.5" customHeight="1">
      <c r="A140" s="26" t="inlineStr">
        <is>
          <t xml:space="preserve">ISM </t>
        </is>
      </c>
      <c r="B140" s="7">
        <f>'Bütçe aylık-TL'!$B$83</f>
        <v/>
      </c>
      <c r="C140" s="7">
        <f>'gerç aylık-tl'!$B$82</f>
        <v/>
      </c>
      <c r="D140" s="7" t="n"/>
      <c r="E140" s="7">
        <f>'Bütçe aylık-TL'!$C$83</f>
        <v/>
      </c>
      <c r="F140" s="7">
        <f>'gerç aylık-tl'!$C$82</f>
        <v/>
      </c>
      <c r="G140" s="7" t="n"/>
      <c r="H140" s="7">
        <f>'Bütçe aylık-TL'!$D$83</f>
        <v/>
      </c>
      <c r="I140" s="7">
        <f>'gerç aylık-tl'!$D$82</f>
        <v/>
      </c>
      <c r="J140" s="7" t="n"/>
      <c r="K140" s="7">
        <f>'Bütçe aylık-TL'!$E$83</f>
        <v/>
      </c>
      <c r="L140" s="7">
        <f>'gerç aylık-tl'!$E$82</f>
        <v/>
      </c>
      <c r="M140" s="7" t="n"/>
      <c r="N140" s="7">
        <f>'Bütçe aylık-TL'!$F$83</f>
        <v/>
      </c>
      <c r="O140" s="7">
        <f>'gerç aylık-tl'!$F$82</f>
        <v/>
      </c>
      <c r="P140" s="7" t="n"/>
      <c r="Q140" s="7">
        <f>'Bütçe aylık-TL'!$G$83</f>
        <v/>
      </c>
      <c r="R140" s="7">
        <f>'gerç aylık-tl'!$G$82</f>
        <v/>
      </c>
      <c r="S140" s="7" t="n"/>
      <c r="T140" s="7">
        <f>'Bütçe aylık-TL'!$H$83</f>
        <v/>
      </c>
      <c r="U140" s="7">
        <f>'gerç aylık-tl'!$H$82</f>
        <v/>
      </c>
      <c r="V140" s="7" t="n"/>
      <c r="W140" s="7">
        <f>'Bütçe aylık-TL'!$I$83</f>
        <v/>
      </c>
      <c r="X140" s="7">
        <f>'gerç aylık-tl'!$I$82</f>
        <v/>
      </c>
      <c r="Y140" s="7" t="n"/>
      <c r="Z140" s="7">
        <f>'Bütçe aylık-TL'!$J$83</f>
        <v/>
      </c>
      <c r="AA140" s="7">
        <f>'gerç aylık-tl'!$J$82</f>
        <v/>
      </c>
      <c r="AB140" s="7" t="n"/>
      <c r="AC140" s="7">
        <f>'Bütçe aylık-TL'!$K$83</f>
        <v/>
      </c>
      <c r="AD140" s="7">
        <f>'gerç aylık-tl'!$K$82</f>
        <v/>
      </c>
      <c r="AE140" s="7" t="n"/>
      <c r="AF140" s="7">
        <f>'Bütçe aylık-TL'!$L$83</f>
        <v/>
      </c>
      <c r="AG140" s="7">
        <f>'gerç aylık-tl'!$L$82</f>
        <v/>
      </c>
      <c r="AH140" s="7" t="n"/>
      <c r="AI140" s="7">
        <f>'Bütçe aylık-TL'!$M$83</f>
        <v/>
      </c>
      <c r="AJ140" s="7">
        <f>'gerç aylık-tl'!$M$82</f>
        <v/>
      </c>
      <c r="AK140" s="7" t="n"/>
      <c r="AL140" s="21">
        <f>AP140-AO140</f>
        <v/>
      </c>
      <c r="AM140" s="22">
        <f>AP140/AO140-1</f>
        <v/>
      </c>
      <c r="AO140" s="44">
        <f>IF($A$1=$B$1,B140,IF($A$1=$E$1,E140,IF($A$1=$H$1,H140,IF($A$1=$K$1,K140,IF($A$1=$N$1,N140,IF($A$1=$Q$1,Q140,IF($A$1=$T$1,T140,IF($A$1=$W$1,W140,IF($A$1=$Z$1,Z140,IF($A$1=$AC$1,AC140,IF($A$1=$AF$1,AF140,IF($A$1=$AI$1,AI140))))))))))))</f>
        <v/>
      </c>
      <c r="AP140" s="44">
        <f>IF($A$1=$B$1,C140,IF($A$1=$E$1,F140,IF($A$1=$H$1,I140,IF($A$1=$K$1,L140,IF($A$1=$N$1,O140,IF($A$1=$Q$1,R140,IF($A$1=$T$1,U140,IF($A$1=$W$1,X140,IF($A$1=$Z$1,AA140,IF($A$1=$AC$1,AD140,IF($A$1=$AF$1,AG140,IF($A$1=$AI$1,AJ140))))))))))))</f>
        <v/>
      </c>
    </row>
    <row r="141" ht="15.5" customHeight="1">
      <c r="A141" s="26" t="inlineStr">
        <is>
          <t>İncitaş</t>
        </is>
      </c>
      <c r="B141" s="7">
        <f>'Bütçe aylık-TL'!$B$84</f>
        <v/>
      </c>
      <c r="C141" s="7">
        <f>'gerç aylık-tl'!$B$83</f>
        <v/>
      </c>
      <c r="D141" s="7" t="n"/>
      <c r="E141" s="7">
        <f>'Bütçe aylık-TL'!$C$84</f>
        <v/>
      </c>
      <c r="F141" s="7">
        <f>'gerç aylık-tl'!$C$83</f>
        <v/>
      </c>
      <c r="G141" s="7" t="n"/>
      <c r="H141" s="7">
        <f>'Bütçe aylık-TL'!$D$84</f>
        <v/>
      </c>
      <c r="I141" s="7">
        <f>'gerç aylık-tl'!$D$83</f>
        <v/>
      </c>
      <c r="J141" s="7" t="n"/>
      <c r="K141" s="7">
        <f>'Bütçe aylık-TL'!$E$84</f>
        <v/>
      </c>
      <c r="L141" s="7">
        <f>'gerç aylık-tl'!$E$83</f>
        <v/>
      </c>
      <c r="M141" s="7" t="n"/>
      <c r="N141" s="7">
        <f>'Bütçe aylık-TL'!$F$84</f>
        <v/>
      </c>
      <c r="O141" s="7">
        <f>'gerç aylık-tl'!$F$83</f>
        <v/>
      </c>
      <c r="P141" s="7" t="n"/>
      <c r="Q141" s="7">
        <f>'Bütçe aylık-TL'!$G$84</f>
        <v/>
      </c>
      <c r="R141" s="7">
        <f>'gerç aylık-tl'!$G$83</f>
        <v/>
      </c>
      <c r="S141" s="7" t="n"/>
      <c r="T141" s="7">
        <f>'Bütçe aylık-TL'!$H$84</f>
        <v/>
      </c>
      <c r="U141" s="7">
        <f>'gerç aylık-tl'!$H$83</f>
        <v/>
      </c>
      <c r="V141" s="7" t="n"/>
      <c r="W141" s="7">
        <f>'Bütçe aylık-TL'!$I$84</f>
        <v/>
      </c>
      <c r="X141" s="7">
        <f>'gerç aylık-tl'!$I$83</f>
        <v/>
      </c>
      <c r="Y141" s="7" t="n"/>
      <c r="Z141" s="7">
        <f>'Bütçe aylık-TL'!$J$84</f>
        <v/>
      </c>
      <c r="AA141" s="7">
        <f>'gerç aylık-tl'!$J$83</f>
        <v/>
      </c>
      <c r="AB141" s="7" t="n"/>
      <c r="AC141" s="7">
        <f>'Bütçe aylık-TL'!$K$84</f>
        <v/>
      </c>
      <c r="AD141" s="7">
        <f>'gerç aylık-tl'!$K$83</f>
        <v/>
      </c>
      <c r="AE141" s="7" t="n"/>
      <c r="AF141" s="7">
        <f>'Bütçe aylık-TL'!$L$84</f>
        <v/>
      </c>
      <c r="AG141" s="7">
        <f>'gerç aylık-tl'!$L$83</f>
        <v/>
      </c>
      <c r="AH141" s="7" t="n"/>
      <c r="AI141" s="7">
        <f>'Bütçe aylık-TL'!$M$84</f>
        <v/>
      </c>
      <c r="AJ141" s="7">
        <f>'gerç aylık-tl'!$M$83</f>
        <v/>
      </c>
      <c r="AK141" s="7" t="n"/>
      <c r="AL141" s="21">
        <f>AP141-AO141</f>
        <v/>
      </c>
      <c r="AM141" s="22">
        <f>AP141/AO141-1</f>
        <v/>
      </c>
      <c r="AO141" s="44">
        <f>IF($A$1=$B$1,B141,IF($A$1=$E$1,E141,IF($A$1=$H$1,H141,IF($A$1=$K$1,K141,IF($A$1=$N$1,N141,IF($A$1=$Q$1,Q141,IF($A$1=$T$1,T141,IF($A$1=$W$1,W141,IF($A$1=$Z$1,Z141,IF($A$1=$AC$1,AC141,IF($A$1=$AF$1,AF141,IF($A$1=$AI$1,AI141))))))))))))</f>
        <v/>
      </c>
      <c r="AP141" s="44">
        <f>IF($A$1=$B$1,C141,IF($A$1=$E$1,F141,IF($A$1=$H$1,I141,IF($A$1=$K$1,L141,IF($A$1=$N$1,O141,IF($A$1=$Q$1,R141,IF($A$1=$T$1,U141,IF($A$1=$W$1,X141,IF($A$1=$Z$1,AA141,IF($A$1=$AC$1,AD141,IF($A$1=$AF$1,AG141,IF($A$1=$AI$1,AJ141))))))))))))</f>
        <v/>
      </c>
    </row>
    <row r="142" ht="15.5" customHeight="1">
      <c r="A142" s="26" t="inlineStr">
        <is>
          <t>İnci GS Yuasa</t>
        </is>
      </c>
      <c r="B142" s="7">
        <f>'Bütçe aylık-TL'!$B$85</f>
        <v/>
      </c>
      <c r="C142" s="7">
        <f>'gerç aylık-tl'!$B$84</f>
        <v/>
      </c>
      <c r="D142" s="7" t="n"/>
      <c r="E142" s="7">
        <f>'Bütçe aylık-TL'!$C$85</f>
        <v/>
      </c>
      <c r="F142" s="7">
        <f>'gerç aylık-tl'!$C$84</f>
        <v/>
      </c>
      <c r="G142" s="7" t="n"/>
      <c r="H142" s="7">
        <f>'Bütçe aylık-TL'!$D$85</f>
        <v/>
      </c>
      <c r="I142" s="7">
        <f>'gerç aylık-tl'!$D$84</f>
        <v/>
      </c>
      <c r="J142" s="7" t="n"/>
      <c r="K142" s="7">
        <f>'Bütçe aylık-TL'!$E$85</f>
        <v/>
      </c>
      <c r="L142" s="7">
        <f>'gerç aylık-tl'!$E$84</f>
        <v/>
      </c>
      <c r="M142" s="7" t="n"/>
      <c r="N142" s="7">
        <f>'Bütçe aylık-TL'!$F$85</f>
        <v/>
      </c>
      <c r="O142" s="7">
        <f>'gerç aylık-tl'!$F$84</f>
        <v/>
      </c>
      <c r="P142" s="7" t="n"/>
      <c r="Q142" s="7">
        <f>'Bütçe aylık-TL'!$G$85</f>
        <v/>
      </c>
      <c r="R142" s="7">
        <f>'gerç aylık-tl'!$G$84</f>
        <v/>
      </c>
      <c r="S142" s="7" t="n"/>
      <c r="T142" s="7">
        <f>'Bütçe aylık-TL'!$H$85</f>
        <v/>
      </c>
      <c r="U142" s="7">
        <f>'gerç aylık-tl'!$H$84</f>
        <v/>
      </c>
      <c r="V142" s="7" t="n"/>
      <c r="W142" s="7">
        <f>'Bütçe aylık-TL'!$I$85</f>
        <v/>
      </c>
      <c r="X142" s="7">
        <f>'gerç aylık-tl'!$I$84</f>
        <v/>
      </c>
      <c r="Y142" s="7" t="n"/>
      <c r="Z142" s="7">
        <f>'Bütçe aylık-TL'!$J$85</f>
        <v/>
      </c>
      <c r="AA142" s="7">
        <f>'gerç aylık-tl'!$J$84</f>
        <v/>
      </c>
      <c r="AB142" s="7" t="n"/>
      <c r="AC142" s="7">
        <f>'Bütçe aylık-TL'!$K$85</f>
        <v/>
      </c>
      <c r="AD142" s="7">
        <f>'gerç aylık-tl'!$K$84</f>
        <v/>
      </c>
      <c r="AE142" s="7" t="n"/>
      <c r="AF142" s="7">
        <f>'Bütçe aylık-TL'!$L$85</f>
        <v/>
      </c>
      <c r="AG142" s="7">
        <f>'gerç aylık-tl'!$L$84</f>
        <v/>
      </c>
      <c r="AH142" s="7" t="n"/>
      <c r="AI142" s="7">
        <f>'Bütçe aylık-TL'!$M$85</f>
        <v/>
      </c>
      <c r="AJ142" s="7">
        <f>'gerç aylık-tl'!$M$84</f>
        <v/>
      </c>
      <c r="AK142" s="7" t="n"/>
      <c r="AL142" s="21">
        <f>AP142-AO142</f>
        <v/>
      </c>
      <c r="AM142" s="22">
        <f>AP142/AO142-1</f>
        <v/>
      </c>
      <c r="AO142" s="44">
        <f>IF($A$1=$B$1,B142,IF($A$1=$E$1,E142,IF($A$1=$H$1,H142,IF($A$1=$K$1,K142,IF($A$1=$N$1,N142,IF($A$1=$Q$1,Q142,IF($A$1=$T$1,T142,IF($A$1=$W$1,W142,IF($A$1=$Z$1,Z142,IF($A$1=$AC$1,AC142,IF($A$1=$AF$1,AF142,IF($A$1=$AI$1,AI142))))))))))))</f>
        <v/>
      </c>
      <c r="AP142" s="44">
        <f>IF($A$1=$B$1,C142,IF($A$1=$E$1,F142,IF($A$1=$H$1,I142,IF($A$1=$K$1,L142,IF($A$1=$N$1,O142,IF($A$1=$Q$1,R142,IF($A$1=$T$1,U142,IF($A$1=$W$1,X142,IF($A$1=$Z$1,AA142,IF($A$1=$AC$1,AD142,IF($A$1=$AF$1,AG142,IF($A$1=$AI$1,AJ142))))))))))))</f>
        <v/>
      </c>
    </row>
    <row r="143" ht="15.5" customFormat="1" customHeight="1" s="1">
      <c r="A143" s="26" t="inlineStr">
        <is>
          <t>Yusen İnci Loj.</t>
        </is>
      </c>
      <c r="B143" s="7">
        <f>'Bütçe aylık-TL'!$B$86</f>
        <v/>
      </c>
      <c r="C143" s="7">
        <f>'gerç aylık-tl'!$B$85</f>
        <v/>
      </c>
      <c r="D143" s="8" t="n"/>
      <c r="E143" s="7">
        <f>'Bütçe aylık-TL'!$C$86</f>
        <v/>
      </c>
      <c r="F143" s="7">
        <f>'gerç aylık-tl'!$C$85</f>
        <v/>
      </c>
      <c r="G143" s="8" t="n"/>
      <c r="H143" s="7">
        <f>'Bütçe aylık-TL'!$D$86</f>
        <v/>
      </c>
      <c r="I143" s="7">
        <f>'gerç aylık-tl'!$D$85</f>
        <v/>
      </c>
      <c r="J143" s="8" t="n"/>
      <c r="K143" s="7">
        <f>'Bütçe aylık-TL'!$E$86</f>
        <v/>
      </c>
      <c r="L143" s="7">
        <f>'gerç aylık-tl'!$E$85</f>
        <v/>
      </c>
      <c r="M143" s="8" t="n"/>
      <c r="N143" s="7">
        <f>'Bütçe aylık-TL'!$F$86</f>
        <v/>
      </c>
      <c r="O143" s="7">
        <f>'gerç aylık-tl'!$F$85</f>
        <v/>
      </c>
      <c r="P143" s="8" t="n"/>
      <c r="Q143" s="7">
        <f>'Bütçe aylık-TL'!$G$86</f>
        <v/>
      </c>
      <c r="R143" s="7">
        <f>'gerç aylık-tl'!$G$85</f>
        <v/>
      </c>
      <c r="S143" s="8" t="n"/>
      <c r="T143" s="7">
        <f>'Bütçe aylık-TL'!$H$86</f>
        <v/>
      </c>
      <c r="U143" s="7">
        <f>'gerç aylık-tl'!$H$85</f>
        <v/>
      </c>
      <c r="V143" s="8" t="n"/>
      <c r="W143" s="7">
        <f>'Bütçe aylık-TL'!$I$86</f>
        <v/>
      </c>
      <c r="X143" s="7">
        <f>'gerç aylık-tl'!$I$85</f>
        <v/>
      </c>
      <c r="Y143" s="8" t="n"/>
      <c r="Z143" s="7">
        <f>'Bütçe aylık-TL'!$J$86</f>
        <v/>
      </c>
      <c r="AA143" s="7">
        <f>'gerç aylık-tl'!$J$85</f>
        <v/>
      </c>
      <c r="AB143" s="8" t="n"/>
      <c r="AC143" s="7">
        <f>'Bütçe aylık-TL'!$K$86</f>
        <v/>
      </c>
      <c r="AD143" s="7">
        <f>'gerç aylık-tl'!$K$85</f>
        <v/>
      </c>
      <c r="AE143" s="8" t="n"/>
      <c r="AF143" s="7">
        <f>'Bütçe aylık-TL'!$L$86</f>
        <v/>
      </c>
      <c r="AG143" s="7">
        <f>'gerç aylık-tl'!$L$85</f>
        <v/>
      </c>
      <c r="AH143" s="8" t="n"/>
      <c r="AI143" s="7">
        <f>'Bütçe aylık-TL'!$M$86</f>
        <v/>
      </c>
      <c r="AJ143" s="7">
        <f>'gerç aylık-tl'!$M$85</f>
        <v/>
      </c>
      <c r="AK143" s="8" t="n"/>
      <c r="AL143" s="21">
        <f>AP143-AO143</f>
        <v/>
      </c>
      <c r="AM143" s="22">
        <f>AP143/AO143-1</f>
        <v/>
      </c>
      <c r="AO143" s="44">
        <f>IF($A$1=$B$1,B143,IF($A$1=$E$1,E143,IF($A$1=$H$1,H143,IF($A$1=$K$1,K143,IF($A$1=$N$1,N143,IF($A$1=$Q$1,Q143,IF($A$1=$T$1,T143,IF($A$1=$W$1,W143,IF($A$1=$Z$1,Z143,IF($A$1=$AC$1,AC143,IF($A$1=$AF$1,AF143,IF($A$1=$AI$1,AI143))))))))))))</f>
        <v/>
      </c>
      <c r="AP143" s="44">
        <f>IF($A$1=$B$1,C143,IF($A$1=$E$1,F143,IF($A$1=$H$1,I143,IF($A$1=$K$1,L143,IF($A$1=$N$1,O143,IF($A$1=$Q$1,R143,IF($A$1=$T$1,U143,IF($A$1=$W$1,X143,IF($A$1=$Z$1,AA143,IF($A$1=$AC$1,AD143,IF($A$1=$AF$1,AG143,IF($A$1=$AI$1,AJ143))))))))))))</f>
        <v/>
      </c>
    </row>
    <row r="144" ht="15.5" customHeight="1">
      <c r="A144" s="26" t="inlineStr">
        <is>
          <t>Jantaş</t>
        </is>
      </c>
      <c r="B144" s="7">
        <f>'Bütçe aylık-TL'!$B$87</f>
        <v/>
      </c>
      <c r="C144" s="7">
        <f>'gerç aylık-tl'!$B$86</f>
        <v/>
      </c>
      <c r="D144" s="7" t="n"/>
      <c r="E144" s="7">
        <f>'Bütçe aylık-TL'!$C$87</f>
        <v/>
      </c>
      <c r="F144" s="7">
        <f>'gerç aylık-tl'!$C$86</f>
        <v/>
      </c>
      <c r="G144" s="7" t="n"/>
      <c r="H144" s="7">
        <f>'Bütçe aylık-TL'!$D$87</f>
        <v/>
      </c>
      <c r="I144" s="7">
        <f>'gerç aylık-tl'!$D$86</f>
        <v/>
      </c>
      <c r="J144" s="7" t="n"/>
      <c r="K144" s="7">
        <f>'Bütçe aylık-TL'!$E$87</f>
        <v/>
      </c>
      <c r="L144" s="7">
        <f>'gerç aylık-tl'!$E$86</f>
        <v/>
      </c>
      <c r="M144" s="7" t="n"/>
      <c r="N144" s="7">
        <f>'Bütçe aylık-TL'!$F$87</f>
        <v/>
      </c>
      <c r="O144" s="7">
        <f>'gerç aylık-tl'!$F$86</f>
        <v/>
      </c>
      <c r="P144" s="7" t="n"/>
      <c r="Q144" s="7">
        <f>'Bütçe aylık-TL'!$G$87</f>
        <v/>
      </c>
      <c r="R144" s="7">
        <f>'gerç aylık-tl'!$G$86</f>
        <v/>
      </c>
      <c r="S144" s="7" t="n"/>
      <c r="T144" s="7">
        <f>'Bütçe aylık-TL'!$H$87</f>
        <v/>
      </c>
      <c r="U144" s="7">
        <f>'gerç aylık-tl'!$H$86</f>
        <v/>
      </c>
      <c r="V144" s="7" t="n"/>
      <c r="W144" s="7">
        <f>'Bütçe aylık-TL'!$I$87</f>
        <v/>
      </c>
      <c r="X144" s="7">
        <f>'gerç aylık-tl'!$I$86</f>
        <v/>
      </c>
      <c r="Y144" s="7" t="n"/>
      <c r="Z144" s="7">
        <f>'Bütçe aylık-TL'!$J$87</f>
        <v/>
      </c>
      <c r="AA144" s="7">
        <f>'gerç aylık-tl'!$J$86</f>
        <v/>
      </c>
      <c r="AB144" s="7" t="n"/>
      <c r="AC144" s="7">
        <f>'Bütçe aylık-TL'!$K$87</f>
        <v/>
      </c>
      <c r="AD144" s="7">
        <f>'gerç aylık-tl'!$K$86</f>
        <v/>
      </c>
      <c r="AE144" s="7" t="n"/>
      <c r="AF144" s="7">
        <f>'Bütçe aylık-TL'!$L$87</f>
        <v/>
      </c>
      <c r="AG144" s="7">
        <f>'gerç aylık-tl'!$L$86</f>
        <v/>
      </c>
      <c r="AH144" s="7" t="n"/>
      <c r="AI144" s="7">
        <f>'Bütçe aylık-TL'!$M$87</f>
        <v/>
      </c>
      <c r="AJ144" s="7">
        <f>'gerç aylık-tl'!$M$86</f>
        <v/>
      </c>
      <c r="AK144" s="7" t="n"/>
      <c r="AL144" s="21">
        <f>AP144-AO144</f>
        <v/>
      </c>
      <c r="AM144" s="22">
        <f>AP144/AO144-1</f>
        <v/>
      </c>
      <c r="AO144" s="44">
        <f>IF($A$1=$B$1,B144,IF($A$1=$E$1,E144,IF($A$1=$H$1,H144,IF($A$1=$K$1,K144,IF($A$1=$N$1,N144,IF($A$1=$Q$1,Q144,IF($A$1=$T$1,T144,IF($A$1=$W$1,W144,IF($A$1=$Z$1,Z144,IF($A$1=$AC$1,AC144,IF($A$1=$AF$1,AF144,IF($A$1=$AI$1,AI144))))))))))))</f>
        <v/>
      </c>
      <c r="AP144" s="44">
        <f>IF($A$1=$B$1,C144,IF($A$1=$E$1,F144,IF($A$1=$H$1,I144,IF($A$1=$K$1,L144,IF($A$1=$N$1,O144,IF($A$1=$Q$1,R144,IF($A$1=$T$1,U144,IF($A$1=$W$1,X144,IF($A$1=$Z$1,AA144,IF($A$1=$AC$1,AD144,IF($A$1=$AF$1,AG144,IF($A$1=$AI$1,AJ144))))))))))))</f>
        <v/>
      </c>
    </row>
    <row r="145" ht="15.5" customHeight="1">
      <c r="A145" s="26" t="inlineStr">
        <is>
          <t>Çelik</t>
        </is>
      </c>
      <c r="B145" s="7">
        <f>'Bütçe aylık-TL'!$B$88</f>
        <v/>
      </c>
      <c r="C145" s="7">
        <f>'gerç aylık-tl'!$B$87</f>
        <v/>
      </c>
      <c r="D145" s="7" t="n"/>
      <c r="E145" s="7">
        <f>'Bütçe aylık-TL'!$C$88</f>
        <v/>
      </c>
      <c r="F145" s="7">
        <f>'gerç aylık-tl'!$C$87</f>
        <v/>
      </c>
      <c r="G145" s="7" t="n"/>
      <c r="H145" s="7">
        <f>'Bütçe aylık-TL'!$D$88</f>
        <v/>
      </c>
      <c r="I145" s="7">
        <f>'gerç aylık-tl'!$D$87</f>
        <v/>
      </c>
      <c r="J145" s="7" t="n"/>
      <c r="K145" s="7">
        <f>'Bütçe aylık-TL'!$E$88</f>
        <v/>
      </c>
      <c r="L145" s="7">
        <f>'gerç aylık-tl'!$E$87</f>
        <v/>
      </c>
      <c r="M145" s="7" t="n"/>
      <c r="N145" s="7">
        <f>'Bütçe aylık-TL'!$F$88</f>
        <v/>
      </c>
      <c r="O145" s="7">
        <f>'gerç aylık-tl'!$F$87</f>
        <v/>
      </c>
      <c r="P145" s="7" t="n"/>
      <c r="Q145" s="7">
        <f>'Bütçe aylık-TL'!$G$88</f>
        <v/>
      </c>
      <c r="R145" s="7">
        <f>'gerç aylık-tl'!$G$87</f>
        <v/>
      </c>
      <c r="S145" s="7" t="n"/>
      <c r="T145" s="7">
        <f>'Bütçe aylık-TL'!$H$88</f>
        <v/>
      </c>
      <c r="U145" s="7">
        <f>'gerç aylık-tl'!$H$87</f>
        <v/>
      </c>
      <c r="V145" s="7" t="n"/>
      <c r="W145" s="7">
        <f>'Bütçe aylık-TL'!$I$88</f>
        <v/>
      </c>
      <c r="X145" s="7">
        <f>'gerç aylık-tl'!$I$87</f>
        <v/>
      </c>
      <c r="Y145" s="7" t="n"/>
      <c r="Z145" s="7">
        <f>'Bütçe aylık-TL'!$J$88</f>
        <v/>
      </c>
      <c r="AA145" s="7">
        <f>'gerç aylık-tl'!$J$87</f>
        <v/>
      </c>
      <c r="AB145" s="7" t="n"/>
      <c r="AC145" s="7">
        <f>'Bütçe aylık-TL'!$K$88</f>
        <v/>
      </c>
      <c r="AD145" s="7">
        <f>'gerç aylık-tl'!$K$87</f>
        <v/>
      </c>
      <c r="AE145" s="7" t="n"/>
      <c r="AF145" s="7">
        <f>'Bütçe aylık-TL'!$L$88</f>
        <v/>
      </c>
      <c r="AG145" s="7">
        <f>'gerç aylık-tl'!$L$87</f>
        <v/>
      </c>
      <c r="AH145" s="7" t="n"/>
      <c r="AI145" s="7">
        <f>'Bütçe aylık-TL'!$M$88</f>
        <v/>
      </c>
      <c r="AJ145" s="7">
        <f>'gerç aylık-tl'!$M$87</f>
        <v/>
      </c>
      <c r="AK145" s="7" t="n"/>
      <c r="AL145" s="21">
        <f>AP145-AO145</f>
        <v/>
      </c>
      <c r="AM145" s="22">
        <f>AP145/AO145-1</f>
        <v/>
      </c>
      <c r="AO145" s="44">
        <f>IF($A$1=$B$1,B145,IF($A$1=$E$1,E145,IF($A$1=$H$1,H145,IF($A$1=$K$1,K145,IF($A$1=$N$1,N145,IF($A$1=$Q$1,Q145,IF($A$1=$T$1,T145,IF($A$1=$W$1,W145,IF($A$1=$Z$1,Z145,IF($A$1=$AC$1,AC145,IF($A$1=$AF$1,AF145,IF($A$1=$AI$1,AI145))))))))))))</f>
        <v/>
      </c>
      <c r="AP145" s="44">
        <f>IF($A$1=$B$1,C145,IF($A$1=$E$1,F145,IF($A$1=$H$1,I145,IF($A$1=$K$1,L145,IF($A$1=$N$1,O145,IF($A$1=$Q$1,R145,IF($A$1=$T$1,U145,IF($A$1=$W$1,X145,IF($A$1=$Z$1,AA145,IF($A$1=$AC$1,AD145,IF($A$1=$AF$1,AG145,IF($A$1=$AI$1,AJ145))))))))))))</f>
        <v/>
      </c>
    </row>
    <row r="146" ht="15.5" customHeight="1">
      <c r="A146" s="26" t="inlineStr">
        <is>
          <t>Alüminyum</t>
        </is>
      </c>
      <c r="B146" s="7">
        <f>'Bütçe aylık-TL'!$B$89</f>
        <v/>
      </c>
      <c r="C146" s="7">
        <f>'gerç aylık-tl'!$B$88</f>
        <v/>
      </c>
      <c r="D146" s="7" t="n"/>
      <c r="E146" s="7">
        <f>'Bütçe aylık-TL'!$C$89</f>
        <v/>
      </c>
      <c r="F146" s="7">
        <f>'gerç aylık-tl'!$C$88</f>
        <v/>
      </c>
      <c r="G146" s="7" t="n"/>
      <c r="H146" s="7">
        <f>'Bütçe aylık-TL'!$D$89</f>
        <v/>
      </c>
      <c r="I146" s="7">
        <f>'gerç aylık-tl'!$D$88</f>
        <v/>
      </c>
      <c r="J146" s="7" t="n"/>
      <c r="K146" s="7">
        <f>'Bütçe aylık-TL'!$E$89</f>
        <v/>
      </c>
      <c r="L146" s="7">
        <f>'gerç aylık-tl'!$E$88</f>
        <v/>
      </c>
      <c r="M146" s="7" t="n"/>
      <c r="N146" s="7">
        <f>'Bütçe aylık-TL'!$F$89</f>
        <v/>
      </c>
      <c r="O146" s="7">
        <f>'gerç aylık-tl'!$F$88</f>
        <v/>
      </c>
      <c r="P146" s="7" t="n"/>
      <c r="Q146" s="7">
        <f>'Bütçe aylık-TL'!$G$89</f>
        <v/>
      </c>
      <c r="R146" s="7">
        <f>'gerç aylık-tl'!$G$88</f>
        <v/>
      </c>
      <c r="S146" s="7" t="n"/>
      <c r="T146" s="7">
        <f>'Bütçe aylık-TL'!$H$89</f>
        <v/>
      </c>
      <c r="U146" s="7">
        <f>'gerç aylık-tl'!$H$88</f>
        <v/>
      </c>
      <c r="V146" s="7" t="n"/>
      <c r="W146" s="7">
        <f>'Bütçe aylık-TL'!$I$89</f>
        <v/>
      </c>
      <c r="X146" s="7">
        <f>'gerç aylık-tl'!$I$88</f>
        <v/>
      </c>
      <c r="Y146" s="7" t="n"/>
      <c r="Z146" s="7">
        <f>'Bütçe aylık-TL'!$J$89</f>
        <v/>
      </c>
      <c r="AA146" s="7">
        <f>'gerç aylık-tl'!$J$88</f>
        <v/>
      </c>
      <c r="AB146" s="7" t="n"/>
      <c r="AC146" s="7">
        <f>'Bütçe aylık-TL'!$K$89</f>
        <v/>
      </c>
      <c r="AD146" s="7">
        <f>'gerç aylık-tl'!$K$88</f>
        <v/>
      </c>
      <c r="AE146" s="7" t="n"/>
      <c r="AF146" s="7">
        <f>'Bütçe aylık-TL'!$L$89</f>
        <v/>
      </c>
      <c r="AG146" s="7">
        <f>'gerç aylık-tl'!$L$88</f>
        <v/>
      </c>
      <c r="AH146" s="7" t="n"/>
      <c r="AI146" s="7">
        <f>'Bütçe aylık-TL'!$M$89</f>
        <v/>
      </c>
      <c r="AJ146" s="7">
        <f>'gerç aylık-tl'!$M$88</f>
        <v/>
      </c>
      <c r="AK146" s="7" t="n"/>
      <c r="AL146" s="21">
        <f>AP146-AO146</f>
        <v/>
      </c>
      <c r="AM146" s="22">
        <f>AP146/AO146-1</f>
        <v/>
      </c>
      <c r="AO146" s="44">
        <f>IF($A$1=$B$1,B146,IF($A$1=$E$1,E146,IF($A$1=$H$1,H146,IF($A$1=$K$1,K146,IF($A$1=$N$1,N146,IF($A$1=$Q$1,Q146,IF($A$1=$T$1,T146,IF($A$1=$W$1,W146,IF($A$1=$Z$1,Z146,IF($A$1=$AC$1,AC146,IF($A$1=$AF$1,AF146,IF($A$1=$AI$1,AI146))))))))))))</f>
        <v/>
      </c>
      <c r="AP146" s="44">
        <f>IF($A$1=$B$1,C146,IF($A$1=$E$1,F146,IF($A$1=$H$1,I146,IF($A$1=$K$1,L146,IF($A$1=$N$1,O146,IF($A$1=$Q$1,R146,IF($A$1=$T$1,U146,IF($A$1=$W$1,X146,IF($A$1=$Z$1,AA146,IF($A$1=$AC$1,AD146,IF($A$1=$AF$1,AG146,IF($A$1=$AI$1,AJ146))))))))))))</f>
        <v/>
      </c>
    </row>
    <row r="147" ht="15.5" customHeight="1">
      <c r="A147" s="26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21" t="n"/>
      <c r="AM147" s="22" t="n"/>
      <c r="AO147" s="44">
        <f>IF($A$1=$B$1,B147,IF($A$1=$E$1,E147,IF($A$1=$H$1,H147,IF($A$1=$K$1,K147,IF($A$1=$N$1,N147,IF($A$1=$Q$1,Q147,IF($A$1=$T$1,T147,IF($A$1=$W$1,W147,IF($A$1=$Z$1,Z147,IF($A$1=$AC$1,AC147,IF($A$1=$AF$1,AF147,IF($A$1=$AI$1,AI147))))))))))))</f>
        <v/>
      </c>
      <c r="AP147" s="44">
        <f>IF($A$1=$B$1,C147,IF($A$1=$E$1,F147,IF($A$1=$H$1,I147,IF($A$1=$K$1,L147,IF($A$1=$N$1,O147,IF($A$1=$Q$1,R147,IF($A$1=$T$1,U147,IF($A$1=$W$1,X147,IF($A$1=$Z$1,AA147,IF($A$1=$AC$1,AD147,IF($A$1=$AF$1,AG147,IF($A$1=$AI$1,AJ147))))))))))))</f>
        <v/>
      </c>
    </row>
    <row r="148">
      <c r="A148" s="2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5" t="n"/>
    </row>
    <row r="149" ht="17" customFormat="1" customHeight="1" s="49">
      <c r="A149" s="47" t="inlineStr">
        <is>
          <t>Ebitda Margin</t>
        </is>
      </c>
      <c r="B149" s="413" t="n"/>
      <c r="C149" s="413" t="n"/>
      <c r="D149" s="413" t="n"/>
      <c r="E149" s="413" t="n"/>
      <c r="F149" s="413" t="n"/>
      <c r="G149" s="413" t="n"/>
      <c r="H149" s="413" t="n"/>
      <c r="I149" s="413" t="n"/>
      <c r="J149" s="413" t="n"/>
      <c r="K149" s="413" t="n"/>
      <c r="L149" s="413" t="n"/>
      <c r="M149" s="413" t="n"/>
      <c r="N149" s="413" t="n"/>
      <c r="O149" s="413" t="n"/>
      <c r="P149" s="413" t="n"/>
      <c r="Q149" s="413" t="n"/>
      <c r="R149" s="413" t="n"/>
      <c r="S149" s="413" t="n"/>
      <c r="T149" s="413" t="n"/>
      <c r="U149" s="413" t="n"/>
      <c r="V149" s="413" t="n"/>
      <c r="W149" s="413" t="n"/>
      <c r="X149" s="413" t="n"/>
      <c r="Y149" s="413" t="n"/>
      <c r="Z149" s="413" t="n"/>
      <c r="AA149" s="413" t="n"/>
      <c r="AB149" s="413" t="n"/>
      <c r="AC149" s="413" t="n"/>
      <c r="AD149" s="413" t="n"/>
      <c r="AE149" s="413" t="n"/>
      <c r="AF149" s="413" t="n"/>
      <c r="AG149" s="413" t="n"/>
      <c r="AH149" s="413" t="n"/>
      <c r="AI149" s="413" t="n"/>
      <c r="AJ149" s="413" t="n"/>
      <c r="AK149" s="413" t="n"/>
      <c r="AL149" s="413" t="n"/>
      <c r="AM149" s="48" t="n"/>
    </row>
    <row r="150" ht="15.5" customFormat="1" customHeight="1" s="13">
      <c r="A150" s="26" t="inlineStr">
        <is>
          <t xml:space="preserve">İnci Holding </t>
        </is>
      </c>
      <c r="B150" s="12">
        <f>B139/B9</f>
        <v/>
      </c>
      <c r="C150" s="12">
        <f>C139/C9</f>
        <v/>
      </c>
      <c r="D150" s="41" t="n"/>
      <c r="E150" s="12">
        <f>E139/E9</f>
        <v/>
      </c>
      <c r="F150" s="12">
        <f>F139/F9</f>
        <v/>
      </c>
      <c r="G150" s="41" t="n"/>
      <c r="H150" s="12">
        <f>H139/H9</f>
        <v/>
      </c>
      <c r="I150" s="12">
        <f>I139/I9</f>
        <v/>
      </c>
      <c r="J150" s="41" t="n"/>
      <c r="K150" s="12">
        <f>K139/K9</f>
        <v/>
      </c>
      <c r="L150" s="12">
        <f>L139/L9</f>
        <v/>
      </c>
      <c r="M150" s="41" t="n"/>
      <c r="N150" s="12">
        <f>N139/N9</f>
        <v/>
      </c>
      <c r="O150" s="12">
        <f>O139/O9</f>
        <v/>
      </c>
      <c r="P150" s="41" t="n"/>
      <c r="Q150" s="12">
        <f>Q139/Q9</f>
        <v/>
      </c>
      <c r="R150" s="12">
        <f>R139/R9</f>
        <v/>
      </c>
      <c r="S150" s="41" t="n"/>
      <c r="T150" s="12">
        <f>T139/T9</f>
        <v/>
      </c>
      <c r="U150" s="12">
        <f>U139/U9</f>
        <v/>
      </c>
      <c r="V150" s="41" t="n"/>
      <c r="W150" s="12">
        <f>W139/W9</f>
        <v/>
      </c>
      <c r="X150" s="12">
        <f>X139/X9</f>
        <v/>
      </c>
      <c r="Y150" s="41" t="n"/>
      <c r="Z150" s="12">
        <f>Z139/Z9</f>
        <v/>
      </c>
      <c r="AA150" s="12">
        <f>AA139/AA9</f>
        <v/>
      </c>
      <c r="AB150" s="41" t="n"/>
      <c r="AC150" s="12">
        <f>AC139/AC9</f>
        <v/>
      </c>
      <c r="AD150" s="12">
        <f>AD139/AD9</f>
        <v/>
      </c>
      <c r="AE150" s="41" t="n"/>
      <c r="AF150" s="12">
        <f>AF139/AF9</f>
        <v/>
      </c>
      <c r="AG150" s="12">
        <f>AG139/AG9</f>
        <v/>
      </c>
      <c r="AH150" s="41" t="n"/>
      <c r="AI150" s="12">
        <f>AI139/AI9</f>
        <v/>
      </c>
      <c r="AJ150" s="12">
        <f>AJ139/AJ9</f>
        <v/>
      </c>
      <c r="AK150" s="41" t="n"/>
      <c r="AL150" s="15" t="n"/>
      <c r="AM150" s="22">
        <f>AP150-AO150</f>
        <v/>
      </c>
      <c r="AO150" s="44">
        <f>IF($A$1=$B$1,B150,IF($A$1=$E$1,E150,IF($A$1=$H$1,H150,IF($A$1=$K$1,K150,IF($A$1=$N$1,N150,IF($A$1=$Q$1,Q150,IF($A$1=$T$1,T150,IF($A$1=$W$1,W150,IF($A$1=$Z$1,Z150,IF($A$1=$AC$1,AC150,IF($A$1=$AF$1,AF150,IF($A$1=$AI$1,AI150))))))))))))</f>
        <v/>
      </c>
      <c r="AP150" s="44">
        <f>IF($A$1=$B$1,C150,IF($A$1=$E$1,F150,IF($A$1=$H$1,I150,IF($A$1=$K$1,L150,IF($A$1=$N$1,O150,IF($A$1=$Q$1,R150,IF($A$1=$T$1,U150,IF($A$1=$W$1,X150,IF($A$1=$Z$1,AA150,IF($A$1=$AC$1,AD150,IF($A$1=$AF$1,AG150,IF($A$1=$AI$1,AJ150))))))))))))</f>
        <v/>
      </c>
    </row>
    <row r="151" ht="15.5" customFormat="1" customHeight="1" s="13">
      <c r="A151" s="26" t="inlineStr">
        <is>
          <t xml:space="preserve">ISM </t>
        </is>
      </c>
      <c r="B151" s="12">
        <f>B140/B10</f>
        <v/>
      </c>
      <c r="C151" s="12">
        <f>C140/C10</f>
        <v/>
      </c>
      <c r="D151" s="41" t="n"/>
      <c r="E151" s="12">
        <f>E140/E10</f>
        <v/>
      </c>
      <c r="F151" s="12">
        <f>F140/F10</f>
        <v/>
      </c>
      <c r="G151" s="41" t="n"/>
      <c r="H151" s="12">
        <f>H140/H10</f>
        <v/>
      </c>
      <c r="I151" s="12">
        <f>I140/I10</f>
        <v/>
      </c>
      <c r="J151" s="41" t="n"/>
      <c r="K151" s="12">
        <f>K140/K10</f>
        <v/>
      </c>
      <c r="L151" s="12">
        <f>L140/L10</f>
        <v/>
      </c>
      <c r="M151" s="41" t="n"/>
      <c r="N151" s="12">
        <f>N140/N10</f>
        <v/>
      </c>
      <c r="O151" s="12">
        <f>O140/O10</f>
        <v/>
      </c>
      <c r="P151" s="41" t="n"/>
      <c r="Q151" s="12">
        <f>Q140/Q10</f>
        <v/>
      </c>
      <c r="R151" s="12">
        <f>R140/R10</f>
        <v/>
      </c>
      <c r="S151" s="41" t="n"/>
      <c r="T151" s="12">
        <f>T140/T10</f>
        <v/>
      </c>
      <c r="U151" s="12">
        <f>U140/U10</f>
        <v/>
      </c>
      <c r="V151" s="41" t="n"/>
      <c r="W151" s="12">
        <f>W140/W10</f>
        <v/>
      </c>
      <c r="X151" s="12">
        <f>X140/X10</f>
        <v/>
      </c>
      <c r="Y151" s="41" t="n"/>
      <c r="Z151" s="12">
        <f>Z140/Z10</f>
        <v/>
      </c>
      <c r="AA151" s="12">
        <f>AA140/AA10</f>
        <v/>
      </c>
      <c r="AB151" s="41" t="n"/>
      <c r="AC151" s="12">
        <f>AC140/AC10</f>
        <v/>
      </c>
      <c r="AD151" s="12">
        <f>AD140/AD10</f>
        <v/>
      </c>
      <c r="AE151" s="41" t="n"/>
      <c r="AF151" s="12">
        <f>AF140/AF10</f>
        <v/>
      </c>
      <c r="AG151" s="12">
        <f>AG140/AG10</f>
        <v/>
      </c>
      <c r="AH151" s="41" t="n"/>
      <c r="AI151" s="12">
        <f>AI140/AI10</f>
        <v/>
      </c>
      <c r="AJ151" s="12">
        <f>AJ140/AJ10</f>
        <v/>
      </c>
      <c r="AK151" s="41" t="n"/>
      <c r="AL151" s="15" t="n"/>
      <c r="AM151" s="22">
        <f>AP151-AO151</f>
        <v/>
      </c>
      <c r="AO151" s="44">
        <f>IF($A$1=$B$1,B151,IF($A$1=$E$1,E151,IF($A$1=$H$1,H151,IF($A$1=$K$1,K151,IF($A$1=$N$1,N151,IF($A$1=$Q$1,Q151,IF($A$1=$T$1,T151,IF($A$1=$W$1,W151,IF($A$1=$Z$1,Z151,IF($A$1=$AC$1,AC151,IF($A$1=$AF$1,AF151,IF($A$1=$AI$1,AI151))))))))))))</f>
        <v/>
      </c>
      <c r="AP151" s="44">
        <f>IF($A$1=$B$1,C151,IF($A$1=$E$1,F151,IF($A$1=$H$1,I151,IF($A$1=$K$1,L151,IF($A$1=$N$1,O151,IF($A$1=$Q$1,R151,IF($A$1=$T$1,U151,IF($A$1=$W$1,X151,IF($A$1=$Z$1,AA151,IF($A$1=$AC$1,AD151,IF($A$1=$AF$1,AG151,IF($A$1=$AI$1,AJ151))))))))))))</f>
        <v/>
      </c>
    </row>
    <row r="152" ht="15.5" customFormat="1" customHeight="1" s="13">
      <c r="A152" s="26" t="inlineStr">
        <is>
          <t>İncitaş</t>
        </is>
      </c>
      <c r="B152" s="12">
        <f>B141/B11</f>
        <v/>
      </c>
      <c r="C152" s="12">
        <f>C141/C11</f>
        <v/>
      </c>
      <c r="D152" s="41" t="n"/>
      <c r="E152" s="12">
        <f>E141/E11</f>
        <v/>
      </c>
      <c r="F152" s="12">
        <f>F141/F11</f>
        <v/>
      </c>
      <c r="G152" s="41" t="n"/>
      <c r="H152" s="12">
        <f>H141/H11</f>
        <v/>
      </c>
      <c r="I152" s="12">
        <f>I141/I11</f>
        <v/>
      </c>
      <c r="J152" s="41" t="n"/>
      <c r="K152" s="12">
        <f>K141/K11</f>
        <v/>
      </c>
      <c r="L152" s="12">
        <f>L141/L11</f>
        <v/>
      </c>
      <c r="M152" s="41" t="n"/>
      <c r="N152" s="12">
        <f>N141/N11</f>
        <v/>
      </c>
      <c r="O152" s="12">
        <f>O141/O11</f>
        <v/>
      </c>
      <c r="P152" s="41" t="n"/>
      <c r="Q152" s="12">
        <f>Q141/Q11</f>
        <v/>
      </c>
      <c r="R152" s="12">
        <f>R141/R11</f>
        <v/>
      </c>
      <c r="S152" s="41" t="n"/>
      <c r="T152" s="12">
        <f>T141/T11</f>
        <v/>
      </c>
      <c r="U152" s="12">
        <f>U141/U11</f>
        <v/>
      </c>
      <c r="V152" s="41" t="n"/>
      <c r="W152" s="12">
        <f>W141/W11</f>
        <v/>
      </c>
      <c r="X152" s="12">
        <f>X141/X11</f>
        <v/>
      </c>
      <c r="Y152" s="41" t="n"/>
      <c r="Z152" s="12">
        <f>Z141/Z11</f>
        <v/>
      </c>
      <c r="AA152" s="12">
        <f>AA141/AA11</f>
        <v/>
      </c>
      <c r="AB152" s="41" t="n"/>
      <c r="AC152" s="12">
        <f>AC141/AC11</f>
        <v/>
      </c>
      <c r="AD152" s="12">
        <f>AD141/AD11</f>
        <v/>
      </c>
      <c r="AE152" s="41" t="n"/>
      <c r="AF152" s="12">
        <f>AF141/AF11</f>
        <v/>
      </c>
      <c r="AG152" s="12">
        <f>AG141/AG11</f>
        <v/>
      </c>
      <c r="AH152" s="41" t="n"/>
      <c r="AI152" s="12">
        <f>AI141/AI11</f>
        <v/>
      </c>
      <c r="AJ152" s="12">
        <f>AJ141/AJ11</f>
        <v/>
      </c>
      <c r="AK152" s="41" t="n"/>
      <c r="AL152" s="15" t="n"/>
      <c r="AM152" s="22">
        <f>AP152-AO152</f>
        <v/>
      </c>
      <c r="AO152" s="44">
        <f>IF($A$1=$B$1,B152,IF($A$1=$E$1,E152,IF($A$1=$H$1,H152,IF($A$1=$K$1,K152,IF($A$1=$N$1,N152,IF($A$1=$Q$1,Q152,IF($A$1=$T$1,T152,IF($A$1=$W$1,W152,IF($A$1=$Z$1,Z152,IF($A$1=$AC$1,AC152,IF($A$1=$AF$1,AF152,IF($A$1=$AI$1,AI152))))))))))))</f>
        <v/>
      </c>
      <c r="AP152" s="44">
        <f>IF($A$1=$B$1,C152,IF($A$1=$E$1,F152,IF($A$1=$H$1,I152,IF($A$1=$K$1,L152,IF($A$1=$N$1,O152,IF($A$1=$Q$1,R152,IF($A$1=$T$1,U152,IF($A$1=$W$1,X152,IF($A$1=$Z$1,AA152,IF($A$1=$AC$1,AD152,IF($A$1=$AF$1,AG152,IF($A$1=$AI$1,AJ152))))))))))))</f>
        <v/>
      </c>
    </row>
    <row r="153" ht="15.5" customFormat="1" customHeight="1" s="13">
      <c r="A153" s="26" t="inlineStr">
        <is>
          <t>İnci GS Yuasa</t>
        </is>
      </c>
      <c r="B153" s="12">
        <f>B142/B12</f>
        <v/>
      </c>
      <c r="C153" s="12">
        <f>C142/C12</f>
        <v/>
      </c>
      <c r="D153" s="41" t="n"/>
      <c r="E153" s="12">
        <f>E142/E12</f>
        <v/>
      </c>
      <c r="F153" s="12">
        <f>F142/F12</f>
        <v/>
      </c>
      <c r="G153" s="41" t="n"/>
      <c r="H153" s="12">
        <f>H142/H12</f>
        <v/>
      </c>
      <c r="I153" s="12">
        <f>I142/I12</f>
        <v/>
      </c>
      <c r="J153" s="41" t="n"/>
      <c r="K153" s="12">
        <f>K142/K12</f>
        <v/>
      </c>
      <c r="L153" s="12">
        <f>L142/L12</f>
        <v/>
      </c>
      <c r="M153" s="41" t="n"/>
      <c r="N153" s="12">
        <f>N142/N12</f>
        <v/>
      </c>
      <c r="O153" s="12">
        <f>O142/O12</f>
        <v/>
      </c>
      <c r="P153" s="41" t="n"/>
      <c r="Q153" s="12">
        <f>Q142/Q12</f>
        <v/>
      </c>
      <c r="R153" s="12">
        <f>R142/R12</f>
        <v/>
      </c>
      <c r="S153" s="41" t="n"/>
      <c r="T153" s="12">
        <f>T142/T12</f>
        <v/>
      </c>
      <c r="U153" s="12">
        <f>U142/U12</f>
        <v/>
      </c>
      <c r="V153" s="41" t="n"/>
      <c r="W153" s="12">
        <f>W142/W12</f>
        <v/>
      </c>
      <c r="X153" s="12">
        <f>X142/X12</f>
        <v/>
      </c>
      <c r="Y153" s="41" t="n"/>
      <c r="Z153" s="12">
        <f>Z142/Z12</f>
        <v/>
      </c>
      <c r="AA153" s="12">
        <f>AA142/AA12</f>
        <v/>
      </c>
      <c r="AB153" s="41" t="n"/>
      <c r="AC153" s="12">
        <f>AC142/AC12</f>
        <v/>
      </c>
      <c r="AD153" s="12">
        <f>AD142/AD12</f>
        <v/>
      </c>
      <c r="AE153" s="41" t="n"/>
      <c r="AF153" s="12">
        <f>AF142/AF12</f>
        <v/>
      </c>
      <c r="AG153" s="12">
        <f>AG142/AG12</f>
        <v/>
      </c>
      <c r="AH153" s="41" t="n"/>
      <c r="AI153" s="12">
        <f>AI142/AI12</f>
        <v/>
      </c>
      <c r="AJ153" s="12">
        <f>AJ142/AJ12</f>
        <v/>
      </c>
      <c r="AK153" s="41" t="n"/>
      <c r="AL153" s="15" t="n"/>
      <c r="AM153" s="22">
        <f>AP153-AO153</f>
        <v/>
      </c>
      <c r="AO153" s="44">
        <f>IF($A$1=$B$1,B153,IF($A$1=$E$1,E153,IF($A$1=$H$1,H153,IF($A$1=$K$1,K153,IF($A$1=$N$1,N153,IF($A$1=$Q$1,Q153,IF($A$1=$T$1,T153,IF($A$1=$W$1,W153,IF($A$1=$Z$1,Z153,IF($A$1=$AC$1,AC153,IF($A$1=$AF$1,AF153,IF($A$1=$AI$1,AI153))))))))))))</f>
        <v/>
      </c>
      <c r="AP153" s="44">
        <f>IF($A$1=$B$1,C153,IF($A$1=$E$1,F153,IF($A$1=$H$1,I153,IF($A$1=$K$1,L153,IF($A$1=$N$1,O153,IF($A$1=$Q$1,R153,IF($A$1=$T$1,U153,IF($A$1=$W$1,X153,IF($A$1=$Z$1,AA153,IF($A$1=$AC$1,AD153,IF($A$1=$AF$1,AG153,IF($A$1=$AI$1,AJ153))))))))))))</f>
        <v/>
      </c>
    </row>
    <row r="154" ht="15.5" customFormat="1" customHeight="1" s="13">
      <c r="A154" s="26" t="inlineStr">
        <is>
          <t>Yusen İnci Loj.</t>
        </is>
      </c>
      <c r="B154" s="12">
        <f>B143/B13</f>
        <v/>
      </c>
      <c r="C154" s="12">
        <f>C143/C13</f>
        <v/>
      </c>
      <c r="D154" s="41" t="n"/>
      <c r="E154" s="12">
        <f>E143/E13</f>
        <v/>
      </c>
      <c r="F154" s="12">
        <f>F143/F13</f>
        <v/>
      </c>
      <c r="G154" s="41" t="n"/>
      <c r="H154" s="12">
        <f>H143/H13</f>
        <v/>
      </c>
      <c r="I154" s="12">
        <f>I143/I13</f>
        <v/>
      </c>
      <c r="J154" s="41" t="n"/>
      <c r="K154" s="12">
        <f>K143/K13</f>
        <v/>
      </c>
      <c r="L154" s="12">
        <f>L143/L13</f>
        <v/>
      </c>
      <c r="M154" s="41" t="n"/>
      <c r="N154" s="12">
        <f>N143/N13</f>
        <v/>
      </c>
      <c r="O154" s="12">
        <f>O143/O13</f>
        <v/>
      </c>
      <c r="P154" s="41" t="n"/>
      <c r="Q154" s="12">
        <f>Q143/Q13</f>
        <v/>
      </c>
      <c r="R154" s="12">
        <f>R143/R13</f>
        <v/>
      </c>
      <c r="S154" s="41" t="n"/>
      <c r="T154" s="12">
        <f>T143/T13</f>
        <v/>
      </c>
      <c r="U154" s="12">
        <f>U143/U13</f>
        <v/>
      </c>
      <c r="V154" s="41" t="n"/>
      <c r="W154" s="12">
        <f>W143/W13</f>
        <v/>
      </c>
      <c r="X154" s="12">
        <f>X143/X13</f>
        <v/>
      </c>
      <c r="Y154" s="41" t="n"/>
      <c r="Z154" s="12">
        <f>Z143/Z13</f>
        <v/>
      </c>
      <c r="AA154" s="12">
        <f>AA143/AA13</f>
        <v/>
      </c>
      <c r="AB154" s="41" t="n"/>
      <c r="AC154" s="12">
        <f>AC143/AC13</f>
        <v/>
      </c>
      <c r="AD154" s="12">
        <f>AD143/AD13</f>
        <v/>
      </c>
      <c r="AE154" s="41" t="n"/>
      <c r="AF154" s="12">
        <f>AF143/AF13</f>
        <v/>
      </c>
      <c r="AG154" s="12">
        <f>AG143/AG13</f>
        <v/>
      </c>
      <c r="AH154" s="41" t="n"/>
      <c r="AI154" s="12">
        <f>AI143/AI13</f>
        <v/>
      </c>
      <c r="AJ154" s="12">
        <f>AJ143/AJ13</f>
        <v/>
      </c>
      <c r="AK154" s="41" t="n"/>
      <c r="AL154" s="15" t="n"/>
      <c r="AM154" s="22">
        <f>AP154-AO154</f>
        <v/>
      </c>
      <c r="AO154" s="44">
        <f>IF($A$1=$B$1,B154,IF($A$1=$E$1,E154,IF($A$1=$H$1,H154,IF($A$1=$K$1,K154,IF($A$1=$N$1,N154,IF($A$1=$Q$1,Q154,IF($A$1=$T$1,T154,IF($A$1=$W$1,W154,IF($A$1=$Z$1,Z154,IF($A$1=$AC$1,AC154,IF($A$1=$AF$1,AF154,IF($A$1=$AI$1,AI154))))))))))))</f>
        <v/>
      </c>
      <c r="AP154" s="44">
        <f>IF($A$1=$B$1,C154,IF($A$1=$E$1,F154,IF($A$1=$H$1,I154,IF($A$1=$K$1,L154,IF($A$1=$N$1,O154,IF($A$1=$Q$1,R154,IF($A$1=$T$1,U154,IF($A$1=$W$1,X154,IF($A$1=$Z$1,AA154,IF($A$1=$AC$1,AD154,IF($A$1=$AF$1,AG154,IF($A$1=$AI$1,AJ154))))))))))))</f>
        <v/>
      </c>
    </row>
    <row r="155" ht="15.5" customFormat="1" customHeight="1" s="13">
      <c r="A155" s="26" t="inlineStr">
        <is>
          <t>Jantaş</t>
        </is>
      </c>
      <c r="B155" s="12">
        <f>B144/B14</f>
        <v/>
      </c>
      <c r="C155" s="12">
        <f>C144/C14</f>
        <v/>
      </c>
      <c r="D155" s="41" t="n"/>
      <c r="E155" s="12">
        <f>E144/E14</f>
        <v/>
      </c>
      <c r="F155" s="12">
        <f>F144/F14</f>
        <v/>
      </c>
      <c r="G155" s="41" t="n"/>
      <c r="H155" s="12">
        <f>H144/H14</f>
        <v/>
      </c>
      <c r="I155" s="12">
        <f>I144/I14</f>
        <v/>
      </c>
      <c r="J155" s="41" t="n"/>
      <c r="K155" s="12">
        <f>K144/K14</f>
        <v/>
      </c>
      <c r="L155" s="12">
        <f>L144/L14</f>
        <v/>
      </c>
      <c r="M155" s="41" t="n"/>
      <c r="N155" s="12">
        <f>N144/N14</f>
        <v/>
      </c>
      <c r="O155" s="12">
        <f>O144/O14</f>
        <v/>
      </c>
      <c r="P155" s="41" t="n"/>
      <c r="Q155" s="12">
        <f>Q144/Q14</f>
        <v/>
      </c>
      <c r="R155" s="12">
        <f>R144/R14</f>
        <v/>
      </c>
      <c r="S155" s="41" t="n"/>
      <c r="T155" s="12">
        <f>T144/T14</f>
        <v/>
      </c>
      <c r="U155" s="12">
        <f>U144/U14</f>
        <v/>
      </c>
      <c r="V155" s="41" t="n"/>
      <c r="W155" s="12">
        <f>W144/W14</f>
        <v/>
      </c>
      <c r="X155" s="12">
        <f>X144/X14</f>
        <v/>
      </c>
      <c r="Y155" s="41" t="n"/>
      <c r="Z155" s="12">
        <f>Z144/Z14</f>
        <v/>
      </c>
      <c r="AA155" s="12">
        <f>AA144/AA14</f>
        <v/>
      </c>
      <c r="AB155" s="41" t="n"/>
      <c r="AC155" s="12">
        <f>AC144/AC14</f>
        <v/>
      </c>
      <c r="AD155" s="12">
        <f>AD144/AD14</f>
        <v/>
      </c>
      <c r="AE155" s="41" t="n"/>
      <c r="AF155" s="12">
        <f>AF144/AF14</f>
        <v/>
      </c>
      <c r="AG155" s="12">
        <f>AG144/AG14</f>
        <v/>
      </c>
      <c r="AH155" s="41" t="n"/>
      <c r="AI155" s="12">
        <f>AI144/AI14</f>
        <v/>
      </c>
      <c r="AJ155" s="12">
        <f>AJ144/AJ14</f>
        <v/>
      </c>
      <c r="AK155" s="41" t="n"/>
      <c r="AL155" s="15" t="n"/>
      <c r="AM155" s="22">
        <f>AP155-AO155</f>
        <v/>
      </c>
      <c r="AO155" s="44">
        <f>IF($A$1=$B$1,B155,IF($A$1=$E$1,E155,IF($A$1=$H$1,H155,IF($A$1=$K$1,K155,IF($A$1=$N$1,N155,IF($A$1=$Q$1,Q155,IF($A$1=$T$1,T155,IF($A$1=$W$1,W155,IF($A$1=$Z$1,Z155,IF($A$1=$AC$1,AC155,IF($A$1=$AF$1,AF155,IF($A$1=$AI$1,AI155))))))))))))</f>
        <v/>
      </c>
      <c r="AP155" s="44">
        <f>IF($A$1=$B$1,C155,IF($A$1=$E$1,F155,IF($A$1=$H$1,I155,IF($A$1=$K$1,L155,IF($A$1=$N$1,O155,IF($A$1=$Q$1,R155,IF($A$1=$T$1,U155,IF($A$1=$W$1,X155,IF($A$1=$Z$1,AA155,IF($A$1=$AC$1,AD155,IF($A$1=$AF$1,AG155,IF($A$1=$AI$1,AJ155))))))))))))</f>
        <v/>
      </c>
    </row>
    <row r="156" ht="15.5" customFormat="1" customHeight="1" s="13">
      <c r="A156" s="26" t="inlineStr">
        <is>
          <t>Çelik</t>
        </is>
      </c>
      <c r="B156" s="12">
        <f>B145/B15</f>
        <v/>
      </c>
      <c r="C156" s="12">
        <f>C145/C15</f>
        <v/>
      </c>
      <c r="D156" s="41" t="n"/>
      <c r="E156" s="12">
        <f>E145/E15</f>
        <v/>
      </c>
      <c r="F156" s="12">
        <f>F145/F15</f>
        <v/>
      </c>
      <c r="G156" s="41" t="n"/>
      <c r="H156" s="12">
        <f>H145/H15</f>
        <v/>
      </c>
      <c r="I156" s="12">
        <f>I145/I15</f>
        <v/>
      </c>
      <c r="J156" s="41" t="n"/>
      <c r="K156" s="12">
        <f>K145/K15</f>
        <v/>
      </c>
      <c r="L156" s="12">
        <f>L145/L15</f>
        <v/>
      </c>
      <c r="M156" s="41" t="n"/>
      <c r="N156" s="12">
        <f>N145/N15</f>
        <v/>
      </c>
      <c r="O156" s="12">
        <f>O145/O15</f>
        <v/>
      </c>
      <c r="P156" s="41" t="n"/>
      <c r="Q156" s="12">
        <f>Q145/Q15</f>
        <v/>
      </c>
      <c r="R156" s="12">
        <f>R145/R15</f>
        <v/>
      </c>
      <c r="S156" s="41" t="n"/>
      <c r="T156" s="12">
        <f>T145/T15</f>
        <v/>
      </c>
      <c r="U156" s="12">
        <f>U145/U15</f>
        <v/>
      </c>
      <c r="V156" s="41" t="n"/>
      <c r="W156" s="12">
        <f>W145/W15</f>
        <v/>
      </c>
      <c r="X156" s="12">
        <f>X145/X15</f>
        <v/>
      </c>
      <c r="Y156" s="41" t="n"/>
      <c r="Z156" s="12">
        <f>Z145/Z15</f>
        <v/>
      </c>
      <c r="AA156" s="12">
        <f>AA145/AA15</f>
        <v/>
      </c>
      <c r="AB156" s="41" t="n"/>
      <c r="AC156" s="12">
        <f>AC145/AC15</f>
        <v/>
      </c>
      <c r="AD156" s="12">
        <f>AD145/AD15</f>
        <v/>
      </c>
      <c r="AE156" s="41" t="n"/>
      <c r="AF156" s="12">
        <f>AF145/AF15</f>
        <v/>
      </c>
      <c r="AG156" s="12">
        <f>AG145/AG15</f>
        <v/>
      </c>
      <c r="AH156" s="41" t="n"/>
      <c r="AI156" s="12">
        <f>AI145/AI15</f>
        <v/>
      </c>
      <c r="AJ156" s="12">
        <f>AJ145/AJ15</f>
        <v/>
      </c>
      <c r="AK156" s="41" t="n"/>
      <c r="AL156" s="15" t="n"/>
      <c r="AM156" s="22">
        <f>AP156-AO156</f>
        <v/>
      </c>
      <c r="AO156" s="44">
        <f>IF($A$1=$B$1,B156,IF($A$1=$E$1,E156,IF($A$1=$H$1,H156,IF($A$1=$K$1,K156,IF($A$1=$N$1,N156,IF($A$1=$Q$1,Q156,IF($A$1=$T$1,T156,IF($A$1=$W$1,W156,IF($A$1=$Z$1,Z156,IF($A$1=$AC$1,AC156,IF($A$1=$AF$1,AF156,IF($A$1=$AI$1,AI156))))))))))))</f>
        <v/>
      </c>
      <c r="AP156" s="44">
        <f>IF($A$1=$B$1,C156,IF($A$1=$E$1,F156,IF($A$1=$H$1,I156,IF($A$1=$K$1,L156,IF($A$1=$N$1,O156,IF($A$1=$Q$1,R156,IF($A$1=$T$1,U156,IF($A$1=$W$1,X156,IF($A$1=$Z$1,AA156,IF($A$1=$AC$1,AD156,IF($A$1=$AF$1,AG156,IF($A$1=$AI$1,AJ156))))))))))))</f>
        <v/>
      </c>
    </row>
    <row r="157" ht="15.5" customFormat="1" customHeight="1" s="13">
      <c r="A157" s="26" t="inlineStr">
        <is>
          <t>Alüminyum</t>
        </is>
      </c>
      <c r="B157" s="12">
        <f>B146/B16</f>
        <v/>
      </c>
      <c r="C157" s="12">
        <f>C146/C16</f>
        <v/>
      </c>
      <c r="D157" s="41" t="n"/>
      <c r="E157" s="12">
        <f>E146/E16</f>
        <v/>
      </c>
      <c r="F157" s="12">
        <f>F146/F16</f>
        <v/>
      </c>
      <c r="G157" s="41" t="n"/>
      <c r="H157" s="12">
        <f>H146/H16</f>
        <v/>
      </c>
      <c r="I157" s="12">
        <f>I146/I16</f>
        <v/>
      </c>
      <c r="J157" s="41" t="n"/>
      <c r="K157" s="12">
        <f>K146/K16</f>
        <v/>
      </c>
      <c r="L157" s="12">
        <f>L146/L16</f>
        <v/>
      </c>
      <c r="M157" s="41" t="n"/>
      <c r="N157" s="12">
        <f>N146/N16</f>
        <v/>
      </c>
      <c r="O157" s="12">
        <f>O146/O16</f>
        <v/>
      </c>
      <c r="P157" s="41" t="n"/>
      <c r="Q157" s="12">
        <f>Q146/Q16</f>
        <v/>
      </c>
      <c r="R157" s="12">
        <f>R146/R16</f>
        <v/>
      </c>
      <c r="S157" s="41" t="n"/>
      <c r="T157" s="12">
        <f>T146/T16</f>
        <v/>
      </c>
      <c r="U157" s="12">
        <f>U146/U16</f>
        <v/>
      </c>
      <c r="V157" s="41" t="n"/>
      <c r="W157" s="12">
        <f>W146/W16</f>
        <v/>
      </c>
      <c r="X157" s="12">
        <f>X146/X16</f>
        <v/>
      </c>
      <c r="Y157" s="41" t="n"/>
      <c r="Z157" s="12">
        <f>Z146/Z16</f>
        <v/>
      </c>
      <c r="AA157" s="12">
        <f>AA146/AA16</f>
        <v/>
      </c>
      <c r="AB157" s="41" t="n"/>
      <c r="AC157" s="12">
        <f>AC146/AC16</f>
        <v/>
      </c>
      <c r="AD157" s="12">
        <f>AD146/AD16</f>
        <v/>
      </c>
      <c r="AE157" s="41" t="n"/>
      <c r="AF157" s="12">
        <f>AF146/AF16</f>
        <v/>
      </c>
      <c r="AG157" s="12">
        <f>AG146/AG16</f>
        <v/>
      </c>
      <c r="AH157" s="41" t="n"/>
      <c r="AI157" s="12">
        <f>AI146/AI16</f>
        <v/>
      </c>
      <c r="AJ157" s="12">
        <f>AJ146/AJ16</f>
        <v/>
      </c>
      <c r="AK157" s="41" t="n"/>
      <c r="AL157" s="15" t="n"/>
      <c r="AM157" s="22">
        <f>AP157-AO157</f>
        <v/>
      </c>
      <c r="AO157" s="44">
        <f>IF($A$1=$B$1,B157,IF($A$1=$E$1,E157,IF($A$1=$H$1,H157,IF($A$1=$K$1,K157,IF($A$1=$N$1,N157,IF($A$1=$Q$1,Q157,IF($A$1=$T$1,T157,IF($A$1=$W$1,W157,IF($A$1=$Z$1,Z157,IF($A$1=$AC$1,AC157,IF($A$1=$AF$1,AF157,IF($A$1=$AI$1,AI157))))))))))))</f>
        <v/>
      </c>
      <c r="AP157" s="44">
        <f>IF($A$1=$B$1,C157,IF($A$1=$E$1,F157,IF($A$1=$H$1,I157,IF($A$1=$K$1,L157,IF($A$1=$N$1,O157,IF($A$1=$Q$1,R157,IF($A$1=$T$1,U157,IF($A$1=$W$1,X157,IF($A$1=$Z$1,AA157,IF($A$1=$AC$1,AD157,IF($A$1=$AF$1,AG157,IF($A$1=$AI$1,AJ157))))))))))))</f>
        <v/>
      </c>
    </row>
    <row r="158" ht="15.5" customFormat="1" customHeight="1" s="13">
      <c r="A158" s="26" t="n"/>
      <c r="B158" s="12" t="n"/>
      <c r="C158" s="30" t="n"/>
      <c r="D158" s="41" t="n"/>
      <c r="E158" s="12" t="n"/>
      <c r="F158" s="30" t="n"/>
      <c r="G158" s="41" t="n"/>
      <c r="H158" s="12" t="n"/>
      <c r="I158" s="30" t="n"/>
      <c r="J158" s="41" t="n"/>
      <c r="K158" s="12" t="n"/>
      <c r="L158" s="30" t="n"/>
      <c r="M158" s="41" t="n"/>
      <c r="N158" s="12" t="n"/>
      <c r="O158" s="30" t="n"/>
      <c r="P158" s="41" t="n"/>
      <c r="Q158" s="12" t="n"/>
      <c r="R158" s="30" t="n"/>
      <c r="S158" s="41" t="n"/>
      <c r="T158" s="12" t="n"/>
      <c r="U158" s="30" t="n"/>
      <c r="V158" s="41" t="n"/>
      <c r="W158" s="12" t="n"/>
      <c r="X158" s="30" t="n"/>
      <c r="Y158" s="41" t="n"/>
      <c r="Z158" s="12" t="n"/>
      <c r="AA158" s="30" t="n"/>
      <c r="AB158" s="41" t="n"/>
      <c r="AC158" s="12" t="n"/>
      <c r="AD158" s="30" t="n"/>
      <c r="AE158" s="41" t="n"/>
      <c r="AF158" s="12" t="n"/>
      <c r="AG158" s="30" t="n"/>
      <c r="AH158" s="41" t="n"/>
      <c r="AI158" s="12" t="n"/>
      <c r="AJ158" s="30" t="n"/>
      <c r="AK158" s="41" t="n"/>
      <c r="AL158" s="15" t="n"/>
      <c r="AM158" s="22" t="n"/>
      <c r="AO158" s="44" t="n"/>
      <c r="AP158" s="44" t="n"/>
    </row>
    <row r="159" ht="15.5" customFormat="1" customHeight="1" s="13">
      <c r="A159" s="26" t="n"/>
      <c r="B159" s="12" t="n"/>
      <c r="C159" s="30" t="n"/>
      <c r="D159" s="41" t="n"/>
      <c r="E159" s="12" t="n"/>
      <c r="F159" s="30" t="n"/>
      <c r="G159" s="41" t="n"/>
      <c r="H159" s="12" t="n"/>
      <c r="I159" s="30" t="n"/>
      <c r="J159" s="41" t="n"/>
      <c r="K159" s="12" t="n"/>
      <c r="L159" s="30" t="n"/>
      <c r="M159" s="41" t="n"/>
      <c r="N159" s="12" t="n"/>
      <c r="O159" s="30" t="n"/>
      <c r="P159" s="41" t="n"/>
      <c r="Q159" s="12" t="n"/>
      <c r="R159" s="30" t="n"/>
      <c r="S159" s="41" t="n"/>
      <c r="T159" s="12" t="n"/>
      <c r="U159" s="30" t="n"/>
      <c r="V159" s="41" t="n"/>
      <c r="W159" s="12" t="n"/>
      <c r="X159" s="30" t="n"/>
      <c r="Y159" s="41" t="n"/>
      <c r="Z159" s="12" t="n"/>
      <c r="AA159" s="30" t="n"/>
      <c r="AB159" s="41" t="n"/>
      <c r="AC159" s="12" t="n"/>
      <c r="AD159" s="30" t="n"/>
      <c r="AE159" s="41" t="n"/>
      <c r="AF159" s="12" t="n"/>
      <c r="AG159" s="30" t="n"/>
      <c r="AH159" s="41" t="n"/>
      <c r="AI159" s="12" t="n"/>
      <c r="AJ159" s="30" t="n"/>
      <c r="AK159" s="41" t="n"/>
      <c r="AL159" s="15" t="n"/>
      <c r="AM159" s="22" t="n"/>
      <c r="AO159" s="44" t="n"/>
      <c r="AP159" s="44" t="n"/>
    </row>
    <row r="160" ht="15.5" customFormat="1" customHeight="1" s="44">
      <c r="A160" s="31" t="inlineStr">
        <is>
          <t>Finansman Gelir(Gideri)</t>
        </is>
      </c>
      <c r="B160" s="32">
        <f>'Bütçe aylık-TL'!$B$92</f>
        <v/>
      </c>
      <c r="C160" s="32">
        <f>'gerç aylık-tl'!$B$91</f>
        <v/>
      </c>
      <c r="D160" s="18" t="n"/>
      <c r="E160" s="32">
        <f>'Bütçe aylık-TL'!$C$92</f>
        <v/>
      </c>
      <c r="F160" s="32">
        <f>'gerç aylık-tl'!$C$91</f>
        <v/>
      </c>
      <c r="G160" s="18" t="n"/>
      <c r="H160" s="32">
        <f>'Bütçe aylık-TL'!$D$92</f>
        <v/>
      </c>
      <c r="I160" s="32">
        <f>'gerç aylık-tl'!$D$91</f>
        <v/>
      </c>
      <c r="J160" s="18" t="n"/>
      <c r="K160" s="32">
        <f>'Bütçe aylık-TL'!$E$92</f>
        <v/>
      </c>
      <c r="L160" s="32">
        <f>'gerç aylık-tl'!$E$91</f>
        <v/>
      </c>
      <c r="M160" s="18" t="n"/>
      <c r="N160" s="32">
        <f>'Bütçe aylık-TL'!$F$92</f>
        <v/>
      </c>
      <c r="O160" s="32">
        <f>'gerç aylık-tl'!$F$91</f>
        <v/>
      </c>
      <c r="P160" s="18" t="n"/>
      <c r="Q160" s="32">
        <f>'Bütçe aylık-TL'!$G$92</f>
        <v/>
      </c>
      <c r="R160" s="32">
        <f>'gerç aylık-tl'!$G$91</f>
        <v/>
      </c>
      <c r="S160" s="18" t="n"/>
      <c r="T160" s="32">
        <f>'Bütçe aylık-TL'!$H$92</f>
        <v/>
      </c>
      <c r="U160" s="32">
        <f>'gerç aylık-tl'!$H$91</f>
        <v/>
      </c>
      <c r="V160" s="18" t="n"/>
      <c r="W160" s="32">
        <f>'Bütçe aylık-TL'!$I$92</f>
        <v/>
      </c>
      <c r="X160" s="32">
        <f>'gerç aylık-tl'!$I$91</f>
        <v/>
      </c>
      <c r="Y160" s="18" t="n"/>
      <c r="Z160" s="32">
        <f>'Bütçe aylık-TL'!$J$92</f>
        <v/>
      </c>
      <c r="AA160" s="32">
        <f>'gerç aylık-tl'!$J$91</f>
        <v/>
      </c>
      <c r="AB160" s="18" t="n"/>
      <c r="AC160" s="32">
        <f>'Bütçe aylık-TL'!$K$92</f>
        <v/>
      </c>
      <c r="AD160" s="32">
        <f>'gerç aylık-tl'!$K$91</f>
        <v/>
      </c>
      <c r="AE160" s="18" t="n"/>
      <c r="AF160" s="32">
        <f>'Bütçe aylık-TL'!$L$92</f>
        <v/>
      </c>
      <c r="AG160" s="32">
        <f>'gerç aylık-tl'!$L$91</f>
        <v/>
      </c>
      <c r="AH160" s="18" t="n"/>
      <c r="AI160" s="32">
        <f>'Bütçe aylık-TL'!$M$92</f>
        <v/>
      </c>
      <c r="AJ160" s="32">
        <f>'gerç aylık-tl'!$M$91</f>
        <v/>
      </c>
      <c r="AK160" s="18" t="n"/>
      <c r="AL160" s="33">
        <f>AP160-AO160</f>
        <v/>
      </c>
      <c r="AM160" s="34">
        <f>AP160/AO160-1</f>
        <v/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/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/>
      </c>
    </row>
    <row r="161" ht="15.5" customFormat="1" customHeight="1" s="13">
      <c r="A161" s="27" t="n"/>
      <c r="B161" s="30" t="n"/>
      <c r="C161" s="30">
        <f>IFERROR((C118/#REF!),"")</f>
        <v/>
      </c>
      <c r="D161" s="41" t="n"/>
      <c r="E161" s="30" t="n"/>
      <c r="F161" s="30">
        <f>IFERROR((F118/#REF!),"")</f>
        <v/>
      </c>
      <c r="G161" s="41" t="n"/>
      <c r="H161" s="30" t="n"/>
      <c r="I161" s="30">
        <f>IFERROR((I118/#REF!),"")</f>
        <v/>
      </c>
      <c r="J161" s="41" t="n"/>
      <c r="K161" s="30" t="n"/>
      <c r="L161" s="30">
        <f>IFERROR((L118/#REF!),"")</f>
        <v/>
      </c>
      <c r="M161" s="41" t="n"/>
      <c r="N161" s="30" t="n"/>
      <c r="O161" s="30">
        <f>IFERROR((O118/#REF!),"")</f>
        <v/>
      </c>
      <c r="P161" s="41" t="n"/>
      <c r="Q161" s="30" t="n"/>
      <c r="R161" s="30">
        <f>IFERROR((R118/#REF!),"")</f>
        <v/>
      </c>
      <c r="S161" s="41" t="n"/>
      <c r="T161" s="30" t="n"/>
      <c r="U161" s="30">
        <f>IFERROR((U118/#REF!),"")</f>
        <v/>
      </c>
      <c r="V161" s="41" t="n"/>
      <c r="W161" s="30" t="n"/>
      <c r="X161" s="30">
        <f>IFERROR((X118/#REF!),"")</f>
        <v/>
      </c>
      <c r="Y161" s="41" t="n"/>
      <c r="Z161" s="30" t="n"/>
      <c r="AA161" s="30">
        <f>IFERROR((AA118/#REF!),"")</f>
        <v/>
      </c>
      <c r="AB161" s="41" t="n"/>
      <c r="AC161" s="30" t="n"/>
      <c r="AD161" s="30">
        <f>IFERROR((AD118/#REF!),"")</f>
        <v/>
      </c>
      <c r="AE161" s="41" t="n"/>
      <c r="AF161" s="30" t="n"/>
      <c r="AG161" s="30">
        <f>IFERROR((AG118/#REF!),"")</f>
        <v/>
      </c>
      <c r="AH161" s="41" t="n"/>
      <c r="AI161" s="30" t="n"/>
      <c r="AJ161" s="30">
        <f>IFERROR((AJ118/#REF!),"")</f>
        <v/>
      </c>
      <c r="AK161" s="41" t="n"/>
      <c r="AL161" s="15" t="n"/>
      <c r="AM161" s="22" t="n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/>
      </c>
      <c r="AP161" s="44">
        <f>IF($A$1=$B$1,C161,IF($A$1=$E$1,F161,IF($A$1=$H$1,I161,IF($A$1=$K$1,L161,IF($A$1=$N$1,O161,IF($A$1=$Q$1,R161,IF($A$1=$T$1,U161,IF($A$1=$W$1,X161,IF($A$1=$Z$1,AA161,IF($A$1=$AC$1,AD161,IF($A$1=$AF$1,AG161,IF($A$1=$AI$1,AJ161))))))))))))</f>
        <v/>
      </c>
    </row>
    <row r="162" ht="17" customFormat="1" customHeight="1" s="49">
      <c r="A162" s="47" t="inlineStr">
        <is>
          <t>Finansman Gelir(Gideri) (100%)</t>
        </is>
      </c>
      <c r="B162" s="413" t="n"/>
      <c r="C162" s="413" t="n"/>
      <c r="D162" s="413" t="n"/>
      <c r="E162" s="413" t="n"/>
      <c r="F162" s="413" t="n"/>
      <c r="G162" s="413" t="n"/>
      <c r="H162" s="413" t="n"/>
      <c r="I162" s="413" t="n"/>
      <c r="J162" s="413" t="n"/>
      <c r="K162" s="413" t="n"/>
      <c r="L162" s="413" t="n"/>
      <c r="M162" s="413" t="n"/>
      <c r="N162" s="413" t="n"/>
      <c r="O162" s="413" t="n"/>
      <c r="P162" s="413" t="n"/>
      <c r="Q162" s="413" t="n"/>
      <c r="R162" s="413" t="n"/>
      <c r="S162" s="413" t="n"/>
      <c r="T162" s="413" t="n"/>
      <c r="U162" s="413" t="n"/>
      <c r="V162" s="413" t="n"/>
      <c r="W162" s="413" t="n"/>
      <c r="X162" s="413" t="n"/>
      <c r="Y162" s="413" t="n"/>
      <c r="Z162" s="413" t="n"/>
      <c r="AA162" s="413" t="n"/>
      <c r="AB162" s="413" t="n"/>
      <c r="AC162" s="413" t="n"/>
      <c r="AD162" s="413" t="n"/>
      <c r="AE162" s="413" t="n"/>
      <c r="AF162" s="413" t="n"/>
      <c r="AG162" s="413" t="n"/>
      <c r="AH162" s="413" t="n"/>
      <c r="AI162" s="413" t="n"/>
      <c r="AJ162" s="413" t="n"/>
      <c r="AK162" s="413" t="n"/>
      <c r="AL162" s="413" t="n"/>
      <c r="AM162" s="48" t="n"/>
    </row>
    <row r="163" ht="15.5" customHeight="1">
      <c r="A163" s="26" t="inlineStr">
        <is>
          <t xml:space="preserve">İnci Holding </t>
        </is>
      </c>
      <c r="B163" s="7">
        <f>'Bütçe aylık-TL'!$B$93</f>
        <v/>
      </c>
      <c r="C163" s="7">
        <f>'gerç aylık-tl'!$B$92</f>
        <v/>
      </c>
      <c r="D163" s="7" t="n"/>
      <c r="E163" s="7">
        <f>'Bütçe aylık-TL'!$C$93</f>
        <v/>
      </c>
      <c r="F163" s="7">
        <f>'gerç aylık-tl'!$C$92</f>
        <v/>
      </c>
      <c r="G163" s="7" t="n"/>
      <c r="H163" s="7">
        <f>'Bütçe aylık-TL'!$D$93</f>
        <v/>
      </c>
      <c r="I163" s="7">
        <f>'gerç aylık-tl'!$D$92</f>
        <v/>
      </c>
      <c r="J163" s="7" t="n"/>
      <c r="K163" s="7">
        <f>'Bütçe aylık-TL'!$E$93</f>
        <v/>
      </c>
      <c r="L163" s="7">
        <f>'gerç aylık-tl'!$E$92</f>
        <v/>
      </c>
      <c r="M163" s="7" t="n"/>
      <c r="N163" s="7">
        <f>'Bütçe aylık-TL'!$F$93</f>
        <v/>
      </c>
      <c r="O163" s="7">
        <f>'gerç aylık-tl'!$F$92</f>
        <v/>
      </c>
      <c r="P163" s="7" t="n"/>
      <c r="Q163" s="7">
        <f>'Bütçe aylık-TL'!$G$93</f>
        <v/>
      </c>
      <c r="R163" s="7">
        <f>'gerç aylık-tl'!$G$92</f>
        <v/>
      </c>
      <c r="S163" s="7" t="n"/>
      <c r="T163" s="7">
        <f>'Bütçe aylık-TL'!$H$93</f>
        <v/>
      </c>
      <c r="U163" s="7">
        <f>'gerç aylık-tl'!$H$92</f>
        <v/>
      </c>
      <c r="V163" s="7" t="n"/>
      <c r="W163" s="7">
        <f>'Bütçe aylık-TL'!$I$93</f>
        <v/>
      </c>
      <c r="X163" s="7">
        <f>'gerç aylık-tl'!$I$92</f>
        <v/>
      </c>
      <c r="Y163" s="7" t="n"/>
      <c r="Z163" s="7">
        <f>'Bütçe aylık-TL'!$J$93</f>
        <v/>
      </c>
      <c r="AA163" s="7">
        <f>'gerç aylık-tl'!$J$92</f>
        <v/>
      </c>
      <c r="AB163" s="7" t="n"/>
      <c r="AC163" s="7">
        <f>'Bütçe aylık-TL'!$K$93</f>
        <v/>
      </c>
      <c r="AD163" s="7">
        <f>'gerç aylık-tl'!$K$92</f>
        <v/>
      </c>
      <c r="AE163" s="7" t="n"/>
      <c r="AF163" s="7">
        <f>'Bütçe aylık-TL'!$L$93</f>
        <v/>
      </c>
      <c r="AG163" s="7">
        <f>'gerç aylık-tl'!$L$92</f>
        <v/>
      </c>
      <c r="AH163" s="7" t="n"/>
      <c r="AI163" s="7">
        <f>'Bütçe aylık-TL'!$M$93</f>
        <v/>
      </c>
      <c r="AJ163" s="7">
        <f>'gerç aylık-tl'!$M$92</f>
        <v/>
      </c>
      <c r="AK163" s="7" t="n"/>
      <c r="AL163" s="21">
        <f>AP163-AO163</f>
        <v/>
      </c>
      <c r="AM163" s="22">
        <f>AP163/AO163-1</f>
        <v/>
      </c>
      <c r="AO163" s="44">
        <f>IF($A$1=$B$1,B163,IF($A$1=$E$1,E163,IF($A$1=$H$1,H163,IF($A$1=$K$1,K163,IF($A$1=$N$1,N163,IF($A$1=$Q$1,Q163,IF($A$1=$T$1,T163,IF($A$1=$W$1,W163,IF($A$1=$Z$1,Z163,IF($A$1=$AC$1,AC163,IF($A$1=$AF$1,AF163,IF($A$1=$AI$1,AI163))))))))))))</f>
        <v/>
      </c>
      <c r="AP163" s="44">
        <f>IF($A$1=$B$1,C163,IF($A$1=$E$1,F163,IF($A$1=$H$1,I163,IF($A$1=$K$1,L163,IF($A$1=$N$1,O163,IF($A$1=$Q$1,R163,IF($A$1=$T$1,U163,IF($A$1=$W$1,X163,IF($A$1=$Z$1,AA163,IF($A$1=$AC$1,AD163,IF($A$1=$AF$1,AG163,IF($A$1=$AI$1,AJ163))))))))))))</f>
        <v/>
      </c>
    </row>
    <row r="164" ht="15.5" customHeight="1">
      <c r="A164" s="26" t="inlineStr">
        <is>
          <t xml:space="preserve">ISM </t>
        </is>
      </c>
      <c r="B164" s="7">
        <f>'Bütçe aylık-TL'!$B$94</f>
        <v/>
      </c>
      <c r="C164" s="7">
        <f>'gerç aylık-tl'!$B$93</f>
        <v/>
      </c>
      <c r="D164" s="7" t="n"/>
      <c r="E164" s="7">
        <f>'Bütçe aylık-TL'!$C$94</f>
        <v/>
      </c>
      <c r="F164" s="7">
        <f>'gerç aylık-tl'!$C$93</f>
        <v/>
      </c>
      <c r="G164" s="7" t="n"/>
      <c r="H164" s="7">
        <f>'Bütçe aylık-TL'!$D$94</f>
        <v/>
      </c>
      <c r="I164" s="7">
        <f>'gerç aylık-tl'!$D$93</f>
        <v/>
      </c>
      <c r="J164" s="7" t="n"/>
      <c r="K164" s="7">
        <f>'Bütçe aylık-TL'!$E$94</f>
        <v/>
      </c>
      <c r="L164" s="7">
        <f>'gerç aylık-tl'!$E$93</f>
        <v/>
      </c>
      <c r="M164" s="7" t="n"/>
      <c r="N164" s="7">
        <f>'Bütçe aylık-TL'!$F$94</f>
        <v/>
      </c>
      <c r="O164" s="7">
        <f>'gerç aylık-tl'!$F$93</f>
        <v/>
      </c>
      <c r="P164" s="7" t="n"/>
      <c r="Q164" s="7">
        <f>'Bütçe aylık-TL'!$G$94</f>
        <v/>
      </c>
      <c r="R164" s="7">
        <f>'gerç aylık-tl'!$G$93</f>
        <v/>
      </c>
      <c r="S164" s="7" t="n"/>
      <c r="T164" s="7">
        <f>'Bütçe aylık-TL'!$H$94</f>
        <v/>
      </c>
      <c r="U164" s="7">
        <f>'gerç aylık-tl'!$H$93</f>
        <v/>
      </c>
      <c r="V164" s="7" t="n"/>
      <c r="W164" s="7">
        <f>'Bütçe aylık-TL'!$I$94</f>
        <v/>
      </c>
      <c r="X164" s="7">
        <f>'gerç aylık-tl'!$I$93</f>
        <v/>
      </c>
      <c r="Y164" s="7" t="n"/>
      <c r="Z164" s="7">
        <f>'Bütçe aylık-TL'!$J$94</f>
        <v/>
      </c>
      <c r="AA164" s="7">
        <f>'gerç aylık-tl'!$J$93</f>
        <v/>
      </c>
      <c r="AB164" s="7" t="n"/>
      <c r="AC164" s="7">
        <f>'Bütçe aylık-TL'!$K$94</f>
        <v/>
      </c>
      <c r="AD164" s="7">
        <f>'gerç aylık-tl'!$K$93</f>
        <v/>
      </c>
      <c r="AE164" s="7" t="n"/>
      <c r="AF164" s="7">
        <f>'Bütçe aylık-TL'!$L$94</f>
        <v/>
      </c>
      <c r="AG164" s="7">
        <f>'gerç aylık-tl'!$L$93</f>
        <v/>
      </c>
      <c r="AH164" s="7" t="n"/>
      <c r="AI164" s="7">
        <f>'Bütçe aylık-TL'!$M$94</f>
        <v/>
      </c>
      <c r="AJ164" s="7">
        <f>'gerç aylık-tl'!$M$93</f>
        <v/>
      </c>
      <c r="AK164" s="7" t="n"/>
      <c r="AL164" s="21">
        <f>AP164-AO164</f>
        <v/>
      </c>
      <c r="AM164" s="22">
        <f>AP164/AO164-1</f>
        <v/>
      </c>
      <c r="AO164" s="44">
        <f>IF($A$1=$B$1,B164,IF($A$1=$E$1,E164,IF($A$1=$H$1,H164,IF($A$1=$K$1,K164,IF($A$1=$N$1,N164,IF($A$1=$Q$1,Q164,IF($A$1=$T$1,T164,IF($A$1=$W$1,W164,IF($A$1=$Z$1,Z164,IF($A$1=$AC$1,AC164,IF($A$1=$AF$1,AF164,IF($A$1=$AI$1,AI164))))))))))))</f>
        <v/>
      </c>
      <c r="AP164" s="44">
        <f>IF($A$1=$B$1,C164,IF($A$1=$E$1,F164,IF($A$1=$H$1,I164,IF($A$1=$K$1,L164,IF($A$1=$N$1,O164,IF($A$1=$Q$1,R164,IF($A$1=$T$1,U164,IF($A$1=$W$1,X164,IF($A$1=$Z$1,AA164,IF($A$1=$AC$1,AD164,IF($A$1=$AF$1,AG164,IF($A$1=$AI$1,AJ164))))))))))))</f>
        <v/>
      </c>
    </row>
    <row r="165" ht="15.5" customHeight="1">
      <c r="A165" s="26" t="inlineStr">
        <is>
          <t>İncitaş</t>
        </is>
      </c>
      <c r="B165" s="7">
        <f>'Bütçe aylık-TL'!$B$95</f>
        <v/>
      </c>
      <c r="C165" s="7">
        <f>'gerç aylık-tl'!$B$94</f>
        <v/>
      </c>
      <c r="D165" s="7" t="n"/>
      <c r="E165" s="7">
        <f>'Bütçe aylık-TL'!$C$95</f>
        <v/>
      </c>
      <c r="F165" s="7">
        <f>'gerç aylık-tl'!$C$94</f>
        <v/>
      </c>
      <c r="G165" s="7" t="n"/>
      <c r="H165" s="7">
        <f>'Bütçe aylık-TL'!$D$95</f>
        <v/>
      </c>
      <c r="I165" s="7">
        <f>'gerç aylık-tl'!$D$94</f>
        <v/>
      </c>
      <c r="J165" s="7" t="n"/>
      <c r="K165" s="7">
        <f>'Bütçe aylık-TL'!$E$95</f>
        <v/>
      </c>
      <c r="L165" s="7">
        <f>'gerç aylık-tl'!$E$94</f>
        <v/>
      </c>
      <c r="M165" s="7" t="n"/>
      <c r="N165" s="7">
        <f>'Bütçe aylık-TL'!$F$95</f>
        <v/>
      </c>
      <c r="O165" s="7">
        <f>'gerç aylık-tl'!$F$94</f>
        <v/>
      </c>
      <c r="P165" s="7" t="n"/>
      <c r="Q165" s="7">
        <f>'Bütçe aylık-TL'!$G$95</f>
        <v/>
      </c>
      <c r="R165" s="7">
        <f>'gerç aylık-tl'!$G$94</f>
        <v/>
      </c>
      <c r="S165" s="7" t="n"/>
      <c r="T165" s="7">
        <f>'Bütçe aylık-TL'!$H$95</f>
        <v/>
      </c>
      <c r="U165" s="7">
        <f>'gerç aylık-tl'!$H$94</f>
        <v/>
      </c>
      <c r="V165" s="7" t="n"/>
      <c r="W165" s="7">
        <f>'Bütçe aylık-TL'!$I$95</f>
        <v/>
      </c>
      <c r="X165" s="7">
        <f>'gerç aylık-tl'!$I$94</f>
        <v/>
      </c>
      <c r="Y165" s="7" t="n"/>
      <c r="Z165" s="7">
        <f>'Bütçe aylık-TL'!$J$95</f>
        <v/>
      </c>
      <c r="AA165" s="7">
        <f>'gerç aylık-tl'!$J$94</f>
        <v/>
      </c>
      <c r="AB165" s="7" t="n"/>
      <c r="AC165" s="7">
        <f>'Bütçe aylık-TL'!$K$95</f>
        <v/>
      </c>
      <c r="AD165" s="7">
        <f>'gerç aylık-tl'!$K$94</f>
        <v/>
      </c>
      <c r="AE165" s="7" t="n"/>
      <c r="AF165" s="7">
        <f>'Bütçe aylık-TL'!$L$95</f>
        <v/>
      </c>
      <c r="AG165" s="7">
        <f>'gerç aylık-tl'!$L$94</f>
        <v/>
      </c>
      <c r="AH165" s="7" t="n"/>
      <c r="AI165" s="7">
        <f>'Bütçe aylık-TL'!$M$95</f>
        <v/>
      </c>
      <c r="AJ165" s="7">
        <f>'gerç aylık-tl'!$M$94</f>
        <v/>
      </c>
      <c r="AK165" s="7" t="n"/>
      <c r="AL165" s="21">
        <f>AP165-AO165</f>
        <v/>
      </c>
      <c r="AM165" s="22">
        <f>AP165/AO165-1</f>
        <v/>
      </c>
      <c r="AO165" s="44">
        <f>IF($A$1=$B$1,B165,IF($A$1=$E$1,E165,IF($A$1=$H$1,H165,IF($A$1=$K$1,K165,IF($A$1=$N$1,N165,IF($A$1=$Q$1,Q165,IF($A$1=$T$1,T165,IF($A$1=$W$1,W165,IF($A$1=$Z$1,Z165,IF($A$1=$AC$1,AC165,IF($A$1=$AF$1,AF165,IF($A$1=$AI$1,AI165))))))))))))</f>
        <v/>
      </c>
      <c r="AP165" s="44">
        <f>IF($A$1=$B$1,C165,IF($A$1=$E$1,F165,IF($A$1=$H$1,I165,IF($A$1=$K$1,L165,IF($A$1=$N$1,O165,IF($A$1=$Q$1,R165,IF($A$1=$T$1,U165,IF($A$1=$W$1,X165,IF($A$1=$Z$1,AA165,IF($A$1=$AC$1,AD165,IF($A$1=$AF$1,AG165,IF($A$1=$AI$1,AJ165))))))))))))</f>
        <v/>
      </c>
    </row>
    <row r="166" ht="15.5" customHeight="1">
      <c r="A166" s="26" t="inlineStr">
        <is>
          <t>İnci GS Yuasa</t>
        </is>
      </c>
      <c r="B166" s="7">
        <f>'Bütçe aylık-TL'!$B$96</f>
        <v/>
      </c>
      <c r="C166" s="7">
        <f>'gerç aylık-tl'!$B$95</f>
        <v/>
      </c>
      <c r="D166" s="7" t="n"/>
      <c r="E166" s="7">
        <f>'Bütçe aylık-TL'!$C$96</f>
        <v/>
      </c>
      <c r="F166" s="7">
        <f>'gerç aylık-tl'!$C$95</f>
        <v/>
      </c>
      <c r="G166" s="7" t="n"/>
      <c r="H166" s="7">
        <f>'Bütçe aylık-TL'!$D$96</f>
        <v/>
      </c>
      <c r="I166" s="7">
        <f>'gerç aylık-tl'!$D$95</f>
        <v/>
      </c>
      <c r="J166" s="7" t="n"/>
      <c r="K166" s="7">
        <f>'Bütçe aylık-TL'!$E$96</f>
        <v/>
      </c>
      <c r="L166" s="7">
        <f>'gerç aylık-tl'!$E$95</f>
        <v/>
      </c>
      <c r="M166" s="7" t="n"/>
      <c r="N166" s="7">
        <f>'Bütçe aylık-TL'!$F$96</f>
        <v/>
      </c>
      <c r="O166" s="7">
        <f>'gerç aylık-tl'!$F$95</f>
        <v/>
      </c>
      <c r="P166" s="7" t="n"/>
      <c r="Q166" s="7">
        <f>'Bütçe aylık-TL'!$G$96</f>
        <v/>
      </c>
      <c r="R166" s="7">
        <f>'gerç aylık-tl'!$G$95</f>
        <v/>
      </c>
      <c r="S166" s="7" t="n"/>
      <c r="T166" s="7">
        <f>'Bütçe aylık-TL'!$H$96</f>
        <v/>
      </c>
      <c r="U166" s="7">
        <f>'gerç aylık-tl'!$H$95</f>
        <v/>
      </c>
      <c r="V166" s="7" t="n"/>
      <c r="W166" s="7">
        <f>'Bütçe aylık-TL'!$I$96</f>
        <v/>
      </c>
      <c r="X166" s="7">
        <f>'gerç aylık-tl'!$I$95</f>
        <v/>
      </c>
      <c r="Y166" s="7" t="n"/>
      <c r="Z166" s="7">
        <f>'Bütçe aylık-TL'!$J$96</f>
        <v/>
      </c>
      <c r="AA166" s="7">
        <f>'gerç aylık-tl'!$J$95</f>
        <v/>
      </c>
      <c r="AB166" s="7" t="n"/>
      <c r="AC166" s="7">
        <f>'Bütçe aylık-TL'!$K$96</f>
        <v/>
      </c>
      <c r="AD166" s="7">
        <f>'gerç aylık-tl'!$K$95</f>
        <v/>
      </c>
      <c r="AE166" s="7" t="n"/>
      <c r="AF166" s="7">
        <f>'Bütçe aylık-TL'!$L$96</f>
        <v/>
      </c>
      <c r="AG166" s="7">
        <f>'gerç aylık-tl'!$L$95</f>
        <v/>
      </c>
      <c r="AH166" s="7" t="n"/>
      <c r="AI166" s="7">
        <f>'Bütçe aylık-TL'!$M$96</f>
        <v/>
      </c>
      <c r="AJ166" s="7">
        <f>'gerç aylık-tl'!$M$95</f>
        <v/>
      </c>
      <c r="AK166" s="7" t="n"/>
      <c r="AL166" s="21">
        <f>AP166-AO166</f>
        <v/>
      </c>
      <c r="AM166" s="22">
        <f>AP166/AO166-1</f>
        <v/>
      </c>
      <c r="AO166" s="44">
        <f>IF($A$1=$B$1,B166,IF($A$1=$E$1,E166,IF($A$1=$H$1,H166,IF($A$1=$K$1,K166,IF($A$1=$N$1,N166,IF($A$1=$Q$1,Q166,IF($A$1=$T$1,T166,IF($A$1=$W$1,W166,IF($A$1=$Z$1,Z166,IF($A$1=$AC$1,AC166,IF($A$1=$AF$1,AF166,IF($A$1=$AI$1,AI166))))))))))))</f>
        <v/>
      </c>
      <c r="AP166" s="44">
        <f>IF($A$1=$B$1,C166,IF($A$1=$E$1,F166,IF($A$1=$H$1,I166,IF($A$1=$K$1,L166,IF($A$1=$N$1,O166,IF($A$1=$Q$1,R166,IF($A$1=$T$1,U166,IF($A$1=$W$1,X166,IF($A$1=$Z$1,AA166,IF($A$1=$AC$1,AD166,IF($A$1=$AF$1,AG166,IF($A$1=$AI$1,AJ166))))))))))))</f>
        <v/>
      </c>
    </row>
    <row r="167" ht="15.5" customFormat="1" customHeight="1" s="1">
      <c r="A167" s="26" t="inlineStr">
        <is>
          <t>Yusen İnci Loj.</t>
        </is>
      </c>
      <c r="B167" s="7">
        <f>'Bütçe aylık-TL'!$B$97</f>
        <v/>
      </c>
      <c r="C167" s="7">
        <f>'gerç aylık-tl'!$B$96</f>
        <v/>
      </c>
      <c r="D167" s="8" t="n"/>
      <c r="E167" s="7">
        <f>'Bütçe aylık-TL'!$C$97</f>
        <v/>
      </c>
      <c r="F167" s="7">
        <f>'gerç aylık-tl'!$C$96</f>
        <v/>
      </c>
      <c r="G167" s="8" t="n"/>
      <c r="H167" s="7">
        <f>'Bütçe aylık-TL'!$D$97</f>
        <v/>
      </c>
      <c r="I167" s="7">
        <f>'gerç aylık-tl'!$D$96</f>
        <v/>
      </c>
      <c r="J167" s="8" t="n"/>
      <c r="K167" s="7">
        <f>'Bütçe aylık-TL'!$E$97</f>
        <v/>
      </c>
      <c r="L167" s="7">
        <f>'gerç aylık-tl'!$E$96</f>
        <v/>
      </c>
      <c r="M167" s="8" t="n"/>
      <c r="N167" s="7">
        <f>'Bütçe aylık-TL'!$F$97</f>
        <v/>
      </c>
      <c r="O167" s="7">
        <f>'gerç aylık-tl'!$F$96</f>
        <v/>
      </c>
      <c r="P167" s="8" t="n"/>
      <c r="Q167" s="7">
        <f>'Bütçe aylık-TL'!$G$97</f>
        <v/>
      </c>
      <c r="R167" s="7">
        <f>'gerç aylık-tl'!$G$96</f>
        <v/>
      </c>
      <c r="S167" s="8" t="n"/>
      <c r="T167" s="7">
        <f>'Bütçe aylık-TL'!$H$97</f>
        <v/>
      </c>
      <c r="U167" s="7">
        <f>'gerç aylık-tl'!$H$96</f>
        <v/>
      </c>
      <c r="V167" s="8" t="n"/>
      <c r="W167" s="7">
        <f>'Bütçe aylık-TL'!$I$97</f>
        <v/>
      </c>
      <c r="X167" s="7">
        <f>'gerç aylık-tl'!$I$96</f>
        <v/>
      </c>
      <c r="Y167" s="8" t="n"/>
      <c r="Z167" s="7">
        <f>'Bütçe aylık-TL'!$J$97</f>
        <v/>
      </c>
      <c r="AA167" s="7">
        <f>'gerç aylık-tl'!$J$96</f>
        <v/>
      </c>
      <c r="AB167" s="8" t="n"/>
      <c r="AC167" s="7">
        <f>'Bütçe aylık-TL'!$K$97</f>
        <v/>
      </c>
      <c r="AD167" s="7">
        <f>'gerç aylık-tl'!$K$96</f>
        <v/>
      </c>
      <c r="AE167" s="8" t="n"/>
      <c r="AF167" s="7">
        <f>'Bütçe aylık-TL'!$L$97</f>
        <v/>
      </c>
      <c r="AG167" s="7">
        <f>'gerç aylık-tl'!$L$96</f>
        <v/>
      </c>
      <c r="AH167" s="8" t="n"/>
      <c r="AI167" s="7">
        <f>'Bütçe aylık-TL'!$M$97</f>
        <v/>
      </c>
      <c r="AJ167" s="7">
        <f>'gerç aylık-tl'!$M$96</f>
        <v/>
      </c>
      <c r="AK167" s="8" t="n"/>
      <c r="AL167" s="21">
        <f>AP167-AO167</f>
        <v/>
      </c>
      <c r="AM167" s="22">
        <f>AP167/AO167-1</f>
        <v/>
      </c>
      <c r="AO167" s="44">
        <f>IF($A$1=$B$1,B167,IF($A$1=$E$1,E167,IF($A$1=$H$1,H167,IF($A$1=$K$1,K167,IF($A$1=$N$1,N167,IF($A$1=$Q$1,Q167,IF($A$1=$T$1,T167,IF($A$1=$W$1,W167,IF($A$1=$Z$1,Z167,IF($A$1=$AC$1,AC167,IF($A$1=$AF$1,AF167,IF($A$1=$AI$1,AI167))))))))))))</f>
        <v/>
      </c>
      <c r="AP167" s="44">
        <f>IF($A$1=$B$1,C167,IF($A$1=$E$1,F167,IF($A$1=$H$1,I167,IF($A$1=$K$1,L167,IF($A$1=$N$1,O167,IF($A$1=$Q$1,R167,IF($A$1=$T$1,U167,IF($A$1=$W$1,X167,IF($A$1=$Z$1,AA167,IF($A$1=$AC$1,AD167,IF($A$1=$AF$1,AG167,IF($A$1=$AI$1,AJ167))))))))))))</f>
        <v/>
      </c>
    </row>
    <row r="168" ht="15.5" customHeight="1">
      <c r="A168" s="26" t="inlineStr">
        <is>
          <t>Jantaş</t>
        </is>
      </c>
      <c r="B168" s="7">
        <f>'Bütçe aylık-TL'!$B$98</f>
        <v/>
      </c>
      <c r="C168" s="7">
        <f>'gerç aylık-tl'!$B$97</f>
        <v/>
      </c>
      <c r="D168" s="7" t="n"/>
      <c r="E168" s="7">
        <f>'Bütçe aylık-TL'!$C$98</f>
        <v/>
      </c>
      <c r="F168" s="7">
        <f>'gerç aylık-tl'!$C$97</f>
        <v/>
      </c>
      <c r="G168" s="7" t="n"/>
      <c r="H168" s="7">
        <f>'Bütçe aylık-TL'!$D$98</f>
        <v/>
      </c>
      <c r="I168" s="7">
        <f>'gerç aylık-tl'!$D$97</f>
        <v/>
      </c>
      <c r="J168" s="7" t="n"/>
      <c r="K168" s="7">
        <f>'Bütçe aylık-TL'!$E$98</f>
        <v/>
      </c>
      <c r="L168" s="7">
        <f>'gerç aylık-tl'!$E$97</f>
        <v/>
      </c>
      <c r="M168" s="7" t="n"/>
      <c r="N168" s="7">
        <f>'Bütçe aylık-TL'!$F$98</f>
        <v/>
      </c>
      <c r="O168" s="7">
        <f>'gerç aylık-tl'!$F$97</f>
        <v/>
      </c>
      <c r="P168" s="7" t="n"/>
      <c r="Q168" s="7">
        <f>'Bütçe aylık-TL'!$G$98</f>
        <v/>
      </c>
      <c r="R168" s="7">
        <f>'gerç aylık-tl'!$G$97</f>
        <v/>
      </c>
      <c r="S168" s="7" t="n"/>
      <c r="T168" s="7">
        <f>'Bütçe aylık-TL'!$H$98</f>
        <v/>
      </c>
      <c r="U168" s="7">
        <f>'gerç aylık-tl'!$H$97</f>
        <v/>
      </c>
      <c r="V168" s="7" t="n"/>
      <c r="W168" s="7">
        <f>'Bütçe aylık-TL'!$I$98</f>
        <v/>
      </c>
      <c r="X168" s="7">
        <f>'gerç aylık-tl'!$I$97</f>
        <v/>
      </c>
      <c r="Y168" s="7" t="n"/>
      <c r="Z168" s="7">
        <f>'Bütçe aylık-TL'!$J$98</f>
        <v/>
      </c>
      <c r="AA168" s="7">
        <f>'gerç aylık-tl'!$J$97</f>
        <v/>
      </c>
      <c r="AB168" s="7" t="n"/>
      <c r="AC168" s="7">
        <f>'Bütçe aylık-TL'!$K$98</f>
        <v/>
      </c>
      <c r="AD168" s="7">
        <f>'gerç aylık-tl'!$K$97</f>
        <v/>
      </c>
      <c r="AE168" s="7" t="n"/>
      <c r="AF168" s="7">
        <f>'Bütçe aylık-TL'!$L$98</f>
        <v/>
      </c>
      <c r="AG168" s="7">
        <f>'gerç aylık-tl'!$L$97</f>
        <v/>
      </c>
      <c r="AH168" s="7" t="n"/>
      <c r="AI168" s="7">
        <f>'Bütçe aylık-TL'!$M$98</f>
        <v/>
      </c>
      <c r="AJ168" s="7">
        <f>'gerç aylık-tl'!$M$97</f>
        <v/>
      </c>
      <c r="AK168" s="7" t="n"/>
      <c r="AL168" s="21">
        <f>AP168-AO168</f>
        <v/>
      </c>
      <c r="AM168" s="22">
        <f>AP168/AO168-1</f>
        <v/>
      </c>
      <c r="AO168" s="44">
        <f>IF($A$1=$B$1,B168,IF($A$1=$E$1,E168,IF($A$1=$H$1,H168,IF($A$1=$K$1,K168,IF($A$1=$N$1,N168,IF($A$1=$Q$1,Q168,IF($A$1=$T$1,T168,IF($A$1=$W$1,W168,IF($A$1=$Z$1,Z168,IF($A$1=$AC$1,AC168,IF($A$1=$AF$1,AF168,IF($A$1=$AI$1,AI168))))))))))))</f>
        <v/>
      </c>
      <c r="AP168" s="44">
        <f>IF($A$1=$B$1,C168,IF($A$1=$E$1,F168,IF($A$1=$H$1,I168,IF($A$1=$K$1,L168,IF($A$1=$N$1,O168,IF($A$1=$Q$1,R168,IF($A$1=$T$1,U168,IF($A$1=$W$1,X168,IF($A$1=$Z$1,AA168,IF($A$1=$AC$1,AD168,IF($A$1=$AF$1,AG168,IF($A$1=$AI$1,AJ168))))))))))))</f>
        <v/>
      </c>
    </row>
    <row r="169" ht="15.5" customHeight="1">
      <c r="A169" s="26" t="inlineStr">
        <is>
          <t>Çelik</t>
        </is>
      </c>
      <c r="B169" s="7">
        <f>'Bütçe aylık-TL'!$B$99</f>
        <v/>
      </c>
      <c r="C169" s="7">
        <f>'gerç aylık-tl'!$B$98</f>
        <v/>
      </c>
      <c r="D169" s="7" t="n"/>
      <c r="E169" s="7">
        <f>'Bütçe aylık-TL'!$C$99</f>
        <v/>
      </c>
      <c r="F169" s="7">
        <f>'gerç aylık-tl'!$C$98</f>
        <v/>
      </c>
      <c r="G169" s="7" t="n"/>
      <c r="H169" s="7">
        <f>'Bütçe aylık-TL'!$D$99</f>
        <v/>
      </c>
      <c r="I169" s="7">
        <f>'gerç aylık-tl'!$D$98</f>
        <v/>
      </c>
      <c r="J169" s="7" t="n"/>
      <c r="K169" s="7">
        <f>'Bütçe aylık-TL'!$E$99</f>
        <v/>
      </c>
      <c r="L169" s="7">
        <f>'gerç aylık-tl'!$E$98</f>
        <v/>
      </c>
      <c r="M169" s="7" t="n"/>
      <c r="N169" s="7">
        <f>'Bütçe aylık-TL'!$F$99</f>
        <v/>
      </c>
      <c r="O169" s="7">
        <f>'gerç aylık-tl'!$F$98</f>
        <v/>
      </c>
      <c r="P169" s="7" t="n"/>
      <c r="Q169" s="7">
        <f>'Bütçe aylık-TL'!$G$99</f>
        <v/>
      </c>
      <c r="R169" s="7">
        <f>'gerç aylık-tl'!$G$98</f>
        <v/>
      </c>
      <c r="S169" s="7" t="n"/>
      <c r="T169" s="7">
        <f>'Bütçe aylık-TL'!$H$99</f>
        <v/>
      </c>
      <c r="U169" s="7">
        <f>'gerç aylık-tl'!$H$98</f>
        <v/>
      </c>
      <c r="V169" s="7" t="n"/>
      <c r="W169" s="7">
        <f>'Bütçe aylık-TL'!$I$99</f>
        <v/>
      </c>
      <c r="X169" s="7">
        <f>'gerç aylık-tl'!$I$98</f>
        <v/>
      </c>
      <c r="Y169" s="7" t="n"/>
      <c r="Z169" s="7">
        <f>'Bütçe aylık-TL'!$J$99</f>
        <v/>
      </c>
      <c r="AA169" s="7">
        <f>'gerç aylık-tl'!$J$98</f>
        <v/>
      </c>
      <c r="AB169" s="7" t="n"/>
      <c r="AC169" s="7">
        <f>'Bütçe aylık-TL'!$K$99</f>
        <v/>
      </c>
      <c r="AD169" s="7">
        <f>'gerç aylık-tl'!$K$98</f>
        <v/>
      </c>
      <c r="AE169" s="7" t="n"/>
      <c r="AF169" s="7">
        <f>'Bütçe aylık-TL'!$L$99</f>
        <v/>
      </c>
      <c r="AG169" s="7">
        <f>'gerç aylık-tl'!$L$98</f>
        <v/>
      </c>
      <c r="AH169" s="7" t="n"/>
      <c r="AI169" s="7">
        <f>'Bütçe aylık-TL'!$M$99</f>
        <v/>
      </c>
      <c r="AJ169" s="7">
        <f>'gerç aylık-tl'!$M$98</f>
        <v/>
      </c>
      <c r="AK169" s="7" t="n"/>
      <c r="AL169" s="21">
        <f>AP169-AO169</f>
        <v/>
      </c>
      <c r="AM169" s="22">
        <f>AP169/AO169-1</f>
        <v/>
      </c>
      <c r="AO169" s="44">
        <f>IF($A$1=$B$1,B169,IF($A$1=$E$1,E169,IF($A$1=$H$1,H169,IF($A$1=$K$1,K169,IF($A$1=$N$1,N169,IF($A$1=$Q$1,Q169,IF($A$1=$T$1,T169,IF($A$1=$W$1,W169,IF($A$1=$Z$1,Z169,IF($A$1=$AC$1,AC169,IF($A$1=$AF$1,AF169,IF($A$1=$AI$1,AI169))))))))))))</f>
        <v/>
      </c>
      <c r="AP169" s="44">
        <f>IF($A$1=$B$1,C169,IF($A$1=$E$1,F169,IF($A$1=$H$1,I169,IF($A$1=$K$1,L169,IF($A$1=$N$1,O169,IF($A$1=$Q$1,R169,IF($A$1=$T$1,U169,IF($A$1=$W$1,X169,IF($A$1=$Z$1,AA169,IF($A$1=$AC$1,AD169,IF($A$1=$AF$1,AG169,IF($A$1=$AI$1,AJ169))))))))))))</f>
        <v/>
      </c>
    </row>
    <row r="170" ht="15.5" customHeight="1">
      <c r="A170" s="26" t="inlineStr">
        <is>
          <t>Alüminyum</t>
        </is>
      </c>
      <c r="B170" s="7">
        <f>'Bütçe aylık-TL'!$B$100</f>
        <v/>
      </c>
      <c r="C170" s="7">
        <f>'gerç aylık-tl'!$B$99</f>
        <v/>
      </c>
      <c r="D170" s="7" t="n"/>
      <c r="E170" s="7">
        <f>'Bütçe aylık-TL'!$C$100</f>
        <v/>
      </c>
      <c r="F170" s="7">
        <f>'gerç aylık-tl'!$C$99</f>
        <v/>
      </c>
      <c r="G170" s="7" t="n"/>
      <c r="H170" s="7">
        <f>'Bütçe aylık-TL'!$D$100</f>
        <v/>
      </c>
      <c r="I170" s="7">
        <f>'gerç aylık-tl'!$D$99</f>
        <v/>
      </c>
      <c r="J170" s="7" t="n"/>
      <c r="K170" s="7">
        <f>'Bütçe aylık-TL'!$E$100</f>
        <v/>
      </c>
      <c r="L170" s="7">
        <f>'gerç aylık-tl'!$E$99</f>
        <v/>
      </c>
      <c r="M170" s="7" t="n"/>
      <c r="N170" s="7">
        <f>'Bütçe aylık-TL'!$F$100</f>
        <v/>
      </c>
      <c r="O170" s="7">
        <f>'gerç aylık-tl'!$F$99</f>
        <v/>
      </c>
      <c r="P170" s="7" t="n"/>
      <c r="Q170" s="7">
        <f>'Bütçe aylık-TL'!$G$100</f>
        <v/>
      </c>
      <c r="R170" s="7">
        <f>'gerç aylık-tl'!$G$99</f>
        <v/>
      </c>
      <c r="S170" s="7" t="n"/>
      <c r="T170" s="7">
        <f>'Bütçe aylık-TL'!$H$100</f>
        <v/>
      </c>
      <c r="U170" s="7">
        <f>'gerç aylık-tl'!$H$99</f>
        <v/>
      </c>
      <c r="V170" s="7" t="n"/>
      <c r="W170" s="7">
        <f>'Bütçe aylık-TL'!$I$100</f>
        <v/>
      </c>
      <c r="X170" s="7">
        <f>'gerç aylık-tl'!$I$99</f>
        <v/>
      </c>
      <c r="Y170" s="7" t="n"/>
      <c r="Z170" s="7">
        <f>'Bütçe aylık-TL'!$J$100</f>
        <v/>
      </c>
      <c r="AA170" s="7">
        <f>'gerç aylık-tl'!$J$99</f>
        <v/>
      </c>
      <c r="AB170" s="7" t="n"/>
      <c r="AC170" s="7">
        <f>'Bütçe aylık-TL'!$K$100</f>
        <v/>
      </c>
      <c r="AD170" s="7">
        <f>'gerç aylık-tl'!$K$99</f>
        <v/>
      </c>
      <c r="AE170" s="7" t="n"/>
      <c r="AF170" s="7">
        <f>'Bütçe aylık-TL'!$L$100</f>
        <v/>
      </c>
      <c r="AG170" s="7">
        <f>'gerç aylık-tl'!$L$99</f>
        <v/>
      </c>
      <c r="AH170" s="7" t="n"/>
      <c r="AI170" s="7">
        <f>'Bütçe aylık-TL'!$M$100</f>
        <v/>
      </c>
      <c r="AJ170" s="7">
        <f>'gerç aylık-tl'!$M$99</f>
        <v/>
      </c>
      <c r="AK170" s="7" t="n"/>
      <c r="AL170" s="21">
        <f>AP170-AO170</f>
        <v/>
      </c>
      <c r="AM170" s="22">
        <f>AP170/AO170-1</f>
        <v/>
      </c>
      <c r="AO170" s="44">
        <f>IF($A$1=$B$1,B170,IF($A$1=$E$1,E170,IF($A$1=$H$1,H170,IF($A$1=$K$1,K170,IF($A$1=$N$1,N170,IF($A$1=$Q$1,Q170,IF($A$1=$T$1,T170,IF($A$1=$W$1,W170,IF($A$1=$Z$1,Z170,IF($A$1=$AC$1,AC170,IF($A$1=$AF$1,AF170,IF($A$1=$AI$1,AI170))))))))))))</f>
        <v/>
      </c>
      <c r="AP170" s="44">
        <f>IF($A$1=$B$1,C170,IF($A$1=$E$1,F170,IF($A$1=$H$1,I170,IF($A$1=$K$1,L170,IF($A$1=$N$1,O170,IF($A$1=$Q$1,R170,IF($A$1=$T$1,U170,IF($A$1=$W$1,X170,IF($A$1=$Z$1,AA170,IF($A$1=$AC$1,AD170,IF($A$1=$AF$1,AG170,IF($A$1=$AI$1,AJ170))))))))))))</f>
        <v/>
      </c>
    </row>
    <row r="171" ht="15.5" customFormat="1" customHeight="1" s="13">
      <c r="A171" s="26" t="n"/>
      <c r="B171" s="12" t="n"/>
      <c r="C171" s="30" t="n"/>
      <c r="D171" s="41" t="n"/>
      <c r="E171" s="12" t="n"/>
      <c r="F171" s="30" t="n"/>
      <c r="G171" s="41" t="n"/>
      <c r="H171" s="12" t="n"/>
      <c r="I171" s="30" t="n"/>
      <c r="J171" s="41" t="n"/>
      <c r="K171" s="12" t="n"/>
      <c r="L171" s="30" t="n"/>
      <c r="M171" s="41" t="n"/>
      <c r="N171" s="12" t="n"/>
      <c r="O171" s="30" t="n"/>
      <c r="P171" s="41" t="n"/>
      <c r="Q171" s="12" t="n"/>
      <c r="R171" s="30" t="n"/>
      <c r="S171" s="41" t="n"/>
      <c r="T171" s="12" t="n"/>
      <c r="U171" s="30" t="n"/>
      <c r="V171" s="41" t="n"/>
      <c r="W171" s="12" t="n"/>
      <c r="X171" s="30" t="n"/>
      <c r="Y171" s="41" t="n"/>
      <c r="Z171" s="12" t="n"/>
      <c r="AA171" s="30" t="n"/>
      <c r="AB171" s="41" t="n"/>
      <c r="AC171" s="12" t="n"/>
      <c r="AD171" s="30" t="n"/>
      <c r="AE171" s="41" t="n"/>
      <c r="AF171" s="12" t="n"/>
      <c r="AG171" s="30" t="n"/>
      <c r="AH171" s="41" t="n"/>
      <c r="AI171" s="12" t="n"/>
      <c r="AJ171" s="30" t="n"/>
      <c r="AK171" s="41" t="n"/>
      <c r="AL171" s="15" t="n"/>
      <c r="AM171" s="22" t="n"/>
      <c r="AO171" s="44" t="n"/>
      <c r="AP171" s="44" t="n"/>
    </row>
    <row r="172" ht="15.5" customFormat="1" customHeight="1" s="13">
      <c r="A172" s="26" t="n"/>
      <c r="B172" s="12" t="n"/>
      <c r="C172" s="30" t="n"/>
      <c r="D172" s="41" t="n"/>
      <c r="E172" s="12" t="n"/>
      <c r="F172" s="30" t="n"/>
      <c r="G172" s="41" t="n"/>
      <c r="H172" s="12" t="n"/>
      <c r="I172" s="30" t="n"/>
      <c r="J172" s="41" t="n"/>
      <c r="K172" s="12" t="n"/>
      <c r="L172" s="30" t="n"/>
      <c r="M172" s="41" t="n"/>
      <c r="N172" s="12" t="n"/>
      <c r="O172" s="30" t="n"/>
      <c r="P172" s="41" t="n"/>
      <c r="Q172" s="12" t="n"/>
      <c r="R172" s="30" t="n"/>
      <c r="S172" s="41" t="n"/>
      <c r="T172" s="12" t="n"/>
      <c r="U172" s="30" t="n"/>
      <c r="V172" s="41" t="n"/>
      <c r="W172" s="12" t="n"/>
      <c r="X172" s="30" t="n"/>
      <c r="Y172" s="41" t="n"/>
      <c r="Z172" s="12" t="n"/>
      <c r="AA172" s="30" t="n"/>
      <c r="AB172" s="41" t="n"/>
      <c r="AC172" s="12" t="n"/>
      <c r="AD172" s="30" t="n"/>
      <c r="AE172" s="41" t="n"/>
      <c r="AF172" s="12" t="n"/>
      <c r="AG172" s="30" t="n"/>
      <c r="AH172" s="41" t="n"/>
      <c r="AI172" s="12" t="n"/>
      <c r="AJ172" s="30" t="n"/>
      <c r="AK172" s="41" t="n"/>
      <c r="AL172" s="15" t="n"/>
      <c r="AM172" s="22" t="n"/>
      <c r="AO172" s="44" t="n"/>
      <c r="AP172" s="44" t="n"/>
    </row>
    <row r="173" ht="15.5" customFormat="1" customHeight="1" s="44">
      <c r="A173" s="31" t="inlineStr">
        <is>
          <t>Diğer Gelir(Gider)</t>
        </is>
      </c>
      <c r="B173" s="32">
        <f>'Bütçe aylık-TL'!$B$103</f>
        <v/>
      </c>
      <c r="C173" s="32">
        <f>'gerç aylık-tl'!$B$102</f>
        <v/>
      </c>
      <c r="D173" s="18" t="n"/>
      <c r="E173" s="32">
        <f>'Bütçe aylık-TL'!$C$103</f>
        <v/>
      </c>
      <c r="F173" s="32">
        <f>'gerç aylık-tl'!$C$102</f>
        <v/>
      </c>
      <c r="G173" s="18" t="n"/>
      <c r="H173" s="32">
        <f>'Bütçe aylık-TL'!$D$103</f>
        <v/>
      </c>
      <c r="I173" s="32">
        <f>'gerç aylık-tl'!$D$102</f>
        <v/>
      </c>
      <c r="J173" s="18" t="n"/>
      <c r="K173" s="32">
        <f>'Bütçe aylık-TL'!$E$103</f>
        <v/>
      </c>
      <c r="L173" s="32">
        <f>'gerç aylık-tl'!$E$102</f>
        <v/>
      </c>
      <c r="M173" s="18" t="n"/>
      <c r="N173" s="32">
        <f>'Bütçe aylık-TL'!$F$103</f>
        <v/>
      </c>
      <c r="O173" s="32">
        <f>'gerç aylık-tl'!$F$102</f>
        <v/>
      </c>
      <c r="P173" s="18" t="n"/>
      <c r="Q173" s="32">
        <f>'Bütçe aylık-TL'!$G$103</f>
        <v/>
      </c>
      <c r="R173" s="32">
        <f>'gerç aylık-tl'!$G$102</f>
        <v/>
      </c>
      <c r="S173" s="18" t="n"/>
      <c r="T173" s="32">
        <f>'Bütçe aylık-TL'!$H$103</f>
        <v/>
      </c>
      <c r="U173" s="32">
        <f>'gerç aylık-tl'!$H$102</f>
        <v/>
      </c>
      <c r="V173" s="18" t="n"/>
      <c r="W173" s="32">
        <f>'Bütçe aylık-TL'!$I$103</f>
        <v/>
      </c>
      <c r="X173" s="32">
        <f>'gerç aylık-tl'!$I$102</f>
        <v/>
      </c>
      <c r="Y173" s="18" t="n"/>
      <c r="Z173" s="32">
        <f>'Bütçe aylık-TL'!$J$103</f>
        <v/>
      </c>
      <c r="AA173" s="32">
        <f>'gerç aylık-tl'!$J$102</f>
        <v/>
      </c>
      <c r="AB173" s="18" t="n"/>
      <c r="AC173" s="32">
        <f>'Bütçe aylık-TL'!$K$103</f>
        <v/>
      </c>
      <c r="AD173" s="32">
        <f>'gerç aylık-tl'!$K$102</f>
        <v/>
      </c>
      <c r="AE173" s="18" t="n"/>
      <c r="AF173" s="32">
        <f>'Bütçe aylık-TL'!$L$103</f>
        <v/>
      </c>
      <c r="AG173" s="32">
        <f>'gerç aylık-tl'!$L$102</f>
        <v/>
      </c>
      <c r="AH173" s="18" t="n"/>
      <c r="AI173" s="32">
        <f>'Bütçe aylık-TL'!$M$103</f>
        <v/>
      </c>
      <c r="AJ173" s="32">
        <f>'gerç aylık-tl'!$M$102</f>
        <v/>
      </c>
      <c r="AK173" s="18" t="n"/>
      <c r="AL173" s="33">
        <f>AP173-AO173</f>
        <v/>
      </c>
      <c r="AM173" s="34">
        <f>AP173/AO173-1</f>
        <v/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/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/>
      </c>
    </row>
    <row r="174" ht="15.5" customFormat="1" customHeight="1" s="13">
      <c r="A174" s="27" t="n"/>
      <c r="B174" s="30" t="n"/>
      <c r="C174" s="30">
        <f>IFERROR((C131/#REF!),"")</f>
        <v/>
      </c>
      <c r="D174" s="41" t="n"/>
      <c r="E174" s="30" t="n"/>
      <c r="F174" s="30">
        <f>IFERROR((F131/#REF!),"")</f>
        <v/>
      </c>
      <c r="G174" s="41" t="n"/>
      <c r="H174" s="30" t="n"/>
      <c r="I174" s="30">
        <f>IFERROR((I131/#REF!),"")</f>
        <v/>
      </c>
      <c r="J174" s="41" t="n"/>
      <c r="K174" s="30" t="n"/>
      <c r="L174" s="30">
        <f>IFERROR((L131/#REF!),"")</f>
        <v/>
      </c>
      <c r="M174" s="41" t="n"/>
      <c r="N174" s="30" t="n"/>
      <c r="O174" s="30">
        <f>IFERROR((O131/#REF!),"")</f>
        <v/>
      </c>
      <c r="P174" s="41" t="n"/>
      <c r="Q174" s="30" t="n"/>
      <c r="R174" s="30">
        <f>IFERROR((R131/#REF!),"")</f>
        <v/>
      </c>
      <c r="S174" s="41" t="n"/>
      <c r="T174" s="30" t="n"/>
      <c r="U174" s="30">
        <f>IFERROR((U131/#REF!),"")</f>
        <v/>
      </c>
      <c r="V174" s="41" t="n"/>
      <c r="W174" s="30" t="n"/>
      <c r="X174" s="30">
        <f>IFERROR((X131/#REF!),"")</f>
        <v/>
      </c>
      <c r="Y174" s="41" t="n"/>
      <c r="Z174" s="30" t="n"/>
      <c r="AA174" s="30">
        <f>IFERROR((AA131/#REF!),"")</f>
        <v/>
      </c>
      <c r="AB174" s="41" t="n"/>
      <c r="AC174" s="30" t="n"/>
      <c r="AD174" s="30">
        <f>IFERROR((AD131/#REF!),"")</f>
        <v/>
      </c>
      <c r="AE174" s="41" t="n"/>
      <c r="AF174" s="30" t="n"/>
      <c r="AG174" s="30">
        <f>IFERROR((AG131/#REF!),"")</f>
        <v/>
      </c>
      <c r="AH174" s="41" t="n"/>
      <c r="AI174" s="30" t="n"/>
      <c r="AJ174" s="30">
        <f>IFERROR((AJ131/#REF!),"")</f>
        <v/>
      </c>
      <c r="AK174" s="41" t="n"/>
      <c r="AL174" s="15" t="n"/>
      <c r="AM174" s="22" t="n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/>
      </c>
      <c r="AP174" s="44">
        <f>IF($A$1=$B$1,C174,IF($A$1=$E$1,F174,IF($A$1=$H$1,I174,IF($A$1=$K$1,L174,IF($A$1=$N$1,O174,IF($A$1=$Q$1,R174,IF($A$1=$T$1,U174,IF($A$1=$W$1,X174,IF($A$1=$Z$1,AA174,IF($A$1=$AC$1,AD174,IF($A$1=$AF$1,AG174,IF($A$1=$AI$1,AJ174))))))))))))</f>
        <v/>
      </c>
    </row>
    <row r="175" ht="17" customFormat="1" customHeight="1" s="49">
      <c r="A175" s="47" t="inlineStr">
        <is>
          <t>Diğer Gelir(Gider) (100%)</t>
        </is>
      </c>
      <c r="B175" s="413" t="n"/>
      <c r="C175" s="413" t="n"/>
      <c r="D175" s="413" t="n"/>
      <c r="E175" s="413" t="n"/>
      <c r="F175" s="413" t="n"/>
      <c r="G175" s="413" t="n"/>
      <c r="H175" s="413" t="n"/>
      <c r="I175" s="413" t="n"/>
      <c r="J175" s="413" t="n"/>
      <c r="K175" s="413" t="n"/>
      <c r="L175" s="413" t="n"/>
      <c r="M175" s="413" t="n"/>
      <c r="N175" s="413" t="n"/>
      <c r="O175" s="413" t="n"/>
      <c r="P175" s="413" t="n"/>
      <c r="Q175" s="413" t="n"/>
      <c r="R175" s="413" t="n"/>
      <c r="S175" s="413" t="n"/>
      <c r="T175" s="413" t="n"/>
      <c r="U175" s="413" t="n"/>
      <c r="V175" s="413" t="n"/>
      <c r="W175" s="413" t="n"/>
      <c r="X175" s="413" t="n"/>
      <c r="Y175" s="413" t="n"/>
      <c r="Z175" s="413" t="n"/>
      <c r="AA175" s="413" t="n"/>
      <c r="AB175" s="413" t="n"/>
      <c r="AC175" s="413" t="n"/>
      <c r="AD175" s="413" t="n"/>
      <c r="AE175" s="413" t="n"/>
      <c r="AF175" s="413" t="n"/>
      <c r="AG175" s="413" t="n"/>
      <c r="AH175" s="413" t="n"/>
      <c r="AI175" s="413" t="n"/>
      <c r="AJ175" s="413" t="n"/>
      <c r="AK175" s="413" t="n"/>
      <c r="AL175" s="413" t="n"/>
      <c r="AM175" s="48" t="n"/>
    </row>
    <row r="176" ht="15.5" customHeight="1">
      <c r="A176" s="26" t="inlineStr">
        <is>
          <t xml:space="preserve">İnci Holding </t>
        </is>
      </c>
      <c r="B176" s="7">
        <f>'Bütçe aylık-TL'!$B$104</f>
        <v/>
      </c>
      <c r="C176" s="7">
        <f>'gerç aylık-tl'!$B$103</f>
        <v/>
      </c>
      <c r="D176" s="7" t="n"/>
      <c r="E176" s="7">
        <f>'Bütçe aylık-TL'!$C$104</f>
        <v/>
      </c>
      <c r="F176" s="7">
        <f>'gerç aylık-tl'!$C$103</f>
        <v/>
      </c>
      <c r="G176" s="7" t="n"/>
      <c r="H176" s="7">
        <f>'Bütçe aylık-TL'!$D$104</f>
        <v/>
      </c>
      <c r="I176" s="7">
        <f>'gerç aylık-tl'!$D$103</f>
        <v/>
      </c>
      <c r="J176" s="7" t="n"/>
      <c r="K176" s="7">
        <f>'Bütçe aylık-TL'!$E$104</f>
        <v/>
      </c>
      <c r="L176" s="7">
        <f>'gerç aylık-tl'!$E$103</f>
        <v/>
      </c>
      <c r="M176" s="7" t="n"/>
      <c r="N176" s="7">
        <f>'Bütçe aylık-TL'!$F$104</f>
        <v/>
      </c>
      <c r="O176" s="7">
        <f>'gerç aylık-tl'!$F$103</f>
        <v/>
      </c>
      <c r="P176" s="7" t="n"/>
      <c r="Q176" s="7">
        <f>'Bütçe aylık-TL'!$G$104</f>
        <v/>
      </c>
      <c r="R176" s="7">
        <f>'gerç aylık-tl'!$G$103</f>
        <v/>
      </c>
      <c r="S176" s="7" t="n"/>
      <c r="T176" s="7">
        <f>'Bütçe aylık-TL'!$H$104</f>
        <v/>
      </c>
      <c r="U176" s="7">
        <f>'gerç aylık-tl'!$H$103</f>
        <v/>
      </c>
      <c r="V176" s="7" t="n"/>
      <c r="W176" s="7">
        <f>'Bütçe aylık-TL'!$I$104</f>
        <v/>
      </c>
      <c r="X176" s="7">
        <f>'gerç aylık-tl'!$I$103</f>
        <v/>
      </c>
      <c r="Y176" s="7" t="n"/>
      <c r="Z176" s="7">
        <f>'Bütçe aylık-TL'!$J$104</f>
        <v/>
      </c>
      <c r="AA176" s="7">
        <f>'gerç aylık-tl'!$J$103</f>
        <v/>
      </c>
      <c r="AB176" s="7" t="n"/>
      <c r="AC176" s="7">
        <f>'Bütçe aylık-TL'!$K$104</f>
        <v/>
      </c>
      <c r="AD176" s="7">
        <f>'gerç aylık-tl'!$K$103</f>
        <v/>
      </c>
      <c r="AE176" s="7" t="n"/>
      <c r="AF176" s="7">
        <f>'Bütçe aylık-TL'!$L$104</f>
        <v/>
      </c>
      <c r="AG176" s="7">
        <f>'gerç aylık-tl'!$L$103</f>
        <v/>
      </c>
      <c r="AH176" s="7" t="n"/>
      <c r="AI176" s="7">
        <f>'Bütçe aylık-TL'!$M$104</f>
        <v/>
      </c>
      <c r="AJ176" s="7">
        <f>'gerç aylık-tl'!$M$103</f>
        <v/>
      </c>
      <c r="AK176" s="7" t="n"/>
      <c r="AL176" s="21">
        <f>AP176-AO176</f>
        <v/>
      </c>
      <c r="AM176" s="22">
        <f>AP176/AO176-1</f>
        <v/>
      </c>
      <c r="AO176" s="44">
        <f>IF($A$1=$B$1,B176,IF($A$1=$E$1,E176,IF($A$1=$H$1,H176,IF($A$1=$K$1,K176,IF($A$1=$N$1,N176,IF($A$1=$Q$1,Q176,IF($A$1=$T$1,T176,IF($A$1=$W$1,W176,IF($A$1=$Z$1,Z176,IF($A$1=$AC$1,AC176,IF($A$1=$AF$1,AF176,IF($A$1=$AI$1,AI176))))))))))))</f>
        <v/>
      </c>
      <c r="AP176" s="44">
        <f>IF($A$1=$B$1,C176,IF($A$1=$E$1,F176,IF($A$1=$H$1,I176,IF($A$1=$K$1,L176,IF($A$1=$N$1,O176,IF($A$1=$Q$1,R176,IF($A$1=$T$1,U176,IF($A$1=$W$1,X176,IF($A$1=$Z$1,AA176,IF($A$1=$AC$1,AD176,IF($A$1=$AF$1,AG176,IF($A$1=$AI$1,AJ176))))))))))))</f>
        <v/>
      </c>
    </row>
    <row r="177" ht="15.5" customHeight="1">
      <c r="A177" s="26" t="inlineStr">
        <is>
          <t xml:space="preserve">ISM </t>
        </is>
      </c>
      <c r="B177" s="7">
        <f>'Bütçe aylık-TL'!$B$105</f>
        <v/>
      </c>
      <c r="C177" s="7">
        <f>'gerç aylık-tl'!$B$104</f>
        <v/>
      </c>
      <c r="D177" s="7" t="n"/>
      <c r="E177" s="7">
        <f>'Bütçe aylık-TL'!$C$105</f>
        <v/>
      </c>
      <c r="F177" s="7">
        <f>'gerç aylık-tl'!$C$104</f>
        <v/>
      </c>
      <c r="G177" s="7" t="n"/>
      <c r="H177" s="7">
        <f>'Bütçe aylık-TL'!$D$105</f>
        <v/>
      </c>
      <c r="I177" s="7">
        <f>'gerç aylık-tl'!$D$104</f>
        <v/>
      </c>
      <c r="J177" s="7" t="n"/>
      <c r="K177" s="7">
        <f>'Bütçe aylık-TL'!$E$105</f>
        <v/>
      </c>
      <c r="L177" s="7">
        <f>'gerç aylık-tl'!$E$104</f>
        <v/>
      </c>
      <c r="M177" s="7" t="n"/>
      <c r="N177" s="7">
        <f>'Bütçe aylık-TL'!$F$105</f>
        <v/>
      </c>
      <c r="O177" s="7">
        <f>'gerç aylık-tl'!$F$104</f>
        <v/>
      </c>
      <c r="P177" s="7" t="n"/>
      <c r="Q177" s="7">
        <f>'Bütçe aylık-TL'!$G$105</f>
        <v/>
      </c>
      <c r="R177" s="7">
        <f>'gerç aylık-tl'!$G$104</f>
        <v/>
      </c>
      <c r="S177" s="7" t="n"/>
      <c r="T177" s="7">
        <f>'Bütçe aylık-TL'!$H$105</f>
        <v/>
      </c>
      <c r="U177" s="7">
        <f>'gerç aylık-tl'!$H$104</f>
        <v/>
      </c>
      <c r="V177" s="7" t="n"/>
      <c r="W177" s="7">
        <f>'Bütçe aylık-TL'!$I$105</f>
        <v/>
      </c>
      <c r="X177" s="7">
        <f>'gerç aylık-tl'!$I$104</f>
        <v/>
      </c>
      <c r="Y177" s="7" t="n"/>
      <c r="Z177" s="7">
        <f>'Bütçe aylık-TL'!$J$105</f>
        <v/>
      </c>
      <c r="AA177" s="7">
        <f>'gerç aylık-tl'!$J$104</f>
        <v/>
      </c>
      <c r="AB177" s="7" t="n"/>
      <c r="AC177" s="7">
        <f>'Bütçe aylık-TL'!$K$105</f>
        <v/>
      </c>
      <c r="AD177" s="7">
        <f>'gerç aylık-tl'!$K$104</f>
        <v/>
      </c>
      <c r="AE177" s="7" t="n"/>
      <c r="AF177" s="7">
        <f>'Bütçe aylık-TL'!$L$105</f>
        <v/>
      </c>
      <c r="AG177" s="7">
        <f>'gerç aylık-tl'!$L$104</f>
        <v/>
      </c>
      <c r="AH177" s="7" t="n"/>
      <c r="AI177" s="7">
        <f>'Bütçe aylık-TL'!$M$105</f>
        <v/>
      </c>
      <c r="AJ177" s="7">
        <f>'gerç aylık-tl'!$M$104</f>
        <v/>
      </c>
      <c r="AK177" s="7" t="n"/>
      <c r="AL177" s="21">
        <f>AP177-AO177</f>
        <v/>
      </c>
      <c r="AM177" s="22">
        <f>AP177/AO177-1</f>
        <v/>
      </c>
      <c r="AO177" s="44">
        <f>IF($A$1=$B$1,B177,IF($A$1=$E$1,E177,IF($A$1=$H$1,H177,IF($A$1=$K$1,K177,IF($A$1=$N$1,N177,IF($A$1=$Q$1,Q177,IF($A$1=$T$1,T177,IF($A$1=$W$1,W177,IF($A$1=$Z$1,Z177,IF($A$1=$AC$1,AC177,IF($A$1=$AF$1,AF177,IF($A$1=$AI$1,AI177))))))))))))</f>
        <v/>
      </c>
      <c r="AP177" s="44">
        <f>IF($A$1=$B$1,C177,IF($A$1=$E$1,F177,IF($A$1=$H$1,I177,IF($A$1=$K$1,L177,IF($A$1=$N$1,O177,IF($A$1=$Q$1,R177,IF($A$1=$T$1,U177,IF($A$1=$W$1,X177,IF($A$1=$Z$1,AA177,IF($A$1=$AC$1,AD177,IF($A$1=$AF$1,AG177,IF($A$1=$AI$1,AJ177))))))))))))</f>
        <v/>
      </c>
    </row>
    <row r="178" ht="15.5" customHeight="1">
      <c r="A178" s="26" t="inlineStr">
        <is>
          <t>İncitaş</t>
        </is>
      </c>
      <c r="B178" s="7">
        <f>'Bütçe aylık-TL'!$B$106</f>
        <v/>
      </c>
      <c r="C178" s="7">
        <f>'gerç aylık-tl'!$B$105</f>
        <v/>
      </c>
      <c r="D178" s="7" t="n"/>
      <c r="E178" s="7">
        <f>'Bütçe aylık-TL'!$C$106</f>
        <v/>
      </c>
      <c r="F178" s="7">
        <f>'gerç aylık-tl'!$C$105</f>
        <v/>
      </c>
      <c r="G178" s="7" t="n"/>
      <c r="H178" s="7">
        <f>'Bütçe aylık-TL'!$D$106</f>
        <v/>
      </c>
      <c r="I178" s="7">
        <f>'gerç aylık-tl'!$D$105</f>
        <v/>
      </c>
      <c r="J178" s="7" t="n"/>
      <c r="K178" s="7">
        <f>'Bütçe aylık-TL'!$E$106</f>
        <v/>
      </c>
      <c r="L178" s="7">
        <f>'gerç aylık-tl'!$E$105</f>
        <v/>
      </c>
      <c r="M178" s="7" t="n"/>
      <c r="N178" s="7">
        <f>'Bütçe aylık-TL'!$F$106</f>
        <v/>
      </c>
      <c r="O178" s="7">
        <f>'gerç aylık-tl'!$F$105</f>
        <v/>
      </c>
      <c r="P178" s="7" t="n"/>
      <c r="Q178" s="7">
        <f>'Bütçe aylık-TL'!$G$106</f>
        <v/>
      </c>
      <c r="R178" s="7">
        <f>'gerç aylık-tl'!$G$105</f>
        <v/>
      </c>
      <c r="S178" s="7" t="n"/>
      <c r="T178" s="7">
        <f>'Bütçe aylık-TL'!$H$106</f>
        <v/>
      </c>
      <c r="U178" s="7">
        <f>'gerç aylık-tl'!$H$105</f>
        <v/>
      </c>
      <c r="V178" s="7" t="n"/>
      <c r="W178" s="7">
        <f>'Bütçe aylık-TL'!$I$106</f>
        <v/>
      </c>
      <c r="X178" s="7">
        <f>'gerç aylık-tl'!$I$105</f>
        <v/>
      </c>
      <c r="Y178" s="7" t="n"/>
      <c r="Z178" s="7">
        <f>'Bütçe aylık-TL'!$J$106</f>
        <v/>
      </c>
      <c r="AA178" s="7">
        <f>'gerç aylık-tl'!$J$105</f>
        <v/>
      </c>
      <c r="AB178" s="7" t="n"/>
      <c r="AC178" s="7">
        <f>'Bütçe aylık-TL'!$K$106</f>
        <v/>
      </c>
      <c r="AD178" s="7">
        <f>'gerç aylık-tl'!$K$105</f>
        <v/>
      </c>
      <c r="AE178" s="7" t="n"/>
      <c r="AF178" s="7">
        <f>'Bütçe aylık-TL'!$L$106</f>
        <v/>
      </c>
      <c r="AG178" s="7">
        <f>'gerç aylık-tl'!$L$105</f>
        <v/>
      </c>
      <c r="AH178" s="7" t="n"/>
      <c r="AI178" s="7">
        <f>'Bütçe aylık-TL'!$M$106</f>
        <v/>
      </c>
      <c r="AJ178" s="7">
        <f>'gerç aylık-tl'!$M$105</f>
        <v/>
      </c>
      <c r="AK178" s="7" t="n"/>
      <c r="AL178" s="21">
        <f>AP178-AO178</f>
        <v/>
      </c>
      <c r="AM178" s="22">
        <f>AP178/AO178-1</f>
        <v/>
      </c>
      <c r="AO178" s="44">
        <f>IF($A$1=$B$1,B178,IF($A$1=$E$1,E178,IF($A$1=$H$1,H178,IF($A$1=$K$1,K178,IF($A$1=$N$1,N178,IF($A$1=$Q$1,Q178,IF($A$1=$T$1,T178,IF($A$1=$W$1,W178,IF($A$1=$Z$1,Z178,IF($A$1=$AC$1,AC178,IF($A$1=$AF$1,AF178,IF($A$1=$AI$1,AI178))))))))))))</f>
        <v/>
      </c>
      <c r="AP178" s="44">
        <f>IF($A$1=$B$1,C178,IF($A$1=$E$1,F178,IF($A$1=$H$1,I178,IF($A$1=$K$1,L178,IF($A$1=$N$1,O178,IF($A$1=$Q$1,R178,IF($A$1=$T$1,U178,IF($A$1=$W$1,X178,IF($A$1=$Z$1,AA178,IF($A$1=$AC$1,AD178,IF($A$1=$AF$1,AG178,IF($A$1=$AI$1,AJ178))))))))))))</f>
        <v/>
      </c>
    </row>
    <row r="179" ht="15.5" customHeight="1">
      <c r="A179" s="26" t="inlineStr">
        <is>
          <t>İnci GS Yuasa</t>
        </is>
      </c>
      <c r="B179" s="7">
        <f>'Bütçe aylık-TL'!$B$107</f>
        <v/>
      </c>
      <c r="C179" s="7">
        <f>'gerç aylık-tl'!$B$106</f>
        <v/>
      </c>
      <c r="D179" s="7" t="n"/>
      <c r="E179" s="7">
        <f>'Bütçe aylık-TL'!$C$107</f>
        <v/>
      </c>
      <c r="F179" s="7">
        <f>'gerç aylık-tl'!$C$106</f>
        <v/>
      </c>
      <c r="G179" s="7" t="n"/>
      <c r="H179" s="7">
        <f>'Bütçe aylık-TL'!$D$107</f>
        <v/>
      </c>
      <c r="I179" s="7">
        <f>'gerç aylık-tl'!$D$106</f>
        <v/>
      </c>
      <c r="J179" s="7" t="n"/>
      <c r="K179" s="7">
        <f>'Bütçe aylık-TL'!$E$107</f>
        <v/>
      </c>
      <c r="L179" s="7">
        <f>'gerç aylık-tl'!$E$106</f>
        <v/>
      </c>
      <c r="M179" s="7" t="n"/>
      <c r="N179" s="7">
        <f>'Bütçe aylık-TL'!$F$107</f>
        <v/>
      </c>
      <c r="O179" s="7">
        <f>'gerç aylık-tl'!$F$106</f>
        <v/>
      </c>
      <c r="P179" s="7" t="n"/>
      <c r="Q179" s="7">
        <f>'Bütçe aylık-TL'!$G$107</f>
        <v/>
      </c>
      <c r="R179" s="7">
        <f>'gerç aylık-tl'!$G$106</f>
        <v/>
      </c>
      <c r="S179" s="7" t="n"/>
      <c r="T179" s="7">
        <f>'Bütçe aylık-TL'!$H$107</f>
        <v/>
      </c>
      <c r="U179" s="7">
        <f>'gerç aylık-tl'!$H$106</f>
        <v/>
      </c>
      <c r="V179" s="7" t="n"/>
      <c r="W179" s="7">
        <f>'Bütçe aylık-TL'!$I$107</f>
        <v/>
      </c>
      <c r="X179" s="7">
        <f>'gerç aylık-tl'!$I$106</f>
        <v/>
      </c>
      <c r="Y179" s="7" t="n"/>
      <c r="Z179" s="7">
        <f>'Bütçe aylık-TL'!$J$107</f>
        <v/>
      </c>
      <c r="AA179" s="7">
        <f>'gerç aylık-tl'!$J$106</f>
        <v/>
      </c>
      <c r="AB179" s="7" t="n"/>
      <c r="AC179" s="7">
        <f>'Bütçe aylık-TL'!$K$107</f>
        <v/>
      </c>
      <c r="AD179" s="7">
        <f>'gerç aylık-tl'!$K$106</f>
        <v/>
      </c>
      <c r="AE179" s="7" t="n"/>
      <c r="AF179" s="7">
        <f>'Bütçe aylık-TL'!$L$107</f>
        <v/>
      </c>
      <c r="AG179" s="7">
        <f>'gerç aylık-tl'!$L$106</f>
        <v/>
      </c>
      <c r="AH179" s="7" t="n"/>
      <c r="AI179" s="7">
        <f>'Bütçe aylık-TL'!$M$107</f>
        <v/>
      </c>
      <c r="AJ179" s="7">
        <f>'gerç aylık-tl'!$M$106</f>
        <v/>
      </c>
      <c r="AK179" s="7" t="n"/>
      <c r="AL179" s="21">
        <f>AP179-AO179</f>
        <v/>
      </c>
      <c r="AM179" s="22">
        <f>AP179/AO179-1</f>
        <v/>
      </c>
      <c r="AO179" s="44">
        <f>IF($A$1=$B$1,B179,IF($A$1=$E$1,E179,IF($A$1=$H$1,H179,IF($A$1=$K$1,K179,IF($A$1=$N$1,N179,IF($A$1=$Q$1,Q179,IF($A$1=$T$1,T179,IF($A$1=$W$1,W179,IF($A$1=$Z$1,Z179,IF($A$1=$AC$1,AC179,IF($A$1=$AF$1,AF179,IF($A$1=$AI$1,AI179))))))))))))</f>
        <v/>
      </c>
      <c r="AP179" s="44">
        <f>IF($A$1=$B$1,C179,IF($A$1=$E$1,F179,IF($A$1=$H$1,I179,IF($A$1=$K$1,L179,IF($A$1=$N$1,O179,IF($A$1=$Q$1,R179,IF($A$1=$T$1,U179,IF($A$1=$W$1,X179,IF($A$1=$Z$1,AA179,IF($A$1=$AC$1,AD179,IF($A$1=$AF$1,AG179,IF($A$1=$AI$1,AJ179))))))))))))</f>
        <v/>
      </c>
    </row>
    <row r="180" ht="15.5" customFormat="1" customHeight="1" s="1">
      <c r="A180" s="26" t="inlineStr">
        <is>
          <t>Yusen İnci Loj.</t>
        </is>
      </c>
      <c r="B180" s="7">
        <f>'Bütçe aylık-TL'!$B$108</f>
        <v/>
      </c>
      <c r="C180" s="7">
        <f>'gerç aylık-tl'!$B$107</f>
        <v/>
      </c>
      <c r="D180" s="8" t="n"/>
      <c r="E180" s="7">
        <f>'Bütçe aylık-TL'!$C$108</f>
        <v/>
      </c>
      <c r="F180" s="7">
        <f>'gerç aylık-tl'!$C$107</f>
        <v/>
      </c>
      <c r="G180" s="8" t="n"/>
      <c r="H180" s="7">
        <f>'Bütçe aylık-TL'!$D$108</f>
        <v/>
      </c>
      <c r="I180" s="7">
        <f>'gerç aylık-tl'!$D$107</f>
        <v/>
      </c>
      <c r="J180" s="8" t="n"/>
      <c r="K180" s="7">
        <f>'Bütçe aylık-TL'!$E$108</f>
        <v/>
      </c>
      <c r="L180" s="7">
        <f>'gerç aylık-tl'!$E$107</f>
        <v/>
      </c>
      <c r="M180" s="8" t="n"/>
      <c r="N180" s="7">
        <f>'Bütçe aylık-TL'!$F$108</f>
        <v/>
      </c>
      <c r="O180" s="7">
        <f>'gerç aylık-tl'!$F$107</f>
        <v/>
      </c>
      <c r="P180" s="8" t="n"/>
      <c r="Q180" s="7">
        <f>'Bütçe aylık-TL'!$G$108</f>
        <v/>
      </c>
      <c r="R180" s="7">
        <f>'gerç aylık-tl'!$G$107</f>
        <v/>
      </c>
      <c r="S180" s="8" t="n"/>
      <c r="T180" s="7">
        <f>'Bütçe aylık-TL'!$H$108</f>
        <v/>
      </c>
      <c r="U180" s="7">
        <f>'gerç aylık-tl'!$H$107</f>
        <v/>
      </c>
      <c r="V180" s="8" t="n"/>
      <c r="W180" s="7">
        <f>'Bütçe aylık-TL'!$I$108</f>
        <v/>
      </c>
      <c r="X180" s="7">
        <f>'gerç aylık-tl'!$I$107</f>
        <v/>
      </c>
      <c r="Y180" s="8" t="n"/>
      <c r="Z180" s="7">
        <f>'Bütçe aylık-TL'!$J$108</f>
        <v/>
      </c>
      <c r="AA180" s="7">
        <f>'gerç aylık-tl'!$J$107</f>
        <v/>
      </c>
      <c r="AB180" s="8" t="n"/>
      <c r="AC180" s="7">
        <f>'Bütçe aylık-TL'!$K$108</f>
        <v/>
      </c>
      <c r="AD180" s="7">
        <f>'gerç aylık-tl'!$K$107</f>
        <v/>
      </c>
      <c r="AE180" s="8" t="n"/>
      <c r="AF180" s="7">
        <f>'Bütçe aylık-TL'!$L$108</f>
        <v/>
      </c>
      <c r="AG180" s="7">
        <f>'gerç aylık-tl'!$L$107</f>
        <v/>
      </c>
      <c r="AH180" s="8" t="n"/>
      <c r="AI180" s="7">
        <f>'Bütçe aylık-TL'!$M$108</f>
        <v/>
      </c>
      <c r="AJ180" s="7">
        <f>'gerç aylık-tl'!$M$107</f>
        <v/>
      </c>
      <c r="AK180" s="8" t="n"/>
      <c r="AL180" s="21">
        <f>AP180-AO180</f>
        <v/>
      </c>
      <c r="AM180" s="22">
        <f>AP180/AO180-1</f>
        <v/>
      </c>
      <c r="AO180" s="44">
        <f>IF($A$1=$B$1,B180,IF($A$1=$E$1,E180,IF($A$1=$H$1,H180,IF($A$1=$K$1,K180,IF($A$1=$N$1,N180,IF($A$1=$Q$1,Q180,IF($A$1=$T$1,T180,IF($A$1=$W$1,W180,IF($A$1=$Z$1,Z180,IF($A$1=$AC$1,AC180,IF($A$1=$AF$1,AF180,IF($A$1=$AI$1,AI180))))))))))))</f>
        <v/>
      </c>
      <c r="AP180" s="44">
        <f>IF($A$1=$B$1,C180,IF($A$1=$E$1,F180,IF($A$1=$H$1,I180,IF($A$1=$K$1,L180,IF($A$1=$N$1,O180,IF($A$1=$Q$1,R180,IF($A$1=$T$1,U180,IF($A$1=$W$1,X180,IF($A$1=$Z$1,AA180,IF($A$1=$AC$1,AD180,IF($A$1=$AF$1,AG180,IF($A$1=$AI$1,AJ180))))))))))))</f>
        <v/>
      </c>
    </row>
    <row r="181" ht="15.5" customHeight="1">
      <c r="A181" s="26" t="inlineStr">
        <is>
          <t>Jantaş</t>
        </is>
      </c>
      <c r="B181" s="7">
        <f>'Bütçe aylık-TL'!$B$109</f>
        <v/>
      </c>
      <c r="C181" s="7">
        <f>'gerç aylık-tl'!$B$108</f>
        <v/>
      </c>
      <c r="D181" s="7" t="n"/>
      <c r="E181" s="7">
        <f>'Bütçe aylık-TL'!$C$109</f>
        <v/>
      </c>
      <c r="F181" s="7">
        <f>'gerç aylık-tl'!$C$108</f>
        <v/>
      </c>
      <c r="G181" s="7" t="n"/>
      <c r="H181" s="7">
        <f>'Bütçe aylık-TL'!$D$109</f>
        <v/>
      </c>
      <c r="I181" s="7">
        <f>'gerç aylık-tl'!$D$108</f>
        <v/>
      </c>
      <c r="J181" s="7" t="n"/>
      <c r="K181" s="7">
        <f>'Bütçe aylık-TL'!$E$109</f>
        <v/>
      </c>
      <c r="L181" s="7">
        <f>'gerç aylık-tl'!$E$108</f>
        <v/>
      </c>
      <c r="M181" s="7" t="n"/>
      <c r="N181" s="7">
        <f>'Bütçe aylık-TL'!$F$109</f>
        <v/>
      </c>
      <c r="O181" s="7">
        <f>'gerç aylık-tl'!$F$108</f>
        <v/>
      </c>
      <c r="P181" s="7" t="n"/>
      <c r="Q181" s="7">
        <f>'Bütçe aylık-TL'!$G$109</f>
        <v/>
      </c>
      <c r="R181" s="7">
        <f>'gerç aylık-tl'!$G$108</f>
        <v/>
      </c>
      <c r="S181" s="7" t="n"/>
      <c r="T181" s="7">
        <f>'Bütçe aylık-TL'!$H$109</f>
        <v/>
      </c>
      <c r="U181" s="7">
        <f>'gerç aylık-tl'!$H$108</f>
        <v/>
      </c>
      <c r="V181" s="7" t="n"/>
      <c r="W181" s="7">
        <f>'Bütçe aylık-TL'!$I$109</f>
        <v/>
      </c>
      <c r="X181" s="7">
        <f>'gerç aylık-tl'!$I$108</f>
        <v/>
      </c>
      <c r="Y181" s="7" t="n"/>
      <c r="Z181" s="7">
        <f>'Bütçe aylık-TL'!$J$109</f>
        <v/>
      </c>
      <c r="AA181" s="7">
        <f>'gerç aylık-tl'!$J$108</f>
        <v/>
      </c>
      <c r="AB181" s="7" t="n"/>
      <c r="AC181" s="7">
        <f>'Bütçe aylık-TL'!$K$109</f>
        <v/>
      </c>
      <c r="AD181" s="7">
        <f>'gerç aylık-tl'!$K$108</f>
        <v/>
      </c>
      <c r="AE181" s="7" t="n"/>
      <c r="AF181" s="7">
        <f>'Bütçe aylık-TL'!$L$109</f>
        <v/>
      </c>
      <c r="AG181" s="7">
        <f>'gerç aylık-tl'!$L$108</f>
        <v/>
      </c>
      <c r="AH181" s="7" t="n"/>
      <c r="AI181" s="7">
        <f>'Bütçe aylık-TL'!$M$109</f>
        <v/>
      </c>
      <c r="AJ181" s="7">
        <f>'gerç aylık-tl'!$M$108</f>
        <v/>
      </c>
      <c r="AK181" s="7" t="n"/>
      <c r="AL181" s="21">
        <f>AP181-AO181</f>
        <v/>
      </c>
      <c r="AM181" s="22">
        <f>AP181/AO181-1</f>
        <v/>
      </c>
      <c r="AO181" s="44">
        <f>IF($A$1=$B$1,B181,IF($A$1=$E$1,E181,IF($A$1=$H$1,H181,IF($A$1=$K$1,K181,IF($A$1=$N$1,N181,IF($A$1=$Q$1,Q181,IF($A$1=$T$1,T181,IF($A$1=$W$1,W181,IF($A$1=$Z$1,Z181,IF($A$1=$AC$1,AC181,IF($A$1=$AF$1,AF181,IF($A$1=$AI$1,AI181))))))))))))</f>
        <v/>
      </c>
      <c r="AP181" s="44">
        <f>IF($A$1=$B$1,C181,IF($A$1=$E$1,F181,IF($A$1=$H$1,I181,IF($A$1=$K$1,L181,IF($A$1=$N$1,O181,IF($A$1=$Q$1,R181,IF($A$1=$T$1,U181,IF($A$1=$W$1,X181,IF($A$1=$Z$1,AA181,IF($A$1=$AC$1,AD181,IF($A$1=$AF$1,AG181,IF($A$1=$AI$1,AJ181))))))))))))</f>
        <v/>
      </c>
    </row>
    <row r="182" ht="15.5" customHeight="1">
      <c r="A182" s="26" t="inlineStr">
        <is>
          <t>Çelik</t>
        </is>
      </c>
      <c r="B182" s="7">
        <f>'Bütçe aylık-TL'!$B$110</f>
        <v/>
      </c>
      <c r="C182" s="7">
        <f>'gerç aylık-tl'!$B$109</f>
        <v/>
      </c>
      <c r="D182" s="7" t="n"/>
      <c r="E182" s="7">
        <f>'Bütçe aylık-TL'!$C$110</f>
        <v/>
      </c>
      <c r="F182" s="7">
        <f>'gerç aylık-tl'!$C$109</f>
        <v/>
      </c>
      <c r="G182" s="7" t="n"/>
      <c r="H182" s="7">
        <f>'Bütçe aylık-TL'!$D$110</f>
        <v/>
      </c>
      <c r="I182" s="7">
        <f>'gerç aylık-tl'!$D$109</f>
        <v/>
      </c>
      <c r="J182" s="7" t="n"/>
      <c r="K182" s="7">
        <f>'Bütçe aylık-TL'!$E$110</f>
        <v/>
      </c>
      <c r="L182" s="7">
        <f>'gerç aylık-tl'!$E$109</f>
        <v/>
      </c>
      <c r="M182" s="7" t="n"/>
      <c r="N182" s="7">
        <f>'Bütçe aylık-TL'!$F$110</f>
        <v/>
      </c>
      <c r="O182" s="7">
        <f>'gerç aylık-tl'!$F$109</f>
        <v/>
      </c>
      <c r="P182" s="7" t="n"/>
      <c r="Q182" s="7">
        <f>'Bütçe aylık-TL'!$G$110</f>
        <v/>
      </c>
      <c r="R182" s="7">
        <f>'gerç aylık-tl'!$G$109</f>
        <v/>
      </c>
      <c r="S182" s="7" t="n"/>
      <c r="T182" s="7">
        <f>'Bütçe aylık-TL'!$H$110</f>
        <v/>
      </c>
      <c r="U182" s="7">
        <f>'gerç aylık-tl'!$H$109</f>
        <v/>
      </c>
      <c r="V182" s="7" t="n"/>
      <c r="W182" s="7">
        <f>'Bütçe aylık-TL'!$I$110</f>
        <v/>
      </c>
      <c r="X182" s="7">
        <f>'gerç aylık-tl'!$I$109</f>
        <v/>
      </c>
      <c r="Y182" s="7" t="n"/>
      <c r="Z182" s="7">
        <f>'Bütçe aylık-TL'!$J$110</f>
        <v/>
      </c>
      <c r="AA182" s="7">
        <f>'gerç aylık-tl'!$J$109</f>
        <v/>
      </c>
      <c r="AB182" s="7" t="n"/>
      <c r="AC182" s="7">
        <f>'Bütçe aylık-TL'!$K$110</f>
        <v/>
      </c>
      <c r="AD182" s="7">
        <f>'gerç aylık-tl'!$K$109</f>
        <v/>
      </c>
      <c r="AE182" s="7" t="n"/>
      <c r="AF182" s="7">
        <f>'Bütçe aylık-TL'!$L$110</f>
        <v/>
      </c>
      <c r="AG182" s="7">
        <f>'gerç aylık-tl'!$L$109</f>
        <v/>
      </c>
      <c r="AH182" s="7" t="n"/>
      <c r="AI182" s="7">
        <f>'Bütçe aylık-TL'!$M$110</f>
        <v/>
      </c>
      <c r="AJ182" s="7">
        <f>'gerç aylık-tl'!$M$109</f>
        <v/>
      </c>
      <c r="AK182" s="7" t="n"/>
      <c r="AL182" s="21">
        <f>AP182-AO182</f>
        <v/>
      </c>
      <c r="AM182" s="22">
        <f>AP182/AO182-1</f>
        <v/>
      </c>
      <c r="AO182" s="44">
        <f>IF($A$1=$B$1,B182,IF($A$1=$E$1,E182,IF($A$1=$H$1,H182,IF($A$1=$K$1,K182,IF($A$1=$N$1,N182,IF($A$1=$Q$1,Q182,IF($A$1=$T$1,T182,IF($A$1=$W$1,W182,IF($A$1=$Z$1,Z182,IF($A$1=$AC$1,AC182,IF($A$1=$AF$1,AF182,IF($A$1=$AI$1,AI182))))))))))))</f>
        <v/>
      </c>
      <c r="AP182" s="44">
        <f>IF($A$1=$B$1,C182,IF($A$1=$E$1,F182,IF($A$1=$H$1,I182,IF($A$1=$K$1,L182,IF($A$1=$N$1,O182,IF($A$1=$Q$1,R182,IF($A$1=$T$1,U182,IF($A$1=$W$1,X182,IF($A$1=$Z$1,AA182,IF($A$1=$AC$1,AD182,IF($A$1=$AF$1,AG182,IF($A$1=$AI$1,AJ182))))))))))))</f>
        <v/>
      </c>
    </row>
    <row r="183" ht="15.5" customHeight="1">
      <c r="A183" s="26" t="inlineStr">
        <is>
          <t>Alüminyum</t>
        </is>
      </c>
      <c r="B183" s="7">
        <f>'Bütçe aylık-TL'!$B$111</f>
        <v/>
      </c>
      <c r="C183" s="7">
        <f>'gerç aylık-tl'!$B$110</f>
        <v/>
      </c>
      <c r="D183" s="7" t="n"/>
      <c r="E183" s="7">
        <f>'Bütçe aylık-TL'!$C$111</f>
        <v/>
      </c>
      <c r="F183" s="7">
        <f>'gerç aylık-tl'!$C$110</f>
        <v/>
      </c>
      <c r="G183" s="7" t="n"/>
      <c r="H183" s="7">
        <f>'Bütçe aylık-TL'!$D$111</f>
        <v/>
      </c>
      <c r="I183" s="7">
        <f>'gerç aylık-tl'!$D$110</f>
        <v/>
      </c>
      <c r="J183" s="7" t="n"/>
      <c r="K183" s="7">
        <f>'Bütçe aylık-TL'!$E$111</f>
        <v/>
      </c>
      <c r="L183" s="7">
        <f>'gerç aylık-tl'!$E$110</f>
        <v/>
      </c>
      <c r="M183" s="7" t="n"/>
      <c r="N183" s="7">
        <f>'Bütçe aylık-TL'!$F$111</f>
        <v/>
      </c>
      <c r="O183" s="7">
        <f>'gerç aylık-tl'!$F$110</f>
        <v/>
      </c>
      <c r="P183" s="7" t="n"/>
      <c r="Q183" s="7">
        <f>'Bütçe aylık-TL'!$G$111</f>
        <v/>
      </c>
      <c r="R183" s="7">
        <f>'gerç aylık-tl'!$G$110</f>
        <v/>
      </c>
      <c r="S183" s="7" t="n"/>
      <c r="T183" s="7">
        <f>'Bütçe aylık-TL'!$H$111</f>
        <v/>
      </c>
      <c r="U183" s="7">
        <f>'gerç aylık-tl'!$H$110</f>
        <v/>
      </c>
      <c r="V183" s="7" t="n"/>
      <c r="W183" s="7">
        <f>'Bütçe aylık-TL'!$I$111</f>
        <v/>
      </c>
      <c r="X183" s="7">
        <f>'gerç aylık-tl'!$I$110</f>
        <v/>
      </c>
      <c r="Y183" s="7" t="n"/>
      <c r="Z183" s="7">
        <f>'Bütçe aylık-TL'!$J$111</f>
        <v/>
      </c>
      <c r="AA183" s="7">
        <f>'gerç aylık-tl'!$J$110</f>
        <v/>
      </c>
      <c r="AB183" s="7" t="n"/>
      <c r="AC183" s="7">
        <f>'Bütçe aylık-TL'!$K$111</f>
        <v/>
      </c>
      <c r="AD183" s="7">
        <f>'gerç aylık-tl'!$K$110</f>
        <v/>
      </c>
      <c r="AE183" s="7" t="n"/>
      <c r="AF183" s="7">
        <f>'Bütçe aylık-TL'!$L$111</f>
        <v/>
      </c>
      <c r="AG183" s="7">
        <f>'gerç aylık-tl'!$L$110</f>
        <v/>
      </c>
      <c r="AH183" s="7" t="n"/>
      <c r="AI183" s="7">
        <f>'Bütçe aylık-TL'!$M$111</f>
        <v/>
      </c>
      <c r="AJ183" s="7">
        <f>'gerç aylık-tl'!$M$110</f>
        <v/>
      </c>
      <c r="AK183" s="7" t="n"/>
      <c r="AL183" s="21">
        <f>AP183-AO183</f>
        <v/>
      </c>
      <c r="AM183" s="22">
        <f>AP183/AO183-1</f>
        <v/>
      </c>
      <c r="AO183" s="44">
        <f>IF($A$1=$B$1,B183,IF($A$1=$E$1,E183,IF($A$1=$H$1,H183,IF($A$1=$K$1,K183,IF($A$1=$N$1,N183,IF($A$1=$Q$1,Q183,IF($A$1=$T$1,T183,IF($A$1=$W$1,W183,IF($A$1=$Z$1,Z183,IF($A$1=$AC$1,AC183,IF($A$1=$AF$1,AF183,IF($A$1=$AI$1,AI183))))))))))))</f>
        <v/>
      </c>
      <c r="AP183" s="44">
        <f>IF($A$1=$B$1,C183,IF($A$1=$E$1,F183,IF($A$1=$H$1,I183,IF($A$1=$K$1,L183,IF($A$1=$N$1,O183,IF($A$1=$Q$1,R183,IF($A$1=$T$1,U183,IF($A$1=$W$1,X183,IF($A$1=$Z$1,AA183,IF($A$1=$AC$1,AD183,IF($A$1=$AF$1,AG183,IF($A$1=$AI$1,AJ183))))))))))))</f>
        <v/>
      </c>
    </row>
    <row r="184" ht="15.5" customFormat="1" customHeight="1" s="13">
      <c r="A184" s="26" t="n"/>
      <c r="B184" s="12" t="n"/>
      <c r="C184" s="30" t="n"/>
      <c r="D184" s="41" t="n"/>
      <c r="E184" s="12" t="n"/>
      <c r="F184" s="30" t="n"/>
      <c r="G184" s="41" t="n"/>
      <c r="H184" s="12" t="n"/>
      <c r="I184" s="30" t="n"/>
      <c r="J184" s="41" t="n"/>
      <c r="K184" s="12" t="n"/>
      <c r="L184" s="30" t="n"/>
      <c r="M184" s="41" t="n"/>
      <c r="N184" s="12" t="n"/>
      <c r="O184" s="30" t="n"/>
      <c r="P184" s="41" t="n"/>
      <c r="Q184" s="12" t="n"/>
      <c r="R184" s="30" t="n"/>
      <c r="S184" s="41" t="n"/>
      <c r="T184" s="12" t="n"/>
      <c r="U184" s="30" t="n"/>
      <c r="V184" s="41" t="n"/>
      <c r="W184" s="12" t="n"/>
      <c r="X184" s="30" t="n"/>
      <c r="Y184" s="41" t="n"/>
      <c r="Z184" s="12" t="n"/>
      <c r="AA184" s="30" t="n"/>
      <c r="AB184" s="41" t="n"/>
      <c r="AC184" s="12" t="n"/>
      <c r="AD184" s="30" t="n"/>
      <c r="AE184" s="41" t="n"/>
      <c r="AF184" s="12" t="n"/>
      <c r="AG184" s="30" t="n"/>
      <c r="AH184" s="41" t="n"/>
      <c r="AI184" s="12" t="n"/>
      <c r="AJ184" s="30" t="n"/>
      <c r="AK184" s="41" t="n"/>
      <c r="AL184" s="15" t="n"/>
      <c r="AM184" s="22" t="n"/>
      <c r="AO184" s="44" t="n"/>
      <c r="AP184" s="44" t="n"/>
    </row>
    <row r="185" ht="15.5" customFormat="1" customHeight="1" s="13">
      <c r="A185" s="26" t="n"/>
      <c r="B185" s="12" t="n"/>
      <c r="C185" s="30" t="n"/>
      <c r="D185" s="41" t="n"/>
      <c r="E185" s="12" t="n"/>
      <c r="F185" s="30" t="n"/>
      <c r="G185" s="41" t="n"/>
      <c r="H185" s="12" t="n"/>
      <c r="I185" s="30" t="n"/>
      <c r="J185" s="41" t="n"/>
      <c r="K185" s="12" t="n"/>
      <c r="L185" s="30" t="n"/>
      <c r="M185" s="41" t="n"/>
      <c r="N185" s="12" t="n"/>
      <c r="O185" s="30" t="n"/>
      <c r="P185" s="41" t="n"/>
      <c r="Q185" s="12" t="n"/>
      <c r="R185" s="30" t="n"/>
      <c r="S185" s="41" t="n"/>
      <c r="T185" s="12" t="n"/>
      <c r="U185" s="30" t="n"/>
      <c r="V185" s="41" t="n"/>
      <c r="W185" s="12" t="n"/>
      <c r="X185" s="30" t="n"/>
      <c r="Y185" s="41" t="n"/>
      <c r="Z185" s="12" t="n"/>
      <c r="AA185" s="30" t="n"/>
      <c r="AB185" s="41" t="n"/>
      <c r="AC185" s="12" t="n"/>
      <c r="AD185" s="30" t="n"/>
      <c r="AE185" s="41" t="n"/>
      <c r="AF185" s="12" t="n"/>
      <c r="AG185" s="30" t="n"/>
      <c r="AH185" s="41" t="n"/>
      <c r="AI185" s="12" t="n"/>
      <c r="AJ185" s="30" t="n"/>
      <c r="AK185" s="41" t="n"/>
      <c r="AL185" s="15" t="n"/>
      <c r="AM185" s="22" t="n"/>
      <c r="AO185" s="44" t="n"/>
      <c r="AP185" s="44" t="n"/>
    </row>
    <row r="186" ht="15.5" customFormat="1" customHeight="1" s="44">
      <c r="A186" s="31" t="inlineStr">
        <is>
          <t>VÖK</t>
        </is>
      </c>
      <c r="B186" s="32">
        <f>'Bütçe aylık-TL'!$B$114</f>
        <v/>
      </c>
      <c r="C186" s="32">
        <f>'gerç aylık-tl'!$B$113</f>
        <v/>
      </c>
      <c r="D186" s="18" t="n"/>
      <c r="E186" s="32">
        <f>'Bütçe aylık-TL'!$C$114</f>
        <v/>
      </c>
      <c r="F186" s="32">
        <f>'gerç aylık-tl'!$C$113</f>
        <v/>
      </c>
      <c r="G186" s="18" t="n"/>
      <c r="H186" s="32">
        <f>'Bütçe aylık-TL'!$D$114</f>
        <v/>
      </c>
      <c r="I186" s="32">
        <f>'gerç aylık-tl'!$D$113</f>
        <v/>
      </c>
      <c r="J186" s="18" t="n"/>
      <c r="K186" s="32">
        <f>'Bütçe aylık-TL'!$E$114</f>
        <v/>
      </c>
      <c r="L186" s="32">
        <f>'gerç aylık-tl'!$E$113</f>
        <v/>
      </c>
      <c r="M186" s="18" t="n"/>
      <c r="N186" s="32">
        <f>'Bütçe aylık-TL'!$F$114</f>
        <v/>
      </c>
      <c r="O186" s="32">
        <f>'gerç aylık-tl'!$F$113</f>
        <v/>
      </c>
      <c r="P186" s="18" t="n"/>
      <c r="Q186" s="32">
        <f>'Bütçe aylık-TL'!$G$114</f>
        <v/>
      </c>
      <c r="R186" s="32">
        <f>'gerç aylık-tl'!$G$113</f>
        <v/>
      </c>
      <c r="S186" s="18" t="n"/>
      <c r="T186" s="32">
        <f>'Bütçe aylık-TL'!$H$114</f>
        <v/>
      </c>
      <c r="U186" s="32">
        <f>'gerç aylık-tl'!$H$113</f>
        <v/>
      </c>
      <c r="V186" s="18" t="n"/>
      <c r="W186" s="32">
        <f>'Bütçe aylık-TL'!$I$114</f>
        <v/>
      </c>
      <c r="X186" s="32">
        <f>'gerç aylık-tl'!$I$113</f>
        <v/>
      </c>
      <c r="Y186" s="18" t="n"/>
      <c r="Z186" s="32">
        <f>'Bütçe aylık-TL'!$J$114</f>
        <v/>
      </c>
      <c r="AA186" s="32">
        <f>'gerç aylık-tl'!$J$113</f>
        <v/>
      </c>
      <c r="AB186" s="18" t="n"/>
      <c r="AC186" s="32">
        <f>'Bütçe aylık-TL'!$K$114</f>
        <v/>
      </c>
      <c r="AD186" s="32">
        <f>'gerç aylık-tl'!$K$113</f>
        <v/>
      </c>
      <c r="AE186" s="18" t="n"/>
      <c r="AF186" s="32">
        <f>'Bütçe aylık-TL'!$L$114</f>
        <v/>
      </c>
      <c r="AG186" s="32">
        <f>'gerç aylık-tl'!$L$113</f>
        <v/>
      </c>
      <c r="AH186" s="18" t="n"/>
      <c r="AI186" s="32">
        <f>'Bütçe aylık-TL'!$M$114</f>
        <v/>
      </c>
      <c r="AJ186" s="32">
        <f>'gerç aylık-tl'!$M$113</f>
        <v/>
      </c>
      <c r="AK186" s="18" t="n"/>
      <c r="AL186" s="33">
        <f>AP186-AO186</f>
        <v/>
      </c>
      <c r="AM186" s="34">
        <f>AP186/AO186-1</f>
        <v/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/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/>
      </c>
    </row>
    <row r="187" ht="15.5" customFormat="1" customHeight="1" s="13">
      <c r="A187" s="27" t="n"/>
      <c r="B187" s="30" t="n"/>
      <c r="C187" s="30">
        <f>IFERROR((C144/#REF!),"")</f>
        <v/>
      </c>
      <c r="D187" s="41" t="n"/>
      <c r="E187" s="30" t="n"/>
      <c r="F187" s="30">
        <f>IFERROR((F144/#REF!),"")</f>
        <v/>
      </c>
      <c r="G187" s="41" t="n"/>
      <c r="H187" s="30" t="n"/>
      <c r="I187" s="30">
        <f>IFERROR((I144/#REF!),"")</f>
        <v/>
      </c>
      <c r="J187" s="41" t="n"/>
      <c r="K187" s="30" t="n"/>
      <c r="L187" s="30">
        <f>IFERROR((L144/#REF!),"")</f>
        <v/>
      </c>
      <c r="M187" s="41" t="n"/>
      <c r="N187" s="30" t="n"/>
      <c r="O187" s="30">
        <f>IFERROR((O144/#REF!),"")</f>
        <v/>
      </c>
      <c r="P187" s="41" t="n"/>
      <c r="Q187" s="30" t="n"/>
      <c r="R187" s="30">
        <f>IFERROR((R144/#REF!),"")</f>
        <v/>
      </c>
      <c r="S187" s="41" t="n"/>
      <c r="T187" s="30" t="n"/>
      <c r="U187" s="30">
        <f>IFERROR((U144/#REF!),"")</f>
        <v/>
      </c>
      <c r="V187" s="41" t="n"/>
      <c r="W187" s="30" t="n"/>
      <c r="X187" s="30">
        <f>IFERROR((X144/#REF!),"")</f>
        <v/>
      </c>
      <c r="Y187" s="41" t="n"/>
      <c r="Z187" s="30" t="n"/>
      <c r="AA187" s="30">
        <f>IFERROR((AA144/#REF!),"")</f>
        <v/>
      </c>
      <c r="AB187" s="41" t="n"/>
      <c r="AC187" s="30" t="n"/>
      <c r="AD187" s="30">
        <f>IFERROR((AD144/#REF!),"")</f>
        <v/>
      </c>
      <c r="AE187" s="41" t="n"/>
      <c r="AF187" s="30" t="n"/>
      <c r="AG187" s="30">
        <f>IFERROR((AG144/#REF!),"")</f>
        <v/>
      </c>
      <c r="AH187" s="41" t="n"/>
      <c r="AI187" s="30" t="n"/>
      <c r="AJ187" s="30">
        <f>IFERROR((AJ144/#REF!),"")</f>
        <v/>
      </c>
      <c r="AK187" s="41" t="n"/>
      <c r="AL187" s="15" t="n"/>
      <c r="AM187" s="22" t="n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/>
      </c>
      <c r="AP187" s="44">
        <f>IF($A$1=$B$1,C187,IF($A$1=$E$1,F187,IF($A$1=$H$1,I187,IF($A$1=$K$1,L187,IF($A$1=$N$1,O187,IF($A$1=$Q$1,R187,IF($A$1=$T$1,U187,IF($A$1=$W$1,X187,IF($A$1=$Z$1,AA187,IF($A$1=$AC$1,AD187,IF($A$1=$AF$1,AG187,IF($A$1=$AI$1,AJ187))))))))))))</f>
        <v/>
      </c>
    </row>
    <row r="188" ht="17" customFormat="1" customHeight="1" s="49">
      <c r="A188" s="47" t="inlineStr">
        <is>
          <t>VÖK (100%)</t>
        </is>
      </c>
      <c r="B188" s="413" t="n"/>
      <c r="C188" s="413" t="n"/>
      <c r="D188" s="413" t="n"/>
      <c r="E188" s="413" t="n"/>
      <c r="F188" s="413" t="n"/>
      <c r="G188" s="413" t="n"/>
      <c r="H188" s="413" t="n"/>
      <c r="I188" s="413" t="n"/>
      <c r="J188" s="413" t="n"/>
      <c r="K188" s="413" t="n"/>
      <c r="L188" s="413" t="n"/>
      <c r="M188" s="413" t="n"/>
      <c r="N188" s="413" t="n"/>
      <c r="O188" s="413" t="n"/>
      <c r="P188" s="413" t="n"/>
      <c r="Q188" s="413" t="n"/>
      <c r="R188" s="413" t="n"/>
      <c r="S188" s="413" t="n"/>
      <c r="T188" s="413" t="n"/>
      <c r="U188" s="413" t="n"/>
      <c r="V188" s="413" t="n"/>
      <c r="W188" s="413" t="n"/>
      <c r="X188" s="413" t="n"/>
      <c r="Y188" s="413" t="n"/>
      <c r="Z188" s="413" t="n"/>
      <c r="AA188" s="413" t="n"/>
      <c r="AB188" s="413" t="n"/>
      <c r="AC188" s="413" t="n"/>
      <c r="AD188" s="413" t="n"/>
      <c r="AE188" s="413" t="n"/>
      <c r="AF188" s="413" t="n"/>
      <c r="AG188" s="413" t="n"/>
      <c r="AH188" s="413" t="n"/>
      <c r="AI188" s="413" t="n"/>
      <c r="AJ188" s="413" t="n"/>
      <c r="AK188" s="413" t="n"/>
      <c r="AL188" s="413" t="n"/>
      <c r="AM188" s="48" t="n"/>
    </row>
    <row r="189" ht="15.5" customHeight="1">
      <c r="A189" s="26" t="inlineStr">
        <is>
          <t xml:space="preserve">İnci Holding </t>
        </is>
      </c>
      <c r="B189" s="7">
        <f>'Bütçe aylık-TL'!$B$115</f>
        <v/>
      </c>
      <c r="C189" s="7">
        <f>'gerç aylık-tl'!$B$114</f>
        <v/>
      </c>
      <c r="D189" s="7" t="n"/>
      <c r="E189" s="7">
        <f>'Bütçe aylık-TL'!$C$115</f>
        <v/>
      </c>
      <c r="F189" s="7">
        <f>'gerç aylık-tl'!$C$114</f>
        <v/>
      </c>
      <c r="G189" s="7" t="n"/>
      <c r="H189" s="7">
        <f>'Bütçe aylık-TL'!$D$115</f>
        <v/>
      </c>
      <c r="I189" s="7">
        <f>'gerç aylık-tl'!$D$114</f>
        <v/>
      </c>
      <c r="J189" s="7" t="n"/>
      <c r="K189" s="7">
        <f>'Bütçe aylık-TL'!$E$115</f>
        <v/>
      </c>
      <c r="L189" s="7">
        <f>'gerç aylık-tl'!$E$114</f>
        <v/>
      </c>
      <c r="M189" s="7" t="n"/>
      <c r="N189" s="7">
        <f>'Bütçe aylık-TL'!$F$115</f>
        <v/>
      </c>
      <c r="O189" s="7">
        <f>'gerç aylık-tl'!$F$114</f>
        <v/>
      </c>
      <c r="P189" s="7" t="n"/>
      <c r="Q189" s="7">
        <f>'Bütçe aylık-TL'!$G$115</f>
        <v/>
      </c>
      <c r="R189" s="7">
        <f>'gerç aylık-tl'!$G$114</f>
        <v/>
      </c>
      <c r="S189" s="7" t="n"/>
      <c r="T189" s="7">
        <f>'Bütçe aylık-TL'!$H$115</f>
        <v/>
      </c>
      <c r="U189" s="7">
        <f>'gerç aylık-tl'!$H$114</f>
        <v/>
      </c>
      <c r="V189" s="7" t="n"/>
      <c r="W189" s="7">
        <f>'Bütçe aylık-TL'!$I$115</f>
        <v/>
      </c>
      <c r="X189" s="7">
        <f>'gerç aylık-tl'!$I$114</f>
        <v/>
      </c>
      <c r="Y189" s="7" t="n"/>
      <c r="Z189" s="7">
        <f>'Bütçe aylık-TL'!$J$115</f>
        <v/>
      </c>
      <c r="AA189" s="7">
        <f>'gerç aylık-tl'!$J$114</f>
        <v/>
      </c>
      <c r="AB189" s="7" t="n"/>
      <c r="AC189" s="7">
        <f>'Bütçe aylık-TL'!$K$115</f>
        <v/>
      </c>
      <c r="AD189" s="7">
        <f>'gerç aylık-tl'!$K$114</f>
        <v/>
      </c>
      <c r="AE189" s="7" t="n"/>
      <c r="AF189" s="7">
        <f>'Bütçe aylık-TL'!$L$115</f>
        <v/>
      </c>
      <c r="AG189" s="7">
        <f>'gerç aylık-tl'!$L$114</f>
        <v/>
      </c>
      <c r="AH189" s="7" t="n"/>
      <c r="AI189" s="7">
        <f>'Bütçe aylık-TL'!$M$115</f>
        <v/>
      </c>
      <c r="AJ189" s="7">
        <f>'gerç aylık-tl'!$M$114</f>
        <v/>
      </c>
      <c r="AK189" s="7" t="n"/>
      <c r="AL189" s="21">
        <f>AP189-AO189</f>
        <v/>
      </c>
      <c r="AM189" s="22">
        <f>AP189/AO189-1</f>
        <v/>
      </c>
      <c r="AO189" s="44">
        <f>IF($A$1=$B$1,B189,IF($A$1=$E$1,E189,IF($A$1=$H$1,H189,IF($A$1=$K$1,K189,IF($A$1=$N$1,N189,IF($A$1=$Q$1,Q189,IF($A$1=$T$1,T189,IF($A$1=$W$1,W189,IF($A$1=$Z$1,Z189,IF($A$1=$AC$1,AC189,IF($A$1=$AF$1,AF189,IF($A$1=$AI$1,AI189))))))))))))</f>
        <v/>
      </c>
      <c r="AP189" s="44">
        <f>IF($A$1=$B$1,C189,IF($A$1=$E$1,F189,IF($A$1=$H$1,I189,IF($A$1=$K$1,L189,IF($A$1=$N$1,O189,IF($A$1=$Q$1,R189,IF($A$1=$T$1,U189,IF($A$1=$W$1,X189,IF($A$1=$Z$1,AA189,IF($A$1=$AC$1,AD189,IF($A$1=$AF$1,AG189,IF($A$1=$AI$1,AJ189))))))))))))</f>
        <v/>
      </c>
    </row>
    <row r="190" ht="15.5" customHeight="1">
      <c r="A190" s="26" t="inlineStr">
        <is>
          <t xml:space="preserve">ISM </t>
        </is>
      </c>
      <c r="B190" s="7">
        <f>'Bütçe aylık-TL'!$B$116</f>
        <v/>
      </c>
      <c r="C190" s="7">
        <f>'gerç aylık-tl'!$B$115</f>
        <v/>
      </c>
      <c r="D190" s="7" t="n"/>
      <c r="E190" s="7">
        <f>'Bütçe aylık-TL'!$C$116</f>
        <v/>
      </c>
      <c r="F190" s="7">
        <f>'gerç aylık-tl'!$C$115</f>
        <v/>
      </c>
      <c r="G190" s="7" t="n"/>
      <c r="H190" s="7">
        <f>'Bütçe aylık-TL'!$D$116</f>
        <v/>
      </c>
      <c r="I190" s="7">
        <f>'gerç aylık-tl'!$D$115</f>
        <v/>
      </c>
      <c r="J190" s="7" t="n"/>
      <c r="K190" s="7">
        <f>'Bütçe aylık-TL'!$E$116</f>
        <v/>
      </c>
      <c r="L190" s="7">
        <f>'gerç aylık-tl'!$E$115</f>
        <v/>
      </c>
      <c r="M190" s="7" t="n"/>
      <c r="N190" s="7">
        <f>'Bütçe aylık-TL'!$F$116</f>
        <v/>
      </c>
      <c r="O190" s="7">
        <f>'gerç aylık-tl'!$F$115</f>
        <v/>
      </c>
      <c r="P190" s="7" t="n"/>
      <c r="Q190" s="7">
        <f>'Bütçe aylık-TL'!$G$116</f>
        <v/>
      </c>
      <c r="R190" s="7">
        <f>'gerç aylık-tl'!$G$115</f>
        <v/>
      </c>
      <c r="S190" s="7" t="n"/>
      <c r="T190" s="7">
        <f>'Bütçe aylık-TL'!$H$116</f>
        <v/>
      </c>
      <c r="U190" s="7">
        <f>'gerç aylık-tl'!$H$115</f>
        <v/>
      </c>
      <c r="V190" s="7" t="n"/>
      <c r="W190" s="7">
        <f>'Bütçe aylık-TL'!$I$116</f>
        <v/>
      </c>
      <c r="X190" s="7">
        <f>'gerç aylık-tl'!$I$115</f>
        <v/>
      </c>
      <c r="Y190" s="7" t="n"/>
      <c r="Z190" s="7">
        <f>'Bütçe aylık-TL'!$J$116</f>
        <v/>
      </c>
      <c r="AA190" s="7">
        <f>'gerç aylık-tl'!$J$115</f>
        <v/>
      </c>
      <c r="AB190" s="7" t="n"/>
      <c r="AC190" s="7">
        <f>'Bütçe aylık-TL'!$K$116</f>
        <v/>
      </c>
      <c r="AD190" s="7">
        <f>'gerç aylık-tl'!$K$115</f>
        <v/>
      </c>
      <c r="AE190" s="7" t="n"/>
      <c r="AF190" s="7">
        <f>'Bütçe aylık-TL'!$L$116</f>
        <v/>
      </c>
      <c r="AG190" s="7">
        <f>'gerç aylık-tl'!$L$115</f>
        <v/>
      </c>
      <c r="AH190" s="7" t="n"/>
      <c r="AI190" s="7">
        <f>'Bütçe aylık-TL'!$M$116</f>
        <v/>
      </c>
      <c r="AJ190" s="7">
        <f>'gerç aylık-tl'!$M$115</f>
        <v/>
      </c>
      <c r="AK190" s="7" t="n"/>
      <c r="AL190" s="21">
        <f>AP190-AO190</f>
        <v/>
      </c>
      <c r="AM190" s="22">
        <f>AP190/AO190-1</f>
        <v/>
      </c>
      <c r="AO190" s="44">
        <f>IF($A$1=$B$1,B190,IF($A$1=$E$1,E190,IF($A$1=$H$1,H190,IF($A$1=$K$1,K190,IF($A$1=$N$1,N190,IF($A$1=$Q$1,Q190,IF($A$1=$T$1,T190,IF($A$1=$W$1,W190,IF($A$1=$Z$1,Z190,IF($A$1=$AC$1,AC190,IF($A$1=$AF$1,AF190,IF($A$1=$AI$1,AI190))))))))))))</f>
        <v/>
      </c>
      <c r="AP190" s="44">
        <f>IF($A$1=$B$1,C190,IF($A$1=$E$1,F190,IF($A$1=$H$1,I190,IF($A$1=$K$1,L190,IF($A$1=$N$1,O190,IF($A$1=$Q$1,R190,IF($A$1=$T$1,U190,IF($A$1=$W$1,X190,IF($A$1=$Z$1,AA190,IF($A$1=$AC$1,AD190,IF($A$1=$AF$1,AG190,IF($A$1=$AI$1,AJ190))))))))))))</f>
        <v/>
      </c>
    </row>
    <row r="191" ht="15.5" customHeight="1">
      <c r="A191" s="26" t="inlineStr">
        <is>
          <t>İncitaş</t>
        </is>
      </c>
      <c r="B191" s="7">
        <f>'Bütçe aylık-TL'!$B$117</f>
        <v/>
      </c>
      <c r="C191" s="7">
        <f>'gerç aylık-tl'!$B$116</f>
        <v/>
      </c>
      <c r="D191" s="7" t="n"/>
      <c r="E191" s="7">
        <f>'Bütçe aylık-TL'!$C$117</f>
        <v/>
      </c>
      <c r="F191" s="7">
        <f>'gerç aylık-tl'!$C$116</f>
        <v/>
      </c>
      <c r="G191" s="7" t="n"/>
      <c r="H191" s="7">
        <f>'Bütçe aylık-TL'!$D$117</f>
        <v/>
      </c>
      <c r="I191" s="7">
        <f>'gerç aylık-tl'!$D$116</f>
        <v/>
      </c>
      <c r="J191" s="7" t="n"/>
      <c r="K191" s="7">
        <f>'Bütçe aylık-TL'!$E$117</f>
        <v/>
      </c>
      <c r="L191" s="7">
        <f>'gerç aylık-tl'!$E$116</f>
        <v/>
      </c>
      <c r="M191" s="7" t="n"/>
      <c r="N191" s="7">
        <f>'Bütçe aylık-TL'!$F$117</f>
        <v/>
      </c>
      <c r="O191" s="7">
        <f>'gerç aylık-tl'!$F$116</f>
        <v/>
      </c>
      <c r="P191" s="7" t="n"/>
      <c r="Q191" s="7">
        <f>'Bütçe aylık-TL'!$G$117</f>
        <v/>
      </c>
      <c r="R191" s="7">
        <f>'gerç aylık-tl'!$G$116</f>
        <v/>
      </c>
      <c r="S191" s="7" t="n"/>
      <c r="T191" s="7">
        <f>'Bütçe aylık-TL'!$H$117</f>
        <v/>
      </c>
      <c r="U191" s="7">
        <f>'gerç aylık-tl'!$H$116</f>
        <v/>
      </c>
      <c r="V191" s="7" t="n"/>
      <c r="W191" s="7">
        <f>'Bütçe aylık-TL'!$I$117</f>
        <v/>
      </c>
      <c r="X191" s="7">
        <f>'gerç aylık-tl'!$I$116</f>
        <v/>
      </c>
      <c r="Y191" s="7" t="n"/>
      <c r="Z191" s="7">
        <f>'Bütçe aylık-TL'!$J$117</f>
        <v/>
      </c>
      <c r="AA191" s="7">
        <f>'gerç aylık-tl'!$J$116</f>
        <v/>
      </c>
      <c r="AB191" s="7" t="n"/>
      <c r="AC191" s="7">
        <f>'Bütçe aylık-TL'!$K$117</f>
        <v/>
      </c>
      <c r="AD191" s="7">
        <f>'gerç aylık-tl'!$K$116</f>
        <v/>
      </c>
      <c r="AE191" s="7" t="n"/>
      <c r="AF191" s="7">
        <f>'Bütçe aylık-TL'!$L$117</f>
        <v/>
      </c>
      <c r="AG191" s="7">
        <f>'gerç aylık-tl'!$L$116</f>
        <v/>
      </c>
      <c r="AH191" s="7" t="n"/>
      <c r="AI191" s="7">
        <f>'Bütçe aylık-TL'!$M$117</f>
        <v/>
      </c>
      <c r="AJ191" s="7">
        <f>'gerç aylık-tl'!$M$116</f>
        <v/>
      </c>
      <c r="AK191" s="7" t="n"/>
      <c r="AL191" s="21">
        <f>AP191-AO191</f>
        <v/>
      </c>
      <c r="AM191" s="22">
        <f>AP191/AO191-1</f>
        <v/>
      </c>
      <c r="AO191" s="44">
        <f>IF($A$1=$B$1,B191,IF($A$1=$E$1,E191,IF($A$1=$H$1,H191,IF($A$1=$K$1,K191,IF($A$1=$N$1,N191,IF($A$1=$Q$1,Q191,IF($A$1=$T$1,T191,IF($A$1=$W$1,W191,IF($A$1=$Z$1,Z191,IF($A$1=$AC$1,AC191,IF($A$1=$AF$1,AF191,IF($A$1=$AI$1,AI191))))))))))))</f>
        <v/>
      </c>
      <c r="AP191" s="44">
        <f>IF($A$1=$B$1,C191,IF($A$1=$E$1,F191,IF($A$1=$H$1,I191,IF($A$1=$K$1,L191,IF($A$1=$N$1,O191,IF($A$1=$Q$1,R191,IF($A$1=$T$1,U191,IF($A$1=$W$1,X191,IF($A$1=$Z$1,AA191,IF($A$1=$AC$1,AD191,IF($A$1=$AF$1,AG191,IF($A$1=$AI$1,AJ191))))))))))))</f>
        <v/>
      </c>
    </row>
    <row r="192" ht="15.5" customHeight="1">
      <c r="A192" s="26" t="inlineStr">
        <is>
          <t>İnci GS Yuasa</t>
        </is>
      </c>
      <c r="B192" s="7">
        <f>'Bütçe aylık-TL'!$B$118</f>
        <v/>
      </c>
      <c r="C192" s="7">
        <f>'gerç aylık-tl'!$B$117</f>
        <v/>
      </c>
      <c r="D192" s="7" t="n"/>
      <c r="E192" s="7">
        <f>'Bütçe aylık-TL'!$C$118</f>
        <v/>
      </c>
      <c r="F192" s="7">
        <f>'gerç aylık-tl'!$C$117</f>
        <v/>
      </c>
      <c r="G192" s="7" t="n"/>
      <c r="H192" s="7">
        <f>'Bütçe aylık-TL'!$D$118</f>
        <v/>
      </c>
      <c r="I192" s="7">
        <f>'gerç aylık-tl'!$D$117</f>
        <v/>
      </c>
      <c r="J192" s="7" t="n"/>
      <c r="K192" s="7">
        <f>'Bütçe aylık-TL'!$E$118</f>
        <v/>
      </c>
      <c r="L192" s="7">
        <f>'gerç aylık-tl'!$E$117</f>
        <v/>
      </c>
      <c r="M192" s="7" t="n"/>
      <c r="N192" s="7">
        <f>'Bütçe aylık-TL'!$F$118</f>
        <v/>
      </c>
      <c r="O192" s="7">
        <f>'gerç aylık-tl'!$F$117</f>
        <v/>
      </c>
      <c r="P192" s="7" t="n"/>
      <c r="Q192" s="7">
        <f>'Bütçe aylık-TL'!$G$118</f>
        <v/>
      </c>
      <c r="R192" s="7">
        <f>'gerç aylık-tl'!$G$117</f>
        <v/>
      </c>
      <c r="S192" s="7" t="n"/>
      <c r="T192" s="7">
        <f>'Bütçe aylık-TL'!$H$118</f>
        <v/>
      </c>
      <c r="U192" s="7">
        <f>'gerç aylık-tl'!$H$117</f>
        <v/>
      </c>
      <c r="V192" s="7" t="n"/>
      <c r="W192" s="7">
        <f>'Bütçe aylık-TL'!$I$118</f>
        <v/>
      </c>
      <c r="X192" s="7">
        <f>'gerç aylık-tl'!$I$117</f>
        <v/>
      </c>
      <c r="Y192" s="7" t="n"/>
      <c r="Z192" s="7">
        <f>'Bütçe aylık-TL'!$J$118</f>
        <v/>
      </c>
      <c r="AA192" s="7">
        <f>'gerç aylık-tl'!$J$117</f>
        <v/>
      </c>
      <c r="AB192" s="7" t="n"/>
      <c r="AC192" s="7">
        <f>'Bütçe aylık-TL'!$K$118</f>
        <v/>
      </c>
      <c r="AD192" s="7">
        <f>'gerç aylık-tl'!$K$117</f>
        <v/>
      </c>
      <c r="AE192" s="7" t="n"/>
      <c r="AF192" s="7">
        <f>'Bütçe aylık-TL'!$L$118</f>
        <v/>
      </c>
      <c r="AG192" s="7">
        <f>'gerç aylık-tl'!$L$117</f>
        <v/>
      </c>
      <c r="AH192" s="7" t="n"/>
      <c r="AI192" s="7">
        <f>'Bütçe aylık-TL'!$M$118</f>
        <v/>
      </c>
      <c r="AJ192" s="7">
        <f>'gerç aylık-tl'!$M$117</f>
        <v/>
      </c>
      <c r="AK192" s="7" t="n"/>
      <c r="AL192" s="21">
        <f>AP192-AO192</f>
        <v/>
      </c>
      <c r="AM192" s="22">
        <f>AP192/AO192-1</f>
        <v/>
      </c>
      <c r="AO192" s="44">
        <f>IF($A$1=$B$1,B192,IF($A$1=$E$1,E192,IF($A$1=$H$1,H192,IF($A$1=$K$1,K192,IF($A$1=$N$1,N192,IF($A$1=$Q$1,Q192,IF($A$1=$T$1,T192,IF($A$1=$W$1,W192,IF($A$1=$Z$1,Z192,IF($A$1=$AC$1,AC192,IF($A$1=$AF$1,AF192,IF($A$1=$AI$1,AI192))))))))))))</f>
        <v/>
      </c>
      <c r="AP192" s="44">
        <f>IF($A$1=$B$1,C192,IF($A$1=$E$1,F192,IF($A$1=$H$1,I192,IF($A$1=$K$1,L192,IF($A$1=$N$1,O192,IF($A$1=$Q$1,R192,IF($A$1=$T$1,U192,IF($A$1=$W$1,X192,IF($A$1=$Z$1,AA192,IF($A$1=$AC$1,AD192,IF($A$1=$AF$1,AG192,IF($A$1=$AI$1,AJ192))))))))))))</f>
        <v/>
      </c>
    </row>
    <row r="193" ht="15.5" customFormat="1" customHeight="1" s="1">
      <c r="A193" s="26" t="inlineStr">
        <is>
          <t>Yusen İnci Loj.</t>
        </is>
      </c>
      <c r="B193" s="7">
        <f>'Bütçe aylık-TL'!$B$119</f>
        <v/>
      </c>
      <c r="C193" s="7">
        <f>'gerç aylık-tl'!$B$118</f>
        <v/>
      </c>
      <c r="D193" s="8" t="n"/>
      <c r="E193" s="7">
        <f>'Bütçe aylık-TL'!$C$119</f>
        <v/>
      </c>
      <c r="F193" s="7">
        <f>'gerç aylık-tl'!$C$118</f>
        <v/>
      </c>
      <c r="G193" s="8" t="n"/>
      <c r="H193" s="7">
        <f>'Bütçe aylık-TL'!$D$119</f>
        <v/>
      </c>
      <c r="I193" s="7">
        <f>'gerç aylık-tl'!$D$118</f>
        <v/>
      </c>
      <c r="J193" s="8" t="n"/>
      <c r="K193" s="7">
        <f>'Bütçe aylık-TL'!$E$119</f>
        <v/>
      </c>
      <c r="L193" s="7">
        <f>'gerç aylık-tl'!$E$118</f>
        <v/>
      </c>
      <c r="M193" s="8" t="n"/>
      <c r="N193" s="7">
        <f>'Bütçe aylık-TL'!$F$119</f>
        <v/>
      </c>
      <c r="O193" s="7">
        <f>'gerç aylık-tl'!$F$118</f>
        <v/>
      </c>
      <c r="P193" s="8" t="n"/>
      <c r="Q193" s="7">
        <f>'Bütçe aylık-TL'!$G$119</f>
        <v/>
      </c>
      <c r="R193" s="7">
        <f>'gerç aylık-tl'!$G$118</f>
        <v/>
      </c>
      <c r="S193" s="8" t="n"/>
      <c r="T193" s="7">
        <f>'Bütçe aylık-TL'!$H$119</f>
        <v/>
      </c>
      <c r="U193" s="7">
        <f>'gerç aylık-tl'!$H$118</f>
        <v/>
      </c>
      <c r="V193" s="8" t="n"/>
      <c r="W193" s="7">
        <f>'Bütçe aylık-TL'!$I$119</f>
        <v/>
      </c>
      <c r="X193" s="7">
        <f>'gerç aylık-tl'!$I$118</f>
        <v/>
      </c>
      <c r="Y193" s="8" t="n"/>
      <c r="Z193" s="7">
        <f>'Bütçe aylık-TL'!$J$119</f>
        <v/>
      </c>
      <c r="AA193" s="7">
        <f>'gerç aylık-tl'!$J$118</f>
        <v/>
      </c>
      <c r="AB193" s="8" t="n"/>
      <c r="AC193" s="7">
        <f>'Bütçe aylık-TL'!$K$119</f>
        <v/>
      </c>
      <c r="AD193" s="7">
        <f>'gerç aylık-tl'!$K$118</f>
        <v/>
      </c>
      <c r="AE193" s="8" t="n"/>
      <c r="AF193" s="7">
        <f>'Bütçe aylık-TL'!$L$119</f>
        <v/>
      </c>
      <c r="AG193" s="7">
        <f>'gerç aylık-tl'!$L$118</f>
        <v/>
      </c>
      <c r="AH193" s="8" t="n"/>
      <c r="AI193" s="7">
        <f>'Bütçe aylık-TL'!$M$119</f>
        <v/>
      </c>
      <c r="AJ193" s="7">
        <f>'gerç aylık-tl'!$M$118</f>
        <v/>
      </c>
      <c r="AK193" s="8" t="n"/>
      <c r="AL193" s="21">
        <f>AP193-AO193</f>
        <v/>
      </c>
      <c r="AM193" s="22">
        <f>AP193/AO193-1</f>
        <v/>
      </c>
      <c r="AO193" s="44">
        <f>IF($A$1=$B$1,B193,IF($A$1=$E$1,E193,IF($A$1=$H$1,H193,IF($A$1=$K$1,K193,IF($A$1=$N$1,N193,IF($A$1=$Q$1,Q193,IF($A$1=$T$1,T193,IF($A$1=$W$1,W193,IF($A$1=$Z$1,Z193,IF($A$1=$AC$1,AC193,IF($A$1=$AF$1,AF193,IF($A$1=$AI$1,AI193))))))))))))</f>
        <v/>
      </c>
      <c r="AP193" s="44">
        <f>IF($A$1=$B$1,C193,IF($A$1=$E$1,F193,IF($A$1=$H$1,I193,IF($A$1=$K$1,L193,IF($A$1=$N$1,O193,IF($A$1=$Q$1,R193,IF($A$1=$T$1,U193,IF($A$1=$W$1,X193,IF($A$1=$Z$1,AA193,IF($A$1=$AC$1,AD193,IF($A$1=$AF$1,AG193,IF($A$1=$AI$1,AJ193))))))))))))</f>
        <v/>
      </c>
    </row>
    <row r="194" ht="15.5" customHeight="1">
      <c r="A194" s="26" t="inlineStr">
        <is>
          <t>Jantaş</t>
        </is>
      </c>
      <c r="B194" s="7">
        <f>'Bütçe aylık-TL'!$B$120</f>
        <v/>
      </c>
      <c r="C194" s="7">
        <f>'gerç aylık-tl'!$B$119</f>
        <v/>
      </c>
      <c r="D194" s="7" t="n"/>
      <c r="E194" s="7">
        <f>'Bütçe aylık-TL'!$C$120</f>
        <v/>
      </c>
      <c r="F194" s="7">
        <f>'gerç aylık-tl'!$C$119</f>
        <v/>
      </c>
      <c r="G194" s="7" t="n"/>
      <c r="H194" s="7">
        <f>'Bütçe aylık-TL'!$D$120</f>
        <v/>
      </c>
      <c r="I194" s="7">
        <f>'gerç aylık-tl'!$D$119</f>
        <v/>
      </c>
      <c r="J194" s="7" t="n"/>
      <c r="K194" s="7">
        <f>'Bütçe aylık-TL'!$E$120</f>
        <v/>
      </c>
      <c r="L194" s="7">
        <f>'gerç aylık-tl'!$E$119</f>
        <v/>
      </c>
      <c r="M194" s="7" t="n"/>
      <c r="N194" s="7">
        <f>'Bütçe aylık-TL'!$F$120</f>
        <v/>
      </c>
      <c r="O194" s="7">
        <f>'gerç aylık-tl'!$F$119</f>
        <v/>
      </c>
      <c r="P194" s="7" t="n"/>
      <c r="Q194" s="7">
        <f>'Bütçe aylık-TL'!$G$120</f>
        <v/>
      </c>
      <c r="R194" s="7">
        <f>'gerç aylık-tl'!$G$119</f>
        <v/>
      </c>
      <c r="S194" s="7" t="n"/>
      <c r="T194" s="7">
        <f>'Bütçe aylık-TL'!$H$120</f>
        <v/>
      </c>
      <c r="U194" s="7">
        <f>'gerç aylık-tl'!$H$119</f>
        <v/>
      </c>
      <c r="V194" s="7" t="n"/>
      <c r="W194" s="7">
        <f>'Bütçe aylık-TL'!$I$120</f>
        <v/>
      </c>
      <c r="X194" s="7">
        <f>'gerç aylık-tl'!$I$119</f>
        <v/>
      </c>
      <c r="Y194" s="7" t="n"/>
      <c r="Z194" s="7">
        <f>'Bütçe aylık-TL'!$J$120</f>
        <v/>
      </c>
      <c r="AA194" s="7">
        <f>'gerç aylık-tl'!$J$119</f>
        <v/>
      </c>
      <c r="AB194" s="7" t="n"/>
      <c r="AC194" s="7">
        <f>'Bütçe aylık-TL'!$K$120</f>
        <v/>
      </c>
      <c r="AD194" s="7">
        <f>'gerç aylık-tl'!$K$119</f>
        <v/>
      </c>
      <c r="AE194" s="7" t="n"/>
      <c r="AF194" s="7">
        <f>'Bütçe aylık-TL'!$L$120</f>
        <v/>
      </c>
      <c r="AG194" s="7">
        <f>'gerç aylık-tl'!$L$119</f>
        <v/>
      </c>
      <c r="AH194" s="7" t="n"/>
      <c r="AI194" s="7">
        <f>'Bütçe aylık-TL'!$M$120</f>
        <v/>
      </c>
      <c r="AJ194" s="7">
        <f>'gerç aylık-tl'!$M$119</f>
        <v/>
      </c>
      <c r="AK194" s="7" t="n"/>
      <c r="AL194" s="21">
        <f>AP194-AO194</f>
        <v/>
      </c>
      <c r="AM194" s="22">
        <f>AP194/AO194-1</f>
        <v/>
      </c>
      <c r="AO194" s="44">
        <f>IF($A$1=$B$1,B194,IF($A$1=$E$1,E194,IF($A$1=$H$1,H194,IF($A$1=$K$1,K194,IF($A$1=$N$1,N194,IF($A$1=$Q$1,Q194,IF($A$1=$T$1,T194,IF($A$1=$W$1,W194,IF($A$1=$Z$1,Z194,IF($A$1=$AC$1,AC194,IF($A$1=$AF$1,AF194,IF($A$1=$AI$1,AI194))))))))))))</f>
        <v/>
      </c>
      <c r="AP194" s="44">
        <f>IF($A$1=$B$1,C194,IF($A$1=$E$1,F194,IF($A$1=$H$1,I194,IF($A$1=$K$1,L194,IF($A$1=$N$1,O194,IF($A$1=$Q$1,R194,IF($A$1=$T$1,U194,IF($A$1=$W$1,X194,IF($A$1=$Z$1,AA194,IF($A$1=$AC$1,AD194,IF($A$1=$AF$1,AG194,IF($A$1=$AI$1,AJ194))))))))))))</f>
        <v/>
      </c>
    </row>
    <row r="195" ht="15.5" customFormat="1" customHeight="1" s="1">
      <c r="A195" s="26" t="inlineStr">
        <is>
          <t>Çelik</t>
        </is>
      </c>
      <c r="B195" s="7">
        <f>'Bütçe aylık-TL'!$B$121</f>
        <v/>
      </c>
      <c r="C195" s="7">
        <f>'gerç aylık-tl'!$B$120</f>
        <v/>
      </c>
      <c r="D195" s="8" t="n"/>
      <c r="E195" s="7">
        <f>'Bütçe aylık-TL'!$C$121</f>
        <v/>
      </c>
      <c r="F195" s="7">
        <f>'gerç aylık-tl'!$C$120</f>
        <v/>
      </c>
      <c r="G195" s="8" t="n"/>
      <c r="H195" s="7">
        <f>'Bütçe aylık-TL'!$D$121</f>
        <v/>
      </c>
      <c r="I195" s="7">
        <f>'gerç aylık-tl'!$D$120</f>
        <v/>
      </c>
      <c r="J195" s="8" t="n"/>
      <c r="K195" s="7">
        <f>'Bütçe aylık-TL'!$E$121</f>
        <v/>
      </c>
      <c r="L195" s="7">
        <f>'gerç aylık-tl'!$E$120</f>
        <v/>
      </c>
      <c r="M195" s="8" t="n"/>
      <c r="N195" s="7">
        <f>'Bütçe aylık-TL'!$F$121</f>
        <v/>
      </c>
      <c r="O195" s="7">
        <f>'gerç aylık-tl'!$F$120</f>
        <v/>
      </c>
      <c r="P195" s="8" t="n"/>
      <c r="Q195" s="7">
        <f>'Bütçe aylık-TL'!$G$121</f>
        <v/>
      </c>
      <c r="R195" s="7">
        <f>'gerç aylık-tl'!$G$120</f>
        <v/>
      </c>
      <c r="S195" s="8" t="n"/>
      <c r="T195" s="7">
        <f>'Bütçe aylık-TL'!$H$121</f>
        <v/>
      </c>
      <c r="U195" s="7">
        <f>'gerç aylık-tl'!$H$120</f>
        <v/>
      </c>
      <c r="V195" s="8" t="n"/>
      <c r="W195" s="7">
        <f>'Bütçe aylık-TL'!$I$121</f>
        <v/>
      </c>
      <c r="X195" s="7">
        <f>'gerç aylık-tl'!$I$120</f>
        <v/>
      </c>
      <c r="Y195" s="8" t="n"/>
      <c r="Z195" s="7">
        <f>'Bütçe aylık-TL'!$J$121</f>
        <v/>
      </c>
      <c r="AA195" s="7">
        <f>'gerç aylık-tl'!$J$120</f>
        <v/>
      </c>
      <c r="AB195" s="8" t="n"/>
      <c r="AC195" s="7">
        <f>'Bütçe aylık-TL'!$K$121</f>
        <v/>
      </c>
      <c r="AD195" s="7">
        <f>'gerç aylık-tl'!$K$120</f>
        <v/>
      </c>
      <c r="AE195" s="8" t="n"/>
      <c r="AF195" s="7">
        <f>'Bütçe aylık-TL'!$L$121</f>
        <v/>
      </c>
      <c r="AG195" s="7">
        <f>'gerç aylık-tl'!$L$120</f>
        <v/>
      </c>
      <c r="AH195" s="8" t="n"/>
      <c r="AI195" s="7">
        <f>'Bütçe aylık-TL'!$M$121</f>
        <v/>
      </c>
      <c r="AJ195" s="7">
        <f>'gerç aylık-tl'!$M$120</f>
        <v/>
      </c>
      <c r="AK195" s="8" t="n"/>
      <c r="AL195" s="21">
        <f>AP195-AO195</f>
        <v/>
      </c>
      <c r="AM195" s="22">
        <f>AP195/AO195-1</f>
        <v/>
      </c>
      <c r="AO195" s="44">
        <f>IF($A$1=$B$1,B195,IF($A$1=$E$1,E195,IF($A$1=$H$1,H195,IF($A$1=$K$1,K195,IF($A$1=$N$1,N195,IF($A$1=$Q$1,Q195,IF($A$1=$T$1,T195,IF($A$1=$W$1,W195,IF($A$1=$Z$1,Z195,IF($A$1=$AC$1,AC195,IF($A$1=$AF$1,AF195,IF($A$1=$AI$1,AI195))))))))))))</f>
        <v/>
      </c>
      <c r="AP195" s="44">
        <f>IF($A$1=$B$1,C195,IF($A$1=$E$1,F195,IF($A$1=$H$1,I195,IF($A$1=$K$1,L195,IF($A$1=$N$1,O195,IF($A$1=$Q$1,R195,IF($A$1=$T$1,U195,IF($A$1=$W$1,X195,IF($A$1=$Z$1,AA195,IF($A$1=$AC$1,AD195,IF($A$1=$AF$1,AG195,IF($A$1=$AI$1,AJ195))))))))))))</f>
        <v/>
      </c>
    </row>
    <row r="196" ht="15.5" customFormat="1" customHeight="1" s="1">
      <c r="A196" s="26" t="inlineStr">
        <is>
          <t>Alüminyum</t>
        </is>
      </c>
      <c r="B196" s="7">
        <f>'Bütçe aylık-TL'!$B$122</f>
        <v/>
      </c>
      <c r="C196" s="7">
        <f>'gerç aylık-tl'!$B$121</f>
        <v/>
      </c>
      <c r="D196" s="8" t="n"/>
      <c r="E196" s="7">
        <f>'Bütçe aylık-TL'!$C$122</f>
        <v/>
      </c>
      <c r="F196" s="7">
        <f>'gerç aylık-tl'!$C$121</f>
        <v/>
      </c>
      <c r="G196" s="8" t="n"/>
      <c r="H196" s="7">
        <f>'Bütçe aylık-TL'!$D$122</f>
        <v/>
      </c>
      <c r="I196" s="7">
        <f>'gerç aylık-tl'!$D$121</f>
        <v/>
      </c>
      <c r="J196" s="8" t="n"/>
      <c r="K196" s="7">
        <f>'Bütçe aylık-TL'!$E$122</f>
        <v/>
      </c>
      <c r="L196" s="7">
        <f>'gerç aylık-tl'!$E$121</f>
        <v/>
      </c>
      <c r="M196" s="8" t="n"/>
      <c r="N196" s="7">
        <f>'Bütçe aylık-TL'!$F$122</f>
        <v/>
      </c>
      <c r="O196" s="7">
        <f>'gerç aylık-tl'!$F$121</f>
        <v/>
      </c>
      <c r="P196" s="8" t="n"/>
      <c r="Q196" s="7">
        <f>'Bütçe aylık-TL'!$G$122</f>
        <v/>
      </c>
      <c r="R196" s="7">
        <f>'gerç aylık-tl'!$G$121</f>
        <v/>
      </c>
      <c r="S196" s="8" t="n"/>
      <c r="T196" s="7">
        <f>'Bütçe aylık-TL'!$H$122</f>
        <v/>
      </c>
      <c r="U196" s="7">
        <f>'gerç aylık-tl'!$H$121</f>
        <v/>
      </c>
      <c r="V196" s="8" t="n"/>
      <c r="W196" s="7">
        <f>'Bütçe aylık-TL'!$I$122</f>
        <v/>
      </c>
      <c r="X196" s="7">
        <f>'gerç aylık-tl'!$I$121</f>
        <v/>
      </c>
      <c r="Y196" s="8" t="n"/>
      <c r="Z196" s="7">
        <f>'Bütçe aylık-TL'!$J$122</f>
        <v/>
      </c>
      <c r="AA196" s="7">
        <f>'gerç aylık-tl'!$J$121</f>
        <v/>
      </c>
      <c r="AB196" s="8" t="n"/>
      <c r="AC196" s="7">
        <f>'Bütçe aylık-TL'!$K$122</f>
        <v/>
      </c>
      <c r="AD196" s="7">
        <f>'gerç aylık-tl'!$K$121</f>
        <v/>
      </c>
      <c r="AE196" s="8" t="n"/>
      <c r="AF196" s="7">
        <f>'Bütçe aylık-TL'!$L$122</f>
        <v/>
      </c>
      <c r="AG196" s="7">
        <f>'gerç aylık-tl'!$L$121</f>
        <v/>
      </c>
      <c r="AH196" s="8" t="n"/>
      <c r="AI196" s="7">
        <f>'Bütçe aylık-TL'!$M$122</f>
        <v/>
      </c>
      <c r="AJ196" s="7">
        <f>'gerç aylık-tl'!$M$121</f>
        <v/>
      </c>
      <c r="AK196" s="8" t="n"/>
      <c r="AL196" s="21">
        <f>AP196-AO196</f>
        <v/>
      </c>
      <c r="AM196" s="22">
        <f>AP196/AO196-1</f>
        <v/>
      </c>
      <c r="AO196" s="44">
        <f>IF($A$1=$B$1,B196,IF($A$1=$E$1,E196,IF($A$1=$H$1,H196,IF($A$1=$K$1,K196,IF($A$1=$N$1,N196,IF($A$1=$Q$1,Q196,IF($A$1=$T$1,T196,IF($A$1=$W$1,W196,IF($A$1=$Z$1,Z196,IF($A$1=$AC$1,AC196,IF($A$1=$AF$1,AF196,IF($A$1=$AI$1,AI196))))))))))))</f>
        <v/>
      </c>
      <c r="AP196" s="44">
        <f>IF($A$1=$B$1,C196,IF($A$1=$E$1,F196,IF($A$1=$H$1,I196,IF($A$1=$K$1,L196,IF($A$1=$N$1,O196,IF($A$1=$Q$1,R196,IF($A$1=$T$1,U196,IF($A$1=$W$1,X196,IF($A$1=$Z$1,AA196,IF($A$1=$AC$1,AD196,IF($A$1=$AF$1,AG196,IF($A$1=$AI$1,AJ196))))))))))))</f>
        <v/>
      </c>
    </row>
    <row r="197" ht="15.5" customFormat="1" customHeight="1" s="1">
      <c r="A197" s="26" t="n"/>
      <c r="B197" s="7" t="n"/>
      <c r="C197" s="8" t="n"/>
      <c r="D197" s="8" t="n"/>
      <c r="E197" s="7" t="n"/>
      <c r="F197" s="8" t="n"/>
      <c r="G197" s="8" t="n"/>
      <c r="H197" s="7" t="n"/>
      <c r="I197" s="8" t="n"/>
      <c r="J197" s="8" t="n"/>
      <c r="K197" s="7" t="n"/>
      <c r="L197" s="8" t="n"/>
      <c r="M197" s="8" t="n"/>
      <c r="N197" s="7" t="n"/>
      <c r="O197" s="8" t="n"/>
      <c r="P197" s="8" t="n"/>
      <c r="Q197" s="7" t="n"/>
      <c r="R197" s="8" t="n"/>
      <c r="S197" s="8" t="n"/>
      <c r="T197" s="7" t="n"/>
      <c r="U197" s="8" t="n"/>
      <c r="V197" s="8" t="n"/>
      <c r="W197" s="7" t="n"/>
      <c r="X197" s="8" t="n"/>
      <c r="Y197" s="8" t="n"/>
      <c r="Z197" s="7" t="n"/>
      <c r="AA197" s="8" t="n"/>
      <c r="AB197" s="8" t="n"/>
      <c r="AC197" s="7" t="n"/>
      <c r="AD197" s="8" t="n"/>
      <c r="AE197" s="8" t="n"/>
      <c r="AF197" s="7" t="n"/>
      <c r="AG197" s="8" t="n"/>
      <c r="AH197" s="8" t="n"/>
      <c r="AI197" s="7" t="n"/>
      <c r="AJ197" s="8" t="n"/>
      <c r="AK197" s="8" t="n"/>
      <c r="AL197" s="15" t="n"/>
      <c r="AM197" s="16" t="n"/>
      <c r="AO197" s="44" t="n"/>
      <c r="AP197" s="44" t="n"/>
    </row>
    <row r="198" ht="15.5" customFormat="1" customHeight="1" s="1">
      <c r="A198" s="26" t="n"/>
      <c r="B198" s="7" t="n"/>
      <c r="C198" s="8" t="n"/>
      <c r="D198" s="8" t="n"/>
      <c r="E198" s="7" t="n"/>
      <c r="F198" s="8" t="n"/>
      <c r="G198" s="8" t="n"/>
      <c r="H198" s="7" t="n"/>
      <c r="I198" s="8" t="n"/>
      <c r="J198" s="8" t="n"/>
      <c r="K198" s="7" t="n"/>
      <c r="L198" s="8" t="n"/>
      <c r="M198" s="8" t="n"/>
      <c r="N198" s="7" t="n"/>
      <c r="O198" s="8" t="n"/>
      <c r="P198" s="8" t="n"/>
      <c r="Q198" s="7" t="n"/>
      <c r="R198" s="8" t="n"/>
      <c r="S198" s="8" t="n"/>
      <c r="T198" s="7" t="n"/>
      <c r="U198" s="8" t="n"/>
      <c r="V198" s="8" t="n"/>
      <c r="W198" s="7" t="n"/>
      <c r="X198" s="8" t="n"/>
      <c r="Y198" s="8" t="n"/>
      <c r="Z198" s="7" t="n"/>
      <c r="AA198" s="8" t="n"/>
      <c r="AB198" s="8" t="n"/>
      <c r="AC198" s="7" t="n"/>
      <c r="AD198" s="8" t="n"/>
      <c r="AE198" s="8" t="n"/>
      <c r="AF198" s="7" t="n"/>
      <c r="AG198" s="8" t="n"/>
      <c r="AH198" s="8" t="n"/>
      <c r="AI198" s="7" t="n"/>
      <c r="AJ198" s="8" t="n"/>
      <c r="AK198" s="8" t="n"/>
      <c r="AL198" s="15" t="n"/>
      <c r="AM198" s="16" t="n"/>
      <c r="AO198" s="44" t="n"/>
      <c r="AP198" s="44" t="n"/>
    </row>
    <row r="199" ht="15.5" customFormat="1" customHeight="1" s="44">
      <c r="A199" s="31" t="inlineStr">
        <is>
          <t>Vergi</t>
        </is>
      </c>
      <c r="B199" s="32">
        <f>'Bütçe aylık-TL'!$B$125</f>
        <v/>
      </c>
      <c r="C199" s="32">
        <f>'gerç aylık-tl'!$B$124</f>
        <v/>
      </c>
      <c r="D199" s="18" t="n"/>
      <c r="E199" s="32">
        <f>'Bütçe aylık-TL'!$C$125</f>
        <v/>
      </c>
      <c r="F199" s="32">
        <f>'gerç aylık-tl'!$C$124</f>
        <v/>
      </c>
      <c r="G199" s="18" t="n"/>
      <c r="H199" s="32">
        <f>'Bütçe aylık-TL'!$D$125</f>
        <v/>
      </c>
      <c r="I199" s="32">
        <f>'gerç aylık-tl'!$D$124</f>
        <v/>
      </c>
      <c r="J199" s="18" t="n"/>
      <c r="K199" s="32">
        <f>'Bütçe aylık-TL'!$E$125</f>
        <v/>
      </c>
      <c r="L199" s="32">
        <f>'gerç aylık-tl'!$E$124</f>
        <v/>
      </c>
      <c r="M199" s="18" t="n"/>
      <c r="N199" s="32">
        <f>'Bütçe aylık-TL'!$F$125</f>
        <v/>
      </c>
      <c r="O199" s="32">
        <f>'gerç aylık-tl'!$F$124</f>
        <v/>
      </c>
      <c r="P199" s="18" t="n"/>
      <c r="Q199" s="32">
        <f>'Bütçe aylık-TL'!$G$125</f>
        <v/>
      </c>
      <c r="R199" s="32">
        <f>'gerç aylık-tl'!$G$124</f>
        <v/>
      </c>
      <c r="S199" s="18" t="n"/>
      <c r="T199" s="32">
        <f>'Bütçe aylık-TL'!$H$125</f>
        <v/>
      </c>
      <c r="U199" s="32">
        <f>'gerç aylık-tl'!$H$124</f>
        <v/>
      </c>
      <c r="V199" s="18" t="n"/>
      <c r="W199" s="32">
        <f>'Bütçe aylık-TL'!$I$125</f>
        <v/>
      </c>
      <c r="X199" s="32">
        <f>'gerç aylık-tl'!$I$124</f>
        <v/>
      </c>
      <c r="Y199" s="18" t="n"/>
      <c r="Z199" s="32">
        <f>'Bütçe aylık-TL'!$J$125</f>
        <v/>
      </c>
      <c r="AA199" s="32">
        <f>'gerç aylık-tl'!$J$124</f>
        <v/>
      </c>
      <c r="AB199" s="18" t="n"/>
      <c r="AC199" s="32">
        <f>'Bütçe aylık-TL'!$K$125</f>
        <v/>
      </c>
      <c r="AD199" s="32">
        <f>'gerç aylık-tl'!$K$124</f>
        <v/>
      </c>
      <c r="AE199" s="18" t="n"/>
      <c r="AF199" s="32">
        <f>'Bütçe aylık-TL'!$L$125</f>
        <v/>
      </c>
      <c r="AG199" s="32">
        <f>'gerç aylık-tl'!$L$124</f>
        <v/>
      </c>
      <c r="AH199" s="18" t="n"/>
      <c r="AI199" s="32">
        <f>'Bütçe aylık-TL'!$M$125</f>
        <v/>
      </c>
      <c r="AJ199" s="32">
        <f>'gerç aylık-tl'!$M$124</f>
        <v/>
      </c>
      <c r="AK199" s="18" t="n"/>
      <c r="AL199" s="33">
        <f>AP199-AO199</f>
        <v/>
      </c>
      <c r="AM199" s="34">
        <f>AP199/AO199-1</f>
        <v/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/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/>
      </c>
    </row>
    <row r="200" ht="15.5" customFormat="1" customHeight="1" s="13">
      <c r="A200" s="27" t="n"/>
      <c r="B200" s="30" t="n"/>
      <c r="C200" s="30">
        <f>IFERROR((C157/#REF!),"")</f>
        <v/>
      </c>
      <c r="D200" s="41" t="n"/>
      <c r="E200" s="30" t="n"/>
      <c r="F200" s="30">
        <f>IFERROR((F157/#REF!),"")</f>
        <v/>
      </c>
      <c r="G200" s="41" t="n"/>
      <c r="H200" s="30" t="n"/>
      <c r="I200" s="30">
        <f>IFERROR((I157/#REF!),"")</f>
        <v/>
      </c>
      <c r="J200" s="41" t="n"/>
      <c r="K200" s="30" t="n"/>
      <c r="L200" s="30">
        <f>IFERROR((L157/#REF!),"")</f>
        <v/>
      </c>
      <c r="M200" s="41" t="n"/>
      <c r="N200" s="30" t="n"/>
      <c r="O200" s="30">
        <f>IFERROR((O157/#REF!),"")</f>
        <v/>
      </c>
      <c r="P200" s="41" t="n"/>
      <c r="Q200" s="30" t="n"/>
      <c r="R200" s="30">
        <f>IFERROR((R157/#REF!),"")</f>
        <v/>
      </c>
      <c r="S200" s="41" t="n"/>
      <c r="T200" s="30" t="n"/>
      <c r="U200" s="30">
        <f>IFERROR((U157/#REF!),"")</f>
        <v/>
      </c>
      <c r="V200" s="41" t="n"/>
      <c r="W200" s="30" t="n"/>
      <c r="X200" s="30">
        <f>IFERROR((X157/#REF!),"")</f>
        <v/>
      </c>
      <c r="Y200" s="41" t="n"/>
      <c r="Z200" s="30" t="n"/>
      <c r="AA200" s="30">
        <f>IFERROR((AA157/#REF!),"")</f>
        <v/>
      </c>
      <c r="AB200" s="41" t="n"/>
      <c r="AC200" s="30" t="n"/>
      <c r="AD200" s="30">
        <f>IFERROR((AD157/#REF!),"")</f>
        <v/>
      </c>
      <c r="AE200" s="41" t="n"/>
      <c r="AF200" s="30" t="n"/>
      <c r="AG200" s="30">
        <f>IFERROR((AG157/#REF!),"")</f>
        <v/>
      </c>
      <c r="AH200" s="41" t="n"/>
      <c r="AI200" s="30" t="n"/>
      <c r="AJ200" s="30">
        <f>IFERROR((AJ157/#REF!),"")</f>
        <v/>
      </c>
      <c r="AK200" s="41" t="n"/>
      <c r="AL200" s="15" t="n"/>
      <c r="AM200" s="22" t="n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/>
      </c>
      <c r="AP200" s="44">
        <f>IF($A$1=$B$1,C200,IF($A$1=$E$1,F200,IF($A$1=$H$1,I200,IF($A$1=$K$1,L200,IF($A$1=$N$1,O200,IF($A$1=$Q$1,R200,IF($A$1=$T$1,U200,IF($A$1=$W$1,X200,IF($A$1=$Z$1,AA200,IF($A$1=$AC$1,AD200,IF($A$1=$AF$1,AG200,IF($A$1=$AI$1,AJ200))))))))))))</f>
        <v/>
      </c>
    </row>
    <row r="201" ht="17" customFormat="1" customHeight="1" s="49">
      <c r="A201" s="47" t="inlineStr">
        <is>
          <t>Vergi (100%)</t>
        </is>
      </c>
      <c r="B201" s="413" t="n"/>
      <c r="C201" s="413" t="n"/>
      <c r="D201" s="413" t="n"/>
      <c r="E201" s="413" t="n"/>
      <c r="F201" s="413" t="n"/>
      <c r="G201" s="413" t="n"/>
      <c r="H201" s="413" t="n"/>
      <c r="I201" s="413" t="n"/>
      <c r="J201" s="413" t="n"/>
      <c r="K201" s="413" t="n"/>
      <c r="L201" s="413" t="n"/>
      <c r="M201" s="413" t="n"/>
      <c r="N201" s="413" t="n"/>
      <c r="O201" s="413" t="n"/>
      <c r="P201" s="413" t="n"/>
      <c r="Q201" s="413" t="n"/>
      <c r="R201" s="413" t="n"/>
      <c r="S201" s="413" t="n"/>
      <c r="T201" s="413" t="n"/>
      <c r="U201" s="413" t="n"/>
      <c r="V201" s="413" t="n"/>
      <c r="W201" s="413" t="n"/>
      <c r="X201" s="413" t="n"/>
      <c r="Y201" s="413" t="n"/>
      <c r="Z201" s="413" t="n"/>
      <c r="AA201" s="413" t="n"/>
      <c r="AB201" s="413" t="n"/>
      <c r="AC201" s="413" t="n"/>
      <c r="AD201" s="413" t="n"/>
      <c r="AE201" s="413" t="n"/>
      <c r="AF201" s="413" t="n"/>
      <c r="AG201" s="413" t="n"/>
      <c r="AH201" s="413" t="n"/>
      <c r="AI201" s="413" t="n"/>
      <c r="AJ201" s="413" t="n"/>
      <c r="AK201" s="413" t="n"/>
      <c r="AL201" s="413" t="n"/>
      <c r="AM201" s="48" t="n"/>
    </row>
    <row r="202" ht="15.5" customHeight="1">
      <c r="A202" s="26" t="inlineStr">
        <is>
          <t xml:space="preserve">İnci Holding </t>
        </is>
      </c>
      <c r="B202" s="7">
        <f>'Bütçe aylık-TL'!$B$126</f>
        <v/>
      </c>
      <c r="C202" s="7">
        <f>'gerç aylık-tl'!$B$125</f>
        <v/>
      </c>
      <c r="D202" s="7" t="n"/>
      <c r="E202" s="7">
        <f>'Bütçe aylık-TL'!$C$126</f>
        <v/>
      </c>
      <c r="F202" s="7">
        <f>'gerç aylık-tl'!$C$125</f>
        <v/>
      </c>
      <c r="G202" s="7" t="n"/>
      <c r="H202" s="7">
        <f>'Bütçe aylık-TL'!$D$126</f>
        <v/>
      </c>
      <c r="I202" s="7">
        <f>'gerç aylık-tl'!$D$125</f>
        <v/>
      </c>
      <c r="J202" s="7" t="n"/>
      <c r="K202" s="7">
        <f>'Bütçe aylık-TL'!$E$126</f>
        <v/>
      </c>
      <c r="L202" s="7">
        <f>'gerç aylık-tl'!$E$125</f>
        <v/>
      </c>
      <c r="M202" s="7" t="n"/>
      <c r="N202" s="7">
        <f>'Bütçe aylık-TL'!$F$126</f>
        <v/>
      </c>
      <c r="O202" s="7">
        <f>'gerç aylık-tl'!$F$125</f>
        <v/>
      </c>
      <c r="P202" s="7" t="n"/>
      <c r="Q202" s="7">
        <f>'Bütçe aylık-TL'!$G$126</f>
        <v/>
      </c>
      <c r="R202" s="7">
        <f>'gerç aylık-tl'!$G$125</f>
        <v/>
      </c>
      <c r="S202" s="7" t="n"/>
      <c r="T202" s="7">
        <f>'Bütçe aylık-TL'!$H$126</f>
        <v/>
      </c>
      <c r="U202" s="7">
        <f>'gerç aylık-tl'!$H$125</f>
        <v/>
      </c>
      <c r="V202" s="7" t="n"/>
      <c r="W202" s="7">
        <f>'Bütçe aylık-TL'!$I$126</f>
        <v/>
      </c>
      <c r="X202" s="7">
        <f>'gerç aylık-tl'!$I$125</f>
        <v/>
      </c>
      <c r="Y202" s="7" t="n"/>
      <c r="Z202" s="7">
        <f>'Bütçe aylık-TL'!$J$126</f>
        <v/>
      </c>
      <c r="AA202" s="7">
        <f>'gerç aylık-tl'!$J$125</f>
        <v/>
      </c>
      <c r="AB202" s="7" t="n"/>
      <c r="AC202" s="7">
        <f>'Bütçe aylık-TL'!$K$126</f>
        <v/>
      </c>
      <c r="AD202" s="7">
        <f>'gerç aylık-tl'!$K$125</f>
        <v/>
      </c>
      <c r="AE202" s="7" t="n"/>
      <c r="AF202" s="7">
        <f>'Bütçe aylık-TL'!$L$126</f>
        <v/>
      </c>
      <c r="AG202" s="7">
        <f>'gerç aylık-tl'!$L$125</f>
        <v/>
      </c>
      <c r="AH202" s="7" t="n"/>
      <c r="AI202" s="7">
        <f>'Bütçe aylık-TL'!$M$126</f>
        <v/>
      </c>
      <c r="AJ202" s="7">
        <f>'gerç aylık-tl'!$M$125</f>
        <v/>
      </c>
      <c r="AK202" s="7" t="n"/>
      <c r="AL202" s="21">
        <f>AP202-AO202</f>
        <v/>
      </c>
      <c r="AM202" s="22">
        <f>AP202/AO202-1</f>
        <v/>
      </c>
      <c r="AO202" s="44">
        <f>IF($A$1=$B$1,B202,IF($A$1=$E$1,E202,IF($A$1=$H$1,H202,IF($A$1=$K$1,K202,IF($A$1=$N$1,N202,IF($A$1=$Q$1,Q202,IF($A$1=$T$1,T202,IF($A$1=$W$1,W202,IF($A$1=$Z$1,Z202,IF($A$1=$AC$1,AC202,IF($A$1=$AF$1,AF202,IF($A$1=$AI$1,AI202))))))))))))</f>
        <v/>
      </c>
      <c r="AP202" s="44">
        <f>IF($A$1=$B$1,C202,IF($A$1=$E$1,F202,IF($A$1=$H$1,I202,IF($A$1=$K$1,L202,IF($A$1=$N$1,O202,IF($A$1=$Q$1,R202,IF($A$1=$T$1,U202,IF($A$1=$W$1,X202,IF($A$1=$Z$1,AA202,IF($A$1=$AC$1,AD202,IF($A$1=$AF$1,AG202,IF($A$1=$AI$1,AJ202))))))))))))</f>
        <v/>
      </c>
    </row>
    <row r="203" ht="15.5" customHeight="1">
      <c r="A203" s="26" t="inlineStr">
        <is>
          <t xml:space="preserve">ISM </t>
        </is>
      </c>
      <c r="B203" s="7">
        <f>'Bütçe aylık-TL'!$B$127</f>
        <v/>
      </c>
      <c r="C203" s="7">
        <f>'gerç aylık-tl'!$B$126</f>
        <v/>
      </c>
      <c r="D203" s="7" t="n"/>
      <c r="E203" s="7">
        <f>'Bütçe aylık-TL'!$C$127</f>
        <v/>
      </c>
      <c r="F203" s="7">
        <f>'gerç aylık-tl'!$C$126</f>
        <v/>
      </c>
      <c r="G203" s="7" t="n"/>
      <c r="H203" s="7">
        <f>'Bütçe aylık-TL'!$D$127</f>
        <v/>
      </c>
      <c r="I203" s="7">
        <f>'gerç aylık-tl'!$D$126</f>
        <v/>
      </c>
      <c r="J203" s="7" t="n"/>
      <c r="K203" s="7">
        <f>'Bütçe aylık-TL'!$E$127</f>
        <v/>
      </c>
      <c r="L203" s="7">
        <f>'gerç aylık-tl'!$E$126</f>
        <v/>
      </c>
      <c r="M203" s="7" t="n"/>
      <c r="N203" s="7">
        <f>'Bütçe aylık-TL'!$F$127</f>
        <v/>
      </c>
      <c r="O203" s="7">
        <f>'gerç aylık-tl'!$F$126</f>
        <v/>
      </c>
      <c r="P203" s="7" t="n"/>
      <c r="Q203" s="7">
        <f>'Bütçe aylık-TL'!$G$127</f>
        <v/>
      </c>
      <c r="R203" s="7">
        <f>'gerç aylık-tl'!$G$126</f>
        <v/>
      </c>
      <c r="S203" s="7" t="n"/>
      <c r="T203" s="7">
        <f>'Bütçe aylık-TL'!$H$127</f>
        <v/>
      </c>
      <c r="U203" s="7">
        <f>'gerç aylık-tl'!$H$126</f>
        <v/>
      </c>
      <c r="V203" s="7" t="n"/>
      <c r="W203" s="7">
        <f>'Bütçe aylık-TL'!$I$127</f>
        <v/>
      </c>
      <c r="X203" s="7">
        <f>'gerç aylık-tl'!$I$126</f>
        <v/>
      </c>
      <c r="Y203" s="7" t="n"/>
      <c r="Z203" s="7">
        <f>'Bütçe aylık-TL'!$J$127</f>
        <v/>
      </c>
      <c r="AA203" s="7">
        <f>'gerç aylık-tl'!$J$126</f>
        <v/>
      </c>
      <c r="AB203" s="7" t="n"/>
      <c r="AC203" s="7">
        <f>'Bütçe aylık-TL'!$K$127</f>
        <v/>
      </c>
      <c r="AD203" s="7">
        <f>'gerç aylık-tl'!$K$126</f>
        <v/>
      </c>
      <c r="AE203" s="7" t="n"/>
      <c r="AF203" s="7">
        <f>'Bütçe aylık-TL'!$L$127</f>
        <v/>
      </c>
      <c r="AG203" s="7">
        <f>'gerç aylık-tl'!$L$126</f>
        <v/>
      </c>
      <c r="AH203" s="7" t="n"/>
      <c r="AI203" s="7">
        <f>'Bütçe aylık-TL'!$M$127</f>
        <v/>
      </c>
      <c r="AJ203" s="7">
        <f>'gerç aylık-tl'!$M$126</f>
        <v/>
      </c>
      <c r="AK203" s="7" t="n"/>
      <c r="AL203" s="21">
        <f>AP203-AO203</f>
        <v/>
      </c>
      <c r="AM203" s="22">
        <f>AP203/AO203-1</f>
        <v/>
      </c>
      <c r="AO203" s="44">
        <f>IF($A$1=$B$1,B203,IF($A$1=$E$1,E203,IF($A$1=$H$1,H203,IF($A$1=$K$1,K203,IF($A$1=$N$1,N203,IF($A$1=$Q$1,Q203,IF($A$1=$T$1,T203,IF($A$1=$W$1,W203,IF($A$1=$Z$1,Z203,IF($A$1=$AC$1,AC203,IF($A$1=$AF$1,AF203,IF($A$1=$AI$1,AI203))))))))))))</f>
        <v/>
      </c>
      <c r="AP203" s="44">
        <f>IF($A$1=$B$1,C203,IF($A$1=$E$1,F203,IF($A$1=$H$1,I203,IF($A$1=$K$1,L203,IF($A$1=$N$1,O203,IF($A$1=$Q$1,R203,IF($A$1=$T$1,U203,IF($A$1=$W$1,X203,IF($A$1=$Z$1,AA203,IF($A$1=$AC$1,AD203,IF($A$1=$AF$1,AG203,IF($A$1=$AI$1,AJ203))))))))))))</f>
        <v/>
      </c>
    </row>
    <row r="204" ht="15.5" customHeight="1">
      <c r="A204" s="26" t="inlineStr">
        <is>
          <t>İncitaş</t>
        </is>
      </c>
      <c r="B204" s="7">
        <f>'Bütçe aylık-TL'!$B$128</f>
        <v/>
      </c>
      <c r="C204" s="7">
        <f>'gerç aylık-tl'!$B$127</f>
        <v/>
      </c>
      <c r="D204" s="7" t="n"/>
      <c r="E204" s="7">
        <f>'Bütçe aylık-TL'!$C$128</f>
        <v/>
      </c>
      <c r="F204" s="7">
        <f>'gerç aylık-tl'!$C$127</f>
        <v/>
      </c>
      <c r="G204" s="7" t="n"/>
      <c r="H204" s="7">
        <f>'Bütçe aylık-TL'!$D$128</f>
        <v/>
      </c>
      <c r="I204" s="7">
        <f>'gerç aylık-tl'!$D$127</f>
        <v/>
      </c>
      <c r="J204" s="7" t="n"/>
      <c r="K204" s="7">
        <f>'Bütçe aylık-TL'!$E$128</f>
        <v/>
      </c>
      <c r="L204" s="7">
        <f>'gerç aylık-tl'!$E$127</f>
        <v/>
      </c>
      <c r="M204" s="7" t="n"/>
      <c r="N204" s="7">
        <f>'Bütçe aylık-TL'!$F$128</f>
        <v/>
      </c>
      <c r="O204" s="7">
        <f>'gerç aylık-tl'!$F$127</f>
        <v/>
      </c>
      <c r="P204" s="7" t="n"/>
      <c r="Q204" s="7">
        <f>'Bütçe aylık-TL'!$G$128</f>
        <v/>
      </c>
      <c r="R204" s="7">
        <f>'gerç aylık-tl'!$G$127</f>
        <v/>
      </c>
      <c r="S204" s="7" t="n"/>
      <c r="T204" s="7">
        <f>'Bütçe aylık-TL'!$H$128</f>
        <v/>
      </c>
      <c r="U204" s="7">
        <f>'gerç aylık-tl'!$H$127</f>
        <v/>
      </c>
      <c r="V204" s="7" t="n"/>
      <c r="W204" s="7">
        <f>'Bütçe aylık-TL'!$I$128</f>
        <v/>
      </c>
      <c r="X204" s="7">
        <f>'gerç aylık-tl'!$I$127</f>
        <v/>
      </c>
      <c r="Y204" s="7" t="n"/>
      <c r="Z204" s="7">
        <f>'Bütçe aylık-TL'!$J$128</f>
        <v/>
      </c>
      <c r="AA204" s="7">
        <f>'gerç aylık-tl'!$J$127</f>
        <v/>
      </c>
      <c r="AB204" s="7" t="n"/>
      <c r="AC204" s="7">
        <f>'Bütçe aylık-TL'!$K$128</f>
        <v/>
      </c>
      <c r="AD204" s="7">
        <f>'gerç aylık-tl'!$K$127</f>
        <v/>
      </c>
      <c r="AE204" s="7" t="n"/>
      <c r="AF204" s="7">
        <f>'Bütçe aylık-TL'!$L$128</f>
        <v/>
      </c>
      <c r="AG204" s="7">
        <f>'gerç aylık-tl'!$L$127</f>
        <v/>
      </c>
      <c r="AH204" s="7" t="n"/>
      <c r="AI204" s="7">
        <f>'Bütçe aylık-TL'!$M$128</f>
        <v/>
      </c>
      <c r="AJ204" s="7">
        <f>'gerç aylık-tl'!$M$127</f>
        <v/>
      </c>
      <c r="AK204" s="7" t="n"/>
      <c r="AL204" s="21">
        <f>AP204-AO204</f>
        <v/>
      </c>
      <c r="AM204" s="22">
        <f>AP204/AO204-1</f>
        <v/>
      </c>
      <c r="AO204" s="44">
        <f>IF($A$1=$B$1,B204,IF($A$1=$E$1,E204,IF($A$1=$H$1,H204,IF($A$1=$K$1,K204,IF($A$1=$N$1,N204,IF($A$1=$Q$1,Q204,IF($A$1=$T$1,T204,IF($A$1=$W$1,W204,IF($A$1=$Z$1,Z204,IF($A$1=$AC$1,AC204,IF($A$1=$AF$1,AF204,IF($A$1=$AI$1,AI204))))))))))))</f>
        <v/>
      </c>
      <c r="AP204" s="44">
        <f>IF($A$1=$B$1,C204,IF($A$1=$E$1,F204,IF($A$1=$H$1,I204,IF($A$1=$K$1,L204,IF($A$1=$N$1,O204,IF($A$1=$Q$1,R204,IF($A$1=$T$1,U204,IF($A$1=$W$1,X204,IF($A$1=$Z$1,AA204,IF($A$1=$AC$1,AD204,IF($A$1=$AF$1,AG204,IF($A$1=$AI$1,AJ204))))))))))))</f>
        <v/>
      </c>
    </row>
    <row r="205" ht="15.5" customHeight="1">
      <c r="A205" s="26" t="inlineStr">
        <is>
          <t>İnci GS Yuasa</t>
        </is>
      </c>
      <c r="B205" s="7">
        <f>'Bütçe aylık-TL'!$B$129</f>
        <v/>
      </c>
      <c r="C205" s="7">
        <f>'gerç aylık-tl'!$B$128</f>
        <v/>
      </c>
      <c r="D205" s="7" t="n"/>
      <c r="E205" s="7">
        <f>'Bütçe aylık-TL'!$C$129</f>
        <v/>
      </c>
      <c r="F205" s="7">
        <f>'gerç aylık-tl'!$C$128</f>
        <v/>
      </c>
      <c r="G205" s="7" t="n"/>
      <c r="H205" s="7">
        <f>'Bütçe aylık-TL'!$D$129</f>
        <v/>
      </c>
      <c r="I205" s="7">
        <f>'gerç aylık-tl'!$D$128</f>
        <v/>
      </c>
      <c r="J205" s="7" t="n"/>
      <c r="K205" s="7">
        <f>'Bütçe aylık-TL'!$E$129</f>
        <v/>
      </c>
      <c r="L205" s="7">
        <f>'gerç aylık-tl'!$E$128</f>
        <v/>
      </c>
      <c r="M205" s="7" t="n"/>
      <c r="N205" s="7">
        <f>'Bütçe aylık-TL'!$F$129</f>
        <v/>
      </c>
      <c r="O205" s="7">
        <f>'gerç aylık-tl'!$F$128</f>
        <v/>
      </c>
      <c r="P205" s="7" t="n"/>
      <c r="Q205" s="7">
        <f>'Bütçe aylık-TL'!$G$129</f>
        <v/>
      </c>
      <c r="R205" s="7">
        <f>'gerç aylık-tl'!$G$128</f>
        <v/>
      </c>
      <c r="S205" s="7" t="n"/>
      <c r="T205" s="7">
        <f>'Bütçe aylık-TL'!$H$129</f>
        <v/>
      </c>
      <c r="U205" s="7">
        <f>'gerç aylık-tl'!$H$128</f>
        <v/>
      </c>
      <c r="V205" s="7" t="n"/>
      <c r="W205" s="7">
        <f>'Bütçe aylık-TL'!$I$129</f>
        <v/>
      </c>
      <c r="X205" s="7">
        <f>'gerç aylık-tl'!$I$128</f>
        <v/>
      </c>
      <c r="Y205" s="7" t="n"/>
      <c r="Z205" s="7">
        <f>'Bütçe aylık-TL'!$J$129</f>
        <v/>
      </c>
      <c r="AA205" s="7">
        <f>'gerç aylık-tl'!$J$128</f>
        <v/>
      </c>
      <c r="AB205" s="7" t="n"/>
      <c r="AC205" s="7">
        <f>'Bütçe aylık-TL'!$K$129</f>
        <v/>
      </c>
      <c r="AD205" s="7">
        <f>'gerç aylık-tl'!$K$128</f>
        <v/>
      </c>
      <c r="AE205" s="7" t="n"/>
      <c r="AF205" s="7">
        <f>'Bütçe aylık-TL'!$L$129</f>
        <v/>
      </c>
      <c r="AG205" s="7">
        <f>'gerç aylık-tl'!$L$128</f>
        <v/>
      </c>
      <c r="AH205" s="7" t="n"/>
      <c r="AI205" s="7">
        <f>'Bütçe aylık-TL'!$M$129</f>
        <v/>
      </c>
      <c r="AJ205" s="7">
        <f>'gerç aylık-tl'!$M$128</f>
        <v/>
      </c>
      <c r="AK205" s="7" t="n"/>
      <c r="AL205" s="21">
        <f>AP205-AO205</f>
        <v/>
      </c>
      <c r="AM205" s="22">
        <f>AP205/AO205-1</f>
        <v/>
      </c>
      <c r="AO205" s="44">
        <f>IF($A$1=$B$1,B205,IF($A$1=$E$1,E205,IF($A$1=$H$1,H205,IF($A$1=$K$1,K205,IF($A$1=$N$1,N205,IF($A$1=$Q$1,Q205,IF($A$1=$T$1,T205,IF($A$1=$W$1,W205,IF($A$1=$Z$1,Z205,IF($A$1=$AC$1,AC205,IF($A$1=$AF$1,AF205,IF($A$1=$AI$1,AI205))))))))))))</f>
        <v/>
      </c>
      <c r="AP205" s="44">
        <f>IF($A$1=$B$1,C205,IF($A$1=$E$1,F205,IF($A$1=$H$1,I205,IF($A$1=$K$1,L205,IF($A$1=$N$1,O205,IF($A$1=$Q$1,R205,IF($A$1=$T$1,U205,IF($A$1=$W$1,X205,IF($A$1=$Z$1,AA205,IF($A$1=$AC$1,AD205,IF($A$1=$AF$1,AG205,IF($A$1=$AI$1,AJ205))))))))))))</f>
        <v/>
      </c>
    </row>
    <row r="206" ht="15.5" customFormat="1" customHeight="1" s="1">
      <c r="A206" s="26" t="inlineStr">
        <is>
          <t>Yusen İnci Loj.</t>
        </is>
      </c>
      <c r="B206" s="7">
        <f>'Bütçe aylık-TL'!$B$130</f>
        <v/>
      </c>
      <c r="C206" s="7">
        <f>'gerç aylık-tl'!$B$129</f>
        <v/>
      </c>
      <c r="D206" s="8" t="n"/>
      <c r="E206" s="7">
        <f>'Bütçe aylık-TL'!$C$130</f>
        <v/>
      </c>
      <c r="F206" s="7">
        <f>'gerç aylık-tl'!$C$129</f>
        <v/>
      </c>
      <c r="G206" s="8" t="n"/>
      <c r="H206" s="7">
        <f>'Bütçe aylık-TL'!$D$130</f>
        <v/>
      </c>
      <c r="I206" s="7">
        <f>'gerç aylık-tl'!$D$129</f>
        <v/>
      </c>
      <c r="J206" s="8" t="n"/>
      <c r="K206" s="7">
        <f>'Bütçe aylık-TL'!$E$130</f>
        <v/>
      </c>
      <c r="L206" s="7">
        <f>'gerç aylık-tl'!$E$129</f>
        <v/>
      </c>
      <c r="M206" s="8" t="n"/>
      <c r="N206" s="7">
        <f>'Bütçe aylık-TL'!$F$130</f>
        <v/>
      </c>
      <c r="O206" s="7">
        <f>'gerç aylık-tl'!$F$129</f>
        <v/>
      </c>
      <c r="P206" s="8" t="n"/>
      <c r="Q206" s="7">
        <f>'Bütçe aylık-TL'!$G$130</f>
        <v/>
      </c>
      <c r="R206" s="7">
        <f>'gerç aylık-tl'!$G$129</f>
        <v/>
      </c>
      <c r="S206" s="8" t="n"/>
      <c r="T206" s="7">
        <f>'Bütçe aylık-TL'!$H$130</f>
        <v/>
      </c>
      <c r="U206" s="7">
        <f>'gerç aylık-tl'!$H$129</f>
        <v/>
      </c>
      <c r="V206" s="8" t="n"/>
      <c r="W206" s="7">
        <f>'Bütçe aylık-TL'!$I$130</f>
        <v/>
      </c>
      <c r="X206" s="7">
        <f>'gerç aylık-tl'!$I$129</f>
        <v/>
      </c>
      <c r="Y206" s="8" t="n"/>
      <c r="Z206" s="7">
        <f>'Bütçe aylık-TL'!$J$130</f>
        <v/>
      </c>
      <c r="AA206" s="7">
        <f>'gerç aylık-tl'!$J$129</f>
        <v/>
      </c>
      <c r="AB206" s="8" t="n"/>
      <c r="AC206" s="7">
        <f>'Bütçe aylık-TL'!$K$130</f>
        <v/>
      </c>
      <c r="AD206" s="7">
        <f>'gerç aylık-tl'!$K$129</f>
        <v/>
      </c>
      <c r="AE206" s="8" t="n"/>
      <c r="AF206" s="7">
        <f>'Bütçe aylık-TL'!$L$130</f>
        <v/>
      </c>
      <c r="AG206" s="7">
        <f>'gerç aylık-tl'!$L$129</f>
        <v/>
      </c>
      <c r="AH206" s="8" t="n"/>
      <c r="AI206" s="7">
        <f>'Bütçe aylık-TL'!$M$130</f>
        <v/>
      </c>
      <c r="AJ206" s="7">
        <f>'gerç aylık-tl'!$M$129</f>
        <v/>
      </c>
      <c r="AK206" s="8" t="n"/>
      <c r="AL206" s="21">
        <f>AP206-AO206</f>
        <v/>
      </c>
      <c r="AM206" s="22">
        <f>AP206/AO206-1</f>
        <v/>
      </c>
      <c r="AO206" s="44">
        <f>IF($A$1=$B$1,B206,IF($A$1=$E$1,E206,IF($A$1=$H$1,H206,IF($A$1=$K$1,K206,IF($A$1=$N$1,N206,IF($A$1=$Q$1,Q206,IF($A$1=$T$1,T206,IF($A$1=$W$1,W206,IF($A$1=$Z$1,Z206,IF($A$1=$AC$1,AC206,IF($A$1=$AF$1,AF206,IF($A$1=$AI$1,AI206))))))))))))</f>
        <v/>
      </c>
      <c r="AP206" s="44">
        <f>IF($A$1=$B$1,C206,IF($A$1=$E$1,F206,IF($A$1=$H$1,I206,IF($A$1=$K$1,L206,IF($A$1=$N$1,O206,IF($A$1=$Q$1,R206,IF($A$1=$T$1,U206,IF($A$1=$W$1,X206,IF($A$1=$Z$1,AA206,IF($A$1=$AC$1,AD206,IF($A$1=$AF$1,AG206,IF($A$1=$AI$1,AJ206))))))))))))</f>
        <v/>
      </c>
    </row>
    <row r="207" ht="15.5" customHeight="1">
      <c r="A207" s="26" t="inlineStr">
        <is>
          <t>Jantaş</t>
        </is>
      </c>
      <c r="B207" s="7">
        <f>'Bütçe aylık-TL'!$B$131</f>
        <v/>
      </c>
      <c r="C207" s="7">
        <f>'gerç aylık-tl'!$B$130</f>
        <v/>
      </c>
      <c r="D207" s="7" t="n"/>
      <c r="E207" s="7">
        <f>'Bütçe aylık-TL'!$C$131</f>
        <v/>
      </c>
      <c r="F207" s="7">
        <f>'gerç aylık-tl'!$C$130</f>
        <v/>
      </c>
      <c r="G207" s="7" t="n"/>
      <c r="H207" s="7">
        <f>'Bütçe aylık-TL'!$D$131</f>
        <v/>
      </c>
      <c r="I207" s="7">
        <f>'gerç aylık-tl'!$D$130</f>
        <v/>
      </c>
      <c r="J207" s="7" t="n"/>
      <c r="K207" s="7">
        <f>'Bütçe aylık-TL'!$E$131</f>
        <v/>
      </c>
      <c r="L207" s="7">
        <f>'gerç aylık-tl'!$E$130</f>
        <v/>
      </c>
      <c r="M207" s="7" t="n"/>
      <c r="N207" s="7">
        <f>'Bütçe aylık-TL'!$F$131</f>
        <v/>
      </c>
      <c r="O207" s="7">
        <f>'gerç aylık-tl'!$F$130</f>
        <v/>
      </c>
      <c r="P207" s="7" t="n"/>
      <c r="Q207" s="7">
        <f>'Bütçe aylık-TL'!$G$131</f>
        <v/>
      </c>
      <c r="R207" s="7">
        <f>'gerç aylık-tl'!$G$130</f>
        <v/>
      </c>
      <c r="S207" s="7" t="n"/>
      <c r="T207" s="7">
        <f>'Bütçe aylık-TL'!$H$131</f>
        <v/>
      </c>
      <c r="U207" s="7">
        <f>'gerç aylık-tl'!$H$130</f>
        <v/>
      </c>
      <c r="V207" s="7" t="n"/>
      <c r="W207" s="7">
        <f>'Bütçe aylık-TL'!$I$131</f>
        <v/>
      </c>
      <c r="X207" s="7">
        <f>'gerç aylık-tl'!$I$130</f>
        <v/>
      </c>
      <c r="Y207" s="7" t="n"/>
      <c r="Z207" s="7">
        <f>'Bütçe aylık-TL'!$J$131</f>
        <v/>
      </c>
      <c r="AA207" s="7">
        <f>'gerç aylık-tl'!$J$130</f>
        <v/>
      </c>
      <c r="AB207" s="7" t="n"/>
      <c r="AC207" s="7">
        <f>'Bütçe aylık-TL'!$K$131</f>
        <v/>
      </c>
      <c r="AD207" s="7">
        <f>'gerç aylık-tl'!$K$130</f>
        <v/>
      </c>
      <c r="AE207" s="7" t="n"/>
      <c r="AF207" s="7">
        <f>'Bütçe aylık-TL'!$L$131</f>
        <v/>
      </c>
      <c r="AG207" s="7">
        <f>'gerç aylık-tl'!$L$130</f>
        <v/>
      </c>
      <c r="AH207" s="7" t="n"/>
      <c r="AI207" s="7">
        <f>'Bütçe aylık-TL'!$M$131</f>
        <v/>
      </c>
      <c r="AJ207" s="7">
        <f>'gerç aylık-tl'!$M$130</f>
        <v/>
      </c>
      <c r="AK207" s="7" t="n"/>
      <c r="AL207" s="21">
        <f>AP207-AO207</f>
        <v/>
      </c>
      <c r="AM207" s="22">
        <f>AP207/AO207-1</f>
        <v/>
      </c>
      <c r="AO207" s="44">
        <f>IF($A$1=$B$1,B207,IF($A$1=$E$1,E207,IF($A$1=$H$1,H207,IF($A$1=$K$1,K207,IF($A$1=$N$1,N207,IF($A$1=$Q$1,Q207,IF($A$1=$T$1,T207,IF($A$1=$W$1,W207,IF($A$1=$Z$1,Z207,IF($A$1=$AC$1,AC207,IF($A$1=$AF$1,AF207,IF($A$1=$AI$1,AI207))))))))))))</f>
        <v/>
      </c>
      <c r="AP207" s="44">
        <f>IF($A$1=$B$1,C207,IF($A$1=$E$1,F207,IF($A$1=$H$1,I207,IF($A$1=$K$1,L207,IF($A$1=$N$1,O207,IF($A$1=$Q$1,R207,IF($A$1=$T$1,U207,IF($A$1=$W$1,X207,IF($A$1=$Z$1,AA207,IF($A$1=$AC$1,AD207,IF($A$1=$AF$1,AG207,IF($A$1=$AI$1,AJ207))))))))))))</f>
        <v/>
      </c>
    </row>
    <row r="208" ht="15.5" customFormat="1" customHeight="1" s="1">
      <c r="A208" s="26" t="inlineStr">
        <is>
          <t>Çelik</t>
        </is>
      </c>
      <c r="B208" s="7">
        <f>'Bütçe aylık-TL'!$B$132</f>
        <v/>
      </c>
      <c r="C208" s="7">
        <f>'gerç aylık-tl'!$B$131</f>
        <v/>
      </c>
      <c r="D208" s="8" t="n"/>
      <c r="E208" s="7">
        <f>'Bütçe aylık-TL'!$C$132</f>
        <v/>
      </c>
      <c r="F208" s="7">
        <f>'gerç aylık-tl'!$C$131</f>
        <v/>
      </c>
      <c r="G208" s="8" t="n"/>
      <c r="H208" s="7">
        <f>'Bütçe aylık-TL'!$D$132</f>
        <v/>
      </c>
      <c r="I208" s="7">
        <f>'gerç aylık-tl'!$D$131</f>
        <v/>
      </c>
      <c r="J208" s="8" t="n"/>
      <c r="K208" s="7">
        <f>'Bütçe aylık-TL'!$E$132</f>
        <v/>
      </c>
      <c r="L208" s="7">
        <f>'gerç aylık-tl'!$E$131</f>
        <v/>
      </c>
      <c r="M208" s="8" t="n"/>
      <c r="N208" s="7">
        <f>'Bütçe aylık-TL'!$F$132</f>
        <v/>
      </c>
      <c r="O208" s="7">
        <f>'gerç aylık-tl'!$F$131</f>
        <v/>
      </c>
      <c r="P208" s="8" t="n"/>
      <c r="Q208" s="7">
        <f>'Bütçe aylık-TL'!$G$132</f>
        <v/>
      </c>
      <c r="R208" s="7">
        <f>'gerç aylık-tl'!$G$131</f>
        <v/>
      </c>
      <c r="S208" s="8" t="n"/>
      <c r="T208" s="7">
        <f>'Bütçe aylık-TL'!$H$132</f>
        <v/>
      </c>
      <c r="U208" s="7">
        <f>'gerç aylık-tl'!$H$131</f>
        <v/>
      </c>
      <c r="V208" s="8" t="n"/>
      <c r="W208" s="7">
        <f>'Bütçe aylık-TL'!$I$132</f>
        <v/>
      </c>
      <c r="X208" s="7">
        <f>'gerç aylık-tl'!$I$131</f>
        <v/>
      </c>
      <c r="Y208" s="8" t="n"/>
      <c r="Z208" s="7">
        <f>'Bütçe aylık-TL'!$J$132</f>
        <v/>
      </c>
      <c r="AA208" s="7">
        <f>'gerç aylık-tl'!$J$131</f>
        <v/>
      </c>
      <c r="AB208" s="8" t="n"/>
      <c r="AC208" s="7">
        <f>'Bütçe aylık-TL'!$K$132</f>
        <v/>
      </c>
      <c r="AD208" s="7">
        <f>'gerç aylık-tl'!$K$131</f>
        <v/>
      </c>
      <c r="AE208" s="8" t="n"/>
      <c r="AF208" s="7">
        <f>'Bütçe aylık-TL'!$L$132</f>
        <v/>
      </c>
      <c r="AG208" s="7">
        <f>'gerç aylık-tl'!$L$131</f>
        <v/>
      </c>
      <c r="AH208" s="8" t="n"/>
      <c r="AI208" s="7">
        <f>'Bütçe aylık-TL'!$M$132</f>
        <v/>
      </c>
      <c r="AJ208" s="7">
        <f>'gerç aylık-tl'!$M$131</f>
        <v/>
      </c>
      <c r="AK208" s="8" t="n"/>
      <c r="AL208" s="21">
        <f>AP208-AO208</f>
        <v/>
      </c>
      <c r="AM208" s="22">
        <f>AP208/AO208-1</f>
        <v/>
      </c>
      <c r="AO208" s="44">
        <f>IF($A$1=$B$1,B208,IF($A$1=$E$1,E208,IF($A$1=$H$1,H208,IF($A$1=$K$1,K208,IF($A$1=$N$1,N208,IF($A$1=$Q$1,Q208,IF($A$1=$T$1,T208,IF($A$1=$W$1,W208,IF($A$1=$Z$1,Z208,IF($A$1=$AC$1,AC208,IF($A$1=$AF$1,AF208,IF($A$1=$AI$1,AI208))))))))))))</f>
        <v/>
      </c>
      <c r="AP208" s="44">
        <f>IF($A$1=$B$1,C208,IF($A$1=$E$1,F208,IF($A$1=$H$1,I208,IF($A$1=$K$1,L208,IF($A$1=$N$1,O208,IF($A$1=$Q$1,R208,IF($A$1=$T$1,U208,IF($A$1=$W$1,X208,IF($A$1=$Z$1,AA208,IF($A$1=$AC$1,AD208,IF($A$1=$AF$1,AG208,IF($A$1=$AI$1,AJ208))))))))))))</f>
        <v/>
      </c>
    </row>
    <row r="209" ht="15.5" customFormat="1" customHeight="1" s="1">
      <c r="A209" s="26" t="inlineStr">
        <is>
          <t>Alüminyum</t>
        </is>
      </c>
      <c r="B209" s="7">
        <f>'Bütçe aylık-TL'!$B$133</f>
        <v/>
      </c>
      <c r="C209" s="7">
        <f>'gerç aylık-tl'!$B$132</f>
        <v/>
      </c>
      <c r="D209" s="8" t="n"/>
      <c r="E209" s="7">
        <f>'Bütçe aylık-TL'!$C$133</f>
        <v/>
      </c>
      <c r="F209" s="7">
        <f>'gerç aylık-tl'!$C$132</f>
        <v/>
      </c>
      <c r="G209" s="8" t="n"/>
      <c r="H209" s="7">
        <f>'Bütçe aylık-TL'!$D$133</f>
        <v/>
      </c>
      <c r="I209" s="7">
        <f>'gerç aylık-tl'!$D$132</f>
        <v/>
      </c>
      <c r="J209" s="8" t="n"/>
      <c r="K209" s="7">
        <f>'Bütçe aylık-TL'!$E$133</f>
        <v/>
      </c>
      <c r="L209" s="7">
        <f>'gerç aylık-tl'!$E$132</f>
        <v/>
      </c>
      <c r="M209" s="8" t="n"/>
      <c r="N209" s="7">
        <f>'Bütçe aylık-TL'!$F$133</f>
        <v/>
      </c>
      <c r="O209" s="7">
        <f>'gerç aylık-tl'!$F$132</f>
        <v/>
      </c>
      <c r="P209" s="8" t="n"/>
      <c r="Q209" s="7">
        <f>'Bütçe aylık-TL'!$G$133</f>
        <v/>
      </c>
      <c r="R209" s="7">
        <f>'gerç aylık-tl'!$G$132</f>
        <v/>
      </c>
      <c r="S209" s="8" t="n"/>
      <c r="T209" s="7">
        <f>'Bütçe aylık-TL'!$H$133</f>
        <v/>
      </c>
      <c r="U209" s="7">
        <f>'gerç aylık-tl'!$H$132</f>
        <v/>
      </c>
      <c r="V209" s="8" t="n"/>
      <c r="W209" s="7">
        <f>'Bütçe aylık-TL'!$I$133</f>
        <v/>
      </c>
      <c r="X209" s="7">
        <f>'gerç aylık-tl'!$I$132</f>
        <v/>
      </c>
      <c r="Y209" s="8" t="n"/>
      <c r="Z209" s="7">
        <f>'Bütçe aylık-TL'!$J$133</f>
        <v/>
      </c>
      <c r="AA209" s="7">
        <f>'gerç aylık-tl'!$J$132</f>
        <v/>
      </c>
      <c r="AB209" s="8" t="n"/>
      <c r="AC209" s="7">
        <f>'Bütçe aylık-TL'!$K$133</f>
        <v/>
      </c>
      <c r="AD209" s="7">
        <f>'gerç aylık-tl'!$K$132</f>
        <v/>
      </c>
      <c r="AE209" s="8" t="n"/>
      <c r="AF209" s="7">
        <f>'Bütçe aylık-TL'!$L$133</f>
        <v/>
      </c>
      <c r="AG209" s="7">
        <f>'gerç aylık-tl'!$L$132</f>
        <v/>
      </c>
      <c r="AH209" s="8" t="n"/>
      <c r="AI209" s="7">
        <f>'Bütçe aylık-TL'!$M$133</f>
        <v/>
      </c>
      <c r="AJ209" s="7">
        <f>'gerç aylık-tl'!$M$132</f>
        <v/>
      </c>
      <c r="AK209" s="8" t="n"/>
      <c r="AL209" s="21">
        <f>AP209-AO209</f>
        <v/>
      </c>
      <c r="AM209" s="22">
        <f>AP209/AO209-1</f>
        <v/>
      </c>
      <c r="AO209" s="44">
        <f>IF($A$1=$B$1,B209,IF($A$1=$E$1,E209,IF($A$1=$H$1,H209,IF($A$1=$K$1,K209,IF($A$1=$N$1,N209,IF($A$1=$Q$1,Q209,IF($A$1=$T$1,T209,IF($A$1=$W$1,W209,IF($A$1=$Z$1,Z209,IF($A$1=$AC$1,AC209,IF($A$1=$AF$1,AF209,IF($A$1=$AI$1,AI209))))))))))))</f>
        <v/>
      </c>
      <c r="AP209" s="44">
        <f>IF($A$1=$B$1,C209,IF($A$1=$E$1,F209,IF($A$1=$H$1,I209,IF($A$1=$K$1,L209,IF($A$1=$N$1,O209,IF($A$1=$Q$1,R209,IF($A$1=$T$1,U209,IF($A$1=$W$1,X209,IF($A$1=$Z$1,AA209,IF($A$1=$AC$1,AD209,IF($A$1=$AF$1,AG209,IF($A$1=$AI$1,AJ209))))))))))))</f>
        <v/>
      </c>
    </row>
    <row r="210" ht="15.5" customFormat="1" customHeight="1" s="1">
      <c r="A210" s="26" t="n"/>
      <c r="B210" s="7" t="n"/>
      <c r="C210" s="8" t="n"/>
      <c r="D210" s="8" t="n"/>
      <c r="E210" s="7" t="n"/>
      <c r="F210" s="8" t="n"/>
      <c r="G210" s="8" t="n"/>
      <c r="H210" s="7" t="n"/>
      <c r="I210" s="8" t="n"/>
      <c r="J210" s="8" t="n"/>
      <c r="K210" s="7" t="n"/>
      <c r="L210" s="8" t="n"/>
      <c r="M210" s="8" t="n"/>
      <c r="N210" s="7" t="n"/>
      <c r="O210" s="8" t="n"/>
      <c r="P210" s="8" t="n"/>
      <c r="Q210" s="7" t="n"/>
      <c r="R210" s="8" t="n"/>
      <c r="S210" s="8" t="n"/>
      <c r="T210" s="7" t="n"/>
      <c r="U210" s="8" t="n"/>
      <c r="V210" s="8" t="n"/>
      <c r="W210" s="7" t="n"/>
      <c r="X210" s="8" t="n"/>
      <c r="Y210" s="8" t="n"/>
      <c r="Z210" s="7" t="n"/>
      <c r="AA210" s="8" t="n"/>
      <c r="AB210" s="8" t="n"/>
      <c r="AC210" s="7" t="n"/>
      <c r="AD210" s="8" t="n"/>
      <c r="AE210" s="8" t="n"/>
      <c r="AF210" s="7" t="n"/>
      <c r="AG210" s="8" t="n"/>
      <c r="AH210" s="8" t="n"/>
      <c r="AI210" s="7" t="n"/>
      <c r="AJ210" s="8" t="n"/>
      <c r="AK210" s="8" t="n"/>
      <c r="AL210" s="15" t="n"/>
      <c r="AM210" s="16" t="n"/>
      <c r="AO210" s="44" t="n"/>
      <c r="AP210" s="44" t="n"/>
    </row>
    <row r="211" ht="15.5" customFormat="1" customHeight="1" s="1">
      <c r="A211" s="26" t="n"/>
      <c r="B211" s="7" t="n"/>
      <c r="C211" s="8" t="n"/>
      <c r="D211" s="8" t="n"/>
      <c r="E211" s="7" t="n"/>
      <c r="F211" s="8" t="n"/>
      <c r="G211" s="8" t="n"/>
      <c r="H211" s="7" t="n"/>
      <c r="I211" s="8" t="n"/>
      <c r="J211" s="8" t="n"/>
      <c r="K211" s="7" t="n"/>
      <c r="L211" s="8" t="n"/>
      <c r="M211" s="8" t="n"/>
      <c r="N211" s="7" t="n"/>
      <c r="O211" s="8" t="n"/>
      <c r="P211" s="8" t="n"/>
      <c r="Q211" s="7" t="n"/>
      <c r="R211" s="8" t="n"/>
      <c r="S211" s="8" t="n"/>
      <c r="T211" s="7" t="n"/>
      <c r="U211" s="8" t="n"/>
      <c r="V211" s="8" t="n"/>
      <c r="W211" s="7" t="n"/>
      <c r="X211" s="8" t="n"/>
      <c r="Y211" s="8" t="n"/>
      <c r="Z211" s="7" t="n"/>
      <c r="AA211" s="8" t="n"/>
      <c r="AB211" s="8" t="n"/>
      <c r="AC211" s="7" t="n"/>
      <c r="AD211" s="8" t="n"/>
      <c r="AE211" s="8" t="n"/>
      <c r="AF211" s="7" t="n"/>
      <c r="AG211" s="8" t="n"/>
      <c r="AH211" s="8" t="n"/>
      <c r="AI211" s="7" t="n"/>
      <c r="AJ211" s="8" t="n"/>
      <c r="AK211" s="8" t="n"/>
      <c r="AL211" s="15" t="n"/>
      <c r="AM211" s="16" t="n"/>
      <c r="AO211" s="44" t="n"/>
      <c r="AP211" s="44" t="n"/>
    </row>
    <row r="212" ht="15.5" customFormat="1" customHeight="1" s="44">
      <c r="A212" s="31" t="inlineStr">
        <is>
          <t>Net Kar</t>
        </is>
      </c>
      <c r="B212" s="32">
        <f>'Bütçe aylık-TL'!$B$136</f>
        <v/>
      </c>
      <c r="C212" s="32">
        <f>'gerç aylık-tl'!$B$135</f>
        <v/>
      </c>
      <c r="D212" s="18" t="n"/>
      <c r="E212" s="32">
        <f>'Bütçe aylık-TL'!$C$136</f>
        <v/>
      </c>
      <c r="F212" s="32">
        <f>'gerç aylık-tl'!$C$135</f>
        <v/>
      </c>
      <c r="G212" s="18" t="n"/>
      <c r="H212" s="32">
        <f>'Bütçe aylık-TL'!$D$136</f>
        <v/>
      </c>
      <c r="I212" s="32">
        <f>'gerç aylık-tl'!$D$135</f>
        <v/>
      </c>
      <c r="J212" s="18" t="n"/>
      <c r="K212" s="32">
        <f>'Bütçe aylık-TL'!$E$136</f>
        <v/>
      </c>
      <c r="L212" s="32">
        <f>'gerç aylık-tl'!$E$135</f>
        <v/>
      </c>
      <c r="M212" s="18" t="n"/>
      <c r="N212" s="32">
        <f>'Bütçe aylık-TL'!$F$136</f>
        <v/>
      </c>
      <c r="O212" s="32">
        <f>'gerç aylık-tl'!$F$135</f>
        <v/>
      </c>
      <c r="P212" s="18" t="n"/>
      <c r="Q212" s="32">
        <f>'Bütçe aylık-TL'!$G$136</f>
        <v/>
      </c>
      <c r="R212" s="32">
        <f>'gerç aylık-tl'!$G$135</f>
        <v/>
      </c>
      <c r="S212" s="18" t="n"/>
      <c r="T212" s="32">
        <f>'Bütçe aylık-TL'!$H$136</f>
        <v/>
      </c>
      <c r="U212" s="32">
        <f>'gerç aylık-tl'!$H$135</f>
        <v/>
      </c>
      <c r="V212" s="18" t="n"/>
      <c r="W212" s="32">
        <f>'Bütçe aylık-TL'!$I$136</f>
        <v/>
      </c>
      <c r="X212" s="32">
        <f>'gerç aylık-tl'!$I$135</f>
        <v/>
      </c>
      <c r="Y212" s="18" t="n"/>
      <c r="Z212" s="32">
        <f>'Bütçe aylık-TL'!$J$136</f>
        <v/>
      </c>
      <c r="AA212" s="32">
        <f>'gerç aylık-tl'!$J$135</f>
        <v/>
      </c>
      <c r="AB212" s="18" t="n"/>
      <c r="AC212" s="32">
        <f>'Bütçe aylık-TL'!$K$136</f>
        <v/>
      </c>
      <c r="AD212" s="32">
        <f>'gerç aylık-tl'!$K$135</f>
        <v/>
      </c>
      <c r="AE212" s="18" t="n"/>
      <c r="AF212" s="32">
        <f>'Bütçe aylık-TL'!$L$136</f>
        <v/>
      </c>
      <c r="AG212" s="32">
        <f>'gerç aylık-tl'!$L$135</f>
        <v/>
      </c>
      <c r="AH212" s="18" t="n"/>
      <c r="AI212" s="32">
        <f>'Bütçe aylık-TL'!$M$136</f>
        <v/>
      </c>
      <c r="AJ212" s="32">
        <f>'gerç aylık-tl'!$M$135</f>
        <v/>
      </c>
      <c r="AK212" s="18" t="n"/>
      <c r="AL212" s="33">
        <f>AP212-AO212</f>
        <v/>
      </c>
      <c r="AM212" s="34">
        <f>AP212/AO212-1</f>
        <v/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/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/>
      </c>
    </row>
    <row r="213" ht="15.5" customFormat="1" customHeight="1" s="13">
      <c r="A213" s="27" t="n"/>
      <c r="B213" s="30" t="n"/>
      <c r="C213" s="30">
        <f>IFERROR((C170/#REF!),"")</f>
        <v/>
      </c>
      <c r="D213" s="41" t="n"/>
      <c r="E213" s="30" t="n"/>
      <c r="F213" s="30">
        <f>IFERROR((F170/#REF!),"")</f>
        <v/>
      </c>
      <c r="G213" s="41" t="n"/>
      <c r="H213" s="30" t="n"/>
      <c r="I213" s="30">
        <f>IFERROR((I170/#REF!),"")</f>
        <v/>
      </c>
      <c r="J213" s="41" t="n"/>
      <c r="K213" s="30" t="n"/>
      <c r="L213" s="30">
        <f>IFERROR((L170/#REF!),"")</f>
        <v/>
      </c>
      <c r="M213" s="41" t="n"/>
      <c r="N213" s="30" t="n"/>
      <c r="O213" s="30">
        <f>IFERROR((O170/#REF!),"")</f>
        <v/>
      </c>
      <c r="P213" s="41" t="n"/>
      <c r="Q213" s="30" t="n"/>
      <c r="R213" s="30">
        <f>IFERROR((R170/#REF!),"")</f>
        <v/>
      </c>
      <c r="S213" s="41" t="n"/>
      <c r="T213" s="30" t="n"/>
      <c r="U213" s="30">
        <f>IFERROR((U170/#REF!),"")</f>
        <v/>
      </c>
      <c r="V213" s="41" t="n"/>
      <c r="W213" s="30" t="n"/>
      <c r="X213" s="30">
        <f>IFERROR((X170/#REF!),"")</f>
        <v/>
      </c>
      <c r="Y213" s="41" t="n"/>
      <c r="Z213" s="30" t="n"/>
      <c r="AA213" s="30">
        <f>IFERROR((AA170/#REF!),"")</f>
        <v/>
      </c>
      <c r="AB213" s="41" t="n"/>
      <c r="AC213" s="30" t="n"/>
      <c r="AD213" s="30">
        <f>IFERROR((AD170/#REF!),"")</f>
        <v/>
      </c>
      <c r="AE213" s="41" t="n"/>
      <c r="AF213" s="30" t="n"/>
      <c r="AG213" s="30">
        <f>IFERROR((AG170/#REF!),"")</f>
        <v/>
      </c>
      <c r="AH213" s="41" t="n"/>
      <c r="AI213" s="30" t="n"/>
      <c r="AJ213" s="30">
        <f>IFERROR((AJ170/#REF!),"")</f>
        <v/>
      </c>
      <c r="AK213" s="41" t="n"/>
      <c r="AL213" s="15" t="n"/>
      <c r="AM213" s="22" t="n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/>
      </c>
      <c r="AP213" s="44">
        <f>IF($A$1=$B$1,C213,IF($A$1=$E$1,F213,IF($A$1=$H$1,I213,IF($A$1=$K$1,L213,IF($A$1=$N$1,O213,IF($A$1=$Q$1,R213,IF($A$1=$T$1,U213,IF($A$1=$W$1,X213,IF($A$1=$Z$1,AA213,IF($A$1=$AC$1,AD213,IF($A$1=$AF$1,AG213,IF($A$1=$AI$1,AJ213))))))))))))</f>
        <v/>
      </c>
    </row>
    <row r="214" ht="17" customFormat="1" customHeight="1" s="49">
      <c r="A214" s="47" t="inlineStr">
        <is>
          <t>Net Kar (100%)</t>
        </is>
      </c>
      <c r="B214" s="413" t="n"/>
      <c r="C214" s="413" t="n"/>
      <c r="D214" s="413" t="n"/>
      <c r="E214" s="413" t="n"/>
      <c r="F214" s="413" t="n"/>
      <c r="G214" s="413" t="n"/>
      <c r="H214" s="413" t="n"/>
      <c r="I214" s="413" t="n"/>
      <c r="J214" s="413" t="n"/>
      <c r="K214" s="413" t="n"/>
      <c r="L214" s="413" t="n"/>
      <c r="M214" s="413" t="n"/>
      <c r="N214" s="413" t="n"/>
      <c r="O214" s="413" t="n"/>
      <c r="P214" s="413" t="n"/>
      <c r="Q214" s="413" t="n"/>
      <c r="R214" s="413" t="n"/>
      <c r="S214" s="413" t="n"/>
      <c r="T214" s="413" t="n"/>
      <c r="U214" s="413" t="n"/>
      <c r="V214" s="413" t="n"/>
      <c r="W214" s="413" t="n"/>
      <c r="X214" s="413" t="n"/>
      <c r="Y214" s="413" t="n"/>
      <c r="Z214" s="413" t="n"/>
      <c r="AA214" s="413" t="n"/>
      <c r="AB214" s="413" t="n"/>
      <c r="AC214" s="413" t="n"/>
      <c r="AD214" s="413" t="n"/>
      <c r="AE214" s="413" t="n"/>
      <c r="AF214" s="413" t="n"/>
      <c r="AG214" s="413" t="n"/>
      <c r="AH214" s="413" t="n"/>
      <c r="AI214" s="413" t="n"/>
      <c r="AJ214" s="413" t="n"/>
      <c r="AK214" s="413" t="n"/>
      <c r="AL214" s="413" t="n"/>
      <c r="AM214" s="48" t="n"/>
    </row>
    <row r="215" ht="15.5" customHeight="1">
      <c r="A215" s="26" t="inlineStr">
        <is>
          <t xml:space="preserve">İnci Holding </t>
        </is>
      </c>
      <c r="B215" s="7">
        <f>'Bütçe aylık-TL'!$B$137</f>
        <v/>
      </c>
      <c r="C215" s="7">
        <f>'gerç aylık-tl'!$B$136</f>
        <v/>
      </c>
      <c r="D215" s="7" t="n"/>
      <c r="E215" s="7">
        <f>'Bütçe aylık-TL'!$C$137</f>
        <v/>
      </c>
      <c r="F215" s="7">
        <f>'gerç aylık-tl'!$C$136</f>
        <v/>
      </c>
      <c r="G215" s="7" t="n"/>
      <c r="H215" s="7">
        <f>'Bütçe aylık-TL'!$D$137</f>
        <v/>
      </c>
      <c r="I215" s="7">
        <f>'gerç aylık-tl'!$D$136</f>
        <v/>
      </c>
      <c r="J215" s="7" t="n"/>
      <c r="K215" s="7">
        <f>'Bütçe aylık-TL'!$E$137</f>
        <v/>
      </c>
      <c r="L215" s="7">
        <f>'gerç aylık-tl'!$E$136</f>
        <v/>
      </c>
      <c r="M215" s="7" t="n"/>
      <c r="N215" s="7">
        <f>'Bütçe aylık-TL'!$F$137</f>
        <v/>
      </c>
      <c r="O215" s="7">
        <f>'gerç aylık-tl'!$F$136</f>
        <v/>
      </c>
      <c r="P215" s="7" t="n"/>
      <c r="Q215" s="7">
        <f>'Bütçe aylık-TL'!$G$137</f>
        <v/>
      </c>
      <c r="R215" s="7">
        <f>'gerç aylık-tl'!$G$136</f>
        <v/>
      </c>
      <c r="S215" s="7" t="n"/>
      <c r="T215" s="7">
        <f>'Bütçe aylık-TL'!$H$137</f>
        <v/>
      </c>
      <c r="U215" s="7">
        <f>'gerç aylık-tl'!$H$136</f>
        <v/>
      </c>
      <c r="V215" s="7" t="n"/>
      <c r="W215" s="7">
        <f>'Bütçe aylık-TL'!$I$137</f>
        <v/>
      </c>
      <c r="X215" s="7">
        <f>'gerç aylık-tl'!$I$136</f>
        <v/>
      </c>
      <c r="Y215" s="7" t="n"/>
      <c r="Z215" s="7">
        <f>'Bütçe aylık-TL'!$J$137</f>
        <v/>
      </c>
      <c r="AA215" s="7">
        <f>'gerç aylık-tl'!$J$136</f>
        <v/>
      </c>
      <c r="AB215" s="7" t="n"/>
      <c r="AC215" s="7">
        <f>'Bütçe aylık-TL'!$K$137</f>
        <v/>
      </c>
      <c r="AD215" s="7">
        <f>'gerç aylık-tl'!$K$136</f>
        <v/>
      </c>
      <c r="AE215" s="7" t="n"/>
      <c r="AF215" s="7">
        <f>'Bütçe aylık-TL'!$L$137</f>
        <v/>
      </c>
      <c r="AG215" s="7">
        <f>'gerç aylık-tl'!$L$136</f>
        <v/>
      </c>
      <c r="AH215" s="7" t="n"/>
      <c r="AI215" s="7">
        <f>'Bütçe aylık-TL'!$M$137</f>
        <v/>
      </c>
      <c r="AJ215" s="7">
        <f>'gerç aylık-tl'!$M$136</f>
        <v/>
      </c>
      <c r="AK215" s="7" t="n"/>
      <c r="AL215" s="21">
        <f>AP215-AO215</f>
        <v/>
      </c>
      <c r="AM215" s="22">
        <f>AP215/AO215-1</f>
        <v/>
      </c>
      <c r="AO215" s="44">
        <f>IF($A$1=$B$1,B215,IF($A$1=$E$1,E215,IF($A$1=$H$1,H215,IF($A$1=$K$1,K215,IF($A$1=$N$1,N215,IF($A$1=$Q$1,Q215,IF($A$1=$T$1,T215,IF($A$1=$W$1,W215,IF($A$1=$Z$1,Z215,IF($A$1=$AC$1,AC215,IF($A$1=$AF$1,AF215,IF($A$1=$AI$1,AI215))))))))))))</f>
        <v/>
      </c>
      <c r="AP215" s="44">
        <f>IF($A$1=$B$1,C215,IF($A$1=$E$1,F215,IF($A$1=$H$1,I215,IF($A$1=$K$1,L215,IF($A$1=$N$1,O215,IF($A$1=$Q$1,R215,IF($A$1=$T$1,U215,IF($A$1=$W$1,X215,IF($A$1=$Z$1,AA215,IF($A$1=$AC$1,AD215,IF($A$1=$AF$1,AG215,IF($A$1=$AI$1,AJ215))))))))))))</f>
        <v/>
      </c>
    </row>
    <row r="216" ht="15.5" customHeight="1">
      <c r="A216" s="26" t="inlineStr">
        <is>
          <t xml:space="preserve">ISM </t>
        </is>
      </c>
      <c r="B216" s="7">
        <f>'Bütçe aylık-TL'!$B$138</f>
        <v/>
      </c>
      <c r="C216" s="7">
        <f>'gerç aylık-tl'!$B$137</f>
        <v/>
      </c>
      <c r="D216" s="7" t="n"/>
      <c r="E216" s="7">
        <f>'Bütçe aylık-TL'!$C$138</f>
        <v/>
      </c>
      <c r="F216" s="7">
        <f>'gerç aylık-tl'!$C$137</f>
        <v/>
      </c>
      <c r="G216" s="7" t="n"/>
      <c r="H216" s="7">
        <f>'Bütçe aylık-TL'!$D$138</f>
        <v/>
      </c>
      <c r="I216" s="7">
        <f>'gerç aylık-tl'!$D$137</f>
        <v/>
      </c>
      <c r="J216" s="7" t="n"/>
      <c r="K216" s="7">
        <f>'Bütçe aylık-TL'!$E$138</f>
        <v/>
      </c>
      <c r="L216" s="7">
        <f>'gerç aylık-tl'!$E$137</f>
        <v/>
      </c>
      <c r="M216" s="7" t="n"/>
      <c r="N216" s="7">
        <f>'Bütçe aylık-TL'!$F$138</f>
        <v/>
      </c>
      <c r="O216" s="7">
        <f>'gerç aylık-tl'!$F$137</f>
        <v/>
      </c>
      <c r="P216" s="7" t="n"/>
      <c r="Q216" s="7">
        <f>'Bütçe aylık-TL'!$G$138</f>
        <v/>
      </c>
      <c r="R216" s="7">
        <f>'gerç aylık-tl'!$G$137</f>
        <v/>
      </c>
      <c r="S216" s="7" t="n"/>
      <c r="T216" s="7">
        <f>'Bütçe aylık-TL'!$H$138</f>
        <v/>
      </c>
      <c r="U216" s="7">
        <f>'gerç aylık-tl'!$H$137</f>
        <v/>
      </c>
      <c r="V216" s="7" t="n"/>
      <c r="W216" s="7">
        <f>'Bütçe aylık-TL'!$I$138</f>
        <v/>
      </c>
      <c r="X216" s="7">
        <f>'gerç aylık-tl'!$I$137</f>
        <v/>
      </c>
      <c r="Y216" s="7" t="n"/>
      <c r="Z216" s="7">
        <f>'Bütçe aylık-TL'!$J$138</f>
        <v/>
      </c>
      <c r="AA216" s="7">
        <f>'gerç aylık-tl'!$J$137</f>
        <v/>
      </c>
      <c r="AB216" s="7" t="n"/>
      <c r="AC216" s="7">
        <f>'Bütçe aylık-TL'!$K$138</f>
        <v/>
      </c>
      <c r="AD216" s="7">
        <f>'gerç aylık-tl'!$K$137</f>
        <v/>
      </c>
      <c r="AE216" s="7" t="n"/>
      <c r="AF216" s="7">
        <f>'Bütçe aylık-TL'!$L$138</f>
        <v/>
      </c>
      <c r="AG216" s="7">
        <f>'gerç aylık-tl'!$L$137</f>
        <v/>
      </c>
      <c r="AH216" s="7" t="n"/>
      <c r="AI216" s="7">
        <f>'Bütçe aylık-TL'!$M$138</f>
        <v/>
      </c>
      <c r="AJ216" s="7">
        <f>'gerç aylık-tl'!$M$137</f>
        <v/>
      </c>
      <c r="AK216" s="7" t="n"/>
      <c r="AL216" s="21">
        <f>AP216-AO216</f>
        <v/>
      </c>
      <c r="AM216" s="22">
        <f>AP216/AO216-1</f>
        <v/>
      </c>
      <c r="AO216" s="44">
        <f>IF($A$1=$B$1,B216,IF($A$1=$E$1,E216,IF($A$1=$H$1,H216,IF($A$1=$K$1,K216,IF($A$1=$N$1,N216,IF($A$1=$Q$1,Q216,IF($A$1=$T$1,T216,IF($A$1=$W$1,W216,IF($A$1=$Z$1,Z216,IF($A$1=$AC$1,AC216,IF($A$1=$AF$1,AF216,IF($A$1=$AI$1,AI216))))))))))))</f>
        <v/>
      </c>
      <c r="AP216" s="44">
        <f>IF($A$1=$B$1,C216,IF($A$1=$E$1,F216,IF($A$1=$H$1,I216,IF($A$1=$K$1,L216,IF($A$1=$N$1,O216,IF($A$1=$Q$1,R216,IF($A$1=$T$1,U216,IF($A$1=$W$1,X216,IF($A$1=$Z$1,AA216,IF($A$1=$AC$1,AD216,IF($A$1=$AF$1,AG216,IF($A$1=$AI$1,AJ216))))))))))))</f>
        <v/>
      </c>
    </row>
    <row r="217" ht="15.5" customHeight="1">
      <c r="A217" s="26" t="inlineStr">
        <is>
          <t>İncitaş</t>
        </is>
      </c>
      <c r="B217" s="7">
        <f>'Bütçe aylık-TL'!$B$139</f>
        <v/>
      </c>
      <c r="C217" s="7">
        <f>'gerç aylık-tl'!$B$138</f>
        <v/>
      </c>
      <c r="D217" s="7" t="n"/>
      <c r="E217" s="7">
        <f>'Bütçe aylık-TL'!$C$139</f>
        <v/>
      </c>
      <c r="F217" s="7">
        <f>'gerç aylık-tl'!$C$138</f>
        <v/>
      </c>
      <c r="G217" s="7" t="n"/>
      <c r="H217" s="7">
        <f>'Bütçe aylık-TL'!$D$139</f>
        <v/>
      </c>
      <c r="I217" s="7">
        <f>'gerç aylık-tl'!$D$138</f>
        <v/>
      </c>
      <c r="J217" s="7" t="n"/>
      <c r="K217" s="7">
        <f>'Bütçe aylık-TL'!$E$139</f>
        <v/>
      </c>
      <c r="L217" s="7">
        <f>'gerç aylık-tl'!$E$138</f>
        <v/>
      </c>
      <c r="M217" s="7" t="n"/>
      <c r="N217" s="7">
        <f>'Bütçe aylık-TL'!$F$139</f>
        <v/>
      </c>
      <c r="O217" s="7">
        <f>'gerç aylık-tl'!$F$138</f>
        <v/>
      </c>
      <c r="P217" s="7" t="n"/>
      <c r="Q217" s="7">
        <f>'Bütçe aylık-TL'!$G$139</f>
        <v/>
      </c>
      <c r="R217" s="7">
        <f>'gerç aylık-tl'!$G$138</f>
        <v/>
      </c>
      <c r="S217" s="7" t="n"/>
      <c r="T217" s="7">
        <f>'Bütçe aylık-TL'!$H$139</f>
        <v/>
      </c>
      <c r="U217" s="7">
        <f>'gerç aylık-tl'!$H$138</f>
        <v/>
      </c>
      <c r="V217" s="7" t="n"/>
      <c r="W217" s="7">
        <f>'Bütçe aylık-TL'!$I$139</f>
        <v/>
      </c>
      <c r="X217" s="7">
        <f>'gerç aylık-tl'!$I$138</f>
        <v/>
      </c>
      <c r="Y217" s="7" t="n"/>
      <c r="Z217" s="7">
        <f>'Bütçe aylık-TL'!$J$139</f>
        <v/>
      </c>
      <c r="AA217" s="7">
        <f>'gerç aylık-tl'!$J$138</f>
        <v/>
      </c>
      <c r="AB217" s="7" t="n"/>
      <c r="AC217" s="7">
        <f>'Bütçe aylık-TL'!$K$139</f>
        <v/>
      </c>
      <c r="AD217" s="7">
        <f>'gerç aylık-tl'!$K$138</f>
        <v/>
      </c>
      <c r="AE217" s="7" t="n"/>
      <c r="AF217" s="7">
        <f>'Bütçe aylık-TL'!$L$139</f>
        <v/>
      </c>
      <c r="AG217" s="7">
        <f>'gerç aylık-tl'!$L$138</f>
        <v/>
      </c>
      <c r="AH217" s="7" t="n"/>
      <c r="AI217" s="7">
        <f>'Bütçe aylık-TL'!$M$139</f>
        <v/>
      </c>
      <c r="AJ217" s="7">
        <f>'gerç aylık-tl'!$M$138</f>
        <v/>
      </c>
      <c r="AK217" s="7" t="n"/>
      <c r="AL217" s="21">
        <f>AP217-AO217</f>
        <v/>
      </c>
      <c r="AM217" s="22">
        <f>AP217/AO217-1</f>
        <v/>
      </c>
      <c r="AO217" s="44">
        <f>IF($A$1=$B$1,B217,IF($A$1=$E$1,E217,IF($A$1=$H$1,H217,IF($A$1=$K$1,K217,IF($A$1=$N$1,N217,IF($A$1=$Q$1,Q217,IF($A$1=$T$1,T217,IF($A$1=$W$1,W217,IF($A$1=$Z$1,Z217,IF($A$1=$AC$1,AC217,IF($A$1=$AF$1,AF217,IF($A$1=$AI$1,AI217))))))))))))</f>
        <v/>
      </c>
      <c r="AP217" s="44">
        <f>IF($A$1=$B$1,C217,IF($A$1=$E$1,F217,IF($A$1=$H$1,I217,IF($A$1=$K$1,L217,IF($A$1=$N$1,O217,IF($A$1=$Q$1,R217,IF($A$1=$T$1,U217,IF($A$1=$W$1,X217,IF($A$1=$Z$1,AA217,IF($A$1=$AC$1,AD217,IF($A$1=$AF$1,AG217,IF($A$1=$AI$1,AJ217))))))))))))</f>
        <v/>
      </c>
    </row>
    <row r="218" ht="15.5" customHeight="1">
      <c r="A218" s="26" t="inlineStr">
        <is>
          <t>İnci GS Yuasa</t>
        </is>
      </c>
      <c r="B218" s="7">
        <f>'Bütçe aylık-TL'!$B$140</f>
        <v/>
      </c>
      <c r="C218" s="7">
        <f>'gerç aylık-tl'!$B$139</f>
        <v/>
      </c>
      <c r="D218" s="7" t="n"/>
      <c r="E218" s="7">
        <f>'Bütçe aylık-TL'!$C$140</f>
        <v/>
      </c>
      <c r="F218" s="7">
        <f>'gerç aylık-tl'!$C$139</f>
        <v/>
      </c>
      <c r="G218" s="7" t="n"/>
      <c r="H218" s="7">
        <f>'Bütçe aylık-TL'!$D$140</f>
        <v/>
      </c>
      <c r="I218" s="7">
        <f>'gerç aylık-tl'!$D$139</f>
        <v/>
      </c>
      <c r="J218" s="7" t="n"/>
      <c r="K218" s="7">
        <f>'Bütçe aylık-TL'!$E$140</f>
        <v/>
      </c>
      <c r="L218" s="7">
        <f>'gerç aylık-tl'!$E$139</f>
        <v/>
      </c>
      <c r="M218" s="7" t="n"/>
      <c r="N218" s="7">
        <f>'Bütçe aylık-TL'!$F$140</f>
        <v/>
      </c>
      <c r="O218" s="7">
        <f>'gerç aylık-tl'!$F$139</f>
        <v/>
      </c>
      <c r="P218" s="7" t="n"/>
      <c r="Q218" s="7">
        <f>'Bütçe aylık-TL'!$G$140</f>
        <v/>
      </c>
      <c r="R218" s="7">
        <f>'gerç aylık-tl'!$G$139</f>
        <v/>
      </c>
      <c r="S218" s="7" t="n"/>
      <c r="T218" s="7">
        <f>'Bütçe aylık-TL'!$H$140</f>
        <v/>
      </c>
      <c r="U218" s="7">
        <f>'gerç aylık-tl'!$H$139</f>
        <v/>
      </c>
      <c r="V218" s="7" t="n"/>
      <c r="W218" s="7">
        <f>'Bütçe aylık-TL'!$I$140</f>
        <v/>
      </c>
      <c r="X218" s="7">
        <f>'gerç aylık-tl'!$I$139</f>
        <v/>
      </c>
      <c r="Y218" s="7" t="n"/>
      <c r="Z218" s="7">
        <f>'Bütçe aylık-TL'!$J$140</f>
        <v/>
      </c>
      <c r="AA218" s="7">
        <f>'gerç aylık-tl'!$J$139</f>
        <v/>
      </c>
      <c r="AB218" s="7" t="n"/>
      <c r="AC218" s="7">
        <f>'Bütçe aylık-TL'!$K$140</f>
        <v/>
      </c>
      <c r="AD218" s="7">
        <f>'gerç aylık-tl'!$K$139</f>
        <v/>
      </c>
      <c r="AE218" s="7" t="n"/>
      <c r="AF218" s="7">
        <f>'Bütçe aylık-TL'!$L$140</f>
        <v/>
      </c>
      <c r="AG218" s="7">
        <f>'gerç aylık-tl'!$L$139</f>
        <v/>
      </c>
      <c r="AH218" s="7" t="n"/>
      <c r="AI218" s="7">
        <f>'Bütçe aylık-TL'!$M$140</f>
        <v/>
      </c>
      <c r="AJ218" s="7">
        <f>'gerç aylık-tl'!$M$139</f>
        <v/>
      </c>
      <c r="AK218" s="7" t="n"/>
      <c r="AL218" s="21">
        <f>AP218-AO218</f>
        <v/>
      </c>
      <c r="AM218" s="22">
        <f>AP218/AO218-1</f>
        <v/>
      </c>
      <c r="AO218" s="44">
        <f>IF($A$1=$B$1,B218,IF($A$1=$E$1,E218,IF($A$1=$H$1,H218,IF($A$1=$K$1,K218,IF($A$1=$N$1,N218,IF($A$1=$Q$1,Q218,IF($A$1=$T$1,T218,IF($A$1=$W$1,W218,IF($A$1=$Z$1,Z218,IF($A$1=$AC$1,AC218,IF($A$1=$AF$1,AF218,IF($A$1=$AI$1,AI218))))))))))))</f>
        <v/>
      </c>
      <c r="AP218" s="44">
        <f>IF($A$1=$B$1,C218,IF($A$1=$E$1,F218,IF($A$1=$H$1,I218,IF($A$1=$K$1,L218,IF($A$1=$N$1,O218,IF($A$1=$Q$1,R218,IF($A$1=$T$1,U218,IF($A$1=$W$1,X218,IF($A$1=$Z$1,AA218,IF($A$1=$AC$1,AD218,IF($A$1=$AF$1,AG218,IF($A$1=$AI$1,AJ218))))))))))))</f>
        <v/>
      </c>
    </row>
    <row r="219" ht="15.5" customFormat="1" customHeight="1" s="1">
      <c r="A219" s="26" t="inlineStr">
        <is>
          <t>Yusen İnci Loj.</t>
        </is>
      </c>
      <c r="B219" s="7">
        <f>'Bütçe aylık-TL'!$B$141</f>
        <v/>
      </c>
      <c r="C219" s="7">
        <f>'gerç aylık-tl'!$B$140</f>
        <v/>
      </c>
      <c r="D219" s="8" t="n"/>
      <c r="E219" s="7">
        <f>'Bütçe aylık-TL'!$C$141</f>
        <v/>
      </c>
      <c r="F219" s="7">
        <f>'gerç aylık-tl'!$C$140</f>
        <v/>
      </c>
      <c r="G219" s="8" t="n"/>
      <c r="H219" s="7">
        <f>'Bütçe aylık-TL'!$D$141</f>
        <v/>
      </c>
      <c r="I219" s="7">
        <f>'gerç aylık-tl'!$D$140</f>
        <v/>
      </c>
      <c r="J219" s="8" t="n"/>
      <c r="K219" s="7">
        <f>'Bütçe aylık-TL'!$E$141</f>
        <v/>
      </c>
      <c r="L219" s="7">
        <f>'gerç aylık-tl'!$E$140</f>
        <v/>
      </c>
      <c r="M219" s="8" t="n"/>
      <c r="N219" s="7">
        <f>'Bütçe aylık-TL'!$F$141</f>
        <v/>
      </c>
      <c r="O219" s="7">
        <f>'gerç aylık-tl'!$F$140</f>
        <v/>
      </c>
      <c r="P219" s="8" t="n"/>
      <c r="Q219" s="7">
        <f>'Bütçe aylık-TL'!$G$141</f>
        <v/>
      </c>
      <c r="R219" s="7">
        <f>'gerç aylık-tl'!$G$140</f>
        <v/>
      </c>
      <c r="S219" s="8" t="n"/>
      <c r="T219" s="7">
        <f>'Bütçe aylık-TL'!$H$141</f>
        <v/>
      </c>
      <c r="U219" s="7">
        <f>'gerç aylık-tl'!$H$140</f>
        <v/>
      </c>
      <c r="V219" s="8" t="n"/>
      <c r="W219" s="7">
        <f>'Bütçe aylık-TL'!$I$141</f>
        <v/>
      </c>
      <c r="X219" s="7">
        <f>'gerç aylık-tl'!$I$140</f>
        <v/>
      </c>
      <c r="Y219" s="8" t="n"/>
      <c r="Z219" s="7">
        <f>'Bütçe aylık-TL'!$J$141</f>
        <v/>
      </c>
      <c r="AA219" s="7">
        <f>'gerç aylık-tl'!$J$140</f>
        <v/>
      </c>
      <c r="AB219" s="8" t="n"/>
      <c r="AC219" s="7">
        <f>'Bütçe aylık-TL'!$K$141</f>
        <v/>
      </c>
      <c r="AD219" s="7">
        <f>'gerç aylık-tl'!$K$140</f>
        <v/>
      </c>
      <c r="AE219" s="8" t="n"/>
      <c r="AF219" s="7">
        <f>'Bütçe aylık-TL'!$L$141</f>
        <v/>
      </c>
      <c r="AG219" s="7">
        <f>'gerç aylık-tl'!$L$140</f>
        <v/>
      </c>
      <c r="AH219" s="8" t="n"/>
      <c r="AI219" s="7">
        <f>'Bütçe aylık-TL'!$M$141</f>
        <v/>
      </c>
      <c r="AJ219" s="7">
        <f>'gerç aylık-tl'!$M$140</f>
        <v/>
      </c>
      <c r="AK219" s="8" t="n"/>
      <c r="AL219" s="21">
        <f>AP219-AO219</f>
        <v/>
      </c>
      <c r="AM219" s="22">
        <f>AP219/AO219-1</f>
        <v/>
      </c>
      <c r="AO219" s="44">
        <f>IF($A$1=$B$1,B219,IF($A$1=$E$1,E219,IF($A$1=$H$1,H219,IF($A$1=$K$1,K219,IF($A$1=$N$1,N219,IF($A$1=$Q$1,Q219,IF($A$1=$T$1,T219,IF($A$1=$W$1,W219,IF($A$1=$Z$1,Z219,IF($A$1=$AC$1,AC219,IF($A$1=$AF$1,AF219,IF($A$1=$AI$1,AI219))))))))))))</f>
        <v/>
      </c>
      <c r="AP219" s="44">
        <f>IF($A$1=$B$1,C219,IF($A$1=$E$1,F219,IF($A$1=$H$1,I219,IF($A$1=$K$1,L219,IF($A$1=$N$1,O219,IF($A$1=$Q$1,R219,IF($A$1=$T$1,U219,IF($A$1=$W$1,X219,IF($A$1=$Z$1,AA219,IF($A$1=$AC$1,AD219,IF($A$1=$AF$1,AG219,IF($A$1=$AI$1,AJ219))))))))))))</f>
        <v/>
      </c>
    </row>
    <row r="220" ht="15.5" customHeight="1">
      <c r="A220" s="26" t="inlineStr">
        <is>
          <t>Jantaş</t>
        </is>
      </c>
      <c r="B220" s="7">
        <f>'Bütçe aylık-TL'!$B$142</f>
        <v/>
      </c>
      <c r="C220" s="7">
        <f>'gerç aylık-tl'!$B$141</f>
        <v/>
      </c>
      <c r="D220" s="7" t="n"/>
      <c r="E220" s="7">
        <f>'Bütçe aylık-TL'!$C$142</f>
        <v/>
      </c>
      <c r="F220" s="7">
        <f>'gerç aylık-tl'!$C$141</f>
        <v/>
      </c>
      <c r="G220" s="7" t="n"/>
      <c r="H220" s="7">
        <f>'Bütçe aylık-TL'!$D$142</f>
        <v/>
      </c>
      <c r="I220" s="7">
        <f>'gerç aylık-tl'!$D$141</f>
        <v/>
      </c>
      <c r="J220" s="7" t="n"/>
      <c r="K220" s="7">
        <f>'Bütçe aylık-TL'!$E$142</f>
        <v/>
      </c>
      <c r="L220" s="7">
        <f>'gerç aylık-tl'!$E$141</f>
        <v/>
      </c>
      <c r="M220" s="7" t="n"/>
      <c r="N220" s="7">
        <f>'Bütçe aylık-TL'!$F$142</f>
        <v/>
      </c>
      <c r="O220" s="7">
        <f>'gerç aylık-tl'!$F$141</f>
        <v/>
      </c>
      <c r="P220" s="7" t="n"/>
      <c r="Q220" s="7">
        <f>'Bütçe aylık-TL'!$G$142</f>
        <v/>
      </c>
      <c r="R220" s="7">
        <f>'gerç aylık-tl'!$G$141</f>
        <v/>
      </c>
      <c r="S220" s="7" t="n"/>
      <c r="T220" s="7">
        <f>'Bütçe aylık-TL'!$H$142</f>
        <v/>
      </c>
      <c r="U220" s="7">
        <f>'gerç aylık-tl'!$H$141</f>
        <v/>
      </c>
      <c r="V220" s="7" t="n"/>
      <c r="W220" s="7">
        <f>'Bütçe aylık-TL'!$I$142</f>
        <v/>
      </c>
      <c r="X220" s="7">
        <f>'gerç aylık-tl'!$I$141</f>
        <v/>
      </c>
      <c r="Y220" s="7" t="n"/>
      <c r="Z220" s="7">
        <f>'Bütçe aylık-TL'!$J$142</f>
        <v/>
      </c>
      <c r="AA220" s="7">
        <f>'gerç aylık-tl'!$J$141</f>
        <v/>
      </c>
      <c r="AB220" s="7" t="n"/>
      <c r="AC220" s="7">
        <f>'Bütçe aylık-TL'!$K$142</f>
        <v/>
      </c>
      <c r="AD220" s="7">
        <f>'gerç aylık-tl'!$K$141</f>
        <v/>
      </c>
      <c r="AE220" s="7" t="n"/>
      <c r="AF220" s="7">
        <f>'Bütçe aylık-TL'!$L$142</f>
        <v/>
      </c>
      <c r="AG220" s="7">
        <f>'gerç aylık-tl'!$L$141</f>
        <v/>
      </c>
      <c r="AH220" s="7" t="n"/>
      <c r="AI220" s="7">
        <f>'Bütçe aylık-TL'!$M$142</f>
        <v/>
      </c>
      <c r="AJ220" s="7">
        <f>'gerç aylık-tl'!$M$141</f>
        <v/>
      </c>
      <c r="AK220" s="7" t="n"/>
      <c r="AL220" s="21">
        <f>AP220-AO220</f>
        <v/>
      </c>
      <c r="AM220" s="22">
        <f>AP220/AO220-1</f>
        <v/>
      </c>
      <c r="AO220" s="44">
        <f>IF($A$1=$B$1,B220,IF($A$1=$E$1,E220,IF($A$1=$H$1,H220,IF($A$1=$K$1,K220,IF($A$1=$N$1,N220,IF($A$1=$Q$1,Q220,IF($A$1=$T$1,T220,IF($A$1=$W$1,W220,IF($A$1=$Z$1,Z220,IF($A$1=$AC$1,AC220,IF($A$1=$AF$1,AF220,IF($A$1=$AI$1,AI220))))))))))))</f>
        <v/>
      </c>
      <c r="AP220" s="44">
        <f>IF($A$1=$B$1,C220,IF($A$1=$E$1,F220,IF($A$1=$H$1,I220,IF($A$1=$K$1,L220,IF($A$1=$N$1,O220,IF($A$1=$Q$1,R220,IF($A$1=$T$1,U220,IF($A$1=$W$1,X220,IF($A$1=$Z$1,AA220,IF($A$1=$AC$1,AD220,IF($A$1=$AF$1,AG220,IF($A$1=$AI$1,AJ220))))))))))))</f>
        <v/>
      </c>
    </row>
    <row r="221" ht="15.5" customFormat="1" customHeight="1" s="1">
      <c r="A221" s="26" t="inlineStr">
        <is>
          <t>Çelik</t>
        </is>
      </c>
      <c r="B221" s="7">
        <f>'Bütçe aylık-TL'!$B$143</f>
        <v/>
      </c>
      <c r="C221" s="7">
        <f>'gerç aylık-tl'!$B$142</f>
        <v/>
      </c>
      <c r="D221" s="8" t="n"/>
      <c r="E221" s="7">
        <f>'Bütçe aylık-TL'!$C$143</f>
        <v/>
      </c>
      <c r="F221" s="7">
        <f>'gerç aylık-tl'!$C$142</f>
        <v/>
      </c>
      <c r="G221" s="8" t="n"/>
      <c r="H221" s="7">
        <f>'Bütçe aylık-TL'!$D$143</f>
        <v/>
      </c>
      <c r="I221" s="7">
        <f>'gerç aylık-tl'!$D$142</f>
        <v/>
      </c>
      <c r="J221" s="8" t="n"/>
      <c r="K221" s="7">
        <f>'Bütçe aylık-TL'!$E$143</f>
        <v/>
      </c>
      <c r="L221" s="7">
        <f>'gerç aylık-tl'!$E$142</f>
        <v/>
      </c>
      <c r="M221" s="8" t="n"/>
      <c r="N221" s="7">
        <f>'Bütçe aylık-TL'!$F$143</f>
        <v/>
      </c>
      <c r="O221" s="7">
        <f>'gerç aylık-tl'!$F$142</f>
        <v/>
      </c>
      <c r="P221" s="8" t="n"/>
      <c r="Q221" s="7">
        <f>'Bütçe aylık-TL'!$G$143</f>
        <v/>
      </c>
      <c r="R221" s="7">
        <f>'gerç aylık-tl'!$G$142</f>
        <v/>
      </c>
      <c r="S221" s="8" t="n"/>
      <c r="T221" s="7">
        <f>'Bütçe aylık-TL'!$H$143</f>
        <v/>
      </c>
      <c r="U221" s="7">
        <f>'gerç aylık-tl'!$H$142</f>
        <v/>
      </c>
      <c r="V221" s="8" t="n"/>
      <c r="W221" s="7">
        <f>'Bütçe aylık-TL'!$I$143</f>
        <v/>
      </c>
      <c r="X221" s="7">
        <f>'gerç aylık-tl'!$I$142</f>
        <v/>
      </c>
      <c r="Y221" s="8" t="n"/>
      <c r="Z221" s="7">
        <f>'Bütçe aylık-TL'!$J$143</f>
        <v/>
      </c>
      <c r="AA221" s="7">
        <f>'gerç aylık-tl'!$J$142</f>
        <v/>
      </c>
      <c r="AB221" s="8" t="n"/>
      <c r="AC221" s="7">
        <f>'Bütçe aylık-TL'!$K$143</f>
        <v/>
      </c>
      <c r="AD221" s="7">
        <f>'gerç aylık-tl'!$K$142</f>
        <v/>
      </c>
      <c r="AE221" s="8" t="n"/>
      <c r="AF221" s="7">
        <f>'Bütçe aylık-TL'!$L$143</f>
        <v/>
      </c>
      <c r="AG221" s="7">
        <f>'gerç aylık-tl'!$L$142</f>
        <v/>
      </c>
      <c r="AH221" s="8" t="n"/>
      <c r="AI221" s="7">
        <f>'Bütçe aylık-TL'!$M$143</f>
        <v/>
      </c>
      <c r="AJ221" s="7">
        <f>'gerç aylık-tl'!$M$142</f>
        <v/>
      </c>
      <c r="AK221" s="8" t="n"/>
      <c r="AL221" s="21">
        <f>AP221-AO221</f>
        <v/>
      </c>
      <c r="AM221" s="22">
        <f>AP221/AO221-1</f>
        <v/>
      </c>
      <c r="AO221" s="44">
        <f>IF($A$1=$B$1,B221,IF($A$1=$E$1,E221,IF($A$1=$H$1,H221,IF($A$1=$K$1,K221,IF($A$1=$N$1,N221,IF($A$1=$Q$1,Q221,IF($A$1=$T$1,T221,IF($A$1=$W$1,W221,IF($A$1=$Z$1,Z221,IF($A$1=$AC$1,AC221,IF($A$1=$AF$1,AF221,IF($A$1=$AI$1,AI221))))))))))))</f>
        <v/>
      </c>
      <c r="AP221" s="44">
        <f>IF($A$1=$B$1,C221,IF($A$1=$E$1,F221,IF($A$1=$H$1,I221,IF($A$1=$K$1,L221,IF($A$1=$N$1,O221,IF($A$1=$Q$1,R221,IF($A$1=$T$1,U221,IF($A$1=$W$1,X221,IF($A$1=$Z$1,AA221,IF($A$1=$AC$1,AD221,IF($A$1=$AF$1,AG221,IF($A$1=$AI$1,AJ221))))))))))))</f>
        <v/>
      </c>
    </row>
    <row r="222" ht="15.5" customFormat="1" customHeight="1" s="1">
      <c r="A222" s="26" t="inlineStr">
        <is>
          <t>Alüminyum</t>
        </is>
      </c>
      <c r="B222" s="7">
        <f>'Bütçe aylık-TL'!$B$144</f>
        <v/>
      </c>
      <c r="C222" s="7">
        <f>'gerç aylık-tl'!$B$143</f>
        <v/>
      </c>
      <c r="D222" s="8" t="n"/>
      <c r="E222" s="7">
        <f>'Bütçe aylık-TL'!$C$144</f>
        <v/>
      </c>
      <c r="F222" s="7">
        <f>'gerç aylık-tl'!$C$143</f>
        <v/>
      </c>
      <c r="G222" s="8" t="n"/>
      <c r="H222" s="7">
        <f>'Bütçe aylık-TL'!$D$144</f>
        <v/>
      </c>
      <c r="I222" s="7">
        <f>'gerç aylık-tl'!$D$143</f>
        <v/>
      </c>
      <c r="J222" s="8" t="n"/>
      <c r="K222" s="7">
        <f>'Bütçe aylık-TL'!$E$144</f>
        <v/>
      </c>
      <c r="L222" s="7">
        <f>'gerç aylık-tl'!$E$143</f>
        <v/>
      </c>
      <c r="M222" s="8" t="n"/>
      <c r="N222" s="7">
        <f>'Bütçe aylık-TL'!$F$144</f>
        <v/>
      </c>
      <c r="O222" s="7">
        <f>'gerç aylık-tl'!$F$143</f>
        <v/>
      </c>
      <c r="P222" s="8" t="n"/>
      <c r="Q222" s="7">
        <f>'Bütçe aylık-TL'!$G$144</f>
        <v/>
      </c>
      <c r="R222" s="7">
        <f>'gerç aylık-tl'!$G$143</f>
        <v/>
      </c>
      <c r="S222" s="8" t="n"/>
      <c r="T222" s="7">
        <f>'Bütçe aylık-TL'!$H$144</f>
        <v/>
      </c>
      <c r="U222" s="7">
        <f>'gerç aylık-tl'!$H$143</f>
        <v/>
      </c>
      <c r="V222" s="8" t="n"/>
      <c r="W222" s="7">
        <f>'Bütçe aylık-TL'!$I$144</f>
        <v/>
      </c>
      <c r="X222" s="7">
        <f>'gerç aylık-tl'!$I$143</f>
        <v/>
      </c>
      <c r="Y222" s="8" t="n"/>
      <c r="Z222" s="7">
        <f>'Bütçe aylık-TL'!$J$144</f>
        <v/>
      </c>
      <c r="AA222" s="7">
        <f>'gerç aylık-tl'!$J$143</f>
        <v/>
      </c>
      <c r="AB222" s="8" t="n"/>
      <c r="AC222" s="7">
        <f>'Bütçe aylık-TL'!$K$144</f>
        <v/>
      </c>
      <c r="AD222" s="7">
        <f>'gerç aylık-tl'!$K$143</f>
        <v/>
      </c>
      <c r="AE222" s="8" t="n"/>
      <c r="AF222" s="7">
        <f>'Bütçe aylık-TL'!$L$144</f>
        <v/>
      </c>
      <c r="AG222" s="7">
        <f>'gerç aylık-tl'!$L$143</f>
        <v/>
      </c>
      <c r="AH222" s="8" t="n"/>
      <c r="AI222" s="7">
        <f>'Bütçe aylık-TL'!$M$144</f>
        <v/>
      </c>
      <c r="AJ222" s="7">
        <f>'gerç aylık-tl'!$M$143</f>
        <v/>
      </c>
      <c r="AK222" s="8" t="n"/>
      <c r="AL222" s="21">
        <f>AP222-AO222</f>
        <v/>
      </c>
      <c r="AM222" s="22">
        <f>AP222/AO222-1</f>
        <v/>
      </c>
      <c r="AO222" s="44">
        <f>IF($A$1=$B$1,B222,IF($A$1=$E$1,E222,IF($A$1=$H$1,H222,IF($A$1=$K$1,K222,IF($A$1=$N$1,N222,IF($A$1=$Q$1,Q222,IF($A$1=$T$1,T222,IF($A$1=$W$1,W222,IF($A$1=$Z$1,Z222,IF($A$1=$AC$1,AC222,IF($A$1=$AF$1,AF222,IF($A$1=$AI$1,AI222))))))))))))</f>
        <v/>
      </c>
      <c r="AP222" s="44">
        <f>IF($A$1=$B$1,C222,IF($A$1=$E$1,F222,IF($A$1=$H$1,I222,IF($A$1=$K$1,L222,IF($A$1=$N$1,O222,IF($A$1=$Q$1,R222,IF($A$1=$T$1,U222,IF($A$1=$W$1,X222,IF($A$1=$Z$1,AA222,IF($A$1=$AC$1,AD222,IF($A$1=$AF$1,AG222,IF($A$1=$AI$1,AJ222))))))))))))</f>
        <v/>
      </c>
    </row>
    <row r="223" ht="15.5" customFormat="1" customHeight="1" s="1">
      <c r="A223" s="26" t="n"/>
      <c r="B223" s="7" t="n"/>
      <c r="C223" s="8" t="n"/>
      <c r="D223" s="8" t="n"/>
      <c r="E223" s="7" t="n"/>
      <c r="F223" s="8" t="n"/>
      <c r="G223" s="8" t="n"/>
      <c r="H223" s="7" t="n"/>
      <c r="I223" s="8" t="n"/>
      <c r="J223" s="8" t="n"/>
      <c r="K223" s="7" t="n"/>
      <c r="L223" s="8" t="n"/>
      <c r="M223" s="8" t="n"/>
      <c r="N223" s="7" t="n"/>
      <c r="O223" s="8" t="n"/>
      <c r="P223" s="8" t="n"/>
      <c r="Q223" s="7" t="n"/>
      <c r="R223" s="8" t="n"/>
      <c r="S223" s="8" t="n"/>
      <c r="T223" s="7" t="n"/>
      <c r="U223" s="8" t="n"/>
      <c r="V223" s="8" t="n"/>
      <c r="W223" s="7" t="n"/>
      <c r="X223" s="8" t="n"/>
      <c r="Y223" s="8" t="n"/>
      <c r="Z223" s="7" t="n"/>
      <c r="AA223" s="8" t="n"/>
      <c r="AB223" s="8" t="n"/>
      <c r="AC223" s="7" t="n"/>
      <c r="AD223" s="8" t="n"/>
      <c r="AE223" s="8" t="n"/>
      <c r="AF223" s="7" t="n"/>
      <c r="AG223" s="8" t="n"/>
      <c r="AH223" s="8" t="n"/>
      <c r="AI223" s="7" t="n"/>
      <c r="AJ223" s="8" t="n"/>
      <c r="AK223" s="8" t="n"/>
      <c r="AL223" s="15" t="n"/>
      <c r="AM223" s="16" t="n"/>
      <c r="AO223" s="44" t="n"/>
      <c r="AP223" s="44" t="n"/>
    </row>
    <row r="224" ht="15.5" customFormat="1" customHeight="1" s="1">
      <c r="A224" s="26" t="n"/>
      <c r="B224" s="7" t="n"/>
      <c r="C224" s="8" t="n"/>
      <c r="D224" s="8" t="n"/>
      <c r="E224" s="7" t="n"/>
      <c r="F224" s="8" t="n"/>
      <c r="G224" s="8" t="n"/>
      <c r="H224" s="7" t="n"/>
      <c r="I224" s="8" t="n"/>
      <c r="J224" s="8" t="n"/>
      <c r="K224" s="7" t="n"/>
      <c r="L224" s="8" t="n"/>
      <c r="M224" s="8" t="n"/>
      <c r="N224" s="7" t="n"/>
      <c r="O224" s="8" t="n"/>
      <c r="P224" s="8" t="n"/>
      <c r="Q224" s="7" t="n"/>
      <c r="R224" s="8" t="n"/>
      <c r="S224" s="8" t="n"/>
      <c r="T224" s="7" t="n"/>
      <c r="U224" s="8" t="n"/>
      <c r="V224" s="8" t="n"/>
      <c r="W224" s="7" t="n"/>
      <c r="X224" s="8" t="n"/>
      <c r="Y224" s="8" t="n"/>
      <c r="Z224" s="7" t="n"/>
      <c r="AA224" s="8" t="n"/>
      <c r="AB224" s="8" t="n"/>
      <c r="AC224" s="7" t="n"/>
      <c r="AD224" s="8" t="n"/>
      <c r="AE224" s="8" t="n"/>
      <c r="AF224" s="7" t="n"/>
      <c r="AG224" s="8" t="n"/>
      <c r="AH224" s="8" t="n"/>
      <c r="AI224" s="7" t="n"/>
      <c r="AJ224" s="8" t="n"/>
      <c r="AK224" s="8" t="n"/>
      <c r="AL224" s="15" t="n"/>
      <c r="AM224" s="16" t="n"/>
      <c r="AO224" s="44" t="n"/>
      <c r="AP224" s="44" t="n"/>
    </row>
    <row r="225" ht="17" customFormat="1" customHeight="1" s="49">
      <c r="A225" s="47" t="inlineStr">
        <is>
          <t>Net Kar Marjı</t>
        </is>
      </c>
      <c r="B225" s="413" t="n"/>
      <c r="C225" s="413" t="n"/>
      <c r="D225" s="413" t="n"/>
      <c r="E225" s="413" t="n"/>
      <c r="F225" s="413" t="n"/>
      <c r="G225" s="413" t="n"/>
      <c r="H225" s="413" t="n"/>
      <c r="I225" s="413" t="n"/>
      <c r="J225" s="413" t="n"/>
      <c r="K225" s="413" t="n"/>
      <c r="L225" s="413" t="n"/>
      <c r="M225" s="413" t="n"/>
      <c r="N225" s="413" t="n"/>
      <c r="O225" s="413" t="n"/>
      <c r="P225" s="413" t="n"/>
      <c r="Q225" s="413" t="n"/>
      <c r="R225" s="413" t="n"/>
      <c r="S225" s="413" t="n"/>
      <c r="T225" s="413" t="n"/>
      <c r="U225" s="413" t="n"/>
      <c r="V225" s="413" t="n"/>
      <c r="W225" s="413" t="n"/>
      <c r="X225" s="413" t="n"/>
      <c r="Y225" s="413" t="n"/>
      <c r="Z225" s="413" t="n"/>
      <c r="AA225" s="413" t="n"/>
      <c r="AB225" s="413" t="n"/>
      <c r="AC225" s="413" t="n"/>
      <c r="AD225" s="413" t="n"/>
      <c r="AE225" s="413" t="n"/>
      <c r="AF225" s="413" t="n"/>
      <c r="AG225" s="413" t="n"/>
      <c r="AH225" s="413" t="n"/>
      <c r="AI225" s="413" t="n"/>
      <c r="AJ225" s="413" t="n"/>
      <c r="AK225" s="413" t="n"/>
      <c r="AL225" s="413" t="n"/>
      <c r="AM225" s="48" t="n"/>
    </row>
    <row r="226" ht="15.5" customHeight="1">
      <c r="A226" s="26" t="inlineStr">
        <is>
          <t xml:space="preserve">İnci Holding </t>
        </is>
      </c>
      <c r="B226" s="5">
        <f>B215/B9</f>
        <v/>
      </c>
      <c r="C226" s="5">
        <f>C215/C9</f>
        <v/>
      </c>
      <c r="D226" s="7" t="n"/>
      <c r="E226" s="5">
        <f>E215/E9</f>
        <v/>
      </c>
      <c r="F226" s="5">
        <f>F215/F9</f>
        <v/>
      </c>
      <c r="G226" s="7" t="n"/>
      <c r="H226" s="5">
        <f>H215/H9</f>
        <v/>
      </c>
      <c r="I226" s="5">
        <f>I215/I9</f>
        <v/>
      </c>
      <c r="J226" s="7" t="n"/>
      <c r="K226" s="5">
        <f>K215/K9</f>
        <v/>
      </c>
      <c r="L226" s="5">
        <f>L215/L9</f>
        <v/>
      </c>
      <c r="M226" s="7" t="n"/>
      <c r="N226" s="5">
        <f>N215/N9</f>
        <v/>
      </c>
      <c r="O226" s="5">
        <f>O215/O9</f>
        <v/>
      </c>
      <c r="P226" s="7" t="n"/>
      <c r="Q226" s="5">
        <f>Q215/Q9</f>
        <v/>
      </c>
      <c r="R226" s="5">
        <f>R215/R9</f>
        <v/>
      </c>
      <c r="S226" s="7" t="n"/>
      <c r="T226" s="5">
        <f>T215/T9</f>
        <v/>
      </c>
      <c r="U226" s="5">
        <f>U215/U9</f>
        <v/>
      </c>
      <c r="V226" s="7" t="n"/>
      <c r="W226" s="5">
        <f>W215/W9</f>
        <v/>
      </c>
      <c r="X226" s="5">
        <f>X215/X9</f>
        <v/>
      </c>
      <c r="Y226" s="7" t="n"/>
      <c r="Z226" s="5">
        <f>Z215/Z9</f>
        <v/>
      </c>
      <c r="AA226" s="5">
        <f>AA215/AA9</f>
        <v/>
      </c>
      <c r="AB226" s="7" t="n"/>
      <c r="AC226" s="5">
        <f>AC215/AC9</f>
        <v/>
      </c>
      <c r="AD226" s="5">
        <f>AD215/AD9</f>
        <v/>
      </c>
      <c r="AE226" s="7" t="n"/>
      <c r="AF226" s="5">
        <f>AF215/AF9</f>
        <v/>
      </c>
      <c r="AG226" s="5">
        <f>AG215/AG9</f>
        <v/>
      </c>
      <c r="AH226" s="7" t="n"/>
      <c r="AI226" s="5">
        <f>AI215/AI9</f>
        <v/>
      </c>
      <c r="AJ226" s="5">
        <f>AJ215/AJ9</f>
        <v/>
      </c>
      <c r="AK226" s="7" t="n"/>
      <c r="AL226" s="21" t="n"/>
      <c r="AM226" s="22">
        <f>AP226-AO226</f>
        <v/>
      </c>
      <c r="AO226" s="44">
        <f>IF($A$1=$B$1,B226,IF($A$1=$E$1,E226,IF($A$1=$H$1,H226,IF($A$1=$K$1,K226,IF($A$1=$N$1,N226,IF($A$1=$Q$1,Q226,IF($A$1=$T$1,T226,IF($A$1=$W$1,W226,IF($A$1=$Z$1,Z226,IF($A$1=$AC$1,AC226,IF($A$1=$AF$1,AF226,IF($A$1=$AI$1,AI226))))))))))))</f>
        <v/>
      </c>
      <c r="AP226" s="44">
        <f>IF($A$1=$B$1,C226,IF($A$1=$E$1,F226,IF($A$1=$H$1,I226,IF($A$1=$K$1,L226,IF($A$1=$N$1,O226,IF($A$1=$Q$1,R226,IF($A$1=$T$1,U226,IF($A$1=$W$1,X226,IF($A$1=$Z$1,AA226,IF($A$1=$AC$1,AD226,IF($A$1=$AF$1,AG226,IF($A$1=$AI$1,AJ226))))))))))))</f>
        <v/>
      </c>
    </row>
    <row r="227" ht="15.5" customHeight="1">
      <c r="A227" s="26" t="inlineStr">
        <is>
          <t xml:space="preserve">ISM </t>
        </is>
      </c>
      <c r="B227" s="5">
        <f>B216/B10</f>
        <v/>
      </c>
      <c r="C227" s="5">
        <f>C216/C10</f>
        <v/>
      </c>
      <c r="D227" s="7" t="n"/>
      <c r="E227" s="5">
        <f>E216/E10</f>
        <v/>
      </c>
      <c r="F227" s="5">
        <f>F216/F10</f>
        <v/>
      </c>
      <c r="G227" s="7" t="n"/>
      <c r="H227" s="5">
        <f>H216/H10</f>
        <v/>
      </c>
      <c r="I227" s="5">
        <f>I216/I10</f>
        <v/>
      </c>
      <c r="J227" s="7" t="n"/>
      <c r="K227" s="5">
        <f>K216/K10</f>
        <v/>
      </c>
      <c r="L227" s="5">
        <f>L216/L10</f>
        <v/>
      </c>
      <c r="M227" s="7" t="n"/>
      <c r="N227" s="5">
        <f>N216/N10</f>
        <v/>
      </c>
      <c r="O227" s="5">
        <f>O216/O10</f>
        <v/>
      </c>
      <c r="P227" s="7" t="n"/>
      <c r="Q227" s="5">
        <f>Q216/Q10</f>
        <v/>
      </c>
      <c r="R227" s="5">
        <f>R216/R10</f>
        <v/>
      </c>
      <c r="S227" s="7" t="n"/>
      <c r="T227" s="5">
        <f>T216/T10</f>
        <v/>
      </c>
      <c r="U227" s="5">
        <f>U216/U10</f>
        <v/>
      </c>
      <c r="V227" s="7" t="n"/>
      <c r="W227" s="5">
        <f>W216/W10</f>
        <v/>
      </c>
      <c r="X227" s="5">
        <f>X216/X10</f>
        <v/>
      </c>
      <c r="Y227" s="7" t="n"/>
      <c r="Z227" s="5">
        <f>Z216/Z10</f>
        <v/>
      </c>
      <c r="AA227" s="5">
        <f>AA216/AA10</f>
        <v/>
      </c>
      <c r="AB227" s="7" t="n"/>
      <c r="AC227" s="5">
        <f>AC216/AC10</f>
        <v/>
      </c>
      <c r="AD227" s="5">
        <f>AD216/AD10</f>
        <v/>
      </c>
      <c r="AE227" s="7" t="n"/>
      <c r="AF227" s="5">
        <f>AF216/AF10</f>
        <v/>
      </c>
      <c r="AG227" s="5">
        <f>AG216/AG10</f>
        <v/>
      </c>
      <c r="AH227" s="7" t="n"/>
      <c r="AI227" s="5">
        <f>AI216/AI10</f>
        <v/>
      </c>
      <c r="AJ227" s="5">
        <f>AJ216/AJ10</f>
        <v/>
      </c>
      <c r="AK227" s="7" t="n"/>
      <c r="AL227" s="21" t="n"/>
      <c r="AM227" s="22">
        <f>AP227-AO227</f>
        <v/>
      </c>
      <c r="AO227" s="44">
        <f>IF($A$1=$B$1,B227,IF($A$1=$E$1,E227,IF($A$1=$H$1,H227,IF($A$1=$K$1,K227,IF($A$1=$N$1,N227,IF($A$1=$Q$1,Q227,IF($A$1=$T$1,T227,IF($A$1=$W$1,W227,IF($A$1=$Z$1,Z227,IF($A$1=$AC$1,AC227,IF($A$1=$AF$1,AF227,IF($A$1=$AI$1,AI227))))))))))))</f>
        <v/>
      </c>
      <c r="AP227" s="44">
        <f>IF($A$1=$B$1,C227,IF($A$1=$E$1,F227,IF($A$1=$H$1,I227,IF($A$1=$K$1,L227,IF($A$1=$N$1,O227,IF($A$1=$Q$1,R227,IF($A$1=$T$1,U227,IF($A$1=$W$1,X227,IF($A$1=$Z$1,AA227,IF($A$1=$AC$1,AD227,IF($A$1=$AF$1,AG227,IF($A$1=$AI$1,AJ227))))))))))))</f>
        <v/>
      </c>
    </row>
    <row r="228" ht="15.5" customHeight="1">
      <c r="A228" s="26" t="inlineStr">
        <is>
          <t>İncitaş</t>
        </is>
      </c>
      <c r="B228" s="5">
        <f>B217/B11</f>
        <v/>
      </c>
      <c r="C228" s="5">
        <f>C217/C11</f>
        <v/>
      </c>
      <c r="D228" s="7" t="n"/>
      <c r="E228" s="5">
        <f>E217/E11</f>
        <v/>
      </c>
      <c r="F228" s="5">
        <f>F217/F11</f>
        <v/>
      </c>
      <c r="G228" s="7" t="n"/>
      <c r="H228" s="5">
        <f>H217/H11</f>
        <v/>
      </c>
      <c r="I228" s="5">
        <f>I217/I11</f>
        <v/>
      </c>
      <c r="J228" s="7" t="n"/>
      <c r="K228" s="5">
        <f>K217/K11</f>
        <v/>
      </c>
      <c r="L228" s="5">
        <f>L217/L11</f>
        <v/>
      </c>
      <c r="M228" s="7" t="n"/>
      <c r="N228" s="5">
        <f>N217/N11</f>
        <v/>
      </c>
      <c r="O228" s="5">
        <f>O217/O11</f>
        <v/>
      </c>
      <c r="P228" s="7" t="n"/>
      <c r="Q228" s="5">
        <f>Q217/Q11</f>
        <v/>
      </c>
      <c r="R228" s="5">
        <f>R217/R11</f>
        <v/>
      </c>
      <c r="S228" s="7" t="n"/>
      <c r="T228" s="5">
        <f>T217/T11</f>
        <v/>
      </c>
      <c r="U228" s="5">
        <f>U217/U11</f>
        <v/>
      </c>
      <c r="V228" s="7" t="n"/>
      <c r="W228" s="5">
        <f>W217/W11</f>
        <v/>
      </c>
      <c r="X228" s="5">
        <f>X217/X11</f>
        <v/>
      </c>
      <c r="Y228" s="7" t="n"/>
      <c r="Z228" s="5">
        <f>Z217/Z11</f>
        <v/>
      </c>
      <c r="AA228" s="5">
        <f>AA217/AA11</f>
        <v/>
      </c>
      <c r="AB228" s="7" t="n"/>
      <c r="AC228" s="5">
        <f>AC217/AC11</f>
        <v/>
      </c>
      <c r="AD228" s="5">
        <f>AD217/AD11</f>
        <v/>
      </c>
      <c r="AE228" s="7" t="n"/>
      <c r="AF228" s="5">
        <f>AF217/AF11</f>
        <v/>
      </c>
      <c r="AG228" s="5">
        <f>AG217/AG11</f>
        <v/>
      </c>
      <c r="AH228" s="7" t="n"/>
      <c r="AI228" s="5">
        <f>AI217/AI11</f>
        <v/>
      </c>
      <c r="AJ228" s="5">
        <f>AJ217/AJ11</f>
        <v/>
      </c>
      <c r="AK228" s="7" t="n"/>
      <c r="AL228" s="21" t="n"/>
      <c r="AM228" s="22">
        <f>AP228-AO228</f>
        <v/>
      </c>
      <c r="AO228" s="44">
        <f>IF($A$1=$B$1,B228,IF($A$1=$E$1,E228,IF($A$1=$H$1,H228,IF($A$1=$K$1,K228,IF($A$1=$N$1,N228,IF($A$1=$Q$1,Q228,IF($A$1=$T$1,T228,IF($A$1=$W$1,W228,IF($A$1=$Z$1,Z228,IF($A$1=$AC$1,AC228,IF($A$1=$AF$1,AF228,IF($A$1=$AI$1,AI228))))))))))))</f>
        <v/>
      </c>
      <c r="AP228" s="44">
        <f>IF($A$1=$B$1,C228,IF($A$1=$E$1,F228,IF($A$1=$H$1,I228,IF($A$1=$K$1,L228,IF($A$1=$N$1,O228,IF($A$1=$Q$1,R228,IF($A$1=$T$1,U228,IF($A$1=$W$1,X228,IF($A$1=$Z$1,AA228,IF($A$1=$AC$1,AD228,IF($A$1=$AF$1,AG228,IF($A$1=$AI$1,AJ228))))))))))))</f>
        <v/>
      </c>
    </row>
    <row r="229" ht="15.5" customHeight="1">
      <c r="A229" s="26" t="inlineStr">
        <is>
          <t>İnci GS Yuasa</t>
        </is>
      </c>
      <c r="B229" s="5">
        <f>B218/B12</f>
        <v/>
      </c>
      <c r="C229" s="5">
        <f>C218/C12</f>
        <v/>
      </c>
      <c r="D229" s="7" t="n"/>
      <c r="E229" s="5">
        <f>E218/E12</f>
        <v/>
      </c>
      <c r="F229" s="5">
        <f>F218/F12</f>
        <v/>
      </c>
      <c r="G229" s="7" t="n"/>
      <c r="H229" s="5">
        <f>H218/H12</f>
        <v/>
      </c>
      <c r="I229" s="5">
        <f>I218/I12</f>
        <v/>
      </c>
      <c r="J229" s="7" t="n"/>
      <c r="K229" s="5">
        <f>K218/K12</f>
        <v/>
      </c>
      <c r="L229" s="5">
        <f>L218/L12</f>
        <v/>
      </c>
      <c r="M229" s="7" t="n"/>
      <c r="N229" s="5">
        <f>N218/N12</f>
        <v/>
      </c>
      <c r="O229" s="5">
        <f>O218/O12</f>
        <v/>
      </c>
      <c r="P229" s="7" t="n"/>
      <c r="Q229" s="5">
        <f>Q218/Q12</f>
        <v/>
      </c>
      <c r="R229" s="5">
        <f>R218/R12</f>
        <v/>
      </c>
      <c r="S229" s="7" t="n"/>
      <c r="T229" s="5">
        <f>T218/T12</f>
        <v/>
      </c>
      <c r="U229" s="5">
        <f>U218/U12</f>
        <v/>
      </c>
      <c r="V229" s="7" t="n"/>
      <c r="W229" s="5">
        <f>W218/W12</f>
        <v/>
      </c>
      <c r="X229" s="5">
        <f>X218/X12</f>
        <v/>
      </c>
      <c r="Y229" s="7" t="n"/>
      <c r="Z229" s="5">
        <f>Z218/Z12</f>
        <v/>
      </c>
      <c r="AA229" s="5">
        <f>AA218/AA12</f>
        <v/>
      </c>
      <c r="AB229" s="7" t="n"/>
      <c r="AC229" s="5">
        <f>AC218/AC12</f>
        <v/>
      </c>
      <c r="AD229" s="5">
        <f>AD218/AD12</f>
        <v/>
      </c>
      <c r="AE229" s="7" t="n"/>
      <c r="AF229" s="5">
        <f>AF218/AF12</f>
        <v/>
      </c>
      <c r="AG229" s="5">
        <f>AG218/AG12</f>
        <v/>
      </c>
      <c r="AH229" s="7" t="n"/>
      <c r="AI229" s="5">
        <f>AI218/AI12</f>
        <v/>
      </c>
      <c r="AJ229" s="5">
        <f>AJ218/AJ12</f>
        <v/>
      </c>
      <c r="AK229" s="7" t="n"/>
      <c r="AL229" s="21" t="n"/>
      <c r="AM229" s="22">
        <f>AP229-AO229</f>
        <v/>
      </c>
      <c r="AO229" s="44">
        <f>IF($A$1=$B$1,B229,IF($A$1=$E$1,E229,IF($A$1=$H$1,H229,IF($A$1=$K$1,K229,IF($A$1=$N$1,N229,IF($A$1=$Q$1,Q229,IF($A$1=$T$1,T229,IF($A$1=$W$1,W229,IF($A$1=$Z$1,Z229,IF($A$1=$AC$1,AC229,IF($A$1=$AF$1,AF229,IF($A$1=$AI$1,AI229))))))))))))</f>
        <v/>
      </c>
      <c r="AP229" s="44">
        <f>IF($A$1=$B$1,C229,IF($A$1=$E$1,F229,IF($A$1=$H$1,I229,IF($A$1=$K$1,L229,IF($A$1=$N$1,O229,IF($A$1=$Q$1,R229,IF($A$1=$T$1,U229,IF($A$1=$W$1,X229,IF($A$1=$Z$1,AA229,IF($A$1=$AC$1,AD229,IF($A$1=$AF$1,AG229,IF($A$1=$AI$1,AJ229))))))))))))</f>
        <v/>
      </c>
    </row>
    <row r="230" ht="15.5" customFormat="1" customHeight="1" s="1">
      <c r="A230" s="26" t="inlineStr">
        <is>
          <t>Yusen İnci Loj.</t>
        </is>
      </c>
      <c r="B230" s="5">
        <f>B219/B13</f>
        <v/>
      </c>
      <c r="C230" s="5">
        <f>C219/C13</f>
        <v/>
      </c>
      <c r="D230" s="8" t="n"/>
      <c r="E230" s="5">
        <f>E219/E13</f>
        <v/>
      </c>
      <c r="F230" s="5">
        <f>F219/F13</f>
        <v/>
      </c>
      <c r="G230" s="8" t="n"/>
      <c r="H230" s="5">
        <f>H219/H13</f>
        <v/>
      </c>
      <c r="I230" s="5">
        <f>I219/I13</f>
        <v/>
      </c>
      <c r="J230" s="8" t="n"/>
      <c r="K230" s="5">
        <f>K219/K13</f>
        <v/>
      </c>
      <c r="L230" s="5">
        <f>L219/L13</f>
        <v/>
      </c>
      <c r="M230" s="8" t="n"/>
      <c r="N230" s="5">
        <f>N219/N13</f>
        <v/>
      </c>
      <c r="O230" s="5">
        <f>O219/O13</f>
        <v/>
      </c>
      <c r="P230" s="8" t="n"/>
      <c r="Q230" s="5">
        <f>Q219/Q13</f>
        <v/>
      </c>
      <c r="R230" s="5">
        <f>R219/R13</f>
        <v/>
      </c>
      <c r="S230" s="8" t="n"/>
      <c r="T230" s="5">
        <f>T219/T13</f>
        <v/>
      </c>
      <c r="U230" s="5">
        <f>U219/U13</f>
        <v/>
      </c>
      <c r="V230" s="8" t="n"/>
      <c r="W230" s="5">
        <f>W219/W13</f>
        <v/>
      </c>
      <c r="X230" s="5">
        <f>X219/X13</f>
        <v/>
      </c>
      <c r="Y230" s="8" t="n"/>
      <c r="Z230" s="5">
        <f>Z219/Z13</f>
        <v/>
      </c>
      <c r="AA230" s="5">
        <f>AA219/AA13</f>
        <v/>
      </c>
      <c r="AB230" s="8" t="n"/>
      <c r="AC230" s="5">
        <f>AC219/AC13</f>
        <v/>
      </c>
      <c r="AD230" s="5">
        <f>AD219/AD13</f>
        <v/>
      </c>
      <c r="AE230" s="8" t="n"/>
      <c r="AF230" s="5">
        <f>AF219/AF13</f>
        <v/>
      </c>
      <c r="AG230" s="5">
        <f>AG219/AG13</f>
        <v/>
      </c>
      <c r="AH230" s="8" t="n"/>
      <c r="AI230" s="5">
        <f>AI219/AI13</f>
        <v/>
      </c>
      <c r="AJ230" s="5">
        <f>AJ219/AJ13</f>
        <v/>
      </c>
      <c r="AK230" s="8" t="n"/>
      <c r="AL230" s="15" t="n"/>
      <c r="AM230" s="22">
        <f>AP230-AO230</f>
        <v/>
      </c>
      <c r="AO230" s="44">
        <f>IF($A$1=$B$1,B230,IF($A$1=$E$1,E230,IF($A$1=$H$1,H230,IF($A$1=$K$1,K230,IF($A$1=$N$1,N230,IF($A$1=$Q$1,Q230,IF($A$1=$T$1,T230,IF($A$1=$W$1,W230,IF($A$1=$Z$1,Z230,IF($A$1=$AC$1,AC230,IF($A$1=$AF$1,AF230,IF($A$1=$AI$1,AI230))))))))))))</f>
        <v/>
      </c>
      <c r="AP230" s="44">
        <f>IF($A$1=$B$1,C230,IF($A$1=$E$1,F230,IF($A$1=$H$1,I230,IF($A$1=$K$1,L230,IF($A$1=$N$1,O230,IF($A$1=$Q$1,R230,IF($A$1=$T$1,U230,IF($A$1=$W$1,X230,IF($A$1=$Z$1,AA230,IF($A$1=$AC$1,AD230,IF($A$1=$AF$1,AG230,IF($A$1=$AI$1,AJ230))))))))))))</f>
        <v/>
      </c>
    </row>
    <row r="231" ht="15.5" customHeight="1">
      <c r="A231" s="26" t="inlineStr">
        <is>
          <t>Jantaş</t>
        </is>
      </c>
      <c r="B231" s="5">
        <f>B220/B14</f>
        <v/>
      </c>
      <c r="C231" s="5">
        <f>C220/C14</f>
        <v/>
      </c>
      <c r="D231" s="7" t="n"/>
      <c r="E231" s="5">
        <f>E220/E14</f>
        <v/>
      </c>
      <c r="F231" s="5">
        <f>F220/F14</f>
        <v/>
      </c>
      <c r="G231" s="7" t="n"/>
      <c r="H231" s="5">
        <f>H220/H14</f>
        <v/>
      </c>
      <c r="I231" s="5">
        <f>I220/I14</f>
        <v/>
      </c>
      <c r="J231" s="7" t="n"/>
      <c r="K231" s="5">
        <f>K220/K14</f>
        <v/>
      </c>
      <c r="L231" s="5">
        <f>L220/L14</f>
        <v/>
      </c>
      <c r="M231" s="7" t="n"/>
      <c r="N231" s="5">
        <f>N220/N14</f>
        <v/>
      </c>
      <c r="O231" s="5">
        <f>O220/O14</f>
        <v/>
      </c>
      <c r="P231" s="7" t="n"/>
      <c r="Q231" s="5">
        <f>Q220/Q14</f>
        <v/>
      </c>
      <c r="R231" s="5">
        <f>R220/R14</f>
        <v/>
      </c>
      <c r="S231" s="7" t="n"/>
      <c r="T231" s="5">
        <f>T220/T14</f>
        <v/>
      </c>
      <c r="U231" s="5">
        <f>U220/U14</f>
        <v/>
      </c>
      <c r="V231" s="7" t="n"/>
      <c r="W231" s="5">
        <f>W220/W14</f>
        <v/>
      </c>
      <c r="X231" s="5">
        <f>X220/X14</f>
        <v/>
      </c>
      <c r="Y231" s="7" t="n"/>
      <c r="Z231" s="5">
        <f>Z220/Z14</f>
        <v/>
      </c>
      <c r="AA231" s="5">
        <f>AA220/AA14</f>
        <v/>
      </c>
      <c r="AB231" s="7" t="n"/>
      <c r="AC231" s="5">
        <f>AC220/AC14</f>
        <v/>
      </c>
      <c r="AD231" s="5">
        <f>AD220/AD14</f>
        <v/>
      </c>
      <c r="AE231" s="7" t="n"/>
      <c r="AF231" s="5">
        <f>AF220/AF14</f>
        <v/>
      </c>
      <c r="AG231" s="5">
        <f>AG220/AG14</f>
        <v/>
      </c>
      <c r="AH231" s="7" t="n"/>
      <c r="AI231" s="5">
        <f>AI220/AI14</f>
        <v/>
      </c>
      <c r="AJ231" s="5">
        <f>AJ220/AJ14</f>
        <v/>
      </c>
      <c r="AK231" s="7" t="n"/>
      <c r="AL231" s="21" t="n"/>
      <c r="AM231" s="22">
        <f>AP231-AO231</f>
        <v/>
      </c>
      <c r="AO231" s="44">
        <f>IF($A$1=$B$1,B231,IF($A$1=$E$1,E231,IF($A$1=$H$1,H231,IF($A$1=$K$1,K231,IF($A$1=$N$1,N231,IF($A$1=$Q$1,Q231,IF($A$1=$T$1,T231,IF($A$1=$W$1,W231,IF($A$1=$Z$1,Z231,IF($A$1=$AC$1,AC231,IF($A$1=$AF$1,AF231,IF($A$1=$AI$1,AI231))))))))))))</f>
        <v/>
      </c>
      <c r="AP231" s="44">
        <f>IF($A$1=$B$1,C231,IF($A$1=$E$1,F231,IF($A$1=$H$1,I231,IF($A$1=$K$1,L231,IF($A$1=$N$1,O231,IF($A$1=$Q$1,R231,IF($A$1=$T$1,U231,IF($A$1=$W$1,X231,IF($A$1=$Z$1,AA231,IF($A$1=$AC$1,AD231,IF($A$1=$AF$1,AG231,IF($A$1=$AI$1,AJ231))))))))))))</f>
        <v/>
      </c>
    </row>
    <row r="232" ht="15.5" customFormat="1" customHeight="1" s="1">
      <c r="A232" s="26" t="inlineStr">
        <is>
          <t>Çelik</t>
        </is>
      </c>
      <c r="B232" s="5">
        <f>B221/B15</f>
        <v/>
      </c>
      <c r="C232" s="5">
        <f>C221/C15</f>
        <v/>
      </c>
      <c r="D232" s="8" t="n"/>
      <c r="E232" s="5">
        <f>E221/E15</f>
        <v/>
      </c>
      <c r="F232" s="5">
        <f>F221/F15</f>
        <v/>
      </c>
      <c r="G232" s="8" t="n"/>
      <c r="H232" s="5">
        <f>H221/H15</f>
        <v/>
      </c>
      <c r="I232" s="5">
        <f>I221/I15</f>
        <v/>
      </c>
      <c r="J232" s="8" t="n"/>
      <c r="K232" s="5">
        <f>K221/K15</f>
        <v/>
      </c>
      <c r="L232" s="5">
        <f>L221/L15</f>
        <v/>
      </c>
      <c r="M232" s="8" t="n"/>
      <c r="N232" s="5">
        <f>N221/N15</f>
        <v/>
      </c>
      <c r="O232" s="5">
        <f>O221/O15</f>
        <v/>
      </c>
      <c r="P232" s="8" t="n"/>
      <c r="Q232" s="5">
        <f>Q221/Q15</f>
        <v/>
      </c>
      <c r="R232" s="5">
        <f>R221/R15</f>
        <v/>
      </c>
      <c r="S232" s="8" t="n"/>
      <c r="T232" s="5">
        <f>T221/T15</f>
        <v/>
      </c>
      <c r="U232" s="5">
        <f>U221/U15</f>
        <v/>
      </c>
      <c r="V232" s="8" t="n"/>
      <c r="W232" s="5">
        <f>W221/W15</f>
        <v/>
      </c>
      <c r="X232" s="5">
        <f>X221/X15</f>
        <v/>
      </c>
      <c r="Y232" s="8" t="n"/>
      <c r="Z232" s="5">
        <f>Z221/Z15</f>
        <v/>
      </c>
      <c r="AA232" s="5">
        <f>AA221/AA15</f>
        <v/>
      </c>
      <c r="AB232" s="8" t="n"/>
      <c r="AC232" s="5">
        <f>AC221/AC15</f>
        <v/>
      </c>
      <c r="AD232" s="5">
        <f>AD221/AD15</f>
        <v/>
      </c>
      <c r="AE232" s="8" t="n"/>
      <c r="AF232" s="5">
        <f>AF221/AF15</f>
        <v/>
      </c>
      <c r="AG232" s="5">
        <f>AG221/AG15</f>
        <v/>
      </c>
      <c r="AH232" s="8" t="n"/>
      <c r="AI232" s="5">
        <f>AI221/AI15</f>
        <v/>
      </c>
      <c r="AJ232" s="5">
        <f>AJ221/AJ15</f>
        <v/>
      </c>
      <c r="AK232" s="8" t="n"/>
      <c r="AL232" s="15" t="n"/>
      <c r="AM232" s="22">
        <f>AP232-AO232</f>
        <v/>
      </c>
      <c r="AO232" s="44">
        <f>IF($A$1=$B$1,B232,IF($A$1=$E$1,E232,IF($A$1=$H$1,H232,IF($A$1=$K$1,K232,IF($A$1=$N$1,N232,IF($A$1=$Q$1,Q232,IF($A$1=$T$1,T232,IF($A$1=$W$1,W232,IF($A$1=$Z$1,Z232,IF($A$1=$AC$1,AC232,IF($A$1=$AF$1,AF232,IF($A$1=$AI$1,AI232))))))))))))</f>
        <v/>
      </c>
      <c r="AP232" s="44">
        <f>IF($A$1=$B$1,C232,IF($A$1=$E$1,F232,IF($A$1=$H$1,I232,IF($A$1=$K$1,L232,IF($A$1=$N$1,O232,IF($A$1=$Q$1,R232,IF($A$1=$T$1,U232,IF($A$1=$W$1,X232,IF($A$1=$Z$1,AA232,IF($A$1=$AC$1,AD232,IF($A$1=$AF$1,AG232,IF($A$1=$AI$1,AJ232))))))))))))</f>
        <v/>
      </c>
    </row>
    <row r="233" ht="15.5" customFormat="1" customHeight="1" s="1">
      <c r="A233" s="26" t="inlineStr">
        <is>
          <t>Alüminyum</t>
        </is>
      </c>
      <c r="B233" s="5">
        <f>B222/B16</f>
        <v/>
      </c>
      <c r="C233" s="5">
        <f>C222/C16</f>
        <v/>
      </c>
      <c r="D233" s="8" t="n"/>
      <c r="E233" s="5">
        <f>E222/E16</f>
        <v/>
      </c>
      <c r="F233" s="5">
        <f>F222/F16</f>
        <v/>
      </c>
      <c r="G233" s="8" t="n"/>
      <c r="H233" s="5">
        <f>H222/H16</f>
        <v/>
      </c>
      <c r="I233" s="5">
        <f>I222/I16</f>
        <v/>
      </c>
      <c r="J233" s="8" t="n"/>
      <c r="K233" s="5">
        <f>K222/K16</f>
        <v/>
      </c>
      <c r="L233" s="5">
        <f>L222/L16</f>
        <v/>
      </c>
      <c r="M233" s="8" t="n"/>
      <c r="N233" s="5">
        <f>N222/N16</f>
        <v/>
      </c>
      <c r="O233" s="5">
        <f>O222/O16</f>
        <v/>
      </c>
      <c r="P233" s="8" t="n"/>
      <c r="Q233" s="5">
        <f>Q222/Q16</f>
        <v/>
      </c>
      <c r="R233" s="5">
        <f>R222/R16</f>
        <v/>
      </c>
      <c r="S233" s="8" t="n"/>
      <c r="T233" s="5">
        <f>T222/T16</f>
        <v/>
      </c>
      <c r="U233" s="5">
        <f>U222/U16</f>
        <v/>
      </c>
      <c r="V233" s="8" t="n"/>
      <c r="W233" s="5">
        <f>W222/W16</f>
        <v/>
      </c>
      <c r="X233" s="5">
        <f>X222/X16</f>
        <v/>
      </c>
      <c r="Y233" s="8" t="n"/>
      <c r="Z233" s="5">
        <f>Z222/Z16</f>
        <v/>
      </c>
      <c r="AA233" s="5">
        <f>AA222/AA16</f>
        <v/>
      </c>
      <c r="AB233" s="8" t="n"/>
      <c r="AC233" s="5">
        <f>AC222/AC16</f>
        <v/>
      </c>
      <c r="AD233" s="5">
        <f>AD222/AD16</f>
        <v/>
      </c>
      <c r="AE233" s="8" t="n"/>
      <c r="AF233" s="5">
        <f>AF222/AF16</f>
        <v/>
      </c>
      <c r="AG233" s="5">
        <f>AG222/AG16</f>
        <v/>
      </c>
      <c r="AH233" s="8" t="n"/>
      <c r="AI233" s="5">
        <f>AI222/AI16</f>
        <v/>
      </c>
      <c r="AJ233" s="5">
        <f>AJ222/AJ16</f>
        <v/>
      </c>
      <c r="AK233" s="8" t="n"/>
      <c r="AL233" s="15" t="n"/>
      <c r="AM233" s="22">
        <f>AP233-AO233</f>
        <v/>
      </c>
      <c r="AO233" s="44">
        <f>IF($A$1=$B$1,B233,IF($A$1=$E$1,E233,IF($A$1=$H$1,H233,IF($A$1=$K$1,K233,IF($A$1=$N$1,N233,IF($A$1=$Q$1,Q233,IF($A$1=$T$1,T233,IF($A$1=$W$1,W233,IF($A$1=$Z$1,Z233,IF($A$1=$AC$1,AC233,IF($A$1=$AF$1,AF233,IF($A$1=$AI$1,AI233))))))))))))</f>
        <v/>
      </c>
      <c r="AP233" s="44">
        <f>IF($A$1=$B$1,C233,IF($A$1=$E$1,F233,IF($A$1=$H$1,I233,IF($A$1=$K$1,L233,IF($A$1=$N$1,O233,IF($A$1=$Q$1,R233,IF($A$1=$T$1,U233,IF($A$1=$W$1,X233,IF($A$1=$Z$1,AA233,IF($A$1=$AC$1,AD233,IF($A$1=$AF$1,AG233,IF($A$1=$AI$1,AJ233))))))))))))</f>
        <v/>
      </c>
    </row>
    <row r="234" ht="15.5" customFormat="1" customHeight="1" s="1">
      <c r="A234" s="26" t="n"/>
      <c r="B234" s="7" t="n"/>
      <c r="C234" s="8" t="n"/>
      <c r="D234" s="8" t="n"/>
      <c r="E234" s="7" t="n"/>
      <c r="F234" s="8" t="n"/>
      <c r="G234" s="8" t="n"/>
      <c r="H234" s="7" t="n"/>
      <c r="I234" s="8" t="n"/>
      <c r="J234" s="8" t="n"/>
      <c r="K234" s="7" t="n"/>
      <c r="L234" s="8" t="n"/>
      <c r="M234" s="8" t="n"/>
      <c r="N234" s="7" t="n"/>
      <c r="O234" s="8" t="n"/>
      <c r="P234" s="8" t="n"/>
      <c r="Q234" s="7" t="n"/>
      <c r="R234" s="8" t="n"/>
      <c r="S234" s="8" t="n"/>
      <c r="T234" s="7" t="n"/>
      <c r="U234" s="8" t="n"/>
      <c r="V234" s="8" t="n"/>
      <c r="W234" s="7" t="n"/>
      <c r="X234" s="8" t="n"/>
      <c r="Y234" s="8" t="n"/>
      <c r="Z234" s="7" t="n"/>
      <c r="AA234" s="8" t="n"/>
      <c r="AB234" s="8" t="n"/>
      <c r="AC234" s="7" t="n"/>
      <c r="AD234" s="8" t="n"/>
      <c r="AE234" s="8" t="n"/>
      <c r="AF234" s="7" t="n"/>
      <c r="AG234" s="8" t="n"/>
      <c r="AH234" s="8" t="n"/>
      <c r="AI234" s="7" t="n"/>
      <c r="AJ234" s="8" t="n"/>
      <c r="AK234" s="8" t="n"/>
      <c r="AL234" s="15" t="n"/>
      <c r="AM234" s="16" t="n"/>
      <c r="AO234" s="44" t="n"/>
      <c r="AP234" s="44" t="n"/>
    </row>
    <row r="235" ht="15.5" customFormat="1" customHeight="1" s="1">
      <c r="A235" s="26" t="n"/>
      <c r="B235" s="7" t="n"/>
      <c r="C235" s="8" t="n"/>
      <c r="D235" s="8" t="n"/>
      <c r="E235" s="7" t="n"/>
      <c r="F235" s="8" t="n"/>
      <c r="G235" s="8" t="n"/>
      <c r="H235" s="7" t="n"/>
      <c r="I235" s="8" t="n"/>
      <c r="J235" s="8" t="n"/>
      <c r="K235" s="7" t="n"/>
      <c r="L235" s="8" t="n"/>
      <c r="M235" s="8" t="n"/>
      <c r="N235" s="7" t="n"/>
      <c r="O235" s="8" t="n"/>
      <c r="P235" s="8" t="n"/>
      <c r="Q235" s="7" t="n"/>
      <c r="R235" s="8" t="n"/>
      <c r="S235" s="8" t="n"/>
      <c r="T235" s="7" t="n"/>
      <c r="U235" s="8" t="n"/>
      <c r="V235" s="8" t="n"/>
      <c r="W235" s="7" t="n"/>
      <c r="X235" s="8" t="n"/>
      <c r="Y235" s="8" t="n"/>
      <c r="Z235" s="7" t="n"/>
      <c r="AA235" s="8" t="n"/>
      <c r="AB235" s="8" t="n"/>
      <c r="AC235" s="7" t="n"/>
      <c r="AD235" s="8" t="n"/>
      <c r="AE235" s="8" t="n"/>
      <c r="AF235" s="7" t="n"/>
      <c r="AG235" s="8" t="n"/>
      <c r="AH235" s="8" t="n"/>
      <c r="AI235" s="7" t="n"/>
      <c r="AJ235" s="8" t="n"/>
      <c r="AK235" s="8" t="n"/>
      <c r="AL235" s="15" t="n"/>
      <c r="AM235" s="16" t="n"/>
      <c r="AO235" s="44" t="n"/>
      <c r="AP235" s="44" t="n"/>
    </row>
    <row r="236" ht="15.5" customFormat="1" customHeight="1" s="44">
      <c r="A236" s="31" t="inlineStr">
        <is>
          <t>Kredi</t>
        </is>
      </c>
      <c r="B236" s="32">
        <f>'Bütçe aylık-TL'!$B$147</f>
        <v/>
      </c>
      <c r="C236" s="32">
        <f>'gerç aylık-tl'!$B$146</f>
        <v/>
      </c>
      <c r="D236" s="18" t="n"/>
      <c r="E236" s="32">
        <f>'Bütçe aylık-TL'!$C$147</f>
        <v/>
      </c>
      <c r="F236" s="32">
        <f>'gerç aylık-tl'!$C$146</f>
        <v/>
      </c>
      <c r="G236" s="18" t="n"/>
      <c r="H236" s="32">
        <f>'Bütçe aylık-TL'!$D$147</f>
        <v/>
      </c>
      <c r="I236" s="32">
        <f>'gerç aylık-tl'!$D$146</f>
        <v/>
      </c>
      <c r="J236" s="18" t="n"/>
      <c r="K236" s="32">
        <f>'Bütçe aylık-TL'!$E$147</f>
        <v/>
      </c>
      <c r="L236" s="32">
        <f>'gerç aylık-tl'!$E$146</f>
        <v/>
      </c>
      <c r="M236" s="18" t="n"/>
      <c r="N236" s="32">
        <f>'Bütçe aylık-TL'!$F$147</f>
        <v/>
      </c>
      <c r="O236" s="32">
        <f>'gerç aylık-tl'!$F$146</f>
        <v/>
      </c>
      <c r="P236" s="18" t="n"/>
      <c r="Q236" s="32">
        <f>'Bütçe aylık-TL'!$G$147</f>
        <v/>
      </c>
      <c r="R236" s="32">
        <f>'gerç aylık-tl'!$G$146</f>
        <v/>
      </c>
      <c r="S236" s="18" t="n"/>
      <c r="T236" s="32">
        <f>'Bütçe aylık-TL'!$H$147</f>
        <v/>
      </c>
      <c r="U236" s="32">
        <f>'gerç aylık-tl'!$H$146</f>
        <v/>
      </c>
      <c r="V236" s="18" t="n"/>
      <c r="W236" s="32">
        <f>'Bütçe aylık-TL'!$I$147</f>
        <v/>
      </c>
      <c r="X236" s="32">
        <f>'gerç aylık-tl'!$I$146</f>
        <v/>
      </c>
      <c r="Y236" s="18" t="n"/>
      <c r="Z236" s="32">
        <f>'Bütçe aylık-TL'!$J$147</f>
        <v/>
      </c>
      <c r="AA236" s="32">
        <f>'gerç aylık-tl'!$J$146</f>
        <v/>
      </c>
      <c r="AB236" s="18" t="n"/>
      <c r="AC236" s="32">
        <f>'Bütçe aylık-TL'!$K$147</f>
        <v/>
      </c>
      <c r="AD236" s="32">
        <f>'gerç aylık-tl'!$K$146</f>
        <v/>
      </c>
      <c r="AE236" s="18" t="n"/>
      <c r="AF236" s="32">
        <f>'Bütçe aylık-TL'!$L$147</f>
        <v/>
      </c>
      <c r="AG236" s="32">
        <f>'gerç aylık-tl'!$L$146</f>
        <v/>
      </c>
      <c r="AH236" s="18" t="n"/>
      <c r="AI236" s="32">
        <f>'Bütçe aylık-TL'!$M$147</f>
        <v/>
      </c>
      <c r="AJ236" s="32">
        <f>'gerç aylık-tl'!$M$146</f>
        <v/>
      </c>
      <c r="AK236" s="18" t="n"/>
      <c r="AL236" s="33">
        <f>AP236-AO236</f>
        <v/>
      </c>
      <c r="AM236" s="34">
        <f>AP236/AO236-1</f>
        <v/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/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/>
      </c>
    </row>
    <row r="237" ht="15.5" customFormat="1" customHeight="1" s="13">
      <c r="A237" s="27" t="n"/>
      <c r="B237" s="30" t="n"/>
      <c r="C237" s="30">
        <f>IFERROR((C194/#REF!),"")</f>
        <v/>
      </c>
      <c r="D237" s="41" t="n"/>
      <c r="E237" s="30" t="n"/>
      <c r="F237" s="30">
        <f>IFERROR((F194/#REF!),"")</f>
        <v/>
      </c>
      <c r="G237" s="41" t="n"/>
      <c r="H237" s="30" t="n"/>
      <c r="I237" s="30">
        <f>IFERROR((I194/#REF!),"")</f>
        <v/>
      </c>
      <c r="J237" s="41" t="n"/>
      <c r="K237" s="30" t="n"/>
      <c r="L237" s="30">
        <f>IFERROR((L194/#REF!),"")</f>
        <v/>
      </c>
      <c r="M237" s="41" t="n"/>
      <c r="N237" s="30" t="n"/>
      <c r="O237" s="30">
        <f>IFERROR((O194/#REF!),"")</f>
        <v/>
      </c>
      <c r="P237" s="41" t="n"/>
      <c r="Q237" s="30" t="n"/>
      <c r="R237" s="30">
        <f>IFERROR((R194/#REF!),"")</f>
        <v/>
      </c>
      <c r="S237" s="41" t="n"/>
      <c r="T237" s="30" t="n"/>
      <c r="U237" s="30">
        <f>IFERROR((U194/#REF!),"")</f>
        <v/>
      </c>
      <c r="V237" s="41" t="n"/>
      <c r="W237" s="30" t="n"/>
      <c r="X237" s="30">
        <f>IFERROR((X194/#REF!),"")</f>
        <v/>
      </c>
      <c r="Y237" s="41" t="n"/>
      <c r="Z237" s="30" t="n"/>
      <c r="AA237" s="30">
        <f>IFERROR((AA194/#REF!),"")</f>
        <v/>
      </c>
      <c r="AB237" s="41" t="n"/>
      <c r="AC237" s="30" t="n"/>
      <c r="AD237" s="30">
        <f>IFERROR((AD194/#REF!),"")</f>
        <v/>
      </c>
      <c r="AE237" s="41" t="n"/>
      <c r="AF237" s="30" t="n"/>
      <c r="AG237" s="30">
        <f>IFERROR((AG194/#REF!),"")</f>
        <v/>
      </c>
      <c r="AH237" s="41" t="n"/>
      <c r="AI237" s="30" t="n"/>
      <c r="AJ237" s="30">
        <f>IFERROR((AJ194/#REF!),"")</f>
        <v/>
      </c>
      <c r="AK237" s="41" t="n"/>
      <c r="AL237" s="15" t="n"/>
      <c r="AM237" s="22" t="n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/>
      </c>
      <c r="AP237" s="44">
        <f>IF($A$1=$B$1,C237,IF($A$1=$E$1,F237,IF($A$1=$H$1,I237,IF($A$1=$K$1,L237,IF($A$1=$N$1,O237,IF($A$1=$Q$1,R237,IF($A$1=$T$1,U237,IF($A$1=$W$1,X237,IF($A$1=$Z$1,AA237,IF($A$1=$AC$1,AD237,IF($A$1=$AF$1,AG237,IF($A$1=$AI$1,AJ237))))))))))))</f>
        <v/>
      </c>
    </row>
    <row r="238" ht="17" customFormat="1" customHeight="1" s="49">
      <c r="A238" s="47" t="inlineStr">
        <is>
          <t>Kredi (100%)</t>
        </is>
      </c>
      <c r="B238" s="413" t="n"/>
      <c r="C238" s="413" t="n"/>
      <c r="D238" s="413" t="n"/>
      <c r="E238" s="413" t="n"/>
      <c r="F238" s="413" t="n"/>
      <c r="G238" s="413" t="n"/>
      <c r="H238" s="413" t="n"/>
      <c r="I238" s="413" t="n"/>
      <c r="J238" s="413" t="n"/>
      <c r="K238" s="413" t="n"/>
      <c r="L238" s="413" t="n"/>
      <c r="M238" s="413" t="n"/>
      <c r="N238" s="413" t="n"/>
      <c r="O238" s="413" t="n"/>
      <c r="P238" s="413" t="n"/>
      <c r="Q238" s="413" t="n"/>
      <c r="R238" s="413" t="n"/>
      <c r="S238" s="413" t="n"/>
      <c r="T238" s="413" t="n"/>
      <c r="U238" s="413" t="n"/>
      <c r="V238" s="413" t="n"/>
      <c r="W238" s="413" t="n"/>
      <c r="X238" s="413" t="n"/>
      <c r="Y238" s="413" t="n"/>
      <c r="Z238" s="413" t="n"/>
      <c r="AA238" s="413" t="n"/>
      <c r="AB238" s="413" t="n"/>
      <c r="AC238" s="413" t="n"/>
      <c r="AD238" s="413" t="n"/>
      <c r="AE238" s="413" t="n"/>
      <c r="AF238" s="413" t="n"/>
      <c r="AG238" s="413" t="n"/>
      <c r="AH238" s="413" t="n"/>
      <c r="AI238" s="413" t="n"/>
      <c r="AJ238" s="413" t="n"/>
      <c r="AK238" s="413" t="n"/>
      <c r="AL238" s="413" t="n"/>
      <c r="AM238" s="48" t="n"/>
    </row>
    <row r="239" ht="15.5" customHeight="1">
      <c r="A239" s="26" t="inlineStr">
        <is>
          <t xml:space="preserve">İnci Holding </t>
        </is>
      </c>
      <c r="B239" s="7">
        <f>'Bütçe aylık-TL'!$B$148</f>
        <v/>
      </c>
      <c r="C239" s="7">
        <f>'gerç aylık-tl'!$B$147</f>
        <v/>
      </c>
      <c r="D239" s="7" t="n"/>
      <c r="E239" s="7">
        <f>'Bütçe aylık-TL'!$C$148</f>
        <v/>
      </c>
      <c r="F239" s="7">
        <f>'gerç aylık-tl'!$C$147</f>
        <v/>
      </c>
      <c r="G239" s="7" t="n"/>
      <c r="H239" s="7">
        <f>'Bütçe aylık-TL'!$D$148</f>
        <v/>
      </c>
      <c r="I239" s="7">
        <f>'gerç aylık-tl'!$D$147</f>
        <v/>
      </c>
      <c r="J239" s="7" t="n"/>
      <c r="K239" s="7">
        <f>'Bütçe aylık-TL'!$E$148</f>
        <v/>
      </c>
      <c r="L239" s="7">
        <f>'gerç aylık-tl'!$E$147</f>
        <v/>
      </c>
      <c r="M239" s="7" t="n"/>
      <c r="N239" s="7">
        <f>'Bütçe aylık-TL'!$F$148</f>
        <v/>
      </c>
      <c r="O239" s="7">
        <f>'gerç aylık-tl'!$F$147</f>
        <v/>
      </c>
      <c r="P239" s="7" t="n"/>
      <c r="Q239" s="7">
        <f>'Bütçe aylık-TL'!$G$148</f>
        <v/>
      </c>
      <c r="R239" s="7">
        <f>'gerç aylık-tl'!$G$147</f>
        <v/>
      </c>
      <c r="S239" s="7" t="n"/>
      <c r="T239" s="7">
        <f>'Bütçe aylık-TL'!$H$148</f>
        <v/>
      </c>
      <c r="U239" s="7">
        <f>'gerç aylık-tl'!$H$147</f>
        <v/>
      </c>
      <c r="V239" s="7" t="n"/>
      <c r="W239" s="7">
        <f>'Bütçe aylık-TL'!$I$148</f>
        <v/>
      </c>
      <c r="X239" s="7">
        <f>'gerç aylık-tl'!$I$147</f>
        <v/>
      </c>
      <c r="Y239" s="7" t="n"/>
      <c r="Z239" s="7">
        <f>'Bütçe aylık-TL'!$J$148</f>
        <v/>
      </c>
      <c r="AA239" s="7">
        <f>'gerç aylık-tl'!$J$147</f>
        <v/>
      </c>
      <c r="AB239" s="7" t="n"/>
      <c r="AC239" s="7">
        <f>'Bütçe aylık-TL'!$K$148</f>
        <v/>
      </c>
      <c r="AD239" s="7">
        <f>'gerç aylık-tl'!$K$147</f>
        <v/>
      </c>
      <c r="AE239" s="7" t="n"/>
      <c r="AF239" s="7">
        <f>'Bütçe aylık-TL'!$L$148</f>
        <v/>
      </c>
      <c r="AG239" s="7">
        <f>'gerç aylık-tl'!$L$147</f>
        <v/>
      </c>
      <c r="AH239" s="7" t="n"/>
      <c r="AI239" s="7">
        <f>'Bütçe aylık-TL'!$M$148</f>
        <v/>
      </c>
      <c r="AJ239" s="7">
        <f>'gerç aylık-tl'!$M$147</f>
        <v/>
      </c>
      <c r="AK239" s="7" t="n"/>
      <c r="AL239" s="21">
        <f>AP239-AO239</f>
        <v/>
      </c>
      <c r="AM239" s="22">
        <f>AP239/AO239-1</f>
        <v/>
      </c>
      <c r="AO239" s="44">
        <f>IF($A$1=$B$1,B239,IF($A$1=$E$1,E239,IF($A$1=$H$1,H239,IF($A$1=$K$1,K239,IF($A$1=$N$1,N239,IF($A$1=$Q$1,Q239,IF($A$1=$T$1,T239,IF($A$1=$W$1,W239,IF($A$1=$Z$1,Z239,IF($A$1=$AC$1,AC239,IF($A$1=$AF$1,AF239,IF($A$1=$AI$1,AI239))))))))))))</f>
        <v/>
      </c>
      <c r="AP239" s="44">
        <f>IF($A$1=$B$1,C239,IF($A$1=$E$1,F239,IF($A$1=$H$1,I239,IF($A$1=$K$1,L239,IF($A$1=$N$1,O239,IF($A$1=$Q$1,R239,IF($A$1=$T$1,U239,IF($A$1=$W$1,X239,IF($A$1=$Z$1,AA239,IF($A$1=$AC$1,AD239,IF($A$1=$AF$1,AG239,IF($A$1=$AI$1,AJ239))))))))))))</f>
        <v/>
      </c>
    </row>
    <row r="240" ht="15.5" customHeight="1">
      <c r="A240" s="26" t="inlineStr">
        <is>
          <t xml:space="preserve">ISM </t>
        </is>
      </c>
      <c r="B240" s="7">
        <f>'Bütçe aylık-TL'!$B$149</f>
        <v/>
      </c>
      <c r="C240" s="7">
        <f>'gerç aylık-tl'!$B$148</f>
        <v/>
      </c>
      <c r="D240" s="7" t="n"/>
      <c r="E240" s="7">
        <f>'Bütçe aylık-TL'!$C$149</f>
        <v/>
      </c>
      <c r="F240" s="7">
        <f>'gerç aylık-tl'!$C$148</f>
        <v/>
      </c>
      <c r="G240" s="7" t="n"/>
      <c r="H240" s="7">
        <f>'Bütçe aylık-TL'!$D$149</f>
        <v/>
      </c>
      <c r="I240" s="7">
        <f>'gerç aylık-tl'!$D$148</f>
        <v/>
      </c>
      <c r="J240" s="7" t="n"/>
      <c r="K240" s="7">
        <f>'Bütçe aylık-TL'!$E$149</f>
        <v/>
      </c>
      <c r="L240" s="7">
        <f>'gerç aylık-tl'!$E$148</f>
        <v/>
      </c>
      <c r="M240" s="7" t="n"/>
      <c r="N240" s="7">
        <f>'Bütçe aylık-TL'!$F$149</f>
        <v/>
      </c>
      <c r="O240" s="7">
        <f>'gerç aylık-tl'!$F$148</f>
        <v/>
      </c>
      <c r="P240" s="7" t="n"/>
      <c r="Q240" s="7">
        <f>'Bütçe aylık-TL'!$G$149</f>
        <v/>
      </c>
      <c r="R240" s="7">
        <f>'gerç aylık-tl'!$G$148</f>
        <v/>
      </c>
      <c r="S240" s="7" t="n"/>
      <c r="T240" s="7">
        <f>'Bütçe aylık-TL'!$H$149</f>
        <v/>
      </c>
      <c r="U240" s="7">
        <f>'gerç aylık-tl'!$H$148</f>
        <v/>
      </c>
      <c r="V240" s="7" t="n"/>
      <c r="W240" s="7">
        <f>'Bütçe aylık-TL'!$I$149</f>
        <v/>
      </c>
      <c r="X240" s="7">
        <f>'gerç aylık-tl'!$I$148</f>
        <v/>
      </c>
      <c r="Y240" s="7" t="n"/>
      <c r="Z240" s="7">
        <f>'Bütçe aylık-TL'!$J$149</f>
        <v/>
      </c>
      <c r="AA240" s="7">
        <f>'gerç aylık-tl'!$J$148</f>
        <v/>
      </c>
      <c r="AB240" s="7" t="n"/>
      <c r="AC240" s="7">
        <f>'Bütçe aylık-TL'!$K$149</f>
        <v/>
      </c>
      <c r="AD240" s="7">
        <f>'gerç aylık-tl'!$K$148</f>
        <v/>
      </c>
      <c r="AE240" s="7" t="n"/>
      <c r="AF240" s="7">
        <f>'Bütçe aylık-TL'!$L$149</f>
        <v/>
      </c>
      <c r="AG240" s="7">
        <f>'gerç aylık-tl'!$L$148</f>
        <v/>
      </c>
      <c r="AH240" s="7" t="n"/>
      <c r="AI240" s="7">
        <f>'Bütçe aylık-TL'!$M$149</f>
        <v/>
      </c>
      <c r="AJ240" s="7">
        <f>'gerç aylık-tl'!$M$148</f>
        <v/>
      </c>
      <c r="AK240" s="7" t="n"/>
      <c r="AL240" s="21">
        <f>AP240-AO240</f>
        <v/>
      </c>
      <c r="AM240" s="22">
        <f>AP240/AO240-1</f>
        <v/>
      </c>
      <c r="AO240" s="44">
        <f>IF($A$1=$B$1,B240,IF($A$1=$E$1,E240,IF($A$1=$H$1,H240,IF($A$1=$K$1,K240,IF($A$1=$N$1,N240,IF($A$1=$Q$1,Q240,IF($A$1=$T$1,T240,IF($A$1=$W$1,W240,IF($A$1=$Z$1,Z240,IF($A$1=$AC$1,AC240,IF($A$1=$AF$1,AF240,IF($A$1=$AI$1,AI240))))))))))))</f>
        <v/>
      </c>
      <c r="AP240" s="44">
        <f>IF($A$1=$B$1,C240,IF($A$1=$E$1,F240,IF($A$1=$H$1,I240,IF($A$1=$K$1,L240,IF($A$1=$N$1,O240,IF($A$1=$Q$1,R240,IF($A$1=$T$1,U240,IF($A$1=$W$1,X240,IF($A$1=$Z$1,AA240,IF($A$1=$AC$1,AD240,IF($A$1=$AF$1,AG240,IF($A$1=$AI$1,AJ240))))))))))))</f>
        <v/>
      </c>
    </row>
    <row r="241" ht="15.5" customHeight="1">
      <c r="A241" s="26" t="inlineStr">
        <is>
          <t>İncitaş</t>
        </is>
      </c>
      <c r="B241" s="7">
        <f>'Bütçe aylık-TL'!$B$150</f>
        <v/>
      </c>
      <c r="C241" s="7">
        <f>'gerç aylık-tl'!$B$149</f>
        <v/>
      </c>
      <c r="D241" s="7" t="n"/>
      <c r="E241" s="7">
        <f>'Bütçe aylık-TL'!$C$150</f>
        <v/>
      </c>
      <c r="F241" s="7">
        <f>'gerç aylık-tl'!$C$149</f>
        <v/>
      </c>
      <c r="G241" s="7" t="n"/>
      <c r="H241" s="7">
        <f>'Bütçe aylık-TL'!$D$150</f>
        <v/>
      </c>
      <c r="I241" s="7">
        <f>'gerç aylık-tl'!$D$149</f>
        <v/>
      </c>
      <c r="J241" s="7" t="n"/>
      <c r="K241" s="7">
        <f>'Bütçe aylık-TL'!$E$150</f>
        <v/>
      </c>
      <c r="L241" s="7">
        <f>'gerç aylık-tl'!$E$149</f>
        <v/>
      </c>
      <c r="M241" s="7" t="n"/>
      <c r="N241" s="7">
        <f>'Bütçe aylık-TL'!$F$150</f>
        <v/>
      </c>
      <c r="O241" s="7">
        <f>'gerç aylık-tl'!$F$149</f>
        <v/>
      </c>
      <c r="P241" s="7" t="n"/>
      <c r="Q241" s="7">
        <f>'Bütçe aylık-TL'!$G$150</f>
        <v/>
      </c>
      <c r="R241" s="7">
        <f>'gerç aylık-tl'!$G$149</f>
        <v/>
      </c>
      <c r="S241" s="7" t="n"/>
      <c r="T241" s="7">
        <f>'Bütçe aylık-TL'!$H$150</f>
        <v/>
      </c>
      <c r="U241" s="7">
        <f>'gerç aylık-tl'!$H$149</f>
        <v/>
      </c>
      <c r="V241" s="7" t="n"/>
      <c r="W241" s="7">
        <f>'Bütçe aylık-TL'!$I$150</f>
        <v/>
      </c>
      <c r="X241" s="7">
        <f>'gerç aylık-tl'!$I$149</f>
        <v/>
      </c>
      <c r="Y241" s="7" t="n"/>
      <c r="Z241" s="7">
        <f>'Bütçe aylık-TL'!$J$150</f>
        <v/>
      </c>
      <c r="AA241" s="7">
        <f>'gerç aylık-tl'!$J$149</f>
        <v/>
      </c>
      <c r="AB241" s="7" t="n"/>
      <c r="AC241" s="7">
        <f>'Bütçe aylık-TL'!$K$150</f>
        <v/>
      </c>
      <c r="AD241" s="7">
        <f>'gerç aylık-tl'!$K$149</f>
        <v/>
      </c>
      <c r="AE241" s="7" t="n"/>
      <c r="AF241" s="7">
        <f>'Bütçe aylık-TL'!$L$150</f>
        <v/>
      </c>
      <c r="AG241" s="7">
        <f>'gerç aylık-tl'!$L$149</f>
        <v/>
      </c>
      <c r="AH241" s="7" t="n"/>
      <c r="AI241" s="7">
        <f>'Bütçe aylık-TL'!$M$150</f>
        <v/>
      </c>
      <c r="AJ241" s="7">
        <f>'gerç aylık-tl'!$M$149</f>
        <v/>
      </c>
      <c r="AK241" s="7" t="n"/>
      <c r="AL241" s="21">
        <f>AP241-AO241</f>
        <v/>
      </c>
      <c r="AM241" s="22">
        <f>AP241/AO241-1</f>
        <v/>
      </c>
      <c r="AO241" s="44">
        <f>IF($A$1=$B$1,B241,IF($A$1=$E$1,E241,IF($A$1=$H$1,H241,IF($A$1=$K$1,K241,IF($A$1=$N$1,N241,IF($A$1=$Q$1,Q241,IF($A$1=$T$1,T241,IF($A$1=$W$1,W241,IF($A$1=$Z$1,Z241,IF($A$1=$AC$1,AC241,IF($A$1=$AF$1,AF241,IF($A$1=$AI$1,AI241))))))))))))</f>
        <v/>
      </c>
      <c r="AP241" s="44">
        <f>IF($A$1=$B$1,C241,IF($A$1=$E$1,F241,IF($A$1=$H$1,I241,IF($A$1=$K$1,L241,IF($A$1=$N$1,O241,IF($A$1=$Q$1,R241,IF($A$1=$T$1,U241,IF($A$1=$W$1,X241,IF($A$1=$Z$1,AA241,IF($A$1=$AC$1,AD241,IF($A$1=$AF$1,AG241,IF($A$1=$AI$1,AJ241))))))))))))</f>
        <v/>
      </c>
    </row>
    <row r="242" ht="15.5" customHeight="1">
      <c r="A242" s="26" t="inlineStr">
        <is>
          <t>İnci GS Yuasa</t>
        </is>
      </c>
      <c r="B242" s="7">
        <f>'Bütçe aylık-TL'!$B$151</f>
        <v/>
      </c>
      <c r="C242" s="7">
        <f>'gerç aylık-tl'!$B$150</f>
        <v/>
      </c>
      <c r="D242" s="7" t="n"/>
      <c r="E242" s="7">
        <f>'Bütçe aylık-TL'!$C$151</f>
        <v/>
      </c>
      <c r="F242" s="7">
        <f>'gerç aylık-tl'!$C$150</f>
        <v/>
      </c>
      <c r="G242" s="7" t="n"/>
      <c r="H242" s="7">
        <f>'Bütçe aylık-TL'!$D$151</f>
        <v/>
      </c>
      <c r="I242" s="7">
        <f>'gerç aylık-tl'!$D$150</f>
        <v/>
      </c>
      <c r="J242" s="7" t="n"/>
      <c r="K242" s="7">
        <f>'Bütçe aylık-TL'!$E$151</f>
        <v/>
      </c>
      <c r="L242" s="7">
        <f>'gerç aylık-tl'!$E$150</f>
        <v/>
      </c>
      <c r="M242" s="7" t="n"/>
      <c r="N242" s="7">
        <f>'Bütçe aylık-TL'!$F$151</f>
        <v/>
      </c>
      <c r="O242" s="7">
        <f>'gerç aylık-tl'!$F$150</f>
        <v/>
      </c>
      <c r="P242" s="7" t="n"/>
      <c r="Q242" s="7">
        <f>'Bütçe aylık-TL'!$G$151</f>
        <v/>
      </c>
      <c r="R242" s="7">
        <f>'gerç aylık-tl'!$G$150</f>
        <v/>
      </c>
      <c r="S242" s="7" t="n"/>
      <c r="T242" s="7">
        <f>'Bütçe aylık-TL'!$H$151</f>
        <v/>
      </c>
      <c r="U242" s="7">
        <f>'gerç aylık-tl'!$H$150</f>
        <v/>
      </c>
      <c r="V242" s="7" t="n"/>
      <c r="W242" s="7">
        <f>'Bütçe aylık-TL'!$I$151</f>
        <v/>
      </c>
      <c r="X242" s="7">
        <f>'gerç aylık-tl'!$I$150</f>
        <v/>
      </c>
      <c r="Y242" s="7" t="n"/>
      <c r="Z242" s="7">
        <f>'Bütçe aylık-TL'!$J$151</f>
        <v/>
      </c>
      <c r="AA242" s="7">
        <f>'gerç aylık-tl'!$J$150</f>
        <v/>
      </c>
      <c r="AB242" s="7" t="n"/>
      <c r="AC242" s="7">
        <f>'Bütçe aylık-TL'!$K$151</f>
        <v/>
      </c>
      <c r="AD242" s="7">
        <f>'gerç aylık-tl'!$K$150</f>
        <v/>
      </c>
      <c r="AE242" s="7" t="n"/>
      <c r="AF242" s="7">
        <f>'Bütçe aylık-TL'!$L$151</f>
        <v/>
      </c>
      <c r="AG242" s="7">
        <f>'gerç aylık-tl'!$L$150</f>
        <v/>
      </c>
      <c r="AH242" s="7" t="n"/>
      <c r="AI242" s="7">
        <f>'Bütçe aylık-TL'!$M$151</f>
        <v/>
      </c>
      <c r="AJ242" s="7">
        <f>'gerç aylık-tl'!$M$150</f>
        <v/>
      </c>
      <c r="AK242" s="7" t="n"/>
      <c r="AL242" s="21">
        <f>AP242-AO242</f>
        <v/>
      </c>
      <c r="AM242" s="22">
        <f>AP242/AO242-1</f>
        <v/>
      </c>
      <c r="AO242" s="44">
        <f>IF($A$1=$B$1,B242,IF($A$1=$E$1,E242,IF($A$1=$H$1,H242,IF($A$1=$K$1,K242,IF($A$1=$N$1,N242,IF($A$1=$Q$1,Q242,IF($A$1=$T$1,T242,IF($A$1=$W$1,W242,IF($A$1=$Z$1,Z242,IF($A$1=$AC$1,AC242,IF($A$1=$AF$1,AF242,IF($A$1=$AI$1,AI242))))))))))))</f>
        <v/>
      </c>
      <c r="AP242" s="44">
        <f>IF($A$1=$B$1,C242,IF($A$1=$E$1,F242,IF($A$1=$H$1,I242,IF($A$1=$K$1,L242,IF($A$1=$N$1,O242,IF($A$1=$Q$1,R242,IF($A$1=$T$1,U242,IF($A$1=$W$1,X242,IF($A$1=$Z$1,AA242,IF($A$1=$AC$1,AD242,IF($A$1=$AF$1,AG242,IF($A$1=$AI$1,AJ242))))))))))))</f>
        <v/>
      </c>
    </row>
    <row r="243" ht="15.5" customFormat="1" customHeight="1" s="1">
      <c r="A243" s="26" t="inlineStr">
        <is>
          <t>Yusen İnci Loj.</t>
        </is>
      </c>
      <c r="B243" s="7">
        <f>'Bütçe aylık-TL'!$B$152</f>
        <v/>
      </c>
      <c r="C243" s="7">
        <f>'gerç aylık-tl'!$B$151</f>
        <v/>
      </c>
      <c r="D243" s="8" t="n"/>
      <c r="E243" s="7">
        <f>'Bütçe aylık-TL'!$C$152</f>
        <v/>
      </c>
      <c r="F243" s="7">
        <f>'gerç aylık-tl'!$C$151</f>
        <v/>
      </c>
      <c r="G243" s="8" t="n"/>
      <c r="H243" s="7">
        <f>'Bütçe aylık-TL'!$D$152</f>
        <v/>
      </c>
      <c r="I243" s="7">
        <f>'gerç aylık-tl'!$D$151</f>
        <v/>
      </c>
      <c r="J243" s="8" t="n"/>
      <c r="K243" s="7">
        <f>'Bütçe aylık-TL'!$E$152</f>
        <v/>
      </c>
      <c r="L243" s="7">
        <f>'gerç aylık-tl'!$E$151</f>
        <v/>
      </c>
      <c r="M243" s="8" t="n"/>
      <c r="N243" s="7">
        <f>'Bütçe aylık-TL'!$F$152</f>
        <v/>
      </c>
      <c r="O243" s="7">
        <f>'gerç aylık-tl'!$F$151</f>
        <v/>
      </c>
      <c r="P243" s="8" t="n"/>
      <c r="Q243" s="7">
        <f>'Bütçe aylık-TL'!$G$152</f>
        <v/>
      </c>
      <c r="R243" s="7">
        <f>'gerç aylık-tl'!$G$151</f>
        <v/>
      </c>
      <c r="S243" s="8" t="n"/>
      <c r="T243" s="7">
        <f>'Bütçe aylık-TL'!$H$152</f>
        <v/>
      </c>
      <c r="U243" s="7">
        <f>'gerç aylık-tl'!$H$151</f>
        <v/>
      </c>
      <c r="V243" s="8" t="n"/>
      <c r="W243" s="7">
        <f>'Bütçe aylık-TL'!$I$152</f>
        <v/>
      </c>
      <c r="X243" s="7">
        <f>'gerç aylık-tl'!$I$151</f>
        <v/>
      </c>
      <c r="Y243" s="8" t="n"/>
      <c r="Z243" s="7">
        <f>'Bütçe aylık-TL'!$J$152</f>
        <v/>
      </c>
      <c r="AA243" s="7">
        <f>'gerç aylık-tl'!$J$151</f>
        <v/>
      </c>
      <c r="AB243" s="8" t="n"/>
      <c r="AC243" s="7">
        <f>'Bütçe aylık-TL'!$K$152</f>
        <v/>
      </c>
      <c r="AD243" s="7">
        <f>'gerç aylık-tl'!$K$151</f>
        <v/>
      </c>
      <c r="AE243" s="8" t="n"/>
      <c r="AF243" s="7">
        <f>'Bütçe aylık-TL'!$L$152</f>
        <v/>
      </c>
      <c r="AG243" s="7">
        <f>'gerç aylık-tl'!$L$151</f>
        <v/>
      </c>
      <c r="AH243" s="8" t="n"/>
      <c r="AI243" s="7">
        <f>'Bütçe aylık-TL'!$M$152</f>
        <v/>
      </c>
      <c r="AJ243" s="7">
        <f>'gerç aylık-tl'!$M$151</f>
        <v/>
      </c>
      <c r="AK243" s="8" t="n"/>
      <c r="AL243" s="21">
        <f>AP243-AO243</f>
        <v/>
      </c>
      <c r="AM243" s="22">
        <f>AP243/AO243-1</f>
        <v/>
      </c>
      <c r="AO243" s="44">
        <f>IF($A$1=$B$1,B243,IF($A$1=$E$1,E243,IF($A$1=$H$1,H243,IF($A$1=$K$1,K243,IF($A$1=$N$1,N243,IF($A$1=$Q$1,Q243,IF($A$1=$T$1,T243,IF($A$1=$W$1,W243,IF($A$1=$Z$1,Z243,IF($A$1=$AC$1,AC243,IF($A$1=$AF$1,AF243,IF($A$1=$AI$1,AI243))))))))))))</f>
        <v/>
      </c>
      <c r="AP243" s="44">
        <f>IF($A$1=$B$1,C243,IF($A$1=$E$1,F243,IF($A$1=$H$1,I243,IF($A$1=$K$1,L243,IF($A$1=$N$1,O243,IF($A$1=$Q$1,R243,IF($A$1=$T$1,U243,IF($A$1=$W$1,X243,IF($A$1=$Z$1,AA243,IF($A$1=$AC$1,AD243,IF($A$1=$AF$1,AG243,IF($A$1=$AI$1,AJ243))))))))))))</f>
        <v/>
      </c>
    </row>
    <row r="244" ht="15.5" customHeight="1">
      <c r="A244" s="26" t="inlineStr">
        <is>
          <t>Jantaş</t>
        </is>
      </c>
      <c r="B244" s="7">
        <f>'Bütçe aylık-TL'!$B$153</f>
        <v/>
      </c>
      <c r="C244" s="7">
        <f>'gerç aylık-tl'!$B$152</f>
        <v/>
      </c>
      <c r="D244" s="7" t="n"/>
      <c r="E244" s="7">
        <f>'Bütçe aylık-TL'!$C$153</f>
        <v/>
      </c>
      <c r="F244" s="7">
        <f>'gerç aylık-tl'!$C$152</f>
        <v/>
      </c>
      <c r="G244" s="7" t="n"/>
      <c r="H244" s="7">
        <f>'Bütçe aylık-TL'!$D$153</f>
        <v/>
      </c>
      <c r="I244" s="7">
        <f>'gerç aylık-tl'!$D$152</f>
        <v/>
      </c>
      <c r="J244" s="7" t="n"/>
      <c r="K244" s="7">
        <f>'Bütçe aylık-TL'!$E$153</f>
        <v/>
      </c>
      <c r="L244" s="7">
        <f>'gerç aylık-tl'!$E$152</f>
        <v/>
      </c>
      <c r="M244" s="7" t="n"/>
      <c r="N244" s="7">
        <f>'Bütçe aylık-TL'!$F$153</f>
        <v/>
      </c>
      <c r="O244" s="7">
        <f>'gerç aylık-tl'!$F$152</f>
        <v/>
      </c>
      <c r="P244" s="7" t="n"/>
      <c r="Q244" s="7">
        <f>'Bütçe aylık-TL'!$G$153</f>
        <v/>
      </c>
      <c r="R244" s="7">
        <f>'gerç aylık-tl'!$G$152</f>
        <v/>
      </c>
      <c r="S244" s="7" t="n"/>
      <c r="T244" s="7">
        <f>'Bütçe aylık-TL'!$H$153</f>
        <v/>
      </c>
      <c r="U244" s="7">
        <f>'gerç aylık-tl'!$H$152</f>
        <v/>
      </c>
      <c r="V244" s="7" t="n"/>
      <c r="W244" s="7">
        <f>'Bütçe aylık-TL'!$I$153</f>
        <v/>
      </c>
      <c r="X244" s="7">
        <f>'gerç aylık-tl'!$I$152</f>
        <v/>
      </c>
      <c r="Y244" s="7" t="n"/>
      <c r="Z244" s="7">
        <f>'Bütçe aylık-TL'!$J$153</f>
        <v/>
      </c>
      <c r="AA244" s="7">
        <f>'gerç aylık-tl'!$J$152</f>
        <v/>
      </c>
      <c r="AB244" s="7" t="n"/>
      <c r="AC244" s="7">
        <f>'Bütçe aylık-TL'!$K$153</f>
        <v/>
      </c>
      <c r="AD244" s="7">
        <f>'gerç aylık-tl'!$K$152</f>
        <v/>
      </c>
      <c r="AE244" s="7" t="n"/>
      <c r="AF244" s="7">
        <f>'Bütçe aylık-TL'!$L$153</f>
        <v/>
      </c>
      <c r="AG244" s="7">
        <f>'gerç aylık-tl'!$L$152</f>
        <v/>
      </c>
      <c r="AH244" s="7" t="n"/>
      <c r="AI244" s="7">
        <f>'Bütçe aylık-TL'!$M$153</f>
        <v/>
      </c>
      <c r="AJ244" s="7">
        <f>'gerç aylık-tl'!$M$152</f>
        <v/>
      </c>
      <c r="AK244" s="7" t="n"/>
      <c r="AL244" s="21">
        <f>AP244-AO244</f>
        <v/>
      </c>
      <c r="AM244" s="22">
        <f>AP244/AO244-1</f>
        <v/>
      </c>
      <c r="AO244" s="44">
        <f>IF($A$1=$B$1,B244,IF($A$1=$E$1,E244,IF($A$1=$H$1,H244,IF($A$1=$K$1,K244,IF($A$1=$N$1,N244,IF($A$1=$Q$1,Q244,IF($A$1=$T$1,T244,IF($A$1=$W$1,W244,IF($A$1=$Z$1,Z244,IF($A$1=$AC$1,AC244,IF($A$1=$AF$1,AF244,IF($A$1=$AI$1,AI244))))))))))))</f>
        <v/>
      </c>
      <c r="AP244" s="44">
        <f>IF($A$1=$B$1,C244,IF($A$1=$E$1,F244,IF($A$1=$H$1,I244,IF($A$1=$K$1,L244,IF($A$1=$N$1,O244,IF($A$1=$Q$1,R244,IF($A$1=$T$1,U244,IF($A$1=$W$1,X244,IF($A$1=$Z$1,AA244,IF($A$1=$AC$1,AD244,IF($A$1=$AF$1,AG244,IF($A$1=$AI$1,AJ244))))))))))))</f>
        <v/>
      </c>
    </row>
    <row r="245" ht="15.5" customFormat="1" customHeight="1" s="1">
      <c r="A245" s="26" t="inlineStr">
        <is>
          <t>Çelik</t>
        </is>
      </c>
      <c r="B245" s="7">
        <f>'Bütçe aylık-TL'!$B$154</f>
        <v/>
      </c>
      <c r="C245" s="7">
        <f>'gerç aylık-tl'!$B$153</f>
        <v/>
      </c>
      <c r="D245" s="8" t="n"/>
      <c r="E245" s="7">
        <f>'Bütçe aylık-TL'!$C$154</f>
        <v/>
      </c>
      <c r="F245" s="7">
        <f>'gerç aylık-tl'!$C$153</f>
        <v/>
      </c>
      <c r="G245" s="8" t="n"/>
      <c r="H245" s="7">
        <f>'Bütçe aylık-TL'!$D$154</f>
        <v/>
      </c>
      <c r="I245" s="7">
        <f>'gerç aylık-tl'!$D$153</f>
        <v/>
      </c>
      <c r="J245" s="8" t="n"/>
      <c r="K245" s="7">
        <f>'Bütçe aylık-TL'!$E$154</f>
        <v/>
      </c>
      <c r="L245" s="7">
        <f>'gerç aylık-tl'!$E$153</f>
        <v/>
      </c>
      <c r="M245" s="8" t="n"/>
      <c r="N245" s="7">
        <f>'Bütçe aylık-TL'!$F$154</f>
        <v/>
      </c>
      <c r="O245" s="7">
        <f>'gerç aylık-tl'!$F$153</f>
        <v/>
      </c>
      <c r="P245" s="8" t="n"/>
      <c r="Q245" s="7">
        <f>'Bütçe aylık-TL'!$G$154</f>
        <v/>
      </c>
      <c r="R245" s="7">
        <f>'gerç aylık-tl'!$G$153</f>
        <v/>
      </c>
      <c r="S245" s="8" t="n"/>
      <c r="T245" s="7">
        <f>'Bütçe aylık-TL'!$H$154</f>
        <v/>
      </c>
      <c r="U245" s="7">
        <f>'gerç aylık-tl'!$H$153</f>
        <v/>
      </c>
      <c r="V245" s="8" t="n"/>
      <c r="W245" s="7">
        <f>'Bütçe aylık-TL'!$I$154</f>
        <v/>
      </c>
      <c r="X245" s="7">
        <f>'gerç aylık-tl'!$I$153</f>
        <v/>
      </c>
      <c r="Y245" s="8" t="n"/>
      <c r="Z245" s="7">
        <f>'Bütçe aylık-TL'!$J$154</f>
        <v/>
      </c>
      <c r="AA245" s="7">
        <f>'gerç aylık-tl'!$J$153</f>
        <v/>
      </c>
      <c r="AB245" s="8" t="n"/>
      <c r="AC245" s="7">
        <f>'Bütçe aylık-TL'!$K$154</f>
        <v/>
      </c>
      <c r="AD245" s="7">
        <f>'gerç aylık-tl'!$K$153</f>
        <v/>
      </c>
      <c r="AE245" s="8" t="n"/>
      <c r="AF245" s="7">
        <f>'Bütçe aylık-TL'!$L$154</f>
        <v/>
      </c>
      <c r="AG245" s="7">
        <f>'gerç aylık-tl'!$L$153</f>
        <v/>
      </c>
      <c r="AH245" s="8" t="n"/>
      <c r="AI245" s="7">
        <f>'Bütçe aylık-TL'!$M$154</f>
        <v/>
      </c>
      <c r="AJ245" s="7">
        <f>'gerç aylık-tl'!$M$153</f>
        <v/>
      </c>
      <c r="AK245" s="8" t="n"/>
      <c r="AL245" s="21">
        <f>AP245-AO245</f>
        <v/>
      </c>
      <c r="AM245" s="22">
        <f>AP245/AO245-1</f>
        <v/>
      </c>
      <c r="AO245" s="44">
        <f>IF($A$1=$B$1,B245,IF($A$1=$E$1,E245,IF($A$1=$H$1,H245,IF($A$1=$K$1,K245,IF($A$1=$N$1,N245,IF($A$1=$Q$1,Q245,IF($A$1=$T$1,T245,IF($A$1=$W$1,W245,IF($A$1=$Z$1,Z245,IF($A$1=$AC$1,AC245,IF($A$1=$AF$1,AF245,IF($A$1=$AI$1,AI245))))))))))))</f>
        <v/>
      </c>
      <c r="AP245" s="44">
        <f>IF($A$1=$B$1,C245,IF($A$1=$E$1,F245,IF($A$1=$H$1,I245,IF($A$1=$K$1,L245,IF($A$1=$N$1,O245,IF($A$1=$Q$1,R245,IF($A$1=$T$1,U245,IF($A$1=$W$1,X245,IF($A$1=$Z$1,AA245,IF($A$1=$AC$1,AD245,IF($A$1=$AF$1,AG245,IF($A$1=$AI$1,AJ245))))))))))))</f>
        <v/>
      </c>
    </row>
    <row r="246" ht="15.5" customFormat="1" customHeight="1" s="1">
      <c r="A246" s="26" t="inlineStr">
        <is>
          <t>Alüminyum</t>
        </is>
      </c>
      <c r="B246" s="7">
        <f>'Bütçe aylık-TL'!$B$155</f>
        <v/>
      </c>
      <c r="C246" s="7">
        <f>'gerç aylık-tl'!$B$154</f>
        <v/>
      </c>
      <c r="D246" s="8" t="n"/>
      <c r="E246" s="7">
        <f>'Bütçe aylık-TL'!$C$155</f>
        <v/>
      </c>
      <c r="F246" s="7">
        <f>'gerç aylık-tl'!$C$154</f>
        <v/>
      </c>
      <c r="G246" s="8" t="n"/>
      <c r="H246" s="7">
        <f>'Bütçe aylık-TL'!$D$155</f>
        <v/>
      </c>
      <c r="I246" s="7">
        <f>'gerç aylık-tl'!$D$154</f>
        <v/>
      </c>
      <c r="J246" s="8" t="n"/>
      <c r="K246" s="7">
        <f>'Bütçe aylık-TL'!$E$155</f>
        <v/>
      </c>
      <c r="L246" s="7">
        <f>'gerç aylık-tl'!$E$154</f>
        <v/>
      </c>
      <c r="M246" s="8" t="n"/>
      <c r="N246" s="7">
        <f>'Bütçe aylık-TL'!$F$155</f>
        <v/>
      </c>
      <c r="O246" s="7">
        <f>'gerç aylık-tl'!$F$154</f>
        <v/>
      </c>
      <c r="P246" s="8" t="n"/>
      <c r="Q246" s="7">
        <f>'Bütçe aylık-TL'!$G$155</f>
        <v/>
      </c>
      <c r="R246" s="7">
        <f>'gerç aylık-tl'!$G$154</f>
        <v/>
      </c>
      <c r="S246" s="8" t="n"/>
      <c r="T246" s="7">
        <f>'Bütçe aylık-TL'!$H$155</f>
        <v/>
      </c>
      <c r="U246" s="7">
        <f>'gerç aylık-tl'!$H$154</f>
        <v/>
      </c>
      <c r="V246" s="8" t="n"/>
      <c r="W246" s="7">
        <f>'Bütçe aylık-TL'!$I$155</f>
        <v/>
      </c>
      <c r="X246" s="7">
        <f>'gerç aylık-tl'!$I$154</f>
        <v/>
      </c>
      <c r="Y246" s="8" t="n"/>
      <c r="Z246" s="7">
        <f>'Bütçe aylık-TL'!$J$155</f>
        <v/>
      </c>
      <c r="AA246" s="7">
        <f>'gerç aylık-tl'!$J$154</f>
        <v/>
      </c>
      <c r="AB246" s="8" t="n"/>
      <c r="AC246" s="7">
        <f>'Bütçe aylık-TL'!$K$155</f>
        <v/>
      </c>
      <c r="AD246" s="7">
        <f>'gerç aylık-tl'!$K$154</f>
        <v/>
      </c>
      <c r="AE246" s="8" t="n"/>
      <c r="AF246" s="7">
        <f>'Bütçe aylık-TL'!$L$155</f>
        <v/>
      </c>
      <c r="AG246" s="7">
        <f>'gerç aylık-tl'!$L$154</f>
        <v/>
      </c>
      <c r="AH246" s="8" t="n"/>
      <c r="AI246" s="7">
        <f>'Bütçe aylık-TL'!$M$155</f>
        <v/>
      </c>
      <c r="AJ246" s="7">
        <f>'gerç aylık-tl'!$M$154</f>
        <v/>
      </c>
      <c r="AK246" s="8" t="n"/>
      <c r="AL246" s="21">
        <f>AP246-AO246</f>
        <v/>
      </c>
      <c r="AM246" s="22">
        <f>AP246/AO246-1</f>
        <v/>
      </c>
      <c r="AO246" s="44">
        <f>IF($A$1=$B$1,B246,IF($A$1=$E$1,E246,IF($A$1=$H$1,H246,IF($A$1=$K$1,K246,IF($A$1=$N$1,N246,IF($A$1=$Q$1,Q246,IF($A$1=$T$1,T246,IF($A$1=$W$1,W246,IF($A$1=$Z$1,Z246,IF($A$1=$AC$1,AC246,IF($A$1=$AF$1,AF246,IF($A$1=$AI$1,AI246))))))))))))</f>
        <v/>
      </c>
      <c r="AP246" s="44">
        <f>IF($A$1=$B$1,C246,IF($A$1=$E$1,F246,IF($A$1=$H$1,I246,IF($A$1=$K$1,L246,IF($A$1=$N$1,O246,IF($A$1=$Q$1,R246,IF($A$1=$T$1,U246,IF($A$1=$W$1,X246,IF($A$1=$Z$1,AA246,IF($A$1=$AC$1,AD246,IF($A$1=$AF$1,AG246,IF($A$1=$AI$1,AJ246))))))))))))</f>
        <v/>
      </c>
    </row>
    <row r="247" ht="15.5" customFormat="1" customHeight="1" s="1">
      <c r="A247" s="26" t="n"/>
      <c r="B247" s="7" t="n"/>
      <c r="C247" s="8" t="n"/>
      <c r="D247" s="8" t="n"/>
      <c r="E247" s="7" t="n"/>
      <c r="F247" s="8" t="n"/>
      <c r="G247" s="8" t="n"/>
      <c r="H247" s="7" t="n"/>
      <c r="I247" s="8" t="n"/>
      <c r="J247" s="8" t="n"/>
      <c r="K247" s="7" t="n"/>
      <c r="L247" s="8" t="n"/>
      <c r="M247" s="8" t="n"/>
      <c r="N247" s="7" t="n"/>
      <c r="O247" s="8" t="n"/>
      <c r="P247" s="8" t="n"/>
      <c r="Q247" s="7" t="n"/>
      <c r="R247" s="8" t="n"/>
      <c r="S247" s="8" t="n"/>
      <c r="T247" s="7" t="n"/>
      <c r="U247" s="8" t="n"/>
      <c r="V247" s="8" t="n"/>
      <c r="W247" s="7" t="n"/>
      <c r="X247" s="8" t="n"/>
      <c r="Y247" s="8" t="n"/>
      <c r="Z247" s="7" t="n"/>
      <c r="AA247" s="8" t="n"/>
      <c r="AB247" s="8" t="n"/>
      <c r="AC247" s="7" t="n"/>
      <c r="AD247" s="8" t="n"/>
      <c r="AE247" s="8" t="n"/>
      <c r="AF247" s="7" t="n"/>
      <c r="AG247" s="8" t="n"/>
      <c r="AH247" s="8" t="n"/>
      <c r="AI247" s="7" t="n"/>
      <c r="AJ247" s="8" t="n"/>
      <c r="AK247" s="8" t="n"/>
      <c r="AL247" s="15" t="n"/>
      <c r="AM247" s="16" t="n"/>
      <c r="AO247" s="44" t="n"/>
      <c r="AP247" s="44" t="n"/>
    </row>
    <row r="248" ht="15.5" customFormat="1" customHeight="1" s="1">
      <c r="A248" s="26" t="n"/>
      <c r="B248" s="7" t="n"/>
      <c r="C248" s="8" t="n"/>
      <c r="D248" s="8" t="n"/>
      <c r="E248" s="7" t="n"/>
      <c r="F248" s="8" t="n"/>
      <c r="G248" s="8" t="n"/>
      <c r="H248" s="7" t="n"/>
      <c r="I248" s="8" t="n"/>
      <c r="J248" s="8" t="n"/>
      <c r="K248" s="7" t="n"/>
      <c r="L248" s="8" t="n"/>
      <c r="M248" s="8" t="n"/>
      <c r="N248" s="7" t="n"/>
      <c r="O248" s="8" t="n"/>
      <c r="P248" s="8" t="n"/>
      <c r="Q248" s="7" t="n"/>
      <c r="R248" s="8" t="n"/>
      <c r="S248" s="8" t="n"/>
      <c r="T248" s="7" t="n"/>
      <c r="U248" s="8" t="n"/>
      <c r="V248" s="8" t="n"/>
      <c r="W248" s="7" t="n"/>
      <c r="X248" s="8" t="n"/>
      <c r="Y248" s="8" t="n"/>
      <c r="Z248" s="7" t="n"/>
      <c r="AA248" s="8" t="n"/>
      <c r="AB248" s="8" t="n"/>
      <c r="AC248" s="7" t="n"/>
      <c r="AD248" s="8" t="n"/>
      <c r="AE248" s="8" t="n"/>
      <c r="AF248" s="7" t="n"/>
      <c r="AG248" s="8" t="n"/>
      <c r="AH248" s="8" t="n"/>
      <c r="AI248" s="7" t="n"/>
      <c r="AJ248" s="8" t="n"/>
      <c r="AK248" s="8" t="n"/>
      <c r="AL248" s="15" t="n"/>
      <c r="AM248" s="16" t="n"/>
      <c r="AO248" s="44" t="n"/>
      <c r="AP248" s="44" t="n"/>
    </row>
    <row r="249" ht="15.5" customFormat="1" customHeight="1" s="44">
      <c r="A249" s="31" t="inlineStr">
        <is>
          <t>Mevduat</t>
        </is>
      </c>
      <c r="B249" s="32">
        <f>'Bütçe aylık-TL'!$B$160</f>
        <v/>
      </c>
      <c r="C249" s="32">
        <f>'gerç aylık-tl'!$B$159</f>
        <v/>
      </c>
      <c r="D249" s="18" t="n"/>
      <c r="E249" s="32">
        <f>'Bütçe aylık-TL'!$C$160</f>
        <v/>
      </c>
      <c r="F249" s="32">
        <f>'gerç aylık-tl'!$C$159</f>
        <v/>
      </c>
      <c r="G249" s="18" t="n"/>
      <c r="H249" s="32">
        <f>'Bütçe aylık-TL'!$D$160</f>
        <v/>
      </c>
      <c r="I249" s="32">
        <f>'gerç aylık-tl'!$D$159</f>
        <v/>
      </c>
      <c r="J249" s="18" t="n"/>
      <c r="K249" s="32">
        <f>'Bütçe aylık-TL'!$E$160</f>
        <v/>
      </c>
      <c r="L249" s="32">
        <f>'gerç aylık-tl'!$E$159</f>
        <v/>
      </c>
      <c r="M249" s="18" t="n"/>
      <c r="N249" s="32">
        <f>'Bütçe aylık-TL'!$F$160</f>
        <v/>
      </c>
      <c r="O249" s="32">
        <f>'gerç aylık-tl'!$F$159</f>
        <v/>
      </c>
      <c r="P249" s="18" t="n"/>
      <c r="Q249" s="32">
        <f>'Bütçe aylık-TL'!$G$160</f>
        <v/>
      </c>
      <c r="R249" s="32">
        <f>'gerç aylık-tl'!$G$159</f>
        <v/>
      </c>
      <c r="S249" s="18" t="n"/>
      <c r="T249" s="32">
        <f>'Bütçe aylık-TL'!$H$160</f>
        <v/>
      </c>
      <c r="U249" s="32">
        <f>'gerç aylık-tl'!$H$159</f>
        <v/>
      </c>
      <c r="V249" s="18" t="n"/>
      <c r="W249" s="32">
        <f>'Bütçe aylık-TL'!$I$160</f>
        <v/>
      </c>
      <c r="X249" s="32">
        <f>'gerç aylık-tl'!$I$159</f>
        <v/>
      </c>
      <c r="Y249" s="18" t="n"/>
      <c r="Z249" s="32">
        <f>'Bütçe aylık-TL'!$J$160</f>
        <v/>
      </c>
      <c r="AA249" s="32">
        <f>'gerç aylık-tl'!$J$159</f>
        <v/>
      </c>
      <c r="AB249" s="18" t="n"/>
      <c r="AC249" s="32">
        <f>'Bütçe aylık-TL'!$K$160</f>
        <v/>
      </c>
      <c r="AD249" s="32">
        <f>'gerç aylık-tl'!$K$159</f>
        <v/>
      </c>
      <c r="AE249" s="18" t="n"/>
      <c r="AF249" s="32">
        <f>'Bütçe aylık-TL'!$L$160</f>
        <v/>
      </c>
      <c r="AG249" s="32">
        <f>'gerç aylık-tl'!$L$159</f>
        <v/>
      </c>
      <c r="AH249" s="18" t="n"/>
      <c r="AI249" s="32">
        <f>'Bütçe aylık-TL'!$M$160</f>
        <v/>
      </c>
      <c r="AJ249" s="32">
        <f>'gerç aylık-tl'!$M$159</f>
        <v/>
      </c>
      <c r="AK249" s="18" t="n"/>
      <c r="AL249" s="33">
        <f>AP249-AO249</f>
        <v/>
      </c>
      <c r="AM249" s="34">
        <f>AP249/AO249-1</f>
        <v/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/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/>
      </c>
    </row>
    <row r="250" ht="15.5" customFormat="1" customHeight="1" s="13">
      <c r="A250" s="27" t="n"/>
      <c r="B250" s="30" t="n"/>
      <c r="C250" s="30">
        <f>IFERROR((C207/#REF!),"")</f>
        <v/>
      </c>
      <c r="D250" s="41" t="n"/>
      <c r="E250" s="30" t="n"/>
      <c r="F250" s="30">
        <f>IFERROR((F207/#REF!),"")</f>
        <v/>
      </c>
      <c r="G250" s="41" t="n"/>
      <c r="H250" s="30" t="n"/>
      <c r="I250" s="30">
        <f>IFERROR((I207/#REF!),"")</f>
        <v/>
      </c>
      <c r="J250" s="41" t="n"/>
      <c r="K250" s="30" t="n"/>
      <c r="L250" s="30">
        <f>IFERROR((L207/#REF!),"")</f>
        <v/>
      </c>
      <c r="M250" s="41" t="n"/>
      <c r="N250" s="30" t="n"/>
      <c r="O250" s="30">
        <f>IFERROR((O207/#REF!),"")</f>
        <v/>
      </c>
      <c r="P250" s="41" t="n"/>
      <c r="Q250" s="30" t="n"/>
      <c r="R250" s="30">
        <f>IFERROR((R207/#REF!),"")</f>
        <v/>
      </c>
      <c r="S250" s="41" t="n"/>
      <c r="T250" s="30" t="n"/>
      <c r="U250" s="30">
        <f>IFERROR((U207/#REF!),"")</f>
        <v/>
      </c>
      <c r="V250" s="41" t="n"/>
      <c r="W250" s="30" t="n"/>
      <c r="X250" s="30">
        <f>IFERROR((X207/#REF!),"")</f>
        <v/>
      </c>
      <c r="Y250" s="41" t="n"/>
      <c r="Z250" s="30" t="n"/>
      <c r="AA250" s="30">
        <f>IFERROR((AA207/#REF!),"")</f>
        <v/>
      </c>
      <c r="AB250" s="41" t="n"/>
      <c r="AC250" s="30" t="n"/>
      <c r="AD250" s="30">
        <f>IFERROR((AD207/#REF!),"")</f>
        <v/>
      </c>
      <c r="AE250" s="41" t="n"/>
      <c r="AF250" s="30" t="n"/>
      <c r="AG250" s="30">
        <f>IFERROR((AG207/#REF!),"")</f>
        <v/>
      </c>
      <c r="AH250" s="41" t="n"/>
      <c r="AI250" s="30" t="n"/>
      <c r="AJ250" s="30">
        <f>IFERROR((AJ207/#REF!),"")</f>
        <v/>
      </c>
      <c r="AK250" s="41" t="n"/>
      <c r="AL250" s="15" t="n"/>
      <c r="AM250" s="22" t="n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/>
      </c>
      <c r="AP250" s="44">
        <f>IF($A$1=$B$1,C250,IF($A$1=$E$1,F250,IF($A$1=$H$1,I250,IF($A$1=$K$1,L250,IF($A$1=$N$1,O250,IF($A$1=$Q$1,R250,IF($A$1=$T$1,U250,IF($A$1=$W$1,X250,IF($A$1=$Z$1,AA250,IF($A$1=$AC$1,AD250,IF($A$1=$AF$1,AG250,IF($A$1=$AI$1,AJ250))))))))))))</f>
        <v/>
      </c>
    </row>
    <row r="251" ht="17" customFormat="1" customHeight="1" s="49">
      <c r="A251" s="47" t="inlineStr">
        <is>
          <t>Mevduat (100%)</t>
        </is>
      </c>
      <c r="B251" s="413" t="n"/>
      <c r="C251" s="413" t="n"/>
      <c r="D251" s="413" t="n"/>
      <c r="E251" s="413" t="n"/>
      <c r="F251" s="413" t="n"/>
      <c r="G251" s="413" t="n"/>
      <c r="H251" s="413" t="n"/>
      <c r="I251" s="413" t="n"/>
      <c r="J251" s="413" t="n"/>
      <c r="K251" s="413" t="n"/>
      <c r="L251" s="413" t="n"/>
      <c r="M251" s="413" t="n"/>
      <c r="N251" s="413" t="n"/>
      <c r="O251" s="413" t="n"/>
      <c r="P251" s="413" t="n"/>
      <c r="Q251" s="413" t="n"/>
      <c r="R251" s="413" t="n"/>
      <c r="S251" s="413" t="n"/>
      <c r="T251" s="413" t="n"/>
      <c r="U251" s="413" t="n"/>
      <c r="V251" s="413" t="n"/>
      <c r="W251" s="413" t="n"/>
      <c r="X251" s="413" t="n"/>
      <c r="Y251" s="413" t="n"/>
      <c r="Z251" s="413" t="n"/>
      <c r="AA251" s="413" t="n"/>
      <c r="AB251" s="413" t="n"/>
      <c r="AC251" s="413" t="n"/>
      <c r="AD251" s="413" t="n"/>
      <c r="AE251" s="413" t="n"/>
      <c r="AF251" s="413" t="n"/>
      <c r="AG251" s="413" t="n"/>
      <c r="AH251" s="413" t="n"/>
      <c r="AI251" s="413" t="n"/>
      <c r="AJ251" s="413" t="n"/>
      <c r="AK251" s="413" t="n"/>
      <c r="AL251" s="413" t="n"/>
      <c r="AM251" s="48" t="n"/>
    </row>
    <row r="252" ht="15.5" customHeight="1">
      <c r="A252" s="26" t="inlineStr">
        <is>
          <t xml:space="preserve">İnci Holding </t>
        </is>
      </c>
      <c r="B252" s="7">
        <f>'Bütçe aylık-TL'!$B$161</f>
        <v/>
      </c>
      <c r="C252" s="7">
        <f>'gerç aylık-tl'!$B$160</f>
        <v/>
      </c>
      <c r="D252" s="7" t="n"/>
      <c r="E252" s="7">
        <f>'Bütçe aylık-TL'!$C$161</f>
        <v/>
      </c>
      <c r="F252" s="7">
        <f>'gerç aylık-tl'!$C$160</f>
        <v/>
      </c>
      <c r="G252" s="7" t="n"/>
      <c r="H252" s="7">
        <f>'Bütçe aylık-TL'!$D$161</f>
        <v/>
      </c>
      <c r="I252" s="7">
        <f>'gerç aylık-tl'!$D$160</f>
        <v/>
      </c>
      <c r="J252" s="7" t="n"/>
      <c r="K252" s="7">
        <f>'Bütçe aylık-TL'!$E$161</f>
        <v/>
      </c>
      <c r="L252" s="7">
        <f>'gerç aylık-tl'!$E$160</f>
        <v/>
      </c>
      <c r="M252" s="7" t="n"/>
      <c r="N252" s="7">
        <f>'Bütçe aylık-TL'!$F$161</f>
        <v/>
      </c>
      <c r="O252" s="7">
        <f>'gerç aylık-tl'!$F$160</f>
        <v/>
      </c>
      <c r="P252" s="7" t="n"/>
      <c r="Q252" s="7">
        <f>'Bütçe aylık-TL'!$G$161</f>
        <v/>
      </c>
      <c r="R252" s="7">
        <f>'gerç aylık-tl'!$G$160</f>
        <v/>
      </c>
      <c r="S252" s="7" t="n"/>
      <c r="T252" s="7">
        <f>'Bütçe aylık-TL'!$H$161</f>
        <v/>
      </c>
      <c r="U252" s="7">
        <f>'gerç aylık-tl'!$H$160</f>
        <v/>
      </c>
      <c r="V252" s="7" t="n"/>
      <c r="W252" s="7">
        <f>'Bütçe aylık-TL'!$I$161</f>
        <v/>
      </c>
      <c r="X252" s="7">
        <f>'gerç aylık-tl'!$I$160</f>
        <v/>
      </c>
      <c r="Y252" s="7" t="n"/>
      <c r="Z252" s="7">
        <f>'Bütçe aylık-TL'!$J$161</f>
        <v/>
      </c>
      <c r="AA252" s="7">
        <f>'gerç aylık-tl'!$J$160</f>
        <v/>
      </c>
      <c r="AB252" s="7" t="n"/>
      <c r="AC252" s="7">
        <f>'Bütçe aylık-TL'!$K$161</f>
        <v/>
      </c>
      <c r="AD252" s="7">
        <f>'gerç aylık-tl'!$K$160</f>
        <v/>
      </c>
      <c r="AE252" s="7" t="n"/>
      <c r="AF252" s="7">
        <f>'Bütçe aylık-TL'!$L$161</f>
        <v/>
      </c>
      <c r="AG252" s="7">
        <f>'gerç aylık-tl'!$L$160</f>
        <v/>
      </c>
      <c r="AH252" s="7" t="n"/>
      <c r="AI252" s="7">
        <f>'Bütçe aylık-TL'!$M$161</f>
        <v/>
      </c>
      <c r="AJ252" s="7">
        <f>'gerç aylık-tl'!$M$160</f>
        <v/>
      </c>
      <c r="AK252" s="7" t="n"/>
      <c r="AL252" s="21">
        <f>AP252-AO252</f>
        <v/>
      </c>
      <c r="AM252" s="22">
        <f>AP252/AO252-1</f>
        <v/>
      </c>
      <c r="AO252" s="44">
        <f>IF($A$1=$B$1,B252,IF($A$1=$E$1,E252,IF($A$1=$H$1,H252,IF($A$1=$K$1,K252,IF($A$1=$N$1,N252,IF($A$1=$Q$1,Q252,IF($A$1=$T$1,T252,IF($A$1=$W$1,W252,IF($A$1=$Z$1,Z252,IF($A$1=$AC$1,AC252,IF($A$1=$AF$1,AF252,IF($A$1=$AI$1,AI252))))))))))))</f>
        <v/>
      </c>
      <c r="AP252" s="44">
        <f>IF($A$1=$B$1,C252,IF($A$1=$E$1,F252,IF($A$1=$H$1,I252,IF($A$1=$K$1,L252,IF($A$1=$N$1,O252,IF($A$1=$Q$1,R252,IF($A$1=$T$1,U252,IF($A$1=$W$1,X252,IF($A$1=$Z$1,AA252,IF($A$1=$AC$1,AD252,IF($A$1=$AF$1,AG252,IF($A$1=$AI$1,AJ252))))))))))))</f>
        <v/>
      </c>
    </row>
    <row r="253" ht="15.5" customHeight="1">
      <c r="A253" s="26" t="inlineStr">
        <is>
          <t xml:space="preserve">ISM </t>
        </is>
      </c>
      <c r="B253" s="7">
        <f>'Bütçe aylık-TL'!$B$162</f>
        <v/>
      </c>
      <c r="C253" s="7">
        <f>'gerç aylık-tl'!$B$161</f>
        <v/>
      </c>
      <c r="D253" s="7" t="n"/>
      <c r="E253" s="7">
        <f>'Bütçe aylık-TL'!$C$162</f>
        <v/>
      </c>
      <c r="F253" s="7">
        <f>'gerç aylık-tl'!$C$161</f>
        <v/>
      </c>
      <c r="G253" s="7" t="n"/>
      <c r="H253" s="7">
        <f>'Bütçe aylık-TL'!$D$162</f>
        <v/>
      </c>
      <c r="I253" s="7">
        <f>'gerç aylık-tl'!$D$161</f>
        <v/>
      </c>
      <c r="J253" s="7" t="n"/>
      <c r="K253" s="7">
        <f>'Bütçe aylık-TL'!$E$162</f>
        <v/>
      </c>
      <c r="L253" s="7">
        <f>'gerç aylık-tl'!$E$161</f>
        <v/>
      </c>
      <c r="M253" s="7" t="n"/>
      <c r="N253" s="7">
        <f>'Bütçe aylık-TL'!$F$162</f>
        <v/>
      </c>
      <c r="O253" s="7">
        <f>'gerç aylık-tl'!$F$161</f>
        <v/>
      </c>
      <c r="P253" s="7" t="n"/>
      <c r="Q253" s="7">
        <f>'Bütçe aylık-TL'!$G$162</f>
        <v/>
      </c>
      <c r="R253" s="7">
        <f>'gerç aylık-tl'!$G$161</f>
        <v/>
      </c>
      <c r="S253" s="7" t="n"/>
      <c r="T253" s="7">
        <f>'Bütçe aylık-TL'!$H$162</f>
        <v/>
      </c>
      <c r="U253" s="7">
        <f>'gerç aylık-tl'!$H$161</f>
        <v/>
      </c>
      <c r="V253" s="7" t="n"/>
      <c r="W253" s="7">
        <f>'Bütçe aylık-TL'!$I$162</f>
        <v/>
      </c>
      <c r="X253" s="7">
        <f>'gerç aylık-tl'!$I$161</f>
        <v/>
      </c>
      <c r="Y253" s="7" t="n"/>
      <c r="Z253" s="7">
        <f>'Bütçe aylık-TL'!$J$162</f>
        <v/>
      </c>
      <c r="AA253" s="7">
        <f>'gerç aylık-tl'!$J$161</f>
        <v/>
      </c>
      <c r="AB253" s="7" t="n"/>
      <c r="AC253" s="7">
        <f>'Bütçe aylık-TL'!$K$162</f>
        <v/>
      </c>
      <c r="AD253" s="7">
        <f>'gerç aylık-tl'!$K$161</f>
        <v/>
      </c>
      <c r="AE253" s="7" t="n"/>
      <c r="AF253" s="7">
        <f>'Bütçe aylık-TL'!$L$162</f>
        <v/>
      </c>
      <c r="AG253" s="7">
        <f>'gerç aylık-tl'!$L$161</f>
        <v/>
      </c>
      <c r="AH253" s="7" t="n"/>
      <c r="AI253" s="7">
        <f>'Bütçe aylık-TL'!$M$162</f>
        <v/>
      </c>
      <c r="AJ253" s="7">
        <f>'gerç aylık-tl'!$M$161</f>
        <v/>
      </c>
      <c r="AK253" s="7" t="n"/>
      <c r="AL253" s="21">
        <f>AP253-AO253</f>
        <v/>
      </c>
      <c r="AM253" s="22">
        <f>AP253/AO253-1</f>
        <v/>
      </c>
      <c r="AO253" s="44">
        <f>IF($A$1=$B$1,B253,IF($A$1=$E$1,E253,IF($A$1=$H$1,H253,IF($A$1=$K$1,K253,IF($A$1=$N$1,N253,IF($A$1=$Q$1,Q253,IF($A$1=$T$1,T253,IF($A$1=$W$1,W253,IF($A$1=$Z$1,Z253,IF($A$1=$AC$1,AC253,IF($A$1=$AF$1,AF253,IF($A$1=$AI$1,AI253))))))))))))</f>
        <v/>
      </c>
      <c r="AP253" s="44">
        <f>IF($A$1=$B$1,C253,IF($A$1=$E$1,F253,IF($A$1=$H$1,I253,IF($A$1=$K$1,L253,IF($A$1=$N$1,O253,IF($A$1=$Q$1,R253,IF($A$1=$T$1,U253,IF($A$1=$W$1,X253,IF($A$1=$Z$1,AA253,IF($A$1=$AC$1,AD253,IF($A$1=$AF$1,AG253,IF($A$1=$AI$1,AJ253))))))))))))</f>
        <v/>
      </c>
    </row>
    <row r="254" ht="15.5" customHeight="1">
      <c r="A254" s="26" t="inlineStr">
        <is>
          <t>İncitaş</t>
        </is>
      </c>
      <c r="B254" s="7">
        <f>'Bütçe aylık-TL'!$B$163</f>
        <v/>
      </c>
      <c r="C254" s="7">
        <f>'gerç aylık-tl'!$B$162</f>
        <v/>
      </c>
      <c r="D254" s="7" t="n"/>
      <c r="E254" s="7">
        <f>'Bütçe aylık-TL'!$C$163</f>
        <v/>
      </c>
      <c r="F254" s="7">
        <f>'gerç aylık-tl'!$C$162</f>
        <v/>
      </c>
      <c r="G254" s="7" t="n"/>
      <c r="H254" s="7">
        <f>'Bütçe aylık-TL'!$D$163</f>
        <v/>
      </c>
      <c r="I254" s="7">
        <f>'gerç aylık-tl'!$D$162</f>
        <v/>
      </c>
      <c r="J254" s="7" t="n"/>
      <c r="K254" s="7">
        <f>'Bütçe aylık-TL'!$E$163</f>
        <v/>
      </c>
      <c r="L254" s="7">
        <f>'gerç aylık-tl'!$E$162</f>
        <v/>
      </c>
      <c r="M254" s="7" t="n"/>
      <c r="N254" s="7">
        <f>'Bütçe aylık-TL'!$F$163</f>
        <v/>
      </c>
      <c r="O254" s="7">
        <f>'gerç aylık-tl'!$F$162</f>
        <v/>
      </c>
      <c r="P254" s="7" t="n"/>
      <c r="Q254" s="7">
        <f>'Bütçe aylık-TL'!$G$163</f>
        <v/>
      </c>
      <c r="R254" s="7">
        <f>'gerç aylık-tl'!$G$162</f>
        <v/>
      </c>
      <c r="S254" s="7" t="n"/>
      <c r="T254" s="7">
        <f>'Bütçe aylık-TL'!$H$163</f>
        <v/>
      </c>
      <c r="U254" s="7">
        <f>'gerç aylık-tl'!$H$162</f>
        <v/>
      </c>
      <c r="V254" s="7" t="n"/>
      <c r="W254" s="7">
        <f>'Bütçe aylık-TL'!$I$163</f>
        <v/>
      </c>
      <c r="X254" s="7">
        <f>'gerç aylık-tl'!$I$162</f>
        <v/>
      </c>
      <c r="Y254" s="7" t="n"/>
      <c r="Z254" s="7">
        <f>'Bütçe aylık-TL'!$J$163</f>
        <v/>
      </c>
      <c r="AA254" s="7">
        <f>'gerç aylık-tl'!$J$162</f>
        <v/>
      </c>
      <c r="AB254" s="7" t="n"/>
      <c r="AC254" s="7">
        <f>'Bütçe aylık-TL'!$K$163</f>
        <v/>
      </c>
      <c r="AD254" s="7">
        <f>'gerç aylık-tl'!$K$162</f>
        <v/>
      </c>
      <c r="AE254" s="7" t="n"/>
      <c r="AF254" s="7">
        <f>'Bütçe aylık-TL'!$L$163</f>
        <v/>
      </c>
      <c r="AG254" s="7">
        <f>'gerç aylık-tl'!$L$162</f>
        <v/>
      </c>
      <c r="AH254" s="7" t="n"/>
      <c r="AI254" s="7">
        <f>'Bütçe aylık-TL'!$M$163</f>
        <v/>
      </c>
      <c r="AJ254" s="7">
        <f>'gerç aylık-tl'!$M$162</f>
        <v/>
      </c>
      <c r="AK254" s="7" t="n"/>
      <c r="AL254" s="21">
        <f>AP254-AO254</f>
        <v/>
      </c>
      <c r="AM254" s="22">
        <f>AP254/AO254-1</f>
        <v/>
      </c>
      <c r="AO254" s="44">
        <f>IF($A$1=$B$1,B254,IF($A$1=$E$1,E254,IF($A$1=$H$1,H254,IF($A$1=$K$1,K254,IF($A$1=$N$1,N254,IF($A$1=$Q$1,Q254,IF($A$1=$T$1,T254,IF($A$1=$W$1,W254,IF($A$1=$Z$1,Z254,IF($A$1=$AC$1,AC254,IF($A$1=$AF$1,AF254,IF($A$1=$AI$1,AI254))))))))))))</f>
        <v/>
      </c>
      <c r="AP254" s="44">
        <f>IF($A$1=$B$1,C254,IF($A$1=$E$1,F254,IF($A$1=$H$1,I254,IF($A$1=$K$1,L254,IF($A$1=$N$1,O254,IF($A$1=$Q$1,R254,IF($A$1=$T$1,U254,IF($A$1=$W$1,X254,IF($A$1=$Z$1,AA254,IF($A$1=$AC$1,AD254,IF($A$1=$AF$1,AG254,IF($A$1=$AI$1,AJ254))))))))))))</f>
        <v/>
      </c>
    </row>
    <row r="255" ht="15.5" customHeight="1">
      <c r="A255" s="26" t="inlineStr">
        <is>
          <t>İnci GS Yuasa</t>
        </is>
      </c>
      <c r="B255" s="7">
        <f>'Bütçe aylık-TL'!$B$164</f>
        <v/>
      </c>
      <c r="C255" s="7">
        <f>'gerç aylık-tl'!$B$163</f>
        <v/>
      </c>
      <c r="D255" s="7" t="n"/>
      <c r="E255" s="7">
        <f>'Bütçe aylık-TL'!$C$164</f>
        <v/>
      </c>
      <c r="F255" s="7">
        <f>'gerç aylık-tl'!$C$163</f>
        <v/>
      </c>
      <c r="G255" s="7" t="n"/>
      <c r="H255" s="7">
        <f>'Bütçe aylık-TL'!$D$164</f>
        <v/>
      </c>
      <c r="I255" s="7">
        <f>'gerç aylık-tl'!$D$163</f>
        <v/>
      </c>
      <c r="J255" s="7" t="n"/>
      <c r="K255" s="7">
        <f>'Bütçe aylık-TL'!$E$164</f>
        <v/>
      </c>
      <c r="L255" s="7">
        <f>'gerç aylık-tl'!$E$163</f>
        <v/>
      </c>
      <c r="M255" s="7" t="n"/>
      <c r="N255" s="7">
        <f>'Bütçe aylık-TL'!$F$164</f>
        <v/>
      </c>
      <c r="O255" s="7">
        <f>'gerç aylık-tl'!$F$163</f>
        <v/>
      </c>
      <c r="P255" s="7" t="n"/>
      <c r="Q255" s="7">
        <f>'Bütçe aylık-TL'!$G$164</f>
        <v/>
      </c>
      <c r="R255" s="7">
        <f>'gerç aylık-tl'!$G$163</f>
        <v/>
      </c>
      <c r="S255" s="7" t="n"/>
      <c r="T255" s="7">
        <f>'Bütçe aylık-TL'!$H$164</f>
        <v/>
      </c>
      <c r="U255" s="7">
        <f>'gerç aylık-tl'!$H$163</f>
        <v/>
      </c>
      <c r="V255" s="7" t="n"/>
      <c r="W255" s="7">
        <f>'Bütçe aylık-TL'!$I$164</f>
        <v/>
      </c>
      <c r="X255" s="7">
        <f>'gerç aylık-tl'!$I$163</f>
        <v/>
      </c>
      <c r="Y255" s="7" t="n"/>
      <c r="Z255" s="7">
        <f>'Bütçe aylık-TL'!$J$164</f>
        <v/>
      </c>
      <c r="AA255" s="7">
        <f>'gerç aylık-tl'!$J$163</f>
        <v/>
      </c>
      <c r="AB255" s="7" t="n"/>
      <c r="AC255" s="7">
        <f>'Bütçe aylık-TL'!$K$164</f>
        <v/>
      </c>
      <c r="AD255" s="7">
        <f>'gerç aylık-tl'!$K$163</f>
        <v/>
      </c>
      <c r="AE255" s="7" t="n"/>
      <c r="AF255" s="7">
        <f>'Bütçe aylık-TL'!$L$164</f>
        <v/>
      </c>
      <c r="AG255" s="7">
        <f>'gerç aylık-tl'!$L$163</f>
        <v/>
      </c>
      <c r="AH255" s="7" t="n"/>
      <c r="AI255" s="7">
        <f>'Bütçe aylık-TL'!$M$164</f>
        <v/>
      </c>
      <c r="AJ255" s="7">
        <f>'gerç aylık-tl'!$M$163</f>
        <v/>
      </c>
      <c r="AK255" s="7" t="n"/>
      <c r="AL255" s="21">
        <f>AP255-AO255</f>
        <v/>
      </c>
      <c r="AM255" s="22">
        <f>AP255/AO255-1</f>
        <v/>
      </c>
      <c r="AO255" s="44">
        <f>IF($A$1=$B$1,B255,IF($A$1=$E$1,E255,IF($A$1=$H$1,H255,IF($A$1=$K$1,K255,IF($A$1=$N$1,N255,IF($A$1=$Q$1,Q255,IF($A$1=$T$1,T255,IF($A$1=$W$1,W255,IF($A$1=$Z$1,Z255,IF($A$1=$AC$1,AC255,IF($A$1=$AF$1,AF255,IF($A$1=$AI$1,AI255))))))))))))</f>
        <v/>
      </c>
      <c r="AP255" s="44">
        <f>IF($A$1=$B$1,C255,IF($A$1=$E$1,F255,IF($A$1=$H$1,I255,IF($A$1=$K$1,L255,IF($A$1=$N$1,O255,IF($A$1=$Q$1,R255,IF($A$1=$T$1,U255,IF($A$1=$W$1,X255,IF($A$1=$Z$1,AA255,IF($A$1=$AC$1,AD255,IF($A$1=$AF$1,AG255,IF($A$1=$AI$1,AJ255))))))))))))</f>
        <v/>
      </c>
    </row>
    <row r="256" ht="15.5" customFormat="1" customHeight="1" s="1">
      <c r="A256" s="26" t="inlineStr">
        <is>
          <t>Yusen İnci Loj.</t>
        </is>
      </c>
      <c r="B256" s="7">
        <f>'Bütçe aylık-TL'!$B$165</f>
        <v/>
      </c>
      <c r="C256" s="7">
        <f>'gerç aylık-tl'!$B$164</f>
        <v/>
      </c>
      <c r="D256" s="8" t="n"/>
      <c r="E256" s="7">
        <f>'Bütçe aylık-TL'!$C$165</f>
        <v/>
      </c>
      <c r="F256" s="7">
        <f>'gerç aylık-tl'!$C$164</f>
        <v/>
      </c>
      <c r="G256" s="8" t="n"/>
      <c r="H256" s="7">
        <f>'Bütçe aylık-TL'!$D$165</f>
        <v/>
      </c>
      <c r="I256" s="7">
        <f>'gerç aylık-tl'!$D$164</f>
        <v/>
      </c>
      <c r="J256" s="8" t="n"/>
      <c r="K256" s="7">
        <f>'Bütçe aylık-TL'!$E$165</f>
        <v/>
      </c>
      <c r="L256" s="7">
        <f>'gerç aylık-tl'!$E$164</f>
        <v/>
      </c>
      <c r="M256" s="8" t="n"/>
      <c r="N256" s="7">
        <f>'Bütçe aylık-TL'!$F$165</f>
        <v/>
      </c>
      <c r="O256" s="7">
        <f>'gerç aylık-tl'!$F$164</f>
        <v/>
      </c>
      <c r="P256" s="8" t="n"/>
      <c r="Q256" s="7">
        <f>'Bütçe aylık-TL'!$G$165</f>
        <v/>
      </c>
      <c r="R256" s="7">
        <f>'gerç aylık-tl'!$G$164</f>
        <v/>
      </c>
      <c r="S256" s="8" t="n"/>
      <c r="T256" s="7">
        <f>'Bütçe aylık-TL'!$H$165</f>
        <v/>
      </c>
      <c r="U256" s="7">
        <f>'gerç aylık-tl'!$H$164</f>
        <v/>
      </c>
      <c r="V256" s="8" t="n"/>
      <c r="W256" s="7">
        <f>'Bütçe aylık-TL'!$I$165</f>
        <v/>
      </c>
      <c r="X256" s="7">
        <f>'gerç aylık-tl'!$I$164</f>
        <v/>
      </c>
      <c r="Y256" s="8" t="n"/>
      <c r="Z256" s="7">
        <f>'Bütçe aylık-TL'!$J$165</f>
        <v/>
      </c>
      <c r="AA256" s="7">
        <f>'gerç aylık-tl'!$J$164</f>
        <v/>
      </c>
      <c r="AB256" s="8" t="n"/>
      <c r="AC256" s="7">
        <f>'Bütçe aylık-TL'!$K$165</f>
        <v/>
      </c>
      <c r="AD256" s="7">
        <f>'gerç aylık-tl'!$K$164</f>
        <v/>
      </c>
      <c r="AE256" s="8" t="n"/>
      <c r="AF256" s="7">
        <f>'Bütçe aylık-TL'!$L$165</f>
        <v/>
      </c>
      <c r="AG256" s="7">
        <f>'gerç aylık-tl'!$L$164</f>
        <v/>
      </c>
      <c r="AH256" s="8" t="n"/>
      <c r="AI256" s="7">
        <f>'Bütçe aylık-TL'!$M$165</f>
        <v/>
      </c>
      <c r="AJ256" s="7">
        <f>'gerç aylık-tl'!$M$164</f>
        <v/>
      </c>
      <c r="AK256" s="8" t="n"/>
      <c r="AL256" s="21">
        <f>AP256-AO256</f>
        <v/>
      </c>
      <c r="AM256" s="22">
        <f>AP256/AO256-1</f>
        <v/>
      </c>
      <c r="AO256" s="44">
        <f>IF($A$1=$B$1,B256,IF($A$1=$E$1,E256,IF($A$1=$H$1,H256,IF($A$1=$K$1,K256,IF($A$1=$N$1,N256,IF($A$1=$Q$1,Q256,IF($A$1=$T$1,T256,IF($A$1=$W$1,W256,IF($A$1=$Z$1,Z256,IF($A$1=$AC$1,AC256,IF($A$1=$AF$1,AF256,IF($A$1=$AI$1,AI256))))))))))))</f>
        <v/>
      </c>
      <c r="AP256" s="44">
        <f>IF($A$1=$B$1,C256,IF($A$1=$E$1,F256,IF($A$1=$H$1,I256,IF($A$1=$K$1,L256,IF($A$1=$N$1,O256,IF($A$1=$Q$1,R256,IF($A$1=$T$1,U256,IF($A$1=$W$1,X256,IF($A$1=$Z$1,AA256,IF($A$1=$AC$1,AD256,IF($A$1=$AF$1,AG256,IF($A$1=$AI$1,AJ256))))))))))))</f>
        <v/>
      </c>
    </row>
    <row r="257" ht="15.5" customHeight="1">
      <c r="A257" s="26" t="inlineStr">
        <is>
          <t>Jantaş</t>
        </is>
      </c>
      <c r="B257" s="7">
        <f>'Bütçe aylık-TL'!$B$166</f>
        <v/>
      </c>
      <c r="C257" s="7">
        <f>'gerç aylık-tl'!$B$165</f>
        <v/>
      </c>
      <c r="D257" s="7" t="n"/>
      <c r="E257" s="7">
        <f>'Bütçe aylık-TL'!$C$166</f>
        <v/>
      </c>
      <c r="F257" s="7">
        <f>'gerç aylık-tl'!$C$165</f>
        <v/>
      </c>
      <c r="G257" s="7" t="n"/>
      <c r="H257" s="7">
        <f>'Bütçe aylık-TL'!$D$166</f>
        <v/>
      </c>
      <c r="I257" s="7">
        <f>'gerç aylık-tl'!$D$165</f>
        <v/>
      </c>
      <c r="J257" s="7" t="n"/>
      <c r="K257" s="7">
        <f>'Bütçe aylık-TL'!$E$166</f>
        <v/>
      </c>
      <c r="L257" s="7">
        <f>'gerç aylık-tl'!$E$165</f>
        <v/>
      </c>
      <c r="M257" s="7" t="n"/>
      <c r="N257" s="7">
        <f>'Bütçe aylık-TL'!$F$166</f>
        <v/>
      </c>
      <c r="O257" s="7">
        <f>'gerç aylık-tl'!$F$165</f>
        <v/>
      </c>
      <c r="P257" s="7" t="n"/>
      <c r="Q257" s="7">
        <f>'Bütçe aylık-TL'!$G$166</f>
        <v/>
      </c>
      <c r="R257" s="7">
        <f>'gerç aylık-tl'!$G$165</f>
        <v/>
      </c>
      <c r="S257" s="7" t="n"/>
      <c r="T257" s="7">
        <f>'Bütçe aylık-TL'!$H$166</f>
        <v/>
      </c>
      <c r="U257" s="7">
        <f>'gerç aylık-tl'!$H$165</f>
        <v/>
      </c>
      <c r="V257" s="7" t="n"/>
      <c r="W257" s="7">
        <f>'Bütçe aylık-TL'!$I$166</f>
        <v/>
      </c>
      <c r="X257" s="7">
        <f>'gerç aylık-tl'!$I$165</f>
        <v/>
      </c>
      <c r="Y257" s="7" t="n"/>
      <c r="Z257" s="7">
        <f>'Bütçe aylık-TL'!$J$166</f>
        <v/>
      </c>
      <c r="AA257" s="7">
        <f>'gerç aylık-tl'!$J$165</f>
        <v/>
      </c>
      <c r="AB257" s="7" t="n"/>
      <c r="AC257" s="7">
        <f>'Bütçe aylık-TL'!$K$166</f>
        <v/>
      </c>
      <c r="AD257" s="7">
        <f>'gerç aylık-tl'!$K$165</f>
        <v/>
      </c>
      <c r="AE257" s="7" t="n"/>
      <c r="AF257" s="7">
        <f>'Bütçe aylık-TL'!$L$166</f>
        <v/>
      </c>
      <c r="AG257" s="7">
        <f>'gerç aylık-tl'!$L$165</f>
        <v/>
      </c>
      <c r="AH257" s="7" t="n"/>
      <c r="AI257" s="7">
        <f>'Bütçe aylık-TL'!$M$166</f>
        <v/>
      </c>
      <c r="AJ257" s="7">
        <f>'gerç aylık-tl'!$M$165</f>
        <v/>
      </c>
      <c r="AK257" s="7" t="n"/>
      <c r="AL257" s="21">
        <f>AP257-AO257</f>
        <v/>
      </c>
      <c r="AM257" s="22">
        <f>AP257/AO257-1</f>
        <v/>
      </c>
      <c r="AO257" s="44">
        <f>IF($A$1=$B$1,B257,IF($A$1=$E$1,E257,IF($A$1=$H$1,H257,IF($A$1=$K$1,K257,IF($A$1=$N$1,N257,IF($A$1=$Q$1,Q257,IF($A$1=$T$1,T257,IF($A$1=$W$1,W257,IF($A$1=$Z$1,Z257,IF($A$1=$AC$1,AC257,IF($A$1=$AF$1,AF257,IF($A$1=$AI$1,AI257))))))))))))</f>
        <v/>
      </c>
      <c r="AP257" s="44">
        <f>IF($A$1=$B$1,C257,IF($A$1=$E$1,F257,IF($A$1=$H$1,I257,IF($A$1=$K$1,L257,IF($A$1=$N$1,O257,IF($A$1=$Q$1,R257,IF($A$1=$T$1,U257,IF($A$1=$W$1,X257,IF($A$1=$Z$1,AA257,IF($A$1=$AC$1,AD257,IF($A$1=$AF$1,AG257,IF($A$1=$AI$1,AJ257))))))))))))</f>
        <v/>
      </c>
    </row>
    <row r="258" ht="15.5" customFormat="1" customHeight="1" s="1">
      <c r="A258" s="26" t="inlineStr">
        <is>
          <t>Çelik</t>
        </is>
      </c>
      <c r="B258" s="7">
        <f>'Bütçe aylık-TL'!$B$167</f>
        <v/>
      </c>
      <c r="C258" s="7">
        <f>'gerç aylık-tl'!$B$166</f>
        <v/>
      </c>
      <c r="D258" s="8" t="n"/>
      <c r="E258" s="7">
        <f>'Bütçe aylık-TL'!$C$167</f>
        <v/>
      </c>
      <c r="F258" s="7">
        <f>'gerç aylık-tl'!$C$166</f>
        <v/>
      </c>
      <c r="G258" s="8" t="n"/>
      <c r="H258" s="7">
        <f>'Bütçe aylık-TL'!$D$167</f>
        <v/>
      </c>
      <c r="I258" s="7">
        <f>'gerç aylık-tl'!$D$166</f>
        <v/>
      </c>
      <c r="J258" s="8" t="n"/>
      <c r="K258" s="7">
        <f>'Bütçe aylık-TL'!$E$167</f>
        <v/>
      </c>
      <c r="L258" s="7">
        <f>'gerç aylık-tl'!$E$166</f>
        <v/>
      </c>
      <c r="M258" s="8" t="n"/>
      <c r="N258" s="7">
        <f>'Bütçe aylık-TL'!$F$167</f>
        <v/>
      </c>
      <c r="O258" s="7">
        <f>'gerç aylık-tl'!$F$166</f>
        <v/>
      </c>
      <c r="P258" s="8" t="n"/>
      <c r="Q258" s="7">
        <f>'Bütçe aylık-TL'!$G$167</f>
        <v/>
      </c>
      <c r="R258" s="7">
        <f>'gerç aylık-tl'!$G$166</f>
        <v/>
      </c>
      <c r="S258" s="8" t="n"/>
      <c r="T258" s="7">
        <f>'Bütçe aylık-TL'!$H$167</f>
        <v/>
      </c>
      <c r="U258" s="7">
        <f>'gerç aylık-tl'!$H$166</f>
        <v/>
      </c>
      <c r="V258" s="8" t="n"/>
      <c r="W258" s="7">
        <f>'Bütçe aylık-TL'!$I$167</f>
        <v/>
      </c>
      <c r="X258" s="7">
        <f>'gerç aylık-tl'!$I$166</f>
        <v/>
      </c>
      <c r="Y258" s="8" t="n"/>
      <c r="Z258" s="7">
        <f>'Bütçe aylık-TL'!$J$167</f>
        <v/>
      </c>
      <c r="AA258" s="7">
        <f>'gerç aylık-tl'!$J$166</f>
        <v/>
      </c>
      <c r="AB258" s="8" t="n"/>
      <c r="AC258" s="7">
        <f>'Bütçe aylık-TL'!$K$167</f>
        <v/>
      </c>
      <c r="AD258" s="7">
        <f>'gerç aylık-tl'!$K$166</f>
        <v/>
      </c>
      <c r="AE258" s="8" t="n"/>
      <c r="AF258" s="7">
        <f>'Bütçe aylık-TL'!$L$167</f>
        <v/>
      </c>
      <c r="AG258" s="7">
        <f>'gerç aylık-tl'!$L$166</f>
        <v/>
      </c>
      <c r="AH258" s="8" t="n"/>
      <c r="AI258" s="7">
        <f>'Bütçe aylık-TL'!$M$167</f>
        <v/>
      </c>
      <c r="AJ258" s="7">
        <f>'gerç aylık-tl'!$M$166</f>
        <v/>
      </c>
      <c r="AK258" s="8" t="n"/>
      <c r="AL258" s="21">
        <f>AP258-AO258</f>
        <v/>
      </c>
      <c r="AM258" s="22">
        <f>AP258/AO258-1</f>
        <v/>
      </c>
      <c r="AO258" s="44">
        <f>IF($A$1=$B$1,B258,IF($A$1=$E$1,E258,IF($A$1=$H$1,H258,IF($A$1=$K$1,K258,IF($A$1=$N$1,N258,IF($A$1=$Q$1,Q258,IF($A$1=$T$1,T258,IF($A$1=$W$1,W258,IF($A$1=$Z$1,Z258,IF($A$1=$AC$1,AC258,IF($A$1=$AF$1,AF258,IF($A$1=$AI$1,AI258))))))))))))</f>
        <v/>
      </c>
      <c r="AP258" s="44">
        <f>IF($A$1=$B$1,C258,IF($A$1=$E$1,F258,IF($A$1=$H$1,I258,IF($A$1=$K$1,L258,IF($A$1=$N$1,O258,IF($A$1=$Q$1,R258,IF($A$1=$T$1,U258,IF($A$1=$W$1,X258,IF($A$1=$Z$1,AA258,IF($A$1=$AC$1,AD258,IF($A$1=$AF$1,AG258,IF($A$1=$AI$1,AJ258))))))))))))</f>
        <v/>
      </c>
    </row>
    <row r="259" ht="15.5" customFormat="1" customHeight="1" s="1">
      <c r="A259" s="26" t="inlineStr">
        <is>
          <t>Alüminyum</t>
        </is>
      </c>
      <c r="B259" s="7">
        <f>'Bütçe aylık-TL'!$B$168</f>
        <v/>
      </c>
      <c r="C259" s="7">
        <f>'gerç aylık-tl'!$B$167</f>
        <v/>
      </c>
      <c r="D259" s="8" t="n"/>
      <c r="E259" s="7">
        <f>'Bütçe aylık-TL'!$C$168</f>
        <v/>
      </c>
      <c r="F259" s="7">
        <f>'gerç aylık-tl'!$C$167</f>
        <v/>
      </c>
      <c r="G259" s="8" t="n"/>
      <c r="H259" s="7">
        <f>'Bütçe aylık-TL'!$D$168</f>
        <v/>
      </c>
      <c r="I259" s="7">
        <f>'gerç aylık-tl'!$D$167</f>
        <v/>
      </c>
      <c r="J259" s="8" t="n"/>
      <c r="K259" s="7">
        <f>'Bütçe aylık-TL'!$E$168</f>
        <v/>
      </c>
      <c r="L259" s="7">
        <f>'gerç aylık-tl'!$E$167</f>
        <v/>
      </c>
      <c r="M259" s="8" t="n"/>
      <c r="N259" s="7">
        <f>'Bütçe aylık-TL'!$F$168</f>
        <v/>
      </c>
      <c r="O259" s="7">
        <f>'gerç aylık-tl'!$F$167</f>
        <v/>
      </c>
      <c r="P259" s="8" t="n"/>
      <c r="Q259" s="7">
        <f>'Bütçe aylık-TL'!$G$168</f>
        <v/>
      </c>
      <c r="R259" s="7">
        <f>'gerç aylık-tl'!$G$167</f>
        <v/>
      </c>
      <c r="S259" s="8" t="n"/>
      <c r="T259" s="7">
        <f>'Bütçe aylık-TL'!$H$168</f>
        <v/>
      </c>
      <c r="U259" s="7">
        <f>'gerç aylık-tl'!$H$167</f>
        <v/>
      </c>
      <c r="V259" s="8" t="n"/>
      <c r="W259" s="7">
        <f>'Bütçe aylık-TL'!$I$168</f>
        <v/>
      </c>
      <c r="X259" s="7">
        <f>'gerç aylık-tl'!$I$167</f>
        <v/>
      </c>
      <c r="Y259" s="8" t="n"/>
      <c r="Z259" s="7">
        <f>'Bütçe aylık-TL'!$J$168</f>
        <v/>
      </c>
      <c r="AA259" s="7">
        <f>'gerç aylık-tl'!$J$167</f>
        <v/>
      </c>
      <c r="AB259" s="8" t="n"/>
      <c r="AC259" s="7">
        <f>'Bütçe aylık-TL'!$K$168</f>
        <v/>
      </c>
      <c r="AD259" s="7">
        <f>'gerç aylık-tl'!$K$167</f>
        <v/>
      </c>
      <c r="AE259" s="8" t="n"/>
      <c r="AF259" s="7">
        <f>'Bütçe aylık-TL'!$L$168</f>
        <v/>
      </c>
      <c r="AG259" s="7">
        <f>'gerç aylık-tl'!$L$167</f>
        <v/>
      </c>
      <c r="AH259" s="8" t="n"/>
      <c r="AI259" s="7">
        <f>'Bütçe aylık-TL'!$M$168</f>
        <v/>
      </c>
      <c r="AJ259" s="7">
        <f>'gerç aylık-tl'!$M$167</f>
        <v/>
      </c>
      <c r="AK259" s="8" t="n"/>
      <c r="AL259" s="21">
        <f>AP259-AO259</f>
        <v/>
      </c>
      <c r="AM259" s="22">
        <f>AP259/AO259-1</f>
        <v/>
      </c>
      <c r="AO259" s="44">
        <f>IF($A$1=$B$1,B259,IF($A$1=$E$1,E259,IF($A$1=$H$1,H259,IF($A$1=$K$1,K259,IF($A$1=$N$1,N259,IF($A$1=$Q$1,Q259,IF($A$1=$T$1,T259,IF($A$1=$W$1,W259,IF($A$1=$Z$1,Z259,IF($A$1=$AC$1,AC259,IF($A$1=$AF$1,AF259,IF($A$1=$AI$1,AI259))))))))))))</f>
        <v/>
      </c>
      <c r="AP259" s="44">
        <f>IF($A$1=$B$1,C259,IF($A$1=$E$1,F259,IF($A$1=$H$1,I259,IF($A$1=$K$1,L259,IF($A$1=$N$1,O259,IF($A$1=$Q$1,R259,IF($A$1=$T$1,U259,IF($A$1=$W$1,X259,IF($A$1=$Z$1,AA259,IF($A$1=$AC$1,AD259,IF($A$1=$AF$1,AG259,IF($A$1=$AI$1,AJ259))))))))))))</f>
        <v/>
      </c>
    </row>
    <row r="260" ht="15.5" customFormat="1" customHeight="1" s="1">
      <c r="A260" s="26" t="n"/>
      <c r="B260" s="7" t="n"/>
      <c r="C260" s="8" t="n"/>
      <c r="D260" s="8" t="n"/>
      <c r="E260" s="7" t="n"/>
      <c r="F260" s="8" t="n"/>
      <c r="G260" s="8" t="n"/>
      <c r="H260" s="7" t="n"/>
      <c r="I260" s="8" t="n"/>
      <c r="J260" s="8" t="n"/>
      <c r="K260" s="7" t="n"/>
      <c r="L260" s="8" t="n"/>
      <c r="M260" s="8" t="n"/>
      <c r="N260" s="7" t="n"/>
      <c r="O260" s="8" t="n"/>
      <c r="P260" s="8" t="n"/>
      <c r="Q260" s="7" t="n"/>
      <c r="R260" s="8" t="n"/>
      <c r="S260" s="8" t="n"/>
      <c r="T260" s="7" t="n"/>
      <c r="U260" s="8" t="n"/>
      <c r="V260" s="8" t="n"/>
      <c r="W260" s="7" t="n"/>
      <c r="X260" s="8" t="n"/>
      <c r="Y260" s="8" t="n"/>
      <c r="Z260" s="7" t="n"/>
      <c r="AA260" s="8" t="n"/>
      <c r="AB260" s="8" t="n"/>
      <c r="AC260" s="7" t="n"/>
      <c r="AD260" s="8" t="n"/>
      <c r="AE260" s="8" t="n"/>
      <c r="AF260" s="7" t="n"/>
      <c r="AG260" s="8" t="n"/>
      <c r="AH260" s="8" t="n"/>
      <c r="AI260" s="7" t="n"/>
      <c r="AJ260" s="8" t="n"/>
      <c r="AK260" s="8" t="n"/>
      <c r="AL260" s="15" t="n"/>
      <c r="AM260" s="16" t="n"/>
      <c r="AO260" s="44" t="n"/>
      <c r="AP260" s="44" t="n"/>
    </row>
    <row r="261" ht="15.5" customFormat="1" customHeight="1" s="1">
      <c r="A261" s="26" t="n"/>
      <c r="B261" s="7" t="n"/>
      <c r="C261" s="8" t="n"/>
      <c r="D261" s="8" t="n"/>
      <c r="E261" s="7" t="n"/>
      <c r="F261" s="8" t="n"/>
      <c r="G261" s="8" t="n"/>
      <c r="H261" s="7" t="n"/>
      <c r="I261" s="8" t="n"/>
      <c r="J261" s="8" t="n"/>
      <c r="K261" s="7" t="n"/>
      <c r="L261" s="8" t="n"/>
      <c r="M261" s="8" t="n"/>
      <c r="N261" s="7" t="n"/>
      <c r="O261" s="8" t="n"/>
      <c r="P261" s="8" t="n"/>
      <c r="Q261" s="7" t="n"/>
      <c r="R261" s="8" t="n"/>
      <c r="S261" s="8" t="n"/>
      <c r="T261" s="7" t="n"/>
      <c r="U261" s="8" t="n"/>
      <c r="V261" s="8" t="n"/>
      <c r="W261" s="7" t="n"/>
      <c r="X261" s="8" t="n"/>
      <c r="Y261" s="8" t="n"/>
      <c r="Z261" s="7" t="n"/>
      <c r="AA261" s="8" t="n"/>
      <c r="AB261" s="8" t="n"/>
      <c r="AC261" s="7" t="n"/>
      <c r="AD261" s="8" t="n"/>
      <c r="AE261" s="8" t="n"/>
      <c r="AF261" s="7" t="n"/>
      <c r="AG261" s="8" t="n"/>
      <c r="AH261" s="8" t="n"/>
      <c r="AI261" s="7" t="n"/>
      <c r="AJ261" s="8" t="n"/>
      <c r="AK261" s="8" t="n"/>
      <c r="AL261" s="15" t="n"/>
      <c r="AM261" s="16" t="n"/>
      <c r="AO261" s="44" t="n"/>
      <c r="AP261" s="44" t="n"/>
    </row>
    <row r="262" ht="15.5" customFormat="1" customHeight="1" s="44">
      <c r="A262" s="31" t="inlineStr">
        <is>
          <t>Net Nakit (Borç)</t>
        </is>
      </c>
      <c r="B262" s="32">
        <f>B249-B236</f>
        <v/>
      </c>
      <c r="C262" s="32">
        <f>C249-C236</f>
        <v/>
      </c>
      <c r="D262" s="18" t="n"/>
      <c r="E262" s="32">
        <f>E249-E236</f>
        <v/>
      </c>
      <c r="F262" s="32">
        <f>F249-F236</f>
        <v/>
      </c>
      <c r="G262" s="18" t="n"/>
      <c r="H262" s="32">
        <f>H249-H236</f>
        <v/>
      </c>
      <c r="I262" s="32">
        <f>I249-I236</f>
        <v/>
      </c>
      <c r="J262" s="18" t="n"/>
      <c r="K262" s="32">
        <f>K249-K236</f>
        <v/>
      </c>
      <c r="L262" s="32">
        <f>L249-L236</f>
        <v/>
      </c>
      <c r="M262" s="18" t="n"/>
      <c r="N262" s="32">
        <f>N249-N236</f>
        <v/>
      </c>
      <c r="O262" s="32">
        <f>O249-O236</f>
        <v/>
      </c>
      <c r="P262" s="18" t="n"/>
      <c r="Q262" s="32">
        <f>Q249-Q236</f>
        <v/>
      </c>
      <c r="R262" s="32">
        <f>R249-R236</f>
        <v/>
      </c>
      <c r="S262" s="18" t="n"/>
      <c r="T262" s="32">
        <f>T249-T236</f>
        <v/>
      </c>
      <c r="U262" s="32">
        <f>U249-U236</f>
        <v/>
      </c>
      <c r="V262" s="18" t="n"/>
      <c r="W262" s="32">
        <f>W249-W236</f>
        <v/>
      </c>
      <c r="X262" s="32">
        <f>X249-X236</f>
        <v/>
      </c>
      <c r="Y262" s="18" t="n"/>
      <c r="Z262" s="32">
        <f>Z249-Z236</f>
        <v/>
      </c>
      <c r="AA262" s="32">
        <f>AA249-AA236</f>
        <v/>
      </c>
      <c r="AB262" s="18" t="n"/>
      <c r="AC262" s="32">
        <f>AC249-AC236</f>
        <v/>
      </c>
      <c r="AD262" s="32">
        <f>AD249-AD236</f>
        <v/>
      </c>
      <c r="AE262" s="18" t="n"/>
      <c r="AF262" s="32">
        <f>AF249-AF236</f>
        <v/>
      </c>
      <c r="AG262" s="32">
        <f>AG249-AG236</f>
        <v/>
      </c>
      <c r="AH262" s="18" t="n"/>
      <c r="AI262" s="32">
        <f>AI249-AI236</f>
        <v/>
      </c>
      <c r="AJ262" s="32">
        <f>AJ249-AJ236</f>
        <v/>
      </c>
      <c r="AK262" s="18" t="n"/>
      <c r="AL262" s="33">
        <f>AP262-AO262</f>
        <v/>
      </c>
      <c r="AM262" s="34">
        <f>AP262/AO262-1</f>
        <v/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/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/>
      </c>
    </row>
    <row r="263" ht="15.5" customFormat="1" customHeight="1" s="13">
      <c r="A263" s="27" t="n"/>
      <c r="B263" s="30" t="n"/>
      <c r="C263" s="30">
        <f>IFERROR((C220/#REF!),"")</f>
        <v/>
      </c>
      <c r="D263" s="41" t="n"/>
      <c r="E263" s="30" t="n"/>
      <c r="F263" s="30">
        <f>IFERROR((F220/#REF!),"")</f>
        <v/>
      </c>
      <c r="G263" s="41" t="n"/>
      <c r="H263" s="30" t="n"/>
      <c r="I263" s="30">
        <f>IFERROR((I220/#REF!),"")</f>
        <v/>
      </c>
      <c r="J263" s="41" t="n"/>
      <c r="K263" s="30" t="n"/>
      <c r="L263" s="30">
        <f>IFERROR((L220/#REF!),"")</f>
        <v/>
      </c>
      <c r="M263" s="41" t="n"/>
      <c r="N263" s="30" t="n"/>
      <c r="O263" s="30">
        <f>IFERROR((O220/#REF!),"")</f>
        <v/>
      </c>
      <c r="P263" s="41" t="n"/>
      <c r="Q263" s="30" t="n"/>
      <c r="R263" s="30">
        <f>IFERROR((R220/#REF!),"")</f>
        <v/>
      </c>
      <c r="S263" s="41" t="n"/>
      <c r="T263" s="30" t="n"/>
      <c r="U263" s="30">
        <f>IFERROR((U220/#REF!),"")</f>
        <v/>
      </c>
      <c r="V263" s="41" t="n"/>
      <c r="W263" s="30" t="n"/>
      <c r="X263" s="30">
        <f>IFERROR((X220/#REF!),"")</f>
        <v/>
      </c>
      <c r="Y263" s="41" t="n"/>
      <c r="Z263" s="30" t="n"/>
      <c r="AA263" s="30">
        <f>IFERROR((AA220/#REF!),"")</f>
        <v/>
      </c>
      <c r="AB263" s="41" t="n"/>
      <c r="AC263" s="30" t="n"/>
      <c r="AD263" s="30">
        <f>IFERROR((AD220/#REF!),"")</f>
        <v/>
      </c>
      <c r="AE263" s="41" t="n"/>
      <c r="AF263" s="30" t="n"/>
      <c r="AG263" s="30">
        <f>IFERROR((AG220/#REF!),"")</f>
        <v/>
      </c>
      <c r="AH263" s="41" t="n"/>
      <c r="AI263" s="30" t="n"/>
      <c r="AJ263" s="30">
        <f>IFERROR((AJ220/#REF!),"")</f>
        <v/>
      </c>
      <c r="AK263" s="41" t="n"/>
      <c r="AL263" s="15" t="n"/>
      <c r="AM263" s="22" t="n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/>
      </c>
      <c r="AP263" s="44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ht="17" customFormat="1" customHeight="1" s="49">
      <c r="A264" s="47" t="inlineStr">
        <is>
          <t>Net Nakit (Borç) (100%)</t>
        </is>
      </c>
      <c r="B264" s="413" t="n"/>
      <c r="C264" s="413" t="n"/>
      <c r="D264" s="413" t="n"/>
      <c r="E264" s="413" t="n"/>
      <c r="F264" s="413" t="n"/>
      <c r="G264" s="413" t="n"/>
      <c r="H264" s="413" t="n"/>
      <c r="I264" s="413" t="n"/>
      <c r="J264" s="413" t="n"/>
      <c r="K264" s="413" t="n"/>
      <c r="L264" s="413" t="n"/>
      <c r="M264" s="413" t="n"/>
      <c r="N264" s="413" t="n"/>
      <c r="O264" s="413" t="n"/>
      <c r="P264" s="413" t="n"/>
      <c r="Q264" s="413" t="n"/>
      <c r="R264" s="413" t="n"/>
      <c r="S264" s="413" t="n"/>
      <c r="T264" s="413" t="n"/>
      <c r="U264" s="413" t="n"/>
      <c r="V264" s="413" t="n"/>
      <c r="W264" s="413" t="n"/>
      <c r="X264" s="413" t="n"/>
      <c r="Y264" s="413" t="n"/>
      <c r="Z264" s="413" t="n"/>
      <c r="AA264" s="413" t="n"/>
      <c r="AB264" s="413" t="n"/>
      <c r="AC264" s="413" t="n"/>
      <c r="AD264" s="413" t="n"/>
      <c r="AE264" s="413" t="n"/>
      <c r="AF264" s="413" t="n"/>
      <c r="AG264" s="413" t="n"/>
      <c r="AH264" s="413" t="n"/>
      <c r="AI264" s="413" t="n"/>
      <c r="AJ264" s="413" t="n"/>
      <c r="AK264" s="413" t="n"/>
      <c r="AL264" s="413" t="n"/>
      <c r="AM264" s="48" t="n"/>
    </row>
    <row r="265" ht="15.5" customHeight="1">
      <c r="A265" s="26" t="inlineStr">
        <is>
          <t xml:space="preserve">İnci Holding </t>
        </is>
      </c>
      <c r="B265" s="7">
        <f>B252-B239</f>
        <v/>
      </c>
      <c r="C265" s="7">
        <f>C252-C239</f>
        <v/>
      </c>
      <c r="D265" s="7" t="n"/>
      <c r="E265" s="7">
        <f>E252-E239</f>
        <v/>
      </c>
      <c r="F265" s="7">
        <f>F252-F239</f>
        <v/>
      </c>
      <c r="G265" s="7" t="n"/>
      <c r="H265" s="7">
        <f>H252-H239</f>
        <v/>
      </c>
      <c r="I265" s="7">
        <f>I252-I239</f>
        <v/>
      </c>
      <c r="J265" s="7" t="n"/>
      <c r="K265" s="7">
        <f>K252-K239</f>
        <v/>
      </c>
      <c r="L265" s="7">
        <f>L252-L239</f>
        <v/>
      </c>
      <c r="M265" s="7" t="n"/>
      <c r="N265" s="7">
        <f>N252-N239</f>
        <v/>
      </c>
      <c r="O265" s="7">
        <f>O252-O239</f>
        <v/>
      </c>
      <c r="P265" s="7" t="n"/>
      <c r="Q265" s="7">
        <f>Q252-Q239</f>
        <v/>
      </c>
      <c r="R265" s="7">
        <f>R252-R239</f>
        <v/>
      </c>
      <c r="S265" s="7" t="n"/>
      <c r="T265" s="7">
        <f>T252-T239</f>
        <v/>
      </c>
      <c r="U265" s="7">
        <f>U252-U239</f>
        <v/>
      </c>
      <c r="V265" s="7" t="n"/>
      <c r="W265" s="7">
        <f>W252-W239</f>
        <v/>
      </c>
      <c r="X265" s="7">
        <f>X252-X239</f>
        <v/>
      </c>
      <c r="Y265" s="7" t="n"/>
      <c r="Z265" s="7">
        <f>Z252-Z239</f>
        <v/>
      </c>
      <c r="AA265" s="7">
        <f>AA252-AA239</f>
        <v/>
      </c>
      <c r="AB265" s="7" t="n"/>
      <c r="AC265" s="7">
        <f>AC252-AC239</f>
        <v/>
      </c>
      <c r="AD265" s="7">
        <f>AD252-AD239</f>
        <v/>
      </c>
      <c r="AE265" s="7" t="n"/>
      <c r="AF265" s="7">
        <f>AF252-AF239</f>
        <v/>
      </c>
      <c r="AG265" s="7">
        <f>AG252-AG239</f>
        <v/>
      </c>
      <c r="AH265" s="7" t="n"/>
      <c r="AI265" s="7">
        <f>AI252-AI239</f>
        <v/>
      </c>
      <c r="AJ265" s="7">
        <f>AJ252-AJ239</f>
        <v/>
      </c>
      <c r="AK265" s="7" t="n"/>
      <c r="AL265" s="21">
        <f>AP265-AO265</f>
        <v/>
      </c>
      <c r="AM265" s="22">
        <f>AP265/AO265-1</f>
        <v/>
      </c>
      <c r="AO265" s="44">
        <f>IF($A$1=$B$1,B265,IF($A$1=$E$1,E265,IF($A$1=$H$1,H265,IF($A$1=$K$1,K265,IF($A$1=$N$1,N265,IF($A$1=$Q$1,Q265,IF($A$1=$T$1,T265,IF($A$1=$W$1,W265,IF($A$1=$Z$1,Z265,IF($A$1=$AC$1,AC265,IF($A$1=$AF$1,AF265,IF($A$1=$AI$1,AI265))))))))))))</f>
        <v/>
      </c>
      <c r="AP265" s="44">
        <f>IF($A$1=$B$1,C265,IF($A$1=$E$1,F265,IF($A$1=$H$1,I265,IF($A$1=$K$1,L265,IF($A$1=$N$1,O265,IF($A$1=$Q$1,R265,IF($A$1=$T$1,U265,IF($A$1=$W$1,X265,IF($A$1=$Z$1,AA265,IF($A$1=$AC$1,AD265,IF($A$1=$AF$1,AG265,IF($A$1=$AI$1,AJ265))))))))))))</f>
        <v/>
      </c>
    </row>
    <row r="266" ht="15.5" customHeight="1">
      <c r="A266" s="26" t="inlineStr">
        <is>
          <t xml:space="preserve">ISM </t>
        </is>
      </c>
      <c r="B266" s="7">
        <f>B253-B240</f>
        <v/>
      </c>
      <c r="C266" s="7">
        <f>C253-C240</f>
        <v/>
      </c>
      <c r="D266" s="7" t="n"/>
      <c r="E266" s="7">
        <f>E253-E240</f>
        <v/>
      </c>
      <c r="F266" s="7">
        <f>F253-F240</f>
        <v/>
      </c>
      <c r="G266" s="7" t="n"/>
      <c r="H266" s="7">
        <f>H253-H240</f>
        <v/>
      </c>
      <c r="I266" s="7">
        <f>I253-I240</f>
        <v/>
      </c>
      <c r="J266" s="7" t="n"/>
      <c r="K266" s="7">
        <f>K253-K240</f>
        <v/>
      </c>
      <c r="L266" s="7">
        <f>L253-L240</f>
        <v/>
      </c>
      <c r="M266" s="7" t="n"/>
      <c r="N266" s="7">
        <f>N253-N240</f>
        <v/>
      </c>
      <c r="O266" s="7">
        <f>O253-O240</f>
        <v/>
      </c>
      <c r="P266" s="7" t="n"/>
      <c r="Q266" s="7">
        <f>Q253-Q240</f>
        <v/>
      </c>
      <c r="R266" s="7">
        <f>R253-R240</f>
        <v/>
      </c>
      <c r="S266" s="7" t="n"/>
      <c r="T266" s="7">
        <f>T253-T240</f>
        <v/>
      </c>
      <c r="U266" s="7">
        <f>U253-U240</f>
        <v/>
      </c>
      <c r="V266" s="7" t="n"/>
      <c r="W266" s="7">
        <f>W253-W240</f>
        <v/>
      </c>
      <c r="X266" s="7">
        <f>X253-X240</f>
        <v/>
      </c>
      <c r="Y266" s="7" t="n"/>
      <c r="Z266" s="7">
        <f>Z253-Z240</f>
        <v/>
      </c>
      <c r="AA266" s="7">
        <f>AA253-AA240</f>
        <v/>
      </c>
      <c r="AB266" s="7" t="n"/>
      <c r="AC266" s="7">
        <f>AC253-AC240</f>
        <v/>
      </c>
      <c r="AD266" s="7">
        <f>AD253-AD240</f>
        <v/>
      </c>
      <c r="AE266" s="7" t="n"/>
      <c r="AF266" s="7">
        <f>AF253-AF240</f>
        <v/>
      </c>
      <c r="AG266" s="7">
        <f>AG253-AG240</f>
        <v/>
      </c>
      <c r="AH266" s="7" t="n"/>
      <c r="AI266" s="7">
        <f>AI253-AI240</f>
        <v/>
      </c>
      <c r="AJ266" s="7">
        <f>AJ253-AJ240</f>
        <v/>
      </c>
      <c r="AK266" s="7" t="n"/>
      <c r="AL266" s="21">
        <f>AP266-AO266</f>
        <v/>
      </c>
      <c r="AM266" s="22">
        <f>AP266/AO266-1</f>
        <v/>
      </c>
      <c r="AO266" s="44">
        <f>IF($A$1=$B$1,B266,IF($A$1=$E$1,E266,IF($A$1=$H$1,H266,IF($A$1=$K$1,K266,IF($A$1=$N$1,N266,IF($A$1=$Q$1,Q266,IF($A$1=$T$1,T266,IF($A$1=$W$1,W266,IF($A$1=$Z$1,Z266,IF($A$1=$AC$1,AC266,IF($A$1=$AF$1,AF266,IF($A$1=$AI$1,AI266))))))))))))</f>
        <v/>
      </c>
      <c r="AP266" s="44">
        <f>IF($A$1=$B$1,C266,IF($A$1=$E$1,F266,IF($A$1=$H$1,I266,IF($A$1=$K$1,L266,IF($A$1=$N$1,O266,IF($A$1=$Q$1,R266,IF($A$1=$T$1,U266,IF($A$1=$W$1,X266,IF($A$1=$Z$1,AA266,IF($A$1=$AC$1,AD266,IF($A$1=$AF$1,AG266,IF($A$1=$AI$1,AJ266))))))))))))</f>
        <v/>
      </c>
    </row>
    <row r="267" ht="15.5" customHeight="1">
      <c r="A267" s="26" t="inlineStr">
        <is>
          <t>İncitaş</t>
        </is>
      </c>
      <c r="B267" s="7">
        <f>B254-B241</f>
        <v/>
      </c>
      <c r="C267" s="7">
        <f>C254-C241</f>
        <v/>
      </c>
      <c r="D267" s="7" t="n"/>
      <c r="E267" s="7">
        <f>E254-E241</f>
        <v/>
      </c>
      <c r="F267" s="7">
        <f>F254-F241</f>
        <v/>
      </c>
      <c r="G267" s="7" t="n"/>
      <c r="H267" s="7">
        <f>H254-H241</f>
        <v/>
      </c>
      <c r="I267" s="7">
        <f>I254-I241</f>
        <v/>
      </c>
      <c r="J267" s="7" t="n"/>
      <c r="K267" s="7">
        <f>K254-K241</f>
        <v/>
      </c>
      <c r="L267" s="7">
        <f>L254-L241</f>
        <v/>
      </c>
      <c r="M267" s="7" t="n"/>
      <c r="N267" s="7">
        <f>N254-N241</f>
        <v/>
      </c>
      <c r="O267" s="7">
        <f>O254-O241</f>
        <v/>
      </c>
      <c r="P267" s="7" t="n"/>
      <c r="Q267" s="7">
        <f>Q254-Q241</f>
        <v/>
      </c>
      <c r="R267" s="7">
        <f>R254-R241</f>
        <v/>
      </c>
      <c r="S267" s="7" t="n"/>
      <c r="T267" s="7">
        <f>T254-T241</f>
        <v/>
      </c>
      <c r="U267" s="7">
        <f>U254-U241</f>
        <v/>
      </c>
      <c r="V267" s="7" t="n"/>
      <c r="W267" s="7">
        <f>W254-W241</f>
        <v/>
      </c>
      <c r="X267" s="7">
        <f>X254-X241</f>
        <v/>
      </c>
      <c r="Y267" s="7" t="n"/>
      <c r="Z267" s="7">
        <f>Z254-Z241</f>
        <v/>
      </c>
      <c r="AA267" s="7">
        <f>AA254-AA241</f>
        <v/>
      </c>
      <c r="AB267" s="7" t="n"/>
      <c r="AC267" s="7">
        <f>AC254-AC241</f>
        <v/>
      </c>
      <c r="AD267" s="7">
        <f>AD254-AD241</f>
        <v/>
      </c>
      <c r="AE267" s="7" t="n"/>
      <c r="AF267" s="7">
        <f>AF254-AF241</f>
        <v/>
      </c>
      <c r="AG267" s="7">
        <f>AG254-AG241</f>
        <v/>
      </c>
      <c r="AH267" s="7" t="n"/>
      <c r="AI267" s="7">
        <f>AI254-AI241</f>
        <v/>
      </c>
      <c r="AJ267" s="7">
        <f>AJ254-AJ241</f>
        <v/>
      </c>
      <c r="AK267" s="7" t="n"/>
      <c r="AL267" s="21">
        <f>AP267-AO267</f>
        <v/>
      </c>
      <c r="AM267" s="22">
        <f>AP267/AO267-1</f>
        <v/>
      </c>
      <c r="AO267" s="44">
        <f>IF($A$1=$B$1,B267,IF($A$1=$E$1,E267,IF($A$1=$H$1,H267,IF($A$1=$K$1,K267,IF($A$1=$N$1,N267,IF($A$1=$Q$1,Q267,IF($A$1=$T$1,T267,IF($A$1=$W$1,W267,IF($A$1=$Z$1,Z267,IF($A$1=$AC$1,AC267,IF($A$1=$AF$1,AF267,IF($A$1=$AI$1,AI267))))))))))))</f>
        <v/>
      </c>
      <c r="AP267" s="44">
        <f>IF($A$1=$B$1,C267,IF($A$1=$E$1,F267,IF($A$1=$H$1,I267,IF($A$1=$K$1,L267,IF($A$1=$N$1,O267,IF($A$1=$Q$1,R267,IF($A$1=$T$1,U267,IF($A$1=$W$1,X267,IF($A$1=$Z$1,AA267,IF($A$1=$AC$1,AD267,IF($A$1=$AF$1,AG267,IF($A$1=$AI$1,AJ267))))))))))))</f>
        <v/>
      </c>
    </row>
    <row r="268" ht="15.5" customHeight="1">
      <c r="A268" s="26" t="inlineStr">
        <is>
          <t>İnci GS Yuasa</t>
        </is>
      </c>
      <c r="B268" s="7">
        <f>B255-B242</f>
        <v/>
      </c>
      <c r="C268" s="7">
        <f>C255-C242</f>
        <v/>
      </c>
      <c r="D268" s="7" t="n"/>
      <c r="E268" s="7">
        <f>E255-E242</f>
        <v/>
      </c>
      <c r="F268" s="7">
        <f>F255-F242</f>
        <v/>
      </c>
      <c r="G268" s="7" t="n"/>
      <c r="H268" s="7">
        <f>H255-H242</f>
        <v/>
      </c>
      <c r="I268" s="7">
        <f>I255-I242</f>
        <v/>
      </c>
      <c r="J268" s="7" t="n"/>
      <c r="K268" s="7">
        <f>K255-K242</f>
        <v/>
      </c>
      <c r="L268" s="7">
        <f>L255-L242</f>
        <v/>
      </c>
      <c r="M268" s="7" t="n"/>
      <c r="N268" s="7">
        <f>N255-N242</f>
        <v/>
      </c>
      <c r="O268" s="7">
        <f>O255-O242</f>
        <v/>
      </c>
      <c r="P268" s="7" t="n"/>
      <c r="Q268" s="7">
        <f>Q255-Q242</f>
        <v/>
      </c>
      <c r="R268" s="7">
        <f>R255-R242</f>
        <v/>
      </c>
      <c r="S268" s="7" t="n"/>
      <c r="T268" s="7">
        <f>T255-T242</f>
        <v/>
      </c>
      <c r="U268" s="7">
        <f>U255-U242</f>
        <v/>
      </c>
      <c r="V268" s="7" t="n"/>
      <c r="W268" s="7">
        <f>W255-W242</f>
        <v/>
      </c>
      <c r="X268" s="7">
        <f>X255-X242</f>
        <v/>
      </c>
      <c r="Y268" s="7" t="n"/>
      <c r="Z268" s="7">
        <f>Z255-Z242</f>
        <v/>
      </c>
      <c r="AA268" s="7">
        <f>AA255-AA242</f>
        <v/>
      </c>
      <c r="AB268" s="7" t="n"/>
      <c r="AC268" s="7">
        <f>AC255-AC242</f>
        <v/>
      </c>
      <c r="AD268" s="7">
        <f>AD255-AD242</f>
        <v/>
      </c>
      <c r="AE268" s="7" t="n"/>
      <c r="AF268" s="7">
        <f>AF255-AF242</f>
        <v/>
      </c>
      <c r="AG268" s="7">
        <f>AG255-AG242</f>
        <v/>
      </c>
      <c r="AH268" s="7" t="n"/>
      <c r="AI268" s="7">
        <f>AI255-AI242</f>
        <v/>
      </c>
      <c r="AJ268" s="7">
        <f>AJ255-AJ242</f>
        <v/>
      </c>
      <c r="AK268" s="7" t="n"/>
      <c r="AL268" s="21">
        <f>AP268-AO268</f>
        <v/>
      </c>
      <c r="AM268" s="22">
        <f>AP268/AO268-1</f>
        <v/>
      </c>
      <c r="AO268" s="44">
        <f>IF($A$1=$B$1,B268,IF($A$1=$E$1,E268,IF($A$1=$H$1,H268,IF($A$1=$K$1,K268,IF($A$1=$N$1,N268,IF($A$1=$Q$1,Q268,IF($A$1=$T$1,T268,IF($A$1=$W$1,W268,IF($A$1=$Z$1,Z268,IF($A$1=$AC$1,AC268,IF($A$1=$AF$1,AF268,IF($A$1=$AI$1,AI268))))))))))))</f>
        <v/>
      </c>
      <c r="AP268" s="44">
        <f>IF($A$1=$B$1,C268,IF($A$1=$E$1,F268,IF($A$1=$H$1,I268,IF($A$1=$K$1,L268,IF($A$1=$N$1,O268,IF($A$1=$Q$1,R268,IF($A$1=$T$1,U268,IF($A$1=$W$1,X268,IF($A$1=$Z$1,AA268,IF($A$1=$AC$1,AD268,IF($A$1=$AF$1,AG268,IF($A$1=$AI$1,AJ268))))))))))))</f>
        <v/>
      </c>
    </row>
    <row r="269" ht="15.5" customFormat="1" customHeight="1" s="1">
      <c r="A269" s="26" t="inlineStr">
        <is>
          <t>Yusen İnci Loj.</t>
        </is>
      </c>
      <c r="B269" s="7">
        <f>B256-B243</f>
        <v/>
      </c>
      <c r="C269" s="7">
        <f>C256-C243</f>
        <v/>
      </c>
      <c r="D269" s="8" t="n"/>
      <c r="E269" s="7">
        <f>E256-E243</f>
        <v/>
      </c>
      <c r="F269" s="7">
        <f>F256-F243</f>
        <v/>
      </c>
      <c r="G269" s="8" t="n"/>
      <c r="H269" s="7">
        <f>H256-H243</f>
        <v/>
      </c>
      <c r="I269" s="7">
        <f>I256-I243</f>
        <v/>
      </c>
      <c r="J269" s="8" t="n"/>
      <c r="K269" s="7">
        <f>K256-K243</f>
        <v/>
      </c>
      <c r="L269" s="7">
        <f>L256-L243</f>
        <v/>
      </c>
      <c r="M269" s="8" t="n"/>
      <c r="N269" s="7">
        <f>N256-N243</f>
        <v/>
      </c>
      <c r="O269" s="7">
        <f>O256-O243</f>
        <v/>
      </c>
      <c r="P269" s="8" t="n"/>
      <c r="Q269" s="7">
        <f>Q256-Q243</f>
        <v/>
      </c>
      <c r="R269" s="7">
        <f>R256-R243</f>
        <v/>
      </c>
      <c r="S269" s="8" t="n"/>
      <c r="T269" s="7">
        <f>T256-T243</f>
        <v/>
      </c>
      <c r="U269" s="7">
        <f>U256-U243</f>
        <v/>
      </c>
      <c r="V269" s="8" t="n"/>
      <c r="W269" s="7">
        <f>W256-W243</f>
        <v/>
      </c>
      <c r="X269" s="7">
        <f>X256-X243</f>
        <v/>
      </c>
      <c r="Y269" s="8" t="n"/>
      <c r="Z269" s="7">
        <f>Z256-Z243</f>
        <v/>
      </c>
      <c r="AA269" s="7">
        <f>AA256-AA243</f>
        <v/>
      </c>
      <c r="AB269" s="8" t="n"/>
      <c r="AC269" s="7">
        <f>AC256-AC243</f>
        <v/>
      </c>
      <c r="AD269" s="7">
        <f>AD256-AD243</f>
        <v/>
      </c>
      <c r="AE269" s="8" t="n"/>
      <c r="AF269" s="7">
        <f>AF256-AF243</f>
        <v/>
      </c>
      <c r="AG269" s="7">
        <f>AG256-AG243</f>
        <v/>
      </c>
      <c r="AH269" s="8" t="n"/>
      <c r="AI269" s="7">
        <f>AI256-AI243</f>
        <v/>
      </c>
      <c r="AJ269" s="7">
        <f>AJ256-AJ243</f>
        <v/>
      </c>
      <c r="AK269" s="8" t="n"/>
      <c r="AL269" s="21">
        <f>AP269-AO269</f>
        <v/>
      </c>
      <c r="AM269" s="22">
        <f>AP269/AO269-1</f>
        <v/>
      </c>
      <c r="AO269" s="44">
        <f>IF($A$1=$B$1,B269,IF($A$1=$E$1,E269,IF($A$1=$H$1,H269,IF($A$1=$K$1,K269,IF($A$1=$N$1,N269,IF($A$1=$Q$1,Q269,IF($A$1=$T$1,T269,IF($A$1=$W$1,W269,IF($A$1=$Z$1,Z269,IF($A$1=$AC$1,AC269,IF($A$1=$AF$1,AF269,IF($A$1=$AI$1,AI269))))))))))))</f>
        <v/>
      </c>
      <c r="AP269" s="44">
        <f>IF($A$1=$B$1,C269,IF($A$1=$E$1,F269,IF($A$1=$H$1,I269,IF($A$1=$K$1,L269,IF($A$1=$N$1,O269,IF($A$1=$Q$1,R269,IF($A$1=$T$1,U269,IF($A$1=$W$1,X269,IF($A$1=$Z$1,AA269,IF($A$1=$AC$1,AD269,IF($A$1=$AF$1,AG269,IF($A$1=$AI$1,AJ269))))))))))))</f>
        <v/>
      </c>
    </row>
    <row r="270" ht="15.5" customHeight="1">
      <c r="A270" s="26" t="inlineStr">
        <is>
          <t>Jantaş</t>
        </is>
      </c>
      <c r="B270" s="7">
        <f>B257-B244</f>
        <v/>
      </c>
      <c r="C270" s="7">
        <f>C257-C244</f>
        <v/>
      </c>
      <c r="D270" s="7" t="n"/>
      <c r="E270" s="7">
        <f>E257-E244</f>
        <v/>
      </c>
      <c r="F270" s="7">
        <f>F257-F244</f>
        <v/>
      </c>
      <c r="G270" s="7" t="n"/>
      <c r="H270" s="7">
        <f>H257-H244</f>
        <v/>
      </c>
      <c r="I270" s="7">
        <f>I257-I244</f>
        <v/>
      </c>
      <c r="J270" s="7" t="n"/>
      <c r="K270" s="7">
        <f>K257-K244</f>
        <v/>
      </c>
      <c r="L270" s="7">
        <f>L257-L244</f>
        <v/>
      </c>
      <c r="M270" s="7" t="n"/>
      <c r="N270" s="7">
        <f>N257-N244</f>
        <v/>
      </c>
      <c r="O270" s="7">
        <f>O257-O244</f>
        <v/>
      </c>
      <c r="P270" s="7" t="n"/>
      <c r="Q270" s="7">
        <f>Q257-Q244</f>
        <v/>
      </c>
      <c r="R270" s="7">
        <f>R257-R244</f>
        <v/>
      </c>
      <c r="S270" s="7" t="n"/>
      <c r="T270" s="7">
        <f>T257-T244</f>
        <v/>
      </c>
      <c r="U270" s="7">
        <f>U257-U244</f>
        <v/>
      </c>
      <c r="V270" s="7" t="n"/>
      <c r="W270" s="7">
        <f>W257-W244</f>
        <v/>
      </c>
      <c r="X270" s="7">
        <f>X257-X244</f>
        <v/>
      </c>
      <c r="Y270" s="7" t="n"/>
      <c r="Z270" s="7">
        <f>Z257-Z244</f>
        <v/>
      </c>
      <c r="AA270" s="7">
        <f>AA257-AA244</f>
        <v/>
      </c>
      <c r="AB270" s="7" t="n"/>
      <c r="AC270" s="7">
        <f>AC257-AC244</f>
        <v/>
      </c>
      <c r="AD270" s="7">
        <f>AD257-AD244</f>
        <v/>
      </c>
      <c r="AE270" s="7" t="n"/>
      <c r="AF270" s="7">
        <f>AF257-AF244</f>
        <v/>
      </c>
      <c r="AG270" s="7">
        <f>AG257-AG244</f>
        <v/>
      </c>
      <c r="AH270" s="7" t="n"/>
      <c r="AI270" s="7">
        <f>AI257-AI244</f>
        <v/>
      </c>
      <c r="AJ270" s="7">
        <f>AJ257-AJ244</f>
        <v/>
      </c>
      <c r="AK270" s="7" t="n"/>
      <c r="AL270" s="21">
        <f>AP270-AO270</f>
        <v/>
      </c>
      <c r="AM270" s="22">
        <f>AP270/AO270-1</f>
        <v/>
      </c>
      <c r="AO270" s="44">
        <f>IF($A$1=$B$1,B270,IF($A$1=$E$1,E270,IF($A$1=$H$1,H270,IF($A$1=$K$1,K270,IF($A$1=$N$1,N270,IF($A$1=$Q$1,Q270,IF($A$1=$T$1,T270,IF($A$1=$W$1,W270,IF($A$1=$Z$1,Z270,IF($A$1=$AC$1,AC270,IF($A$1=$AF$1,AF270,IF($A$1=$AI$1,AI270))))))))))))</f>
        <v/>
      </c>
      <c r="AP270" s="44">
        <f>IF($A$1=$B$1,C270,IF($A$1=$E$1,F270,IF($A$1=$H$1,I270,IF($A$1=$K$1,L270,IF($A$1=$N$1,O270,IF($A$1=$Q$1,R270,IF($A$1=$T$1,U270,IF($A$1=$W$1,X270,IF($A$1=$Z$1,AA270,IF($A$1=$AC$1,AD270,IF($A$1=$AF$1,AG270,IF($A$1=$AI$1,AJ270))))))))))))</f>
        <v/>
      </c>
    </row>
    <row r="271" ht="15.5" customFormat="1" customHeight="1" s="1">
      <c r="A271" s="26" t="inlineStr">
        <is>
          <t>Çelik</t>
        </is>
      </c>
      <c r="B271" s="7">
        <f>B258-B245</f>
        <v/>
      </c>
      <c r="C271" s="7">
        <f>C258-C245</f>
        <v/>
      </c>
      <c r="D271" s="8" t="n"/>
      <c r="E271" s="7">
        <f>E258-E245</f>
        <v/>
      </c>
      <c r="F271" s="7">
        <f>F258-F245</f>
        <v/>
      </c>
      <c r="G271" s="8" t="n"/>
      <c r="H271" s="7">
        <f>H258-H245</f>
        <v/>
      </c>
      <c r="I271" s="7">
        <f>I258-I245</f>
        <v/>
      </c>
      <c r="J271" s="8" t="n"/>
      <c r="K271" s="7">
        <f>K258-K245</f>
        <v/>
      </c>
      <c r="L271" s="7">
        <f>L258-L245</f>
        <v/>
      </c>
      <c r="M271" s="8" t="n"/>
      <c r="N271" s="7">
        <f>N258-N245</f>
        <v/>
      </c>
      <c r="O271" s="7">
        <f>O258-O245</f>
        <v/>
      </c>
      <c r="P271" s="8" t="n"/>
      <c r="Q271" s="7">
        <f>Q258-Q245</f>
        <v/>
      </c>
      <c r="R271" s="7">
        <f>R258-R245</f>
        <v/>
      </c>
      <c r="S271" s="8" t="n"/>
      <c r="T271" s="7">
        <f>T258-T245</f>
        <v/>
      </c>
      <c r="U271" s="7">
        <f>U258-U245</f>
        <v/>
      </c>
      <c r="V271" s="8" t="n"/>
      <c r="W271" s="7">
        <f>W258-W245</f>
        <v/>
      </c>
      <c r="X271" s="7">
        <f>X258-X245</f>
        <v/>
      </c>
      <c r="Y271" s="8" t="n"/>
      <c r="Z271" s="7">
        <f>Z258-Z245</f>
        <v/>
      </c>
      <c r="AA271" s="7">
        <f>AA258-AA245</f>
        <v/>
      </c>
      <c r="AB271" s="8" t="n"/>
      <c r="AC271" s="7">
        <f>AC258-AC245</f>
        <v/>
      </c>
      <c r="AD271" s="7">
        <f>AD258-AD245</f>
        <v/>
      </c>
      <c r="AE271" s="8" t="n"/>
      <c r="AF271" s="7">
        <f>AF258-AF245</f>
        <v/>
      </c>
      <c r="AG271" s="7">
        <f>AG258-AG245</f>
        <v/>
      </c>
      <c r="AH271" s="8" t="n"/>
      <c r="AI271" s="7">
        <f>AI258-AI245</f>
        <v/>
      </c>
      <c r="AJ271" s="7">
        <f>AJ258-AJ245</f>
        <v/>
      </c>
      <c r="AK271" s="8" t="n"/>
      <c r="AL271" s="21">
        <f>AP271-AO271</f>
        <v/>
      </c>
      <c r="AM271" s="22">
        <f>AP271/AO271-1</f>
        <v/>
      </c>
      <c r="AO271" s="44">
        <f>IF($A$1=$B$1,B271,IF($A$1=$E$1,E271,IF($A$1=$H$1,H271,IF($A$1=$K$1,K271,IF($A$1=$N$1,N271,IF($A$1=$Q$1,Q271,IF($A$1=$T$1,T271,IF($A$1=$W$1,W271,IF($A$1=$Z$1,Z271,IF($A$1=$AC$1,AC271,IF($A$1=$AF$1,AF271,IF($A$1=$AI$1,AI271))))))))))))</f>
        <v/>
      </c>
      <c r="AP271" s="44">
        <f>IF($A$1=$B$1,C271,IF($A$1=$E$1,F271,IF($A$1=$H$1,I271,IF($A$1=$K$1,L271,IF($A$1=$N$1,O271,IF($A$1=$Q$1,R271,IF($A$1=$T$1,U271,IF($A$1=$W$1,X271,IF($A$1=$Z$1,AA271,IF($A$1=$AC$1,AD271,IF($A$1=$AF$1,AG271,IF($A$1=$AI$1,AJ271))))))))))))</f>
        <v/>
      </c>
    </row>
    <row r="272" ht="15.5" customFormat="1" customHeight="1" s="1">
      <c r="A272" s="26" t="inlineStr">
        <is>
          <t>Alüminyum</t>
        </is>
      </c>
      <c r="B272" s="7">
        <f>B259-B246</f>
        <v/>
      </c>
      <c r="C272" s="7">
        <f>C259-C246</f>
        <v/>
      </c>
      <c r="D272" s="8" t="n"/>
      <c r="E272" s="7">
        <f>E259-E246</f>
        <v/>
      </c>
      <c r="F272" s="7">
        <f>F259-F246</f>
        <v/>
      </c>
      <c r="G272" s="8" t="n"/>
      <c r="H272" s="7">
        <f>H259-H246</f>
        <v/>
      </c>
      <c r="I272" s="7">
        <f>I259-I246</f>
        <v/>
      </c>
      <c r="J272" s="8" t="n"/>
      <c r="K272" s="7">
        <f>K259-K246</f>
        <v/>
      </c>
      <c r="L272" s="7">
        <f>L259-L246</f>
        <v/>
      </c>
      <c r="M272" s="8" t="n"/>
      <c r="N272" s="7">
        <f>N259-N246</f>
        <v/>
      </c>
      <c r="O272" s="7">
        <f>O259-O246</f>
        <v/>
      </c>
      <c r="P272" s="8" t="n"/>
      <c r="Q272" s="7">
        <f>Q259-Q246</f>
        <v/>
      </c>
      <c r="R272" s="7">
        <f>R259-R246</f>
        <v/>
      </c>
      <c r="S272" s="8" t="n"/>
      <c r="T272" s="7">
        <f>T259-T246</f>
        <v/>
      </c>
      <c r="U272" s="7">
        <f>U259-U246</f>
        <v/>
      </c>
      <c r="V272" s="8" t="n"/>
      <c r="W272" s="7">
        <f>W259-W246</f>
        <v/>
      </c>
      <c r="X272" s="7">
        <f>X259-X246</f>
        <v/>
      </c>
      <c r="Y272" s="8" t="n"/>
      <c r="Z272" s="7">
        <f>Z259-Z246</f>
        <v/>
      </c>
      <c r="AA272" s="7">
        <f>AA259-AA246</f>
        <v/>
      </c>
      <c r="AB272" s="8" t="n"/>
      <c r="AC272" s="7">
        <f>AC259-AC246</f>
        <v/>
      </c>
      <c r="AD272" s="7">
        <f>AD259-AD246</f>
        <v/>
      </c>
      <c r="AE272" s="8" t="n"/>
      <c r="AF272" s="7">
        <f>AF259-AF246</f>
        <v/>
      </c>
      <c r="AG272" s="7">
        <f>AG259-AG246</f>
        <v/>
      </c>
      <c r="AH272" s="8" t="n"/>
      <c r="AI272" s="7">
        <f>AI259-AI246</f>
        <v/>
      </c>
      <c r="AJ272" s="7">
        <f>AJ259-AJ246</f>
        <v/>
      </c>
      <c r="AK272" s="8" t="n"/>
      <c r="AL272" s="21">
        <f>AP272-AO272</f>
        <v/>
      </c>
      <c r="AM272" s="22">
        <f>AP272/AO272-1</f>
        <v/>
      </c>
      <c r="AO272" s="44">
        <f>IF($A$1=$B$1,B272,IF($A$1=$E$1,E272,IF($A$1=$H$1,H272,IF($A$1=$K$1,K272,IF($A$1=$N$1,N272,IF($A$1=$Q$1,Q272,IF($A$1=$T$1,T272,IF($A$1=$W$1,W272,IF($A$1=$Z$1,Z272,IF($A$1=$AC$1,AC272,IF($A$1=$AF$1,AF272,IF($A$1=$AI$1,AI272))))))))))))</f>
        <v/>
      </c>
      <c r="AP272" s="44">
        <f>IF($A$1=$B$1,C272,IF($A$1=$E$1,F272,IF($A$1=$H$1,I272,IF($A$1=$K$1,L272,IF($A$1=$N$1,O272,IF($A$1=$Q$1,R272,IF($A$1=$T$1,U272,IF($A$1=$W$1,X272,IF($A$1=$Z$1,AA272,IF($A$1=$AC$1,AD272,IF($A$1=$AF$1,AG272,IF($A$1=$AI$1,AJ272))))))))))))</f>
        <v/>
      </c>
    </row>
    <row r="273" ht="15.5" customFormat="1" customHeight="1" s="1">
      <c r="A273" s="26" t="n"/>
      <c r="B273" s="7" t="n"/>
      <c r="C273" s="8" t="n"/>
      <c r="D273" s="8" t="n"/>
      <c r="E273" s="7" t="n"/>
      <c r="F273" s="8" t="n"/>
      <c r="G273" s="8" t="n"/>
      <c r="H273" s="7" t="n"/>
      <c r="I273" s="8" t="n"/>
      <c r="J273" s="8" t="n"/>
      <c r="K273" s="7" t="n"/>
      <c r="L273" s="8" t="n"/>
      <c r="M273" s="8" t="n"/>
      <c r="N273" s="7" t="n"/>
      <c r="O273" s="8" t="n"/>
      <c r="P273" s="8" t="n"/>
      <c r="Q273" s="7" t="n"/>
      <c r="R273" s="8" t="n"/>
      <c r="S273" s="8" t="n"/>
      <c r="T273" s="7" t="n"/>
      <c r="U273" s="8" t="n"/>
      <c r="V273" s="8" t="n"/>
      <c r="W273" s="7" t="n"/>
      <c r="X273" s="8" t="n"/>
      <c r="Y273" s="8" t="n"/>
      <c r="Z273" s="7" t="n"/>
      <c r="AA273" s="8" t="n"/>
      <c r="AB273" s="8" t="n"/>
      <c r="AC273" s="7" t="n"/>
      <c r="AD273" s="8" t="n"/>
      <c r="AE273" s="8" t="n"/>
      <c r="AF273" s="7" t="n"/>
      <c r="AG273" s="8" t="n"/>
      <c r="AH273" s="8" t="n"/>
      <c r="AI273" s="7" t="n"/>
      <c r="AJ273" s="8" t="n"/>
      <c r="AK273" s="8" t="n"/>
      <c r="AL273" s="15" t="n"/>
      <c r="AM273" s="16" t="n"/>
      <c r="AO273" s="44" t="n"/>
      <c r="AP273" s="44" t="n"/>
    </row>
    <row r="274" ht="15.5" customFormat="1" customHeight="1" s="1">
      <c r="A274" s="26" t="n"/>
      <c r="B274" s="7" t="n"/>
      <c r="C274" s="8" t="n"/>
      <c r="D274" s="8" t="n"/>
      <c r="E274" s="7" t="n"/>
      <c r="F274" s="8" t="n"/>
      <c r="G274" s="8" t="n"/>
      <c r="H274" s="7" t="n"/>
      <c r="I274" s="8" t="n"/>
      <c r="J274" s="8" t="n"/>
      <c r="K274" s="7" t="n"/>
      <c r="L274" s="8" t="n"/>
      <c r="M274" s="8" t="n"/>
      <c r="N274" s="7" t="n"/>
      <c r="O274" s="8" t="n"/>
      <c r="P274" s="8" t="n"/>
      <c r="Q274" s="7" t="n"/>
      <c r="R274" s="8" t="n"/>
      <c r="S274" s="8" t="n"/>
      <c r="T274" s="7" t="n"/>
      <c r="U274" s="8" t="n"/>
      <c r="V274" s="8" t="n"/>
      <c r="W274" s="7" t="n"/>
      <c r="X274" s="8" t="n"/>
      <c r="Y274" s="8" t="n"/>
      <c r="Z274" s="7" t="n"/>
      <c r="AA274" s="8" t="n"/>
      <c r="AB274" s="8" t="n"/>
      <c r="AC274" s="7" t="n"/>
      <c r="AD274" s="8" t="n"/>
      <c r="AE274" s="8" t="n"/>
      <c r="AF274" s="7" t="n"/>
      <c r="AG274" s="8" t="n"/>
      <c r="AH274" s="8" t="n"/>
      <c r="AI274" s="7" t="n"/>
      <c r="AJ274" s="8" t="n"/>
      <c r="AK274" s="8" t="n"/>
      <c r="AL274" s="15" t="n"/>
      <c r="AM274" s="16" t="n"/>
      <c r="AO274" s="44" t="n"/>
      <c r="AP274" s="44" t="n"/>
    </row>
    <row r="275" ht="15.5" customFormat="1" customHeight="1" s="44">
      <c r="A275" s="31" t="inlineStr">
        <is>
          <t>Yatırım</t>
        </is>
      </c>
      <c r="B275" s="32">
        <f>'Bütçe aylık-TL'!$B$186</f>
        <v/>
      </c>
      <c r="C275" s="32">
        <f>'gerç aylık-tl'!$B$185</f>
        <v/>
      </c>
      <c r="D275" s="18" t="n"/>
      <c r="E275" s="32">
        <f>'Bütçe aylık-TL'!$C$186</f>
        <v/>
      </c>
      <c r="F275" s="32">
        <f>'gerç aylık-tl'!$C$185</f>
        <v/>
      </c>
      <c r="G275" s="18" t="n"/>
      <c r="H275" s="32">
        <f>'Bütçe aylık-TL'!$D$186</f>
        <v/>
      </c>
      <c r="I275" s="32">
        <f>'gerç aylık-tl'!$D$185</f>
        <v/>
      </c>
      <c r="J275" s="18" t="n"/>
      <c r="K275" s="32">
        <f>'Bütçe aylık-TL'!$E$186</f>
        <v/>
      </c>
      <c r="L275" s="32">
        <f>'gerç aylık-tl'!$E$185</f>
        <v/>
      </c>
      <c r="M275" s="18" t="n"/>
      <c r="N275" s="32">
        <f>'Bütçe aylık-TL'!$F$186</f>
        <v/>
      </c>
      <c r="O275" s="32">
        <f>'gerç aylık-tl'!$F$185</f>
        <v/>
      </c>
      <c r="P275" s="18" t="n"/>
      <c r="Q275" s="32">
        <f>'Bütçe aylık-TL'!$G$186</f>
        <v/>
      </c>
      <c r="R275" s="32">
        <f>'gerç aylık-tl'!$G$185</f>
        <v/>
      </c>
      <c r="S275" s="18" t="n"/>
      <c r="T275" s="32">
        <f>'Bütçe aylık-TL'!$H$186</f>
        <v/>
      </c>
      <c r="U275" s="32">
        <f>'gerç aylık-tl'!$H$185</f>
        <v/>
      </c>
      <c r="V275" s="18" t="n"/>
      <c r="W275" s="32">
        <f>'Bütçe aylık-TL'!$I$186</f>
        <v/>
      </c>
      <c r="X275" s="32">
        <f>'gerç aylık-tl'!$I$185</f>
        <v/>
      </c>
      <c r="Y275" s="18" t="n"/>
      <c r="Z275" s="32">
        <f>'Bütçe aylık-TL'!$J$186</f>
        <v/>
      </c>
      <c r="AA275" s="32">
        <f>'gerç aylık-tl'!$J$185</f>
        <v/>
      </c>
      <c r="AB275" s="18" t="n"/>
      <c r="AC275" s="32">
        <f>'Bütçe aylık-TL'!$K$186</f>
        <v/>
      </c>
      <c r="AD275" s="32">
        <f>'gerç aylık-tl'!$K$185</f>
        <v/>
      </c>
      <c r="AE275" s="18" t="n"/>
      <c r="AF275" s="32">
        <f>'Bütçe aylık-TL'!$L$186</f>
        <v/>
      </c>
      <c r="AG275" s="32">
        <f>'gerç aylık-tl'!$L$185</f>
        <v/>
      </c>
      <c r="AH275" s="18" t="n"/>
      <c r="AI275" s="32">
        <f>'Bütçe aylık-TL'!$M$186</f>
        <v/>
      </c>
      <c r="AJ275" s="32">
        <f>'gerç aylık-tl'!$M$185</f>
        <v/>
      </c>
      <c r="AK275" s="18" t="n"/>
      <c r="AL275" s="33">
        <f>AP275-AO275</f>
        <v/>
      </c>
      <c r="AM275" s="34">
        <f>AP275/AO275-1</f>
        <v/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/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/>
      </c>
    </row>
    <row r="276" ht="15.5" customFormat="1" customHeight="1" s="13">
      <c r="A276" s="27" t="n"/>
      <c r="B276" s="30" t="n"/>
      <c r="C276" s="30">
        <f>IFERROR((C233/#REF!),"")</f>
        <v/>
      </c>
      <c r="D276" s="41" t="n"/>
      <c r="E276" s="30" t="n"/>
      <c r="F276" s="30">
        <f>IFERROR((F233/#REF!),"")</f>
        <v/>
      </c>
      <c r="G276" s="41" t="n"/>
      <c r="H276" s="30" t="n"/>
      <c r="I276" s="30">
        <f>IFERROR((I233/#REF!),"")</f>
        <v/>
      </c>
      <c r="J276" s="41" t="n"/>
      <c r="K276" s="30" t="n"/>
      <c r="L276" s="30">
        <f>IFERROR((L233/#REF!),"")</f>
        <v/>
      </c>
      <c r="M276" s="41" t="n"/>
      <c r="N276" s="30" t="n"/>
      <c r="O276" s="30">
        <f>IFERROR((O233/#REF!),"")</f>
        <v/>
      </c>
      <c r="P276" s="41" t="n"/>
      <c r="Q276" s="30" t="n"/>
      <c r="R276" s="30">
        <f>IFERROR((R233/#REF!),"")</f>
        <v/>
      </c>
      <c r="S276" s="41" t="n"/>
      <c r="T276" s="30" t="n"/>
      <c r="U276" s="30">
        <f>IFERROR((U233/#REF!),"")</f>
        <v/>
      </c>
      <c r="V276" s="41" t="n"/>
      <c r="W276" s="30" t="n"/>
      <c r="X276" s="30">
        <f>IFERROR((X233/#REF!),"")</f>
        <v/>
      </c>
      <c r="Y276" s="41" t="n"/>
      <c r="Z276" s="30" t="n"/>
      <c r="AA276" s="30">
        <f>IFERROR((AA233/#REF!),"")</f>
        <v/>
      </c>
      <c r="AB276" s="41" t="n"/>
      <c r="AC276" s="30" t="n"/>
      <c r="AD276" s="30">
        <f>IFERROR((AD233/#REF!),"")</f>
        <v/>
      </c>
      <c r="AE276" s="41" t="n"/>
      <c r="AF276" s="30" t="n"/>
      <c r="AG276" s="30">
        <f>IFERROR((AG233/#REF!),"")</f>
        <v/>
      </c>
      <c r="AH276" s="41" t="n"/>
      <c r="AI276" s="30" t="n"/>
      <c r="AJ276" s="30">
        <f>IFERROR((AJ233/#REF!),"")</f>
        <v/>
      </c>
      <c r="AK276" s="41" t="n"/>
      <c r="AL276" s="15" t="n"/>
      <c r="AM276" s="22" t="n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/>
      </c>
      <c r="AP276" s="44">
        <f>IF($A$1=$B$1,C276,IF($A$1=$E$1,F276,IF($A$1=$H$1,I276,IF($A$1=$K$1,L276,IF($A$1=$N$1,O276,IF($A$1=$Q$1,R276,IF($A$1=$T$1,U276,IF($A$1=$W$1,X276,IF($A$1=$Z$1,AA276,IF($A$1=$AC$1,AD276,IF($A$1=$AF$1,AG276,IF($A$1=$AI$1,AJ276))))))))))))</f>
        <v/>
      </c>
    </row>
    <row r="277" ht="17" customFormat="1" customHeight="1" s="49">
      <c r="A277" s="47" t="inlineStr">
        <is>
          <t>Yatırım (100%)</t>
        </is>
      </c>
      <c r="B277" s="413" t="n"/>
      <c r="C277" s="413" t="n"/>
      <c r="D277" s="413" t="n"/>
      <c r="E277" s="413" t="n"/>
      <c r="F277" s="413" t="n"/>
      <c r="G277" s="413" t="n"/>
      <c r="H277" s="413" t="n"/>
      <c r="I277" s="413" t="n"/>
      <c r="J277" s="413" t="n"/>
      <c r="K277" s="413" t="n"/>
      <c r="L277" s="413" t="n"/>
      <c r="M277" s="413" t="n"/>
      <c r="N277" s="413" t="n"/>
      <c r="O277" s="413" t="n"/>
      <c r="P277" s="413" t="n"/>
      <c r="Q277" s="413" t="n"/>
      <c r="R277" s="413" t="n"/>
      <c r="S277" s="413" t="n"/>
      <c r="T277" s="413" t="n"/>
      <c r="U277" s="413" t="n"/>
      <c r="V277" s="413" t="n"/>
      <c r="W277" s="413" t="n"/>
      <c r="X277" s="413" t="n"/>
      <c r="Y277" s="413" t="n"/>
      <c r="Z277" s="413" t="n"/>
      <c r="AA277" s="413" t="n"/>
      <c r="AB277" s="413" t="n"/>
      <c r="AC277" s="413" t="n"/>
      <c r="AD277" s="413" t="n"/>
      <c r="AE277" s="413" t="n"/>
      <c r="AF277" s="413" t="n"/>
      <c r="AG277" s="413" t="n"/>
      <c r="AH277" s="413" t="n"/>
      <c r="AI277" s="413" t="n"/>
      <c r="AJ277" s="413" t="n"/>
      <c r="AK277" s="413" t="n"/>
      <c r="AL277" s="413" t="n"/>
      <c r="AM277" s="48" t="n"/>
    </row>
    <row r="278" ht="15.5" customHeight="1">
      <c r="A278" s="26" t="inlineStr">
        <is>
          <t xml:space="preserve">İnci Holding </t>
        </is>
      </c>
      <c r="B278" s="7">
        <f>'Bütçe aylık-TL'!$B$187</f>
        <v/>
      </c>
      <c r="C278" s="7">
        <f>'gerç aylık-tl'!$B$186</f>
        <v/>
      </c>
      <c r="D278" s="7" t="n"/>
      <c r="E278" s="7">
        <f>'Bütçe aylık-TL'!$C$187</f>
        <v/>
      </c>
      <c r="F278" s="7">
        <f>'gerç aylık-tl'!$C$186</f>
        <v/>
      </c>
      <c r="G278" s="7" t="n"/>
      <c r="H278" s="7">
        <f>'Bütçe aylık-TL'!$D$187</f>
        <v/>
      </c>
      <c r="I278" s="7">
        <f>'gerç aylık-tl'!$D$186</f>
        <v/>
      </c>
      <c r="J278" s="7" t="n"/>
      <c r="K278" s="7">
        <f>'Bütçe aylık-TL'!$E$187</f>
        <v/>
      </c>
      <c r="L278" s="7">
        <f>'gerç aylık-tl'!$E$186</f>
        <v/>
      </c>
      <c r="M278" s="7" t="n"/>
      <c r="N278" s="7">
        <f>'Bütçe aylık-TL'!$F$187</f>
        <v/>
      </c>
      <c r="O278" s="7">
        <f>'gerç aylık-tl'!$F$186</f>
        <v/>
      </c>
      <c r="P278" s="7" t="n"/>
      <c r="Q278" s="7">
        <f>'Bütçe aylık-TL'!$G$187</f>
        <v/>
      </c>
      <c r="R278" s="7">
        <f>'gerç aylık-tl'!$G$186</f>
        <v/>
      </c>
      <c r="S278" s="7" t="n"/>
      <c r="T278" s="7">
        <f>'Bütçe aylık-TL'!$H$187</f>
        <v/>
      </c>
      <c r="U278" s="7">
        <f>'gerç aylık-tl'!$H$186</f>
        <v/>
      </c>
      <c r="V278" s="7" t="n"/>
      <c r="W278" s="7">
        <f>'Bütçe aylık-TL'!$I$187</f>
        <v/>
      </c>
      <c r="X278" s="7">
        <f>'gerç aylık-tl'!$I$186</f>
        <v/>
      </c>
      <c r="Y278" s="7" t="n"/>
      <c r="Z278" s="7">
        <f>'Bütçe aylık-TL'!$J$187</f>
        <v/>
      </c>
      <c r="AA278" s="7">
        <f>'gerç aylık-tl'!$J$186</f>
        <v/>
      </c>
      <c r="AB278" s="7" t="n"/>
      <c r="AC278" s="7">
        <f>'Bütçe aylık-TL'!$K$187</f>
        <v/>
      </c>
      <c r="AD278" s="7">
        <f>'gerç aylık-tl'!$K$186</f>
        <v/>
      </c>
      <c r="AE278" s="7" t="n"/>
      <c r="AF278" s="7">
        <f>'Bütçe aylık-TL'!$L$187</f>
        <v/>
      </c>
      <c r="AG278" s="7">
        <f>'gerç aylık-tl'!$L$186</f>
        <v/>
      </c>
      <c r="AH278" s="7" t="n"/>
      <c r="AI278" s="7">
        <f>'Bütçe aylık-TL'!$M$187</f>
        <v/>
      </c>
      <c r="AJ278" s="7">
        <f>'gerç aylık-tl'!$M$186</f>
        <v/>
      </c>
      <c r="AK278" s="7" t="n"/>
      <c r="AL278" s="21">
        <f>AP278-AO278</f>
        <v/>
      </c>
      <c r="AM278" s="22">
        <f>AP278/AO278-1</f>
        <v/>
      </c>
      <c r="AO278" s="44">
        <f>IF($A$1=$B$1,B278,IF($A$1=$E$1,E278,IF($A$1=$H$1,H278,IF($A$1=$K$1,K278,IF($A$1=$N$1,N278,IF($A$1=$Q$1,Q278,IF($A$1=$T$1,T278,IF($A$1=$W$1,W278,IF($A$1=$Z$1,Z278,IF($A$1=$AC$1,AC278,IF($A$1=$AF$1,AF278,IF($A$1=$AI$1,AI278))))))))))))</f>
        <v/>
      </c>
      <c r="AP278" s="44">
        <f>IF($A$1=$B$1,C278,IF($A$1=$E$1,F278,IF($A$1=$H$1,I278,IF($A$1=$K$1,L278,IF($A$1=$N$1,O278,IF($A$1=$Q$1,R278,IF($A$1=$T$1,U278,IF($A$1=$W$1,X278,IF($A$1=$Z$1,AA278,IF($A$1=$AC$1,AD278,IF($A$1=$AF$1,AG278,IF($A$1=$AI$1,AJ278))))))))))))</f>
        <v/>
      </c>
    </row>
    <row r="279" ht="15.5" customHeight="1">
      <c r="A279" s="26" t="inlineStr">
        <is>
          <t xml:space="preserve">ISM </t>
        </is>
      </c>
      <c r="B279" s="7">
        <f>'Bütçe aylık-TL'!$B$188</f>
        <v/>
      </c>
      <c r="C279" s="7">
        <f>'gerç aylık-tl'!$B$187</f>
        <v/>
      </c>
      <c r="D279" s="7" t="n"/>
      <c r="E279" s="7">
        <f>'Bütçe aylık-TL'!$C$188</f>
        <v/>
      </c>
      <c r="F279" s="7">
        <f>'gerç aylık-tl'!$C$187</f>
        <v/>
      </c>
      <c r="G279" s="7" t="n"/>
      <c r="H279" s="7">
        <f>'Bütçe aylık-TL'!$D$188</f>
        <v/>
      </c>
      <c r="I279" s="7">
        <f>'gerç aylık-tl'!$D$187</f>
        <v/>
      </c>
      <c r="J279" s="7" t="n"/>
      <c r="K279" s="7">
        <f>'Bütçe aylık-TL'!$E$188</f>
        <v/>
      </c>
      <c r="L279" s="7">
        <f>'gerç aylık-tl'!$E$187</f>
        <v/>
      </c>
      <c r="M279" s="7" t="n"/>
      <c r="N279" s="7">
        <f>'Bütçe aylık-TL'!$F$188</f>
        <v/>
      </c>
      <c r="O279" s="7">
        <f>'gerç aylık-tl'!$F$187</f>
        <v/>
      </c>
      <c r="P279" s="7" t="n"/>
      <c r="Q279" s="7">
        <f>'Bütçe aylık-TL'!$G$188</f>
        <v/>
      </c>
      <c r="R279" s="7">
        <f>'gerç aylık-tl'!$G$187</f>
        <v/>
      </c>
      <c r="S279" s="7" t="n"/>
      <c r="T279" s="7">
        <f>'Bütçe aylık-TL'!$H$188</f>
        <v/>
      </c>
      <c r="U279" s="7">
        <f>'gerç aylık-tl'!$H$187</f>
        <v/>
      </c>
      <c r="V279" s="7" t="n"/>
      <c r="W279" s="7">
        <f>'Bütçe aylık-TL'!$I$188</f>
        <v/>
      </c>
      <c r="X279" s="7">
        <f>'gerç aylık-tl'!$I$187</f>
        <v/>
      </c>
      <c r="Y279" s="7" t="n"/>
      <c r="Z279" s="7">
        <f>'Bütçe aylık-TL'!$J$188</f>
        <v/>
      </c>
      <c r="AA279" s="7">
        <f>'gerç aylık-tl'!$J$187</f>
        <v/>
      </c>
      <c r="AB279" s="7" t="n"/>
      <c r="AC279" s="7">
        <f>'Bütçe aylık-TL'!$K$188</f>
        <v/>
      </c>
      <c r="AD279" s="7">
        <f>'gerç aylık-tl'!$K$187</f>
        <v/>
      </c>
      <c r="AE279" s="7" t="n"/>
      <c r="AF279" s="7">
        <f>'Bütçe aylık-TL'!$L$188</f>
        <v/>
      </c>
      <c r="AG279" s="7">
        <f>'gerç aylık-tl'!$L$187</f>
        <v/>
      </c>
      <c r="AH279" s="7" t="n"/>
      <c r="AI279" s="7">
        <f>'Bütçe aylık-TL'!$M$188</f>
        <v/>
      </c>
      <c r="AJ279" s="7">
        <f>'gerç aylık-tl'!$M$187</f>
        <v/>
      </c>
      <c r="AK279" s="7" t="n"/>
      <c r="AL279" s="21">
        <f>AP279-AO279</f>
        <v/>
      </c>
      <c r="AM279" s="22">
        <f>AP279/AO279-1</f>
        <v/>
      </c>
      <c r="AO279" s="44">
        <f>IF($A$1=$B$1,B279,IF($A$1=$E$1,E279,IF($A$1=$H$1,H279,IF($A$1=$K$1,K279,IF($A$1=$N$1,N279,IF($A$1=$Q$1,Q279,IF($A$1=$T$1,T279,IF($A$1=$W$1,W279,IF($A$1=$Z$1,Z279,IF($A$1=$AC$1,AC279,IF($A$1=$AF$1,AF279,IF($A$1=$AI$1,AI279))))))))))))</f>
        <v/>
      </c>
      <c r="AP279" s="44">
        <f>IF($A$1=$B$1,C279,IF($A$1=$E$1,F279,IF($A$1=$H$1,I279,IF($A$1=$K$1,L279,IF($A$1=$N$1,O279,IF($A$1=$Q$1,R279,IF($A$1=$T$1,U279,IF($A$1=$W$1,X279,IF($A$1=$Z$1,AA279,IF($A$1=$AC$1,AD279,IF($A$1=$AF$1,AG279,IF($A$1=$AI$1,AJ279))))))))))))</f>
        <v/>
      </c>
    </row>
    <row r="280" ht="15.5" customHeight="1">
      <c r="A280" s="26" t="inlineStr">
        <is>
          <t>İncitaş</t>
        </is>
      </c>
      <c r="B280" s="7">
        <f>'Bütçe aylık-TL'!$B$189</f>
        <v/>
      </c>
      <c r="C280" s="7">
        <f>'gerç aylık-tl'!$B$188</f>
        <v/>
      </c>
      <c r="D280" s="7" t="n"/>
      <c r="E280" s="7">
        <f>'Bütçe aylık-TL'!$C$189</f>
        <v/>
      </c>
      <c r="F280" s="7">
        <f>'gerç aylık-tl'!$C$188</f>
        <v/>
      </c>
      <c r="G280" s="7" t="n"/>
      <c r="H280" s="7">
        <f>'Bütçe aylık-TL'!$D$189</f>
        <v/>
      </c>
      <c r="I280" s="7">
        <f>'gerç aylık-tl'!$D$188</f>
        <v/>
      </c>
      <c r="J280" s="7" t="n"/>
      <c r="K280" s="7">
        <f>'Bütçe aylık-TL'!$E$189</f>
        <v/>
      </c>
      <c r="L280" s="7">
        <f>'gerç aylık-tl'!$E$188</f>
        <v/>
      </c>
      <c r="M280" s="7" t="n"/>
      <c r="N280" s="7">
        <f>'Bütçe aylık-TL'!$F$189</f>
        <v/>
      </c>
      <c r="O280" s="7">
        <f>'gerç aylık-tl'!$F$188</f>
        <v/>
      </c>
      <c r="P280" s="7" t="n"/>
      <c r="Q280" s="7">
        <f>'Bütçe aylık-TL'!$G$189</f>
        <v/>
      </c>
      <c r="R280" s="7">
        <f>'gerç aylık-tl'!$G$188</f>
        <v/>
      </c>
      <c r="S280" s="7" t="n"/>
      <c r="T280" s="7">
        <f>'Bütçe aylık-TL'!$H$189</f>
        <v/>
      </c>
      <c r="U280" s="7">
        <f>'gerç aylık-tl'!$H$188</f>
        <v/>
      </c>
      <c r="V280" s="7" t="n"/>
      <c r="W280" s="7">
        <f>'Bütçe aylık-TL'!$I$189</f>
        <v/>
      </c>
      <c r="X280" s="7">
        <f>'gerç aylık-tl'!$I$188</f>
        <v/>
      </c>
      <c r="Y280" s="7" t="n"/>
      <c r="Z280" s="7">
        <f>'Bütçe aylık-TL'!$J$189</f>
        <v/>
      </c>
      <c r="AA280" s="7">
        <f>'gerç aylık-tl'!$J$188</f>
        <v/>
      </c>
      <c r="AB280" s="7" t="n"/>
      <c r="AC280" s="7">
        <f>'Bütçe aylık-TL'!$K$189</f>
        <v/>
      </c>
      <c r="AD280" s="7">
        <f>'gerç aylık-tl'!$K$188</f>
        <v/>
      </c>
      <c r="AE280" s="7" t="n"/>
      <c r="AF280" s="7">
        <f>'Bütçe aylık-TL'!$L$189</f>
        <v/>
      </c>
      <c r="AG280" s="7">
        <f>'gerç aylık-tl'!$L$188</f>
        <v/>
      </c>
      <c r="AH280" s="7" t="n"/>
      <c r="AI280" s="7">
        <f>'Bütçe aylık-TL'!$M$189</f>
        <v/>
      </c>
      <c r="AJ280" s="7">
        <f>'gerç aylık-tl'!$M$188</f>
        <v/>
      </c>
      <c r="AK280" s="7" t="n"/>
      <c r="AL280" s="21">
        <f>AP280-AO280</f>
        <v/>
      </c>
      <c r="AM280" s="22">
        <f>AP280/AO280-1</f>
        <v/>
      </c>
      <c r="AO280" s="44">
        <f>IF($A$1=$B$1,B280,IF($A$1=$E$1,E280,IF($A$1=$H$1,H280,IF($A$1=$K$1,K280,IF($A$1=$N$1,N280,IF($A$1=$Q$1,Q280,IF($A$1=$T$1,T280,IF($A$1=$W$1,W280,IF($A$1=$Z$1,Z280,IF($A$1=$AC$1,AC280,IF($A$1=$AF$1,AF280,IF($A$1=$AI$1,AI280))))))))))))</f>
        <v/>
      </c>
      <c r="AP280" s="44">
        <f>IF($A$1=$B$1,C280,IF($A$1=$E$1,F280,IF($A$1=$H$1,I280,IF($A$1=$K$1,L280,IF($A$1=$N$1,O280,IF($A$1=$Q$1,R280,IF($A$1=$T$1,U280,IF($A$1=$W$1,X280,IF($A$1=$Z$1,AA280,IF($A$1=$AC$1,AD280,IF($A$1=$AF$1,AG280,IF($A$1=$AI$1,AJ280))))))))))))</f>
        <v/>
      </c>
    </row>
    <row r="281" ht="15.5" customHeight="1">
      <c r="A281" s="26" t="inlineStr">
        <is>
          <t>İnci GS Yuasa</t>
        </is>
      </c>
      <c r="B281" s="7">
        <f>'Bütçe aylık-TL'!$B$190</f>
        <v/>
      </c>
      <c r="C281" s="7">
        <f>'gerç aylık-tl'!$B$189</f>
        <v/>
      </c>
      <c r="D281" s="7" t="n"/>
      <c r="E281" s="7">
        <f>'Bütçe aylık-TL'!$C$190</f>
        <v/>
      </c>
      <c r="F281" s="7">
        <f>'gerç aylık-tl'!$C$189</f>
        <v/>
      </c>
      <c r="G281" s="7" t="n"/>
      <c r="H281" s="7">
        <f>'Bütçe aylık-TL'!$D$190</f>
        <v/>
      </c>
      <c r="I281" s="7">
        <f>'gerç aylık-tl'!$D$189</f>
        <v/>
      </c>
      <c r="J281" s="7" t="n"/>
      <c r="K281" s="7">
        <f>'Bütçe aylık-TL'!$E$190</f>
        <v/>
      </c>
      <c r="L281" s="7">
        <f>'gerç aylık-tl'!$E$189</f>
        <v/>
      </c>
      <c r="M281" s="7" t="n"/>
      <c r="N281" s="7">
        <f>'Bütçe aylık-TL'!$F$190</f>
        <v/>
      </c>
      <c r="O281" s="7">
        <f>'gerç aylık-tl'!$F$189</f>
        <v/>
      </c>
      <c r="P281" s="7" t="n"/>
      <c r="Q281" s="7">
        <f>'Bütçe aylık-TL'!$G$190</f>
        <v/>
      </c>
      <c r="R281" s="7">
        <f>'gerç aylık-tl'!$G$189</f>
        <v/>
      </c>
      <c r="S281" s="7" t="n"/>
      <c r="T281" s="7">
        <f>'Bütçe aylık-TL'!$H$190</f>
        <v/>
      </c>
      <c r="U281" s="7">
        <f>'gerç aylık-tl'!$H$189</f>
        <v/>
      </c>
      <c r="V281" s="7" t="n"/>
      <c r="W281" s="7">
        <f>'Bütçe aylık-TL'!$I$190</f>
        <v/>
      </c>
      <c r="X281" s="7">
        <f>'gerç aylık-tl'!$I$189</f>
        <v/>
      </c>
      <c r="Y281" s="7" t="n"/>
      <c r="Z281" s="7">
        <f>'Bütçe aylık-TL'!$J$190</f>
        <v/>
      </c>
      <c r="AA281" s="7">
        <f>'gerç aylık-tl'!$J$189</f>
        <v/>
      </c>
      <c r="AB281" s="7" t="n"/>
      <c r="AC281" s="7">
        <f>'Bütçe aylık-TL'!$K$190</f>
        <v/>
      </c>
      <c r="AD281" s="7">
        <f>'gerç aylık-tl'!$K$189</f>
        <v/>
      </c>
      <c r="AE281" s="7" t="n"/>
      <c r="AF281" s="7">
        <f>'Bütçe aylık-TL'!$L$190</f>
        <v/>
      </c>
      <c r="AG281" s="7">
        <f>'gerç aylık-tl'!$L$189</f>
        <v/>
      </c>
      <c r="AH281" s="7" t="n"/>
      <c r="AI281" s="7">
        <f>'Bütçe aylık-TL'!$M$190</f>
        <v/>
      </c>
      <c r="AJ281" s="7">
        <f>'gerç aylık-tl'!$M$189</f>
        <v/>
      </c>
      <c r="AK281" s="7" t="n"/>
      <c r="AL281" s="21">
        <f>AP281-AO281</f>
        <v/>
      </c>
      <c r="AM281" s="22">
        <f>AP281/AO281-1</f>
        <v/>
      </c>
      <c r="AO281" s="44">
        <f>IF($A$1=$B$1,B281,IF($A$1=$E$1,E281,IF($A$1=$H$1,H281,IF($A$1=$K$1,K281,IF($A$1=$N$1,N281,IF($A$1=$Q$1,Q281,IF($A$1=$T$1,T281,IF($A$1=$W$1,W281,IF($A$1=$Z$1,Z281,IF($A$1=$AC$1,AC281,IF($A$1=$AF$1,AF281,IF($A$1=$AI$1,AI281))))))))))))</f>
        <v/>
      </c>
      <c r="AP281" s="44">
        <f>IF($A$1=$B$1,C281,IF($A$1=$E$1,F281,IF($A$1=$H$1,I281,IF($A$1=$K$1,L281,IF($A$1=$N$1,O281,IF($A$1=$Q$1,R281,IF($A$1=$T$1,U281,IF($A$1=$W$1,X281,IF($A$1=$Z$1,AA281,IF($A$1=$AC$1,AD281,IF($A$1=$AF$1,AG281,IF($A$1=$AI$1,AJ281))))))))))))</f>
        <v/>
      </c>
    </row>
    <row r="282" ht="15.5" customFormat="1" customHeight="1" s="1">
      <c r="A282" s="26" t="inlineStr">
        <is>
          <t>Yusen İnci Loj.</t>
        </is>
      </c>
      <c r="B282" s="7">
        <f>'Bütçe aylık-TL'!$B$191</f>
        <v/>
      </c>
      <c r="C282" s="7">
        <f>'gerç aylık-tl'!$B$190</f>
        <v/>
      </c>
      <c r="D282" s="8" t="n"/>
      <c r="E282" s="7">
        <f>'Bütçe aylık-TL'!$C$191</f>
        <v/>
      </c>
      <c r="F282" s="7">
        <f>'gerç aylık-tl'!$C$190</f>
        <v/>
      </c>
      <c r="G282" s="8" t="n"/>
      <c r="H282" s="7">
        <f>'Bütçe aylık-TL'!$D$191</f>
        <v/>
      </c>
      <c r="I282" s="7">
        <f>'gerç aylık-tl'!$D$190</f>
        <v/>
      </c>
      <c r="J282" s="8" t="n"/>
      <c r="K282" s="7">
        <f>'Bütçe aylık-TL'!$E$191</f>
        <v/>
      </c>
      <c r="L282" s="7">
        <f>'gerç aylık-tl'!$E$190</f>
        <v/>
      </c>
      <c r="M282" s="8" t="n"/>
      <c r="N282" s="7">
        <f>'Bütçe aylık-TL'!$F$191</f>
        <v/>
      </c>
      <c r="O282" s="7">
        <f>'gerç aylık-tl'!$F$190</f>
        <v/>
      </c>
      <c r="P282" s="8" t="n"/>
      <c r="Q282" s="7">
        <f>'Bütçe aylık-TL'!$G$191</f>
        <v/>
      </c>
      <c r="R282" s="7">
        <f>'gerç aylık-tl'!$G$190</f>
        <v/>
      </c>
      <c r="S282" s="8" t="n"/>
      <c r="T282" s="7">
        <f>'Bütçe aylık-TL'!$H$191</f>
        <v/>
      </c>
      <c r="U282" s="7">
        <f>'gerç aylık-tl'!$H$190</f>
        <v/>
      </c>
      <c r="V282" s="8" t="n"/>
      <c r="W282" s="7">
        <f>'Bütçe aylık-TL'!$I$191</f>
        <v/>
      </c>
      <c r="X282" s="7">
        <f>'gerç aylık-tl'!$I$190</f>
        <v/>
      </c>
      <c r="Y282" s="8" t="n"/>
      <c r="Z282" s="7">
        <f>'Bütçe aylık-TL'!$J$191</f>
        <v/>
      </c>
      <c r="AA282" s="7">
        <f>'gerç aylık-tl'!$J$190</f>
        <v/>
      </c>
      <c r="AB282" s="8" t="n"/>
      <c r="AC282" s="7">
        <f>'Bütçe aylık-TL'!$K$191</f>
        <v/>
      </c>
      <c r="AD282" s="7">
        <f>'gerç aylık-tl'!$K$190</f>
        <v/>
      </c>
      <c r="AE282" s="8" t="n"/>
      <c r="AF282" s="7">
        <f>'Bütçe aylık-TL'!$L$191</f>
        <v/>
      </c>
      <c r="AG282" s="7">
        <f>'gerç aylık-tl'!$L$190</f>
        <v/>
      </c>
      <c r="AH282" s="8" t="n"/>
      <c r="AI282" s="7">
        <f>'Bütçe aylık-TL'!$M$191</f>
        <v/>
      </c>
      <c r="AJ282" s="7">
        <f>'gerç aylık-tl'!$M$190</f>
        <v/>
      </c>
      <c r="AK282" s="8" t="n"/>
      <c r="AL282" s="21">
        <f>AP282-AO282</f>
        <v/>
      </c>
      <c r="AM282" s="22">
        <f>AP282/AO282-1</f>
        <v/>
      </c>
      <c r="AO282" s="44">
        <f>IF($A$1=$B$1,B282,IF($A$1=$E$1,E282,IF($A$1=$H$1,H282,IF($A$1=$K$1,K282,IF($A$1=$N$1,N282,IF($A$1=$Q$1,Q282,IF($A$1=$T$1,T282,IF($A$1=$W$1,W282,IF($A$1=$Z$1,Z282,IF($A$1=$AC$1,AC282,IF($A$1=$AF$1,AF282,IF($A$1=$AI$1,AI282))))))))))))</f>
        <v/>
      </c>
      <c r="AP282" s="44">
        <f>IF($A$1=$B$1,C282,IF($A$1=$E$1,F282,IF($A$1=$H$1,I282,IF($A$1=$K$1,L282,IF($A$1=$N$1,O282,IF($A$1=$Q$1,R282,IF($A$1=$T$1,U282,IF($A$1=$W$1,X282,IF($A$1=$Z$1,AA282,IF($A$1=$AC$1,AD282,IF($A$1=$AF$1,AG282,IF($A$1=$AI$1,AJ282))))))))))))</f>
        <v/>
      </c>
    </row>
    <row r="283" ht="15.5" customHeight="1">
      <c r="A283" s="26" t="inlineStr">
        <is>
          <t>Jantaş</t>
        </is>
      </c>
      <c r="B283" s="7">
        <f>'Bütçe aylık-TL'!$B$192</f>
        <v/>
      </c>
      <c r="C283" s="7">
        <f>'gerç aylık-tl'!$B$191</f>
        <v/>
      </c>
      <c r="D283" s="7" t="n"/>
      <c r="E283" s="7">
        <f>'Bütçe aylık-TL'!$C$192</f>
        <v/>
      </c>
      <c r="F283" s="7">
        <f>'gerç aylık-tl'!$C$191</f>
        <v/>
      </c>
      <c r="G283" s="7" t="n"/>
      <c r="H283" s="7">
        <f>'Bütçe aylık-TL'!$D$192</f>
        <v/>
      </c>
      <c r="I283" s="7">
        <f>'gerç aylık-tl'!$D$191</f>
        <v/>
      </c>
      <c r="J283" s="7" t="n"/>
      <c r="K283" s="7">
        <f>'Bütçe aylık-TL'!$E$192</f>
        <v/>
      </c>
      <c r="L283" s="7">
        <f>'gerç aylık-tl'!$E$191</f>
        <v/>
      </c>
      <c r="M283" s="7" t="n"/>
      <c r="N283" s="7">
        <f>'Bütçe aylık-TL'!$F$192</f>
        <v/>
      </c>
      <c r="O283" s="7">
        <f>'gerç aylık-tl'!$F$191</f>
        <v/>
      </c>
      <c r="P283" s="7" t="n"/>
      <c r="Q283" s="7">
        <f>'Bütçe aylık-TL'!$G$192</f>
        <v/>
      </c>
      <c r="R283" s="7">
        <f>'gerç aylık-tl'!$G$191</f>
        <v/>
      </c>
      <c r="S283" s="7" t="n"/>
      <c r="T283" s="7">
        <f>'Bütçe aylık-TL'!$H$192</f>
        <v/>
      </c>
      <c r="U283" s="7">
        <f>'gerç aylık-tl'!$H$191</f>
        <v/>
      </c>
      <c r="V283" s="7" t="n"/>
      <c r="W283" s="7">
        <f>'Bütçe aylık-TL'!$I$192</f>
        <v/>
      </c>
      <c r="X283" s="7">
        <f>'gerç aylık-tl'!$I$191</f>
        <v/>
      </c>
      <c r="Y283" s="7" t="n"/>
      <c r="Z283" s="7">
        <f>'Bütçe aylık-TL'!$J$192</f>
        <v/>
      </c>
      <c r="AA283" s="7">
        <f>'gerç aylık-tl'!$J$191</f>
        <v/>
      </c>
      <c r="AB283" s="7" t="n"/>
      <c r="AC283" s="7">
        <f>'Bütçe aylık-TL'!$K$192</f>
        <v/>
      </c>
      <c r="AD283" s="7">
        <f>'gerç aylık-tl'!$K$191</f>
        <v/>
      </c>
      <c r="AE283" s="7" t="n"/>
      <c r="AF283" s="7">
        <f>'Bütçe aylık-TL'!$L$192</f>
        <v/>
      </c>
      <c r="AG283" s="7">
        <f>'gerç aylık-tl'!$L$191</f>
        <v/>
      </c>
      <c r="AH283" s="7" t="n"/>
      <c r="AI283" s="7">
        <f>'Bütçe aylık-TL'!$M$192</f>
        <v/>
      </c>
      <c r="AJ283" s="7">
        <f>'gerç aylık-tl'!$M$191</f>
        <v/>
      </c>
      <c r="AK283" s="7" t="n"/>
      <c r="AL283" s="21">
        <f>AP283-AO283</f>
        <v/>
      </c>
      <c r="AM283" s="22">
        <f>AP283/AO283-1</f>
        <v/>
      </c>
      <c r="AO283" s="44">
        <f>IF($A$1=$B$1,B283,IF($A$1=$E$1,E283,IF($A$1=$H$1,H283,IF($A$1=$K$1,K283,IF($A$1=$N$1,N283,IF($A$1=$Q$1,Q283,IF($A$1=$T$1,T283,IF($A$1=$W$1,W283,IF($A$1=$Z$1,Z283,IF($A$1=$AC$1,AC283,IF($A$1=$AF$1,AF283,IF($A$1=$AI$1,AI283))))))))))))</f>
        <v/>
      </c>
      <c r="AP283" s="44">
        <f>IF($A$1=$B$1,C283,IF($A$1=$E$1,F283,IF($A$1=$H$1,I283,IF($A$1=$K$1,L283,IF($A$1=$N$1,O283,IF($A$1=$Q$1,R283,IF($A$1=$T$1,U283,IF($A$1=$W$1,X283,IF($A$1=$Z$1,AA283,IF($A$1=$AC$1,AD283,IF($A$1=$AF$1,AG283,IF($A$1=$AI$1,AJ283))))))))))))</f>
        <v/>
      </c>
    </row>
    <row r="284" ht="15.5" customFormat="1" customHeight="1" s="1">
      <c r="A284" s="26" t="inlineStr">
        <is>
          <t>Çelik</t>
        </is>
      </c>
      <c r="B284" s="7">
        <f>'Bütçe aylık-TL'!$B$193</f>
        <v/>
      </c>
      <c r="C284" s="7">
        <f>'gerç aylık-tl'!$B$192</f>
        <v/>
      </c>
      <c r="D284" s="8" t="n"/>
      <c r="E284" s="7">
        <f>'Bütçe aylık-TL'!$C$193</f>
        <v/>
      </c>
      <c r="F284" s="7">
        <f>'gerç aylık-tl'!$C$192</f>
        <v/>
      </c>
      <c r="G284" s="8" t="n"/>
      <c r="H284" s="7">
        <f>'Bütçe aylık-TL'!$D$193</f>
        <v/>
      </c>
      <c r="I284" s="7">
        <f>'gerç aylık-tl'!$D$192</f>
        <v/>
      </c>
      <c r="J284" s="8" t="n"/>
      <c r="K284" s="7">
        <f>'Bütçe aylık-TL'!$E$193</f>
        <v/>
      </c>
      <c r="L284" s="7">
        <f>'gerç aylık-tl'!$E$192</f>
        <v/>
      </c>
      <c r="M284" s="8" t="n"/>
      <c r="N284" s="7">
        <f>'Bütçe aylık-TL'!$F$193</f>
        <v/>
      </c>
      <c r="O284" s="7">
        <f>'gerç aylık-tl'!$F$192</f>
        <v/>
      </c>
      <c r="P284" s="8" t="n"/>
      <c r="Q284" s="7">
        <f>'Bütçe aylık-TL'!$G$193</f>
        <v/>
      </c>
      <c r="R284" s="7">
        <f>'gerç aylık-tl'!$G$192</f>
        <v/>
      </c>
      <c r="S284" s="8" t="n"/>
      <c r="T284" s="7">
        <f>'Bütçe aylık-TL'!$H$193</f>
        <v/>
      </c>
      <c r="U284" s="7">
        <f>'gerç aylık-tl'!$H$192</f>
        <v/>
      </c>
      <c r="V284" s="8" t="n"/>
      <c r="W284" s="7">
        <f>'Bütçe aylık-TL'!$I$193</f>
        <v/>
      </c>
      <c r="X284" s="7">
        <f>'gerç aylık-tl'!$I$192</f>
        <v/>
      </c>
      <c r="Y284" s="8" t="n"/>
      <c r="Z284" s="7">
        <f>'Bütçe aylık-TL'!$J$193</f>
        <v/>
      </c>
      <c r="AA284" s="7">
        <f>'gerç aylık-tl'!$J$192</f>
        <v/>
      </c>
      <c r="AB284" s="8" t="n"/>
      <c r="AC284" s="7">
        <f>'Bütçe aylık-TL'!$K$193</f>
        <v/>
      </c>
      <c r="AD284" s="7">
        <f>'gerç aylık-tl'!$K$192</f>
        <v/>
      </c>
      <c r="AE284" s="8" t="n"/>
      <c r="AF284" s="7">
        <f>'Bütçe aylık-TL'!$L$193</f>
        <v/>
      </c>
      <c r="AG284" s="7">
        <f>'gerç aylık-tl'!$L$192</f>
        <v/>
      </c>
      <c r="AH284" s="8" t="n"/>
      <c r="AI284" s="7">
        <f>'Bütçe aylık-TL'!$M$193</f>
        <v/>
      </c>
      <c r="AJ284" s="7">
        <f>'gerç aylık-tl'!$M$192</f>
        <v/>
      </c>
      <c r="AK284" s="8" t="n"/>
      <c r="AL284" s="21">
        <f>AP284-AO284</f>
        <v/>
      </c>
      <c r="AM284" s="22">
        <f>AP284/AO284-1</f>
        <v/>
      </c>
      <c r="AO284" s="44">
        <f>IF($A$1=$B$1,B284,IF($A$1=$E$1,E284,IF($A$1=$H$1,H284,IF($A$1=$K$1,K284,IF($A$1=$N$1,N284,IF($A$1=$Q$1,Q284,IF($A$1=$T$1,T284,IF($A$1=$W$1,W284,IF($A$1=$Z$1,Z284,IF($A$1=$AC$1,AC284,IF($A$1=$AF$1,AF284,IF($A$1=$AI$1,AI284))))))))))))</f>
        <v/>
      </c>
      <c r="AP284" s="44">
        <f>IF($A$1=$B$1,C284,IF($A$1=$E$1,F284,IF($A$1=$H$1,I284,IF($A$1=$K$1,L284,IF($A$1=$N$1,O284,IF($A$1=$Q$1,R284,IF($A$1=$T$1,U284,IF($A$1=$W$1,X284,IF($A$1=$Z$1,AA284,IF($A$1=$AC$1,AD284,IF($A$1=$AF$1,AG284,IF($A$1=$AI$1,AJ284))))))))))))</f>
        <v/>
      </c>
    </row>
    <row r="285" ht="15.5" customFormat="1" customHeight="1" s="1">
      <c r="A285" s="26" t="inlineStr">
        <is>
          <t>Alüminyum</t>
        </is>
      </c>
      <c r="B285" s="7">
        <f>'Bütçe aylık-TL'!$B$194</f>
        <v/>
      </c>
      <c r="C285" s="7">
        <f>'gerç aylık-tl'!$B$193</f>
        <v/>
      </c>
      <c r="D285" s="8" t="n"/>
      <c r="E285" s="7">
        <f>'Bütçe aylık-TL'!$C$194</f>
        <v/>
      </c>
      <c r="F285" s="7">
        <f>'gerç aylık-tl'!$C$193</f>
        <v/>
      </c>
      <c r="G285" s="8" t="n"/>
      <c r="H285" s="7">
        <f>'Bütçe aylık-TL'!$D$194</f>
        <v/>
      </c>
      <c r="I285" s="7">
        <f>'gerç aylık-tl'!$D$193</f>
        <v/>
      </c>
      <c r="J285" s="8" t="n"/>
      <c r="K285" s="7">
        <f>'Bütçe aylık-TL'!$E$194</f>
        <v/>
      </c>
      <c r="L285" s="7">
        <f>'gerç aylık-tl'!$E$193</f>
        <v/>
      </c>
      <c r="M285" s="8" t="n"/>
      <c r="N285" s="7">
        <f>'Bütçe aylık-TL'!$F$194</f>
        <v/>
      </c>
      <c r="O285" s="7">
        <f>'gerç aylık-tl'!$F$193</f>
        <v/>
      </c>
      <c r="P285" s="8" t="n"/>
      <c r="Q285" s="7">
        <f>'Bütçe aylık-TL'!$G$194</f>
        <v/>
      </c>
      <c r="R285" s="7">
        <f>'gerç aylık-tl'!$G$193</f>
        <v/>
      </c>
      <c r="S285" s="8" t="n"/>
      <c r="T285" s="7">
        <f>'Bütçe aylık-TL'!$H$194</f>
        <v/>
      </c>
      <c r="U285" s="7">
        <f>'gerç aylık-tl'!$H$193</f>
        <v/>
      </c>
      <c r="V285" s="8" t="n"/>
      <c r="W285" s="7">
        <f>'Bütçe aylık-TL'!$I$194</f>
        <v/>
      </c>
      <c r="X285" s="7">
        <f>'gerç aylık-tl'!$I$193</f>
        <v/>
      </c>
      <c r="Y285" s="8" t="n"/>
      <c r="Z285" s="7">
        <f>'Bütçe aylık-TL'!$J$194</f>
        <v/>
      </c>
      <c r="AA285" s="7">
        <f>'gerç aylık-tl'!$J$193</f>
        <v/>
      </c>
      <c r="AB285" s="8" t="n"/>
      <c r="AC285" s="7">
        <f>'Bütçe aylık-TL'!$K$194</f>
        <v/>
      </c>
      <c r="AD285" s="7">
        <f>'gerç aylık-tl'!$K$193</f>
        <v/>
      </c>
      <c r="AE285" s="8" t="n"/>
      <c r="AF285" s="7">
        <f>'Bütçe aylık-TL'!$L$194</f>
        <v/>
      </c>
      <c r="AG285" s="7">
        <f>'gerç aylık-tl'!$L$193</f>
        <v/>
      </c>
      <c r="AH285" s="8" t="n"/>
      <c r="AI285" s="7">
        <f>'Bütçe aylık-TL'!$M$194</f>
        <v/>
      </c>
      <c r="AJ285" s="7">
        <f>'gerç aylık-tl'!$M$193</f>
        <v/>
      </c>
      <c r="AK285" s="8" t="n"/>
      <c r="AL285" s="21">
        <f>AP285-AO285</f>
        <v/>
      </c>
      <c r="AM285" s="22">
        <f>AP285/AO285-1</f>
        <v/>
      </c>
      <c r="AO285" s="44">
        <f>IF($A$1=$B$1,B285,IF($A$1=$E$1,E285,IF($A$1=$H$1,H285,IF($A$1=$K$1,K285,IF($A$1=$N$1,N285,IF($A$1=$Q$1,Q285,IF($A$1=$T$1,T285,IF($A$1=$W$1,W285,IF($A$1=$Z$1,Z285,IF($A$1=$AC$1,AC285,IF($A$1=$AF$1,AF285,IF($A$1=$AI$1,AI285))))))))))))</f>
        <v/>
      </c>
      <c r="AP285" s="44">
        <f>IF($A$1=$B$1,C285,IF($A$1=$E$1,F285,IF($A$1=$H$1,I285,IF($A$1=$K$1,L285,IF($A$1=$N$1,O285,IF($A$1=$Q$1,R285,IF($A$1=$T$1,U285,IF($A$1=$W$1,X285,IF($A$1=$Z$1,AA285,IF($A$1=$AC$1,AD285,IF($A$1=$AF$1,AG285,IF($A$1=$AI$1,AJ285))))))))))))</f>
        <v/>
      </c>
    </row>
    <row r="286" ht="15.5" customFormat="1" customHeight="1" s="1">
      <c r="A286" s="26" t="n"/>
      <c r="B286" s="7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7" t="n"/>
      <c r="R286" s="8" t="n"/>
      <c r="S286" s="8" t="n"/>
      <c r="T286" s="7" t="n"/>
      <c r="U286" s="8" t="n"/>
      <c r="V286" s="8" t="n"/>
      <c r="W286" s="7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15" t="n"/>
      <c r="AM286" s="16" t="n"/>
      <c r="AO286" s="44" t="n"/>
      <c r="AP286" s="44" t="n"/>
    </row>
    <row r="287" ht="15.5" customFormat="1" customHeight="1" s="1">
      <c r="A287" s="31" t="inlineStr">
        <is>
          <t>Operasyonel Nakit</t>
        </is>
      </c>
      <c r="B287" s="32">
        <f>'Bütçe Değişim TL'!$B$2</f>
        <v/>
      </c>
      <c r="C287" s="32">
        <f>'değişim-tl'!$B$2</f>
        <v/>
      </c>
      <c r="D287" s="18" t="n"/>
      <c r="E287" s="32">
        <f>'Bütçe Değişim TL'!$C$2</f>
        <v/>
      </c>
      <c r="F287" s="32">
        <f>'değişim-tl'!$C$2</f>
        <v/>
      </c>
      <c r="G287" s="18" t="n"/>
      <c r="H287" s="32">
        <f>'Bütçe Değişim TL'!$D$2</f>
        <v/>
      </c>
      <c r="I287" s="32">
        <f>'değişim-tl'!$D$2</f>
        <v/>
      </c>
      <c r="J287" s="18" t="n"/>
      <c r="K287" s="32">
        <f>'Bütçe Değişim TL'!$E$2</f>
        <v/>
      </c>
      <c r="L287" s="32">
        <f>'değişim-tl'!$E$2</f>
        <v/>
      </c>
      <c r="M287" s="18" t="n"/>
      <c r="N287" s="32">
        <f>'Bütçe Değişim TL'!$F$2</f>
        <v/>
      </c>
      <c r="O287" s="32">
        <f>'değişim-tl'!$F$2</f>
        <v/>
      </c>
      <c r="P287" s="18" t="n"/>
      <c r="Q287" s="32">
        <f>'Bütçe Değişim TL'!$G$2</f>
        <v/>
      </c>
      <c r="R287" s="32">
        <f>'değişim-tl'!$G$2</f>
        <v/>
      </c>
      <c r="S287" s="18" t="n"/>
      <c r="T287" s="32">
        <f>'Bütçe Değişim TL'!$H$2</f>
        <v/>
      </c>
      <c r="U287" s="32">
        <f>'değişim-tl'!$H$2</f>
        <v/>
      </c>
      <c r="V287" s="18" t="n"/>
      <c r="W287" s="32">
        <f>'Bütçe Değişim TL'!$I$2</f>
        <v/>
      </c>
      <c r="X287" s="32">
        <f>'değişim-tl'!$I$2</f>
        <v/>
      </c>
      <c r="Y287" s="18" t="n"/>
      <c r="Z287" s="32">
        <f>'Bütçe Değişim TL'!$J$2</f>
        <v/>
      </c>
      <c r="AA287" s="32">
        <f>'değişim-tl'!$J$2</f>
        <v/>
      </c>
      <c r="AB287" s="18" t="n"/>
      <c r="AC287" s="32">
        <f>'Bütçe Değişim TL'!$K$2</f>
        <v/>
      </c>
      <c r="AD287" s="32">
        <f>'değişim-tl'!$K$2</f>
        <v/>
      </c>
      <c r="AE287" s="18" t="n"/>
      <c r="AF287" s="32">
        <f>'Bütçe Değişim TL'!$L$2</f>
        <v/>
      </c>
      <c r="AG287" s="32">
        <f>'değişim-tl'!$L$2</f>
        <v/>
      </c>
      <c r="AH287" s="18" t="n"/>
      <c r="AI287" s="32">
        <f>'Bütçe Değişim TL'!$M$2</f>
        <v/>
      </c>
      <c r="AJ287" s="32">
        <f>'değişim-tl'!$M$2</f>
        <v/>
      </c>
      <c r="AK287" s="18" t="n"/>
      <c r="AL287" s="33">
        <f>AP287-AO287</f>
        <v/>
      </c>
      <c r="AM287" s="34">
        <f>AP287/AO287-1</f>
        <v/>
      </c>
      <c r="AN287" s="44" t="n"/>
      <c r="AO287" s="44">
        <f>IF($A$1=$B$1,B287,IF($A$1=$E$1,E287,IF($A$1=$H$1,H287,IF($A$1=$K$1,K287,IF($A$1=$N$1,N287,IF($A$1=$Q$1,Q287,IF($A$1=$T$1,T287,IF($A$1=$W$1,W287,IF($A$1=$Z$1,Z287,IF($A$1=$AC$1,AC287,IF($A$1=$AF$1,AF287,IF($A$1=$AI$1,AI287))))))))))))</f>
        <v/>
      </c>
      <c r="AP287" s="44">
        <f>IF($A$1=$B$1,C287,IF($A$1=$E$1,F287,IF($A$1=$H$1,I287,IF($A$1=$K$1,L287,IF($A$1=$N$1,O287,IF($A$1=$Q$1,R287,IF($A$1=$T$1,U287,IF($A$1=$W$1,X287,IF($A$1=$Z$1,AA287,IF($A$1=$AC$1,AD287,IF($A$1=$AF$1,AG287,IF($A$1=$AI$1,AJ287))))))))))))</f>
        <v/>
      </c>
      <c r="AQ287" s="44" t="n"/>
      <c r="AR287" s="44" t="n"/>
      <c r="AS287" s="44" t="n"/>
      <c r="AT287" s="44" t="n"/>
      <c r="AU287" s="44" t="n"/>
      <c r="AV287" s="44" t="n"/>
      <c r="AW287" s="44" t="n"/>
      <c r="AX287" s="44" t="n"/>
      <c r="AY287" s="44" t="n"/>
      <c r="AZ287" s="44" t="n"/>
      <c r="BA287" s="44" t="n"/>
      <c r="BB287" s="44" t="n"/>
      <c r="BC287" s="44" t="n"/>
      <c r="BD287" s="44" t="n"/>
      <c r="BE287" s="44" t="n"/>
    </row>
    <row r="288" ht="15.5" customFormat="1" customHeight="1" s="44">
      <c r="A288" s="27" t="n"/>
      <c r="B288" s="30" t="n"/>
      <c r="C288" s="30">
        <f>IFERROR((C246/#REF!),"")</f>
        <v/>
      </c>
      <c r="D288" s="41" t="n"/>
      <c r="E288" s="30" t="n"/>
      <c r="F288" s="30">
        <f>IFERROR((F246/#REF!),"")</f>
        <v/>
      </c>
      <c r="G288" s="41" t="n"/>
      <c r="H288" s="30" t="n"/>
      <c r="I288" s="30">
        <f>IFERROR((I246/#REF!),"")</f>
        <v/>
      </c>
      <c r="J288" s="41" t="n"/>
      <c r="K288" s="30" t="n"/>
      <c r="L288" s="30">
        <f>IFERROR((L246/#REF!),"")</f>
        <v/>
      </c>
      <c r="M288" s="41" t="n"/>
      <c r="N288" s="30" t="n"/>
      <c r="O288" s="30">
        <f>IFERROR((O246/#REF!),"")</f>
        <v/>
      </c>
      <c r="P288" s="41" t="n"/>
      <c r="Q288" s="30" t="n"/>
      <c r="R288" s="30">
        <f>IFERROR((R246/#REF!),"")</f>
        <v/>
      </c>
      <c r="S288" s="41" t="n"/>
      <c r="T288" s="30" t="n"/>
      <c r="U288" s="30">
        <f>IFERROR((U246/#REF!),"")</f>
        <v/>
      </c>
      <c r="V288" s="41" t="n"/>
      <c r="W288" s="30" t="n"/>
      <c r="X288" s="30">
        <f>IFERROR((X246/#REF!),"")</f>
        <v/>
      </c>
      <c r="Y288" s="41" t="n"/>
      <c r="Z288" s="30" t="n"/>
      <c r="AA288" s="30">
        <f>IFERROR((AA246/#REF!),"")</f>
        <v/>
      </c>
      <c r="AB288" s="41" t="n"/>
      <c r="AC288" s="30" t="n"/>
      <c r="AD288" s="30">
        <f>IFERROR((AD246/#REF!),"")</f>
        <v/>
      </c>
      <c r="AE288" s="41" t="n"/>
      <c r="AF288" s="30" t="n"/>
      <c r="AG288" s="30">
        <f>IFERROR((AG246/#REF!),"")</f>
        <v/>
      </c>
      <c r="AH288" s="41" t="n"/>
      <c r="AI288" s="30" t="n"/>
      <c r="AJ288" s="30">
        <f>IFERROR((AJ246/#REF!),"")</f>
        <v/>
      </c>
      <c r="AK288" s="41" t="n"/>
      <c r="AL288" s="15" t="n"/>
      <c r="AM288" s="22" t="n"/>
      <c r="AN288" s="13" t="n"/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/>
      </c>
      <c r="AP288" s="44">
        <f>IF($A$1=$B$1,C288,IF($A$1=$E$1,F288,IF($A$1=$H$1,I288,IF($A$1=$K$1,L288,IF($A$1=$N$1,O288,IF($A$1=$Q$1,R288,IF($A$1=$T$1,U288,IF($A$1=$W$1,X288,IF($A$1=$Z$1,AA288,IF($A$1=$AC$1,AD288,IF($A$1=$AF$1,AG288,IF($A$1=$AI$1,AJ288))))))))))))</f>
        <v/>
      </c>
      <c r="AQ288" s="13" t="n"/>
      <c r="AR288" s="13" t="n"/>
      <c r="AS288" s="13" t="n"/>
      <c r="AT288" s="13" t="n"/>
      <c r="AU288" s="13" t="n"/>
      <c r="AV288" s="13" t="n"/>
      <c r="AW288" s="13" t="n"/>
      <c r="AX288" s="13" t="n"/>
      <c r="AY288" s="13" t="n"/>
      <c r="AZ288" s="13" t="n"/>
      <c r="BA288" s="13" t="n"/>
      <c r="BB288" s="13" t="n"/>
      <c r="BC288" s="13" t="n"/>
      <c r="BD288" s="13" t="n"/>
      <c r="BE288" s="13" t="n"/>
    </row>
    <row r="289" ht="17" customFormat="1" customHeight="1" s="13">
      <c r="A289" s="47" t="inlineStr">
        <is>
          <t>Operasyonel Nakit (100%)</t>
        </is>
      </c>
      <c r="B289" s="413" t="n"/>
      <c r="C289" s="413" t="n"/>
      <c r="D289" s="413" t="n"/>
      <c r="E289" s="413" t="n"/>
      <c r="F289" s="413" t="n"/>
      <c r="G289" s="413" t="n"/>
      <c r="H289" s="413" t="n"/>
      <c r="I289" s="413" t="n"/>
      <c r="J289" s="413" t="n"/>
      <c r="K289" s="413" t="n"/>
      <c r="L289" s="413" t="n"/>
      <c r="M289" s="413" t="n"/>
      <c r="N289" s="413" t="n"/>
      <c r="O289" s="413" t="n"/>
      <c r="P289" s="413" t="n"/>
      <c r="Q289" s="413" t="n"/>
      <c r="R289" s="413" t="n"/>
      <c r="S289" s="413" t="n"/>
      <c r="T289" s="413" t="n"/>
      <c r="U289" s="413" t="n"/>
      <c r="V289" s="413" t="n"/>
      <c r="W289" s="413" t="n"/>
      <c r="X289" s="413" t="n"/>
      <c r="Y289" s="413" t="n"/>
      <c r="Z289" s="413" t="n"/>
      <c r="AA289" s="413" t="n"/>
      <c r="AB289" s="413" t="n"/>
      <c r="AC289" s="413" t="n"/>
      <c r="AD289" s="413" t="n"/>
      <c r="AE289" s="413" t="n"/>
      <c r="AF289" s="413" t="n"/>
      <c r="AG289" s="413" t="n"/>
      <c r="AH289" s="413" t="n"/>
      <c r="AI289" s="413" t="n"/>
      <c r="AJ289" s="413" t="n"/>
      <c r="AK289" s="413" t="n"/>
      <c r="AL289" s="413" t="n"/>
      <c r="AM289" s="48" t="n"/>
      <c r="AN289" s="49" t="n"/>
      <c r="AO289" s="49" t="n"/>
      <c r="AP289" s="49" t="n"/>
      <c r="AQ289" s="49" t="n"/>
      <c r="AR289" s="49" t="n"/>
      <c r="AS289" s="49" t="n"/>
      <c r="AT289" s="49" t="n"/>
      <c r="AU289" s="49" t="n"/>
      <c r="AV289" s="49" t="n"/>
      <c r="AW289" s="49" t="n"/>
      <c r="AX289" s="49" t="n"/>
      <c r="AY289" s="49" t="n"/>
      <c r="AZ289" s="49" t="n"/>
      <c r="BA289" s="49" t="n"/>
      <c r="BB289" s="49" t="n"/>
      <c r="BC289" s="49" t="n"/>
      <c r="BD289" s="49" t="n"/>
      <c r="BE289" s="49" t="n"/>
    </row>
    <row r="290" ht="15.5" customFormat="1" customHeight="1" s="49">
      <c r="A290" s="26" t="inlineStr">
        <is>
          <t xml:space="preserve">İnci Holding </t>
        </is>
      </c>
      <c r="B290" s="7">
        <f>'Bütçe Değişim TL'!$B$3</f>
        <v/>
      </c>
      <c r="C290" s="7">
        <f>'değişim-tl'!$B$3</f>
        <v/>
      </c>
      <c r="D290" s="7" t="n"/>
      <c r="E290" s="7">
        <f>'Bütçe Değişim TL'!$C$3</f>
        <v/>
      </c>
      <c r="F290" s="7">
        <f>'değişim-tl'!$C$3</f>
        <v/>
      </c>
      <c r="G290" s="7" t="n"/>
      <c r="H290" s="7">
        <f>'Bütçe Değişim TL'!$D$3</f>
        <v/>
      </c>
      <c r="I290" s="7">
        <f>'değişim-tl'!$D$3</f>
        <v/>
      </c>
      <c r="J290" s="7" t="n"/>
      <c r="K290" s="7">
        <f>'Bütçe Değişim TL'!$E$3</f>
        <v/>
      </c>
      <c r="L290" s="7">
        <f>'değişim-tl'!$E$3</f>
        <v/>
      </c>
      <c r="M290" s="7" t="n"/>
      <c r="N290" s="7">
        <f>'Bütçe Değişim TL'!$F$3</f>
        <v/>
      </c>
      <c r="O290" s="7">
        <f>'değişim-tl'!$F$3</f>
        <v/>
      </c>
      <c r="P290" s="7" t="n"/>
      <c r="Q290" s="7">
        <f>'Bütçe Değişim TL'!$G$3</f>
        <v/>
      </c>
      <c r="R290" s="7">
        <f>'değişim-tl'!$G$3</f>
        <v/>
      </c>
      <c r="S290" s="7" t="n"/>
      <c r="T290" s="7">
        <f>'Bütçe Değişim TL'!$H$3</f>
        <v/>
      </c>
      <c r="U290" s="7">
        <f>'değişim-tl'!$H$3</f>
        <v/>
      </c>
      <c r="V290" s="7" t="n"/>
      <c r="W290" s="7">
        <f>'Bütçe Değişim TL'!$I$3</f>
        <v/>
      </c>
      <c r="X290" s="7">
        <f>'değişim-tl'!$I$3</f>
        <v/>
      </c>
      <c r="Y290" s="7" t="n"/>
      <c r="Z290" s="7">
        <f>'Bütçe Değişim TL'!$J$3</f>
        <v/>
      </c>
      <c r="AA290" s="7">
        <f>'değişim-tl'!$J$3</f>
        <v/>
      </c>
      <c r="AB290" s="7" t="n"/>
      <c r="AC290" s="7">
        <f>'Bütçe Değişim TL'!$K$3</f>
        <v/>
      </c>
      <c r="AD290" s="7">
        <f>'değişim-tl'!$K$3</f>
        <v/>
      </c>
      <c r="AE290" s="7" t="n"/>
      <c r="AF290" s="7">
        <f>'Bütçe Değişim TL'!$L$3</f>
        <v/>
      </c>
      <c r="AG290" s="7">
        <f>'değişim-tl'!$L$3</f>
        <v/>
      </c>
      <c r="AH290" s="7" t="n"/>
      <c r="AI290" s="7">
        <f>'Bütçe Değişim TL'!$M$3</f>
        <v/>
      </c>
      <c r="AJ290" s="7">
        <f>'değişim-tl'!$M$3</f>
        <v/>
      </c>
      <c r="AK290" s="7" t="n"/>
      <c r="AL290" s="21">
        <f>AP290-AO290</f>
        <v/>
      </c>
      <c r="AM290" s="22">
        <f>AP290/AO290-1</f>
        <v/>
      </c>
      <c r="AO290" s="44">
        <f>IF($A$1=$B$1,B290,IF($A$1=$E$1,E290,IF($A$1=$H$1,H290,IF($A$1=$K$1,K290,IF($A$1=$N$1,N290,IF($A$1=$Q$1,Q290,IF($A$1=$T$1,T290,IF($A$1=$W$1,W290,IF($A$1=$Z$1,Z290,IF($A$1=$AC$1,AC290,IF($A$1=$AF$1,AF290,IF($A$1=$AI$1,AI290))))))))))))</f>
        <v/>
      </c>
      <c r="AP290" s="44">
        <f>IF($A$1=$B$1,C290,IF($A$1=$E$1,F290,IF($A$1=$H$1,I290,IF($A$1=$K$1,L290,IF($A$1=$N$1,O290,IF($A$1=$Q$1,R290,IF($A$1=$T$1,U290,IF($A$1=$W$1,X290,IF($A$1=$Z$1,AA290,IF($A$1=$AC$1,AD290,IF($A$1=$AF$1,AG290,IF($A$1=$AI$1,AJ290))))))))))))</f>
        <v/>
      </c>
    </row>
    <row r="291" ht="15.5" customHeight="1">
      <c r="A291" s="26" t="inlineStr">
        <is>
          <t xml:space="preserve">ISM </t>
        </is>
      </c>
      <c r="B291" s="7">
        <f>'Bütçe Değişim TL'!$B$4</f>
        <v/>
      </c>
      <c r="C291" s="7">
        <f>'değişim-tl'!$B$4</f>
        <v/>
      </c>
      <c r="D291" s="7" t="n"/>
      <c r="E291" s="7">
        <f>'Bütçe Değişim TL'!$C$4</f>
        <v/>
      </c>
      <c r="F291" s="7">
        <f>'değişim-tl'!$C$4</f>
        <v/>
      </c>
      <c r="G291" s="7" t="n"/>
      <c r="H291" s="7">
        <f>'Bütçe Değişim TL'!$D$4</f>
        <v/>
      </c>
      <c r="I291" s="7">
        <f>'değişim-tl'!$D$4</f>
        <v/>
      </c>
      <c r="J291" s="7" t="n"/>
      <c r="K291" s="7">
        <f>'Bütçe Değişim TL'!$E$4</f>
        <v/>
      </c>
      <c r="L291" s="7">
        <f>'değişim-tl'!$E$4</f>
        <v/>
      </c>
      <c r="M291" s="7" t="n"/>
      <c r="N291" s="7">
        <f>'Bütçe Değişim TL'!$F$4</f>
        <v/>
      </c>
      <c r="O291" s="7">
        <f>'değişim-tl'!$F$4</f>
        <v/>
      </c>
      <c r="P291" s="7" t="n"/>
      <c r="Q291" s="7">
        <f>'Bütçe Değişim TL'!$G$4</f>
        <v/>
      </c>
      <c r="R291" s="7">
        <f>'değişim-tl'!$G$4</f>
        <v/>
      </c>
      <c r="S291" s="7" t="n"/>
      <c r="T291" s="7">
        <f>'Bütçe Değişim TL'!$H$4</f>
        <v/>
      </c>
      <c r="U291" s="7">
        <f>'değişim-tl'!$H$4</f>
        <v/>
      </c>
      <c r="V291" s="7" t="n"/>
      <c r="W291" s="7">
        <f>'Bütçe Değişim TL'!$I$4</f>
        <v/>
      </c>
      <c r="X291" s="7">
        <f>'değişim-tl'!$I$4</f>
        <v/>
      </c>
      <c r="Y291" s="7" t="n"/>
      <c r="Z291" s="7">
        <f>'Bütçe Değişim TL'!$J$4</f>
        <v/>
      </c>
      <c r="AA291" s="7">
        <f>'değişim-tl'!$J$4</f>
        <v/>
      </c>
      <c r="AB291" s="7" t="n"/>
      <c r="AC291" s="7">
        <f>'Bütçe Değişim TL'!$K$4</f>
        <v/>
      </c>
      <c r="AD291" s="7">
        <f>'değişim-tl'!$K$4</f>
        <v/>
      </c>
      <c r="AE291" s="7" t="n"/>
      <c r="AF291" s="7">
        <f>'Bütçe Değişim TL'!$L$4</f>
        <v/>
      </c>
      <c r="AG291" s="7">
        <f>'değişim-tl'!$L$4</f>
        <v/>
      </c>
      <c r="AH291" s="7" t="n"/>
      <c r="AI291" s="7">
        <f>'Bütçe Değişim TL'!$M$4</f>
        <v/>
      </c>
      <c r="AJ291" s="7">
        <f>'değişim-tl'!$M$4</f>
        <v/>
      </c>
      <c r="AK291" s="7" t="n"/>
      <c r="AL291" s="21">
        <f>AP291-AO291</f>
        <v/>
      </c>
      <c r="AM291" s="22">
        <f>AP291/AO291-1</f>
        <v/>
      </c>
      <c r="AO291" s="44">
        <f>IF($A$1=$B$1,B291,IF($A$1=$E$1,E291,IF($A$1=$H$1,H291,IF($A$1=$K$1,K291,IF($A$1=$N$1,N291,IF($A$1=$Q$1,Q291,IF($A$1=$T$1,T291,IF($A$1=$W$1,W291,IF($A$1=$Z$1,Z291,IF($A$1=$AC$1,AC291,IF($A$1=$AF$1,AF291,IF($A$1=$AI$1,AI291))))))))))))</f>
        <v/>
      </c>
      <c r="AP291" s="44">
        <f>IF($A$1=$B$1,C291,IF($A$1=$E$1,F291,IF($A$1=$H$1,I291,IF($A$1=$K$1,L291,IF($A$1=$N$1,O291,IF($A$1=$Q$1,R291,IF($A$1=$T$1,U291,IF($A$1=$W$1,X291,IF($A$1=$Z$1,AA291,IF($A$1=$AC$1,AD291,IF($A$1=$AF$1,AG291,IF($A$1=$AI$1,AJ291))))))))))))</f>
        <v/>
      </c>
    </row>
    <row r="292" ht="15.5" customHeight="1">
      <c r="A292" s="26" t="inlineStr">
        <is>
          <t>İncitaş</t>
        </is>
      </c>
      <c r="B292" s="7">
        <f>'Bütçe Değişim TL'!$B$5</f>
        <v/>
      </c>
      <c r="C292" s="7">
        <f>'değişim-tl'!$B$5</f>
        <v/>
      </c>
      <c r="D292" s="7" t="n"/>
      <c r="E292" s="7">
        <f>'Bütçe Değişim TL'!$C$5</f>
        <v/>
      </c>
      <c r="F292" s="7">
        <f>'değişim-tl'!$C$5</f>
        <v/>
      </c>
      <c r="G292" s="7" t="n"/>
      <c r="H292" s="7">
        <f>'Bütçe Değişim TL'!$D$5</f>
        <v/>
      </c>
      <c r="I292" s="7">
        <f>'değişim-tl'!$D$5</f>
        <v/>
      </c>
      <c r="J292" s="7" t="n"/>
      <c r="K292" s="7">
        <f>'Bütçe Değişim TL'!$E$5</f>
        <v/>
      </c>
      <c r="L292" s="7">
        <f>'değişim-tl'!$E$5</f>
        <v/>
      </c>
      <c r="M292" s="7" t="n"/>
      <c r="N292" s="7">
        <f>'Bütçe Değişim TL'!$F$5</f>
        <v/>
      </c>
      <c r="O292" s="7">
        <f>'değişim-tl'!$F$5</f>
        <v/>
      </c>
      <c r="P292" s="7" t="n"/>
      <c r="Q292" s="7">
        <f>'Bütçe Değişim TL'!$G$5</f>
        <v/>
      </c>
      <c r="R292" s="7">
        <f>'değişim-tl'!$G$5</f>
        <v/>
      </c>
      <c r="S292" s="7" t="n"/>
      <c r="T292" s="7">
        <f>'Bütçe Değişim TL'!$H$5</f>
        <v/>
      </c>
      <c r="U292" s="7">
        <f>'değişim-tl'!$H$5</f>
        <v/>
      </c>
      <c r="V292" s="7" t="n"/>
      <c r="W292" s="7">
        <f>'Bütçe Değişim TL'!$I$5</f>
        <v/>
      </c>
      <c r="X292" s="7">
        <f>'değişim-tl'!$I$5</f>
        <v/>
      </c>
      <c r="Y292" s="7" t="n"/>
      <c r="Z292" s="7">
        <f>'Bütçe Değişim TL'!$J$5</f>
        <v/>
      </c>
      <c r="AA292" s="7">
        <f>'değişim-tl'!$J$5</f>
        <v/>
      </c>
      <c r="AB292" s="7" t="n"/>
      <c r="AC292" s="7">
        <f>'Bütçe Değişim TL'!$K$5</f>
        <v/>
      </c>
      <c r="AD292" s="7">
        <f>'değişim-tl'!$K$5</f>
        <v/>
      </c>
      <c r="AE292" s="7" t="n"/>
      <c r="AF292" s="7">
        <f>'Bütçe Değişim TL'!$L$5</f>
        <v/>
      </c>
      <c r="AG292" s="7">
        <f>'değişim-tl'!$L$5</f>
        <v/>
      </c>
      <c r="AH292" s="7" t="n"/>
      <c r="AI292" s="7">
        <f>'Bütçe Değişim TL'!$M$5</f>
        <v/>
      </c>
      <c r="AJ292" s="7">
        <f>'değişim-tl'!$M$5</f>
        <v/>
      </c>
      <c r="AK292" s="7" t="n"/>
      <c r="AL292" s="21">
        <f>AP292-AO292</f>
        <v/>
      </c>
      <c r="AM292" s="22">
        <f>AP292/AO292-1</f>
        <v/>
      </c>
      <c r="AO292" s="44">
        <f>IF($A$1=$B$1,B292,IF($A$1=$E$1,E292,IF($A$1=$H$1,H292,IF($A$1=$K$1,K292,IF($A$1=$N$1,N292,IF($A$1=$Q$1,Q292,IF($A$1=$T$1,T292,IF($A$1=$W$1,W292,IF($A$1=$Z$1,Z292,IF($A$1=$AC$1,AC292,IF($A$1=$AF$1,AF292,IF($A$1=$AI$1,AI292))))))))))))</f>
        <v/>
      </c>
      <c r="AP292" s="44">
        <f>IF($A$1=$B$1,C292,IF($A$1=$E$1,F292,IF($A$1=$H$1,I292,IF($A$1=$K$1,L292,IF($A$1=$N$1,O292,IF($A$1=$Q$1,R292,IF($A$1=$T$1,U292,IF($A$1=$W$1,X292,IF($A$1=$Z$1,AA292,IF($A$1=$AC$1,AD292,IF($A$1=$AF$1,AG292,IF($A$1=$AI$1,AJ292))))))))))))</f>
        <v/>
      </c>
    </row>
    <row r="293" ht="15.5" customHeight="1">
      <c r="A293" s="26" t="inlineStr">
        <is>
          <t>İnci GS Yuasa</t>
        </is>
      </c>
      <c r="B293" s="7">
        <f>'Bütçe Değişim TL'!$B$6</f>
        <v/>
      </c>
      <c r="C293" s="7">
        <f>'değişim-tl'!$B$6</f>
        <v/>
      </c>
      <c r="D293" s="7" t="n"/>
      <c r="E293" s="7">
        <f>'Bütçe Değişim TL'!$C$6</f>
        <v/>
      </c>
      <c r="F293" s="7">
        <f>'değişim-tl'!$C$6</f>
        <v/>
      </c>
      <c r="G293" s="7" t="n"/>
      <c r="H293" s="7">
        <f>'Bütçe Değişim TL'!$D$6</f>
        <v/>
      </c>
      <c r="I293" s="7">
        <f>'değişim-tl'!$D$6</f>
        <v/>
      </c>
      <c r="J293" s="7" t="n"/>
      <c r="K293" s="7">
        <f>'Bütçe Değişim TL'!$E$6</f>
        <v/>
      </c>
      <c r="L293" s="7">
        <f>'değişim-tl'!$E$6</f>
        <v/>
      </c>
      <c r="M293" s="7" t="n"/>
      <c r="N293" s="7">
        <f>'Bütçe Değişim TL'!$F$6</f>
        <v/>
      </c>
      <c r="O293" s="7">
        <f>'değişim-tl'!$F$6</f>
        <v/>
      </c>
      <c r="P293" s="7" t="n"/>
      <c r="Q293" s="7">
        <f>'Bütçe Değişim TL'!$G$6</f>
        <v/>
      </c>
      <c r="R293" s="7">
        <f>'değişim-tl'!$G$6</f>
        <v/>
      </c>
      <c r="S293" s="7" t="n"/>
      <c r="T293" s="7">
        <f>'Bütçe Değişim TL'!$H$6</f>
        <v/>
      </c>
      <c r="U293" s="7">
        <f>'değişim-tl'!$H$6</f>
        <v/>
      </c>
      <c r="V293" s="7" t="n"/>
      <c r="W293" s="7">
        <f>'Bütçe Değişim TL'!$I$6</f>
        <v/>
      </c>
      <c r="X293" s="7">
        <f>'değişim-tl'!$I$6</f>
        <v/>
      </c>
      <c r="Y293" s="7" t="n"/>
      <c r="Z293" s="7">
        <f>'Bütçe Değişim TL'!$J$6</f>
        <v/>
      </c>
      <c r="AA293" s="7">
        <f>'değişim-tl'!$J$6</f>
        <v/>
      </c>
      <c r="AB293" s="7" t="n"/>
      <c r="AC293" s="7">
        <f>'Bütçe Değişim TL'!$K$6</f>
        <v/>
      </c>
      <c r="AD293" s="7">
        <f>'değişim-tl'!$K$6</f>
        <v/>
      </c>
      <c r="AE293" s="7" t="n"/>
      <c r="AF293" s="7">
        <f>'Bütçe Değişim TL'!$L$6</f>
        <v/>
      </c>
      <c r="AG293" s="7">
        <f>'değişim-tl'!$L$6</f>
        <v/>
      </c>
      <c r="AH293" s="7" t="n"/>
      <c r="AI293" s="7">
        <f>'Bütçe Değişim TL'!$M$6</f>
        <v/>
      </c>
      <c r="AJ293" s="7">
        <f>'değişim-tl'!$M$6</f>
        <v/>
      </c>
      <c r="AK293" s="7" t="n"/>
      <c r="AL293" s="21">
        <f>AP293-AO293</f>
        <v/>
      </c>
      <c r="AM293" s="22">
        <f>AP293/AO293-1</f>
        <v/>
      </c>
      <c r="AO293" s="44">
        <f>IF($A$1=$B$1,B293,IF($A$1=$E$1,E293,IF($A$1=$H$1,H293,IF($A$1=$K$1,K293,IF($A$1=$N$1,N293,IF($A$1=$Q$1,Q293,IF($A$1=$T$1,T293,IF($A$1=$W$1,W293,IF($A$1=$Z$1,Z293,IF($A$1=$AC$1,AC293,IF($A$1=$AF$1,AF293,IF($A$1=$AI$1,AI293))))))))))))</f>
        <v/>
      </c>
      <c r="AP293" s="44">
        <f>IF($A$1=$B$1,C293,IF($A$1=$E$1,F293,IF($A$1=$H$1,I293,IF($A$1=$K$1,L293,IF($A$1=$N$1,O293,IF($A$1=$Q$1,R293,IF($A$1=$T$1,U293,IF($A$1=$W$1,X293,IF($A$1=$Z$1,AA293,IF($A$1=$AC$1,AD293,IF($A$1=$AF$1,AG293,IF($A$1=$AI$1,AJ293))))))))))))</f>
        <v/>
      </c>
    </row>
    <row r="294" ht="15.5" customFormat="1" customHeight="1" s="1">
      <c r="A294" s="26" t="inlineStr">
        <is>
          <t>Yusen İnci Loj.</t>
        </is>
      </c>
      <c r="B294" s="7">
        <f>'Bütçe Değişim TL'!$B$7</f>
        <v/>
      </c>
      <c r="C294" s="7">
        <f>'değişim-tl'!$B$7</f>
        <v/>
      </c>
      <c r="D294" s="8" t="n"/>
      <c r="E294" s="7">
        <f>'Bütçe Değişim TL'!$C$7</f>
        <v/>
      </c>
      <c r="F294" s="7">
        <f>'değişim-tl'!$C$7</f>
        <v/>
      </c>
      <c r="G294" s="8" t="n"/>
      <c r="H294" s="7">
        <f>'Bütçe Değişim TL'!$D$7</f>
        <v/>
      </c>
      <c r="I294" s="7">
        <f>'değişim-tl'!$D$7</f>
        <v/>
      </c>
      <c r="J294" s="8" t="n"/>
      <c r="K294" s="7">
        <f>'Bütçe Değişim TL'!$E$7</f>
        <v/>
      </c>
      <c r="L294" s="7">
        <f>'değişim-tl'!$E$7</f>
        <v/>
      </c>
      <c r="M294" s="8" t="n"/>
      <c r="N294" s="7">
        <f>'Bütçe Değişim TL'!$F$7</f>
        <v/>
      </c>
      <c r="O294" s="7">
        <f>'değişim-tl'!$F$7</f>
        <v/>
      </c>
      <c r="P294" s="8" t="n"/>
      <c r="Q294" s="7">
        <f>'Bütçe Değişim TL'!$G$7</f>
        <v/>
      </c>
      <c r="R294" s="7">
        <f>'değişim-tl'!$G$7</f>
        <v/>
      </c>
      <c r="S294" s="8" t="n"/>
      <c r="T294" s="7">
        <f>'Bütçe Değişim TL'!$H$7</f>
        <v/>
      </c>
      <c r="U294" s="7">
        <f>'değişim-tl'!$H$7</f>
        <v/>
      </c>
      <c r="V294" s="8" t="n"/>
      <c r="W294" s="7">
        <f>'Bütçe Değişim TL'!$I$7</f>
        <v/>
      </c>
      <c r="X294" s="7">
        <f>'değişim-tl'!$I$7</f>
        <v/>
      </c>
      <c r="Y294" s="8" t="n"/>
      <c r="Z294" s="7">
        <f>'Bütçe Değişim TL'!$J$7</f>
        <v/>
      </c>
      <c r="AA294" s="7">
        <f>'değişim-tl'!$J$7</f>
        <v/>
      </c>
      <c r="AB294" s="8" t="n"/>
      <c r="AC294" s="7">
        <f>'Bütçe Değişim TL'!$K$7</f>
        <v/>
      </c>
      <c r="AD294" s="7">
        <f>'değişim-tl'!$K$7</f>
        <v/>
      </c>
      <c r="AE294" s="8" t="n"/>
      <c r="AF294" s="7">
        <f>'Bütçe Değişim TL'!$L$7</f>
        <v/>
      </c>
      <c r="AG294" s="7">
        <f>'değişim-tl'!$L$7</f>
        <v/>
      </c>
      <c r="AH294" s="8" t="n"/>
      <c r="AI294" s="7">
        <f>'Bütçe Değişim TL'!$M$7</f>
        <v/>
      </c>
      <c r="AJ294" s="7">
        <f>'değişim-tl'!$M$7</f>
        <v/>
      </c>
      <c r="AK294" s="8" t="n"/>
      <c r="AL294" s="21">
        <f>AP294-AO294</f>
        <v/>
      </c>
      <c r="AM294" s="22">
        <f>AP294/AO294-1</f>
        <v/>
      </c>
      <c r="AO294" s="44">
        <f>IF($A$1=$B$1,B294,IF($A$1=$E$1,E294,IF($A$1=$H$1,H294,IF($A$1=$K$1,K294,IF($A$1=$N$1,N294,IF($A$1=$Q$1,Q294,IF($A$1=$T$1,T294,IF($A$1=$W$1,W294,IF($A$1=$Z$1,Z294,IF($A$1=$AC$1,AC294,IF($A$1=$AF$1,AF294,IF($A$1=$AI$1,AI294))))))))))))</f>
        <v/>
      </c>
      <c r="AP294" s="44">
        <f>IF($A$1=$B$1,C294,IF($A$1=$E$1,F294,IF($A$1=$H$1,I294,IF($A$1=$K$1,L294,IF($A$1=$N$1,O294,IF($A$1=$Q$1,R294,IF($A$1=$T$1,U294,IF($A$1=$W$1,X294,IF($A$1=$Z$1,AA294,IF($A$1=$AC$1,AD294,IF($A$1=$AF$1,AG294,IF($A$1=$AI$1,AJ294))))))))))))</f>
        <v/>
      </c>
      <c r="AQ294" s="129" t="n">
        <v>-52464204.38436884</v>
      </c>
      <c r="AR294" s="129">
        <f>AQ294*0.4</f>
        <v/>
      </c>
      <c r="AT294" s="1" t="n">
        <v>43.12</v>
      </c>
      <c r="AU294" s="129">
        <f>B294/AT294</f>
        <v/>
      </c>
    </row>
    <row r="295" ht="15.5" customHeight="1">
      <c r="A295" s="26" t="inlineStr">
        <is>
          <t>Jantaş</t>
        </is>
      </c>
      <c r="B295" s="7">
        <f>'Bütçe Değişim TL'!$B$8</f>
        <v/>
      </c>
      <c r="C295" s="7">
        <f>'değişim-tl'!$B$8</f>
        <v/>
      </c>
      <c r="D295" s="7" t="n"/>
      <c r="E295" s="7">
        <f>'Bütçe Değişim TL'!$C$8</f>
        <v/>
      </c>
      <c r="F295" s="7">
        <f>'değişim-tl'!$C$8</f>
        <v/>
      </c>
      <c r="G295" s="7" t="n"/>
      <c r="H295" s="7">
        <f>'Bütçe Değişim TL'!$D$8</f>
        <v/>
      </c>
      <c r="I295" s="7">
        <f>'değişim-tl'!$D$8</f>
        <v/>
      </c>
      <c r="J295" s="7" t="n"/>
      <c r="K295" s="7">
        <f>'Bütçe Değişim TL'!$E$8</f>
        <v/>
      </c>
      <c r="L295" s="7">
        <f>'değişim-tl'!$E$8</f>
        <v/>
      </c>
      <c r="M295" s="7" t="n"/>
      <c r="N295" s="7">
        <f>'Bütçe Değişim TL'!$F$8</f>
        <v/>
      </c>
      <c r="O295" s="7">
        <f>'değişim-tl'!$F$8</f>
        <v/>
      </c>
      <c r="P295" s="7" t="n"/>
      <c r="Q295" s="7">
        <f>'Bütçe Değişim TL'!$G$8</f>
        <v/>
      </c>
      <c r="R295" s="7">
        <f>'değişim-tl'!$G$8</f>
        <v/>
      </c>
      <c r="S295" s="7" t="n"/>
      <c r="T295" s="7">
        <f>'Bütçe Değişim TL'!$H$8</f>
        <v/>
      </c>
      <c r="U295" s="7">
        <f>'değişim-tl'!$H$8</f>
        <v/>
      </c>
      <c r="V295" s="7" t="n"/>
      <c r="W295" s="7">
        <f>'Bütçe Değişim TL'!$I$8</f>
        <v/>
      </c>
      <c r="X295" s="7">
        <f>'değişim-tl'!$I$8</f>
        <v/>
      </c>
      <c r="Y295" s="7" t="n"/>
      <c r="Z295" s="7">
        <f>'Bütçe Değişim TL'!$J$8</f>
        <v/>
      </c>
      <c r="AA295" s="7">
        <f>'değişim-tl'!$J$8</f>
        <v/>
      </c>
      <c r="AB295" s="7" t="n"/>
      <c r="AC295" s="7">
        <f>'Bütçe Değişim TL'!$K$8</f>
        <v/>
      </c>
      <c r="AD295" s="7">
        <f>'değişim-tl'!$K$8</f>
        <v/>
      </c>
      <c r="AE295" s="7" t="n"/>
      <c r="AF295" s="7">
        <f>'Bütçe Değişim TL'!$L$8</f>
        <v/>
      </c>
      <c r="AG295" s="7">
        <f>'değişim-tl'!$L$8</f>
        <v/>
      </c>
      <c r="AH295" s="7" t="n"/>
      <c r="AI295" s="7">
        <f>'Bütçe Değişim TL'!$M$8</f>
        <v/>
      </c>
      <c r="AJ295" s="7">
        <f>'değişim-tl'!$M$8</f>
        <v/>
      </c>
      <c r="AK295" s="7" t="n"/>
      <c r="AL295" s="21">
        <f>AP295-AO295</f>
        <v/>
      </c>
      <c r="AM295" s="22">
        <f>AP295/AO295-1</f>
        <v/>
      </c>
      <c r="AO295" s="44">
        <f>IF($A$1=$B$1,B295,IF($A$1=$E$1,E295,IF($A$1=$H$1,H295,IF($A$1=$K$1,K295,IF($A$1=$N$1,N295,IF($A$1=$Q$1,Q295,IF($A$1=$T$1,T295,IF($A$1=$W$1,W295,IF($A$1=$Z$1,Z295,IF($A$1=$AC$1,AC295,IF($A$1=$AF$1,AF295,IF($A$1=$AI$1,AI295))))))))))))</f>
        <v/>
      </c>
      <c r="AP295" s="44">
        <f>IF($A$1=$B$1,C295,IF($A$1=$E$1,F295,IF($A$1=$H$1,I295,IF($A$1=$K$1,L295,IF($A$1=$N$1,O295,IF($A$1=$Q$1,R295,IF($A$1=$T$1,U295,IF($A$1=$W$1,X295,IF($A$1=$Z$1,AA295,IF($A$1=$AC$1,AD295,IF($A$1=$AF$1,AG295,IF($A$1=$AI$1,AJ295))))))))))))</f>
        <v/>
      </c>
    </row>
    <row r="296" ht="15.5" customFormat="1" customHeight="1" s="1">
      <c r="A296" s="26" t="inlineStr">
        <is>
          <t>Çelik</t>
        </is>
      </c>
      <c r="B296" s="7">
        <f>'Bütçe Değişim TL'!$B$9</f>
        <v/>
      </c>
      <c r="C296" s="7">
        <f>'değişim-tl'!$B$9</f>
        <v/>
      </c>
      <c r="D296" s="8" t="n"/>
      <c r="E296" s="7">
        <f>'Bütçe Değişim TL'!$C$9</f>
        <v/>
      </c>
      <c r="F296" s="7">
        <f>'değişim-tl'!$C$9</f>
        <v/>
      </c>
      <c r="G296" s="8" t="n"/>
      <c r="H296" s="7">
        <f>'Bütçe Değişim TL'!$D$9</f>
        <v/>
      </c>
      <c r="I296" s="7">
        <f>'değişim-tl'!$D$9</f>
        <v/>
      </c>
      <c r="J296" s="8" t="n"/>
      <c r="K296" s="7">
        <f>'Bütçe Değişim TL'!$E$9</f>
        <v/>
      </c>
      <c r="L296" s="7">
        <f>'değişim-tl'!$E$9</f>
        <v/>
      </c>
      <c r="M296" s="8" t="n"/>
      <c r="N296" s="7">
        <f>'Bütçe Değişim TL'!$F$9</f>
        <v/>
      </c>
      <c r="O296" s="7">
        <f>'değişim-tl'!$F$9</f>
        <v/>
      </c>
      <c r="P296" s="8" t="n"/>
      <c r="Q296" s="7">
        <f>'Bütçe Değişim TL'!$G$9</f>
        <v/>
      </c>
      <c r="R296" s="7">
        <f>'değişim-tl'!$G$9</f>
        <v/>
      </c>
      <c r="S296" s="8" t="n"/>
      <c r="T296" s="7">
        <f>'Bütçe Değişim TL'!$H$9</f>
        <v/>
      </c>
      <c r="U296" s="7">
        <f>'değişim-tl'!$H$9</f>
        <v/>
      </c>
      <c r="V296" s="8" t="n"/>
      <c r="W296" s="7">
        <f>'Bütçe Değişim TL'!$I$9</f>
        <v/>
      </c>
      <c r="X296" s="7">
        <f>'değişim-tl'!$I$9</f>
        <v/>
      </c>
      <c r="Y296" s="8" t="n"/>
      <c r="Z296" s="7">
        <f>'Bütçe Değişim TL'!$J$9</f>
        <v/>
      </c>
      <c r="AA296" s="7">
        <f>'değişim-tl'!$J$9</f>
        <v/>
      </c>
      <c r="AB296" s="8" t="n"/>
      <c r="AC296" s="7">
        <f>'Bütçe Değişim TL'!$K$9</f>
        <v/>
      </c>
      <c r="AD296" s="7">
        <f>'değişim-tl'!$K$9</f>
        <v/>
      </c>
      <c r="AE296" s="8" t="n"/>
      <c r="AF296" s="7">
        <f>'Bütçe Değişim TL'!$L$9</f>
        <v/>
      </c>
      <c r="AG296" s="7">
        <f>'değişim-tl'!$L$9</f>
        <v/>
      </c>
      <c r="AH296" s="8" t="n"/>
      <c r="AI296" s="7">
        <f>'Bütçe Değişim TL'!$M$9</f>
        <v/>
      </c>
      <c r="AJ296" s="7">
        <f>'değişim-tl'!$M$9</f>
        <v/>
      </c>
      <c r="AK296" s="8" t="n"/>
      <c r="AL296" s="21">
        <f>AP296-AO296</f>
        <v/>
      </c>
      <c r="AM296" s="22">
        <f>AP296/AO296-1</f>
        <v/>
      </c>
      <c r="AO296" s="44">
        <f>IF($A$1=$B$1,B296,IF($A$1=$E$1,E296,IF($A$1=$H$1,H296,IF($A$1=$K$1,K296,IF($A$1=$N$1,N296,IF($A$1=$Q$1,Q296,IF($A$1=$T$1,T296,IF($A$1=$W$1,W296,IF($A$1=$Z$1,Z296,IF($A$1=$AC$1,AC296,IF($A$1=$AF$1,AF296,IF($A$1=$AI$1,AI296))))))))))))</f>
        <v/>
      </c>
      <c r="AP296" s="44">
        <f>IF($A$1=$B$1,C296,IF($A$1=$E$1,F296,IF($A$1=$H$1,I296,IF($A$1=$K$1,L296,IF($A$1=$N$1,O296,IF($A$1=$Q$1,R296,IF($A$1=$T$1,U296,IF($A$1=$W$1,X296,IF($A$1=$Z$1,AA296,IF($A$1=$AC$1,AD296,IF($A$1=$AF$1,AG296,IF($A$1=$AI$1,AJ296))))))))))))</f>
        <v/>
      </c>
    </row>
    <row r="297" ht="15.5" customFormat="1" customHeight="1" s="1">
      <c r="A297" s="26" t="inlineStr">
        <is>
          <t>Alüminyum</t>
        </is>
      </c>
      <c r="B297" s="7">
        <f>'Bütçe Değişim TL'!$B$10</f>
        <v/>
      </c>
      <c r="C297" s="7">
        <f>'değişim-tl'!$B$10</f>
        <v/>
      </c>
      <c r="D297" s="8" t="n"/>
      <c r="E297" s="7">
        <f>'Bütçe Değişim TL'!$C$10</f>
        <v/>
      </c>
      <c r="F297" s="7">
        <f>'değişim-tl'!$C$10</f>
        <v/>
      </c>
      <c r="G297" s="8" t="n"/>
      <c r="H297" s="7">
        <f>'Bütçe Değişim TL'!$D$10</f>
        <v/>
      </c>
      <c r="I297" s="7">
        <f>'değişim-tl'!$D$10</f>
        <v/>
      </c>
      <c r="J297" s="8" t="n"/>
      <c r="K297" s="7">
        <f>'Bütçe Değişim TL'!$E$10</f>
        <v/>
      </c>
      <c r="L297" s="7">
        <f>'değişim-tl'!$E$10</f>
        <v/>
      </c>
      <c r="M297" s="8" t="n"/>
      <c r="N297" s="7">
        <f>'Bütçe Değişim TL'!$F$10</f>
        <v/>
      </c>
      <c r="O297" s="7">
        <f>'değişim-tl'!$F$10</f>
        <v/>
      </c>
      <c r="P297" s="8" t="n"/>
      <c r="Q297" s="7">
        <f>'Bütçe Değişim TL'!$G$10</f>
        <v/>
      </c>
      <c r="R297" s="7">
        <f>'değişim-tl'!$G$10</f>
        <v/>
      </c>
      <c r="S297" s="8" t="n"/>
      <c r="T297" s="7">
        <f>'Bütçe Değişim TL'!$H$10</f>
        <v/>
      </c>
      <c r="U297" s="7">
        <f>'değişim-tl'!$H$10</f>
        <v/>
      </c>
      <c r="V297" s="8" t="n"/>
      <c r="W297" s="7">
        <f>'Bütçe Değişim TL'!$I$10</f>
        <v/>
      </c>
      <c r="X297" s="7">
        <f>'değişim-tl'!$I$10</f>
        <v/>
      </c>
      <c r="Y297" s="8" t="n"/>
      <c r="Z297" s="7">
        <f>'Bütçe Değişim TL'!$J$10</f>
        <v/>
      </c>
      <c r="AA297" s="7">
        <f>'değişim-tl'!$J$10</f>
        <v/>
      </c>
      <c r="AB297" s="8" t="n"/>
      <c r="AC297" s="7">
        <f>'Bütçe Değişim TL'!$K$10</f>
        <v/>
      </c>
      <c r="AD297" s="7">
        <f>'değişim-tl'!$K$10</f>
        <v/>
      </c>
      <c r="AE297" s="8" t="n"/>
      <c r="AF297" s="7">
        <f>'Bütçe Değişim TL'!$L$10</f>
        <v/>
      </c>
      <c r="AG297" s="7">
        <f>'değişim-tl'!$L$10</f>
        <v/>
      </c>
      <c r="AH297" s="8" t="n"/>
      <c r="AI297" s="7">
        <f>'Bütçe Değişim TL'!$M$10</f>
        <v/>
      </c>
      <c r="AJ297" s="7">
        <f>'değişim-tl'!$M$10</f>
        <v/>
      </c>
      <c r="AK297" s="8" t="n"/>
      <c r="AL297" s="21">
        <f>AP297-AO297</f>
        <v/>
      </c>
      <c r="AM297" s="22">
        <f>AP297/AO297-1</f>
        <v/>
      </c>
      <c r="AO297" s="44">
        <f>IF($A$1=$B$1,B297,IF($A$1=$E$1,E297,IF($A$1=$H$1,H297,IF($A$1=$K$1,K297,IF($A$1=$N$1,N297,IF($A$1=$Q$1,Q297,IF($A$1=$T$1,T297,IF($A$1=$W$1,W297,IF($A$1=$Z$1,Z297,IF($A$1=$AC$1,AC297,IF($A$1=$AF$1,AF297,IF($A$1=$AI$1,AI297))))))))))))</f>
        <v/>
      </c>
      <c r="AP297" s="44">
        <f>IF($A$1=$B$1,C297,IF($A$1=$E$1,F297,IF($A$1=$H$1,I297,IF($A$1=$K$1,L297,IF($A$1=$N$1,O297,IF($A$1=$Q$1,R297,IF($A$1=$T$1,U297,IF($A$1=$W$1,X297,IF($A$1=$Z$1,AA297,IF($A$1=$AC$1,AD297,IF($A$1=$AF$1,AG297,IF($A$1=$AI$1,AJ297))))))))))))</f>
        <v/>
      </c>
    </row>
    <row r="298" ht="15.5" customFormat="1" customHeight="1" s="1">
      <c r="A298" s="26" t="n"/>
      <c r="B298" s="7" t="n"/>
      <c r="C298" s="8" t="n"/>
      <c r="D298" s="8" t="n"/>
      <c r="E298" s="7" t="n"/>
      <c r="F298" s="8" t="n"/>
      <c r="G298" s="8" t="n"/>
      <c r="H298" s="7" t="n"/>
      <c r="I298" s="8" t="n"/>
      <c r="J298" s="8" t="n"/>
      <c r="K298" s="7" t="n"/>
      <c r="L298" s="8" t="n"/>
      <c r="M298" s="8" t="n"/>
      <c r="N298" s="7" t="n"/>
      <c r="O298" s="8" t="n"/>
      <c r="P298" s="8" t="n"/>
      <c r="Q298" s="7" t="n"/>
      <c r="R298" s="8" t="n"/>
      <c r="S298" s="8" t="n"/>
      <c r="T298" s="7" t="n"/>
      <c r="U298" s="8" t="n"/>
      <c r="V298" s="8" t="n"/>
      <c r="W298" s="7" t="n"/>
      <c r="X298" s="8" t="n"/>
      <c r="Y298" s="8" t="n"/>
      <c r="Z298" s="7" t="n"/>
      <c r="AA298" s="8" t="n"/>
      <c r="AB298" s="8" t="n"/>
      <c r="AC298" s="7" t="n"/>
      <c r="AD298" s="8" t="n"/>
      <c r="AE298" s="8" t="n"/>
      <c r="AF298" s="7" t="n"/>
      <c r="AG298" s="8" t="n"/>
      <c r="AH298" s="8" t="n"/>
      <c r="AI298" s="7" t="n"/>
      <c r="AJ298" s="8" t="n"/>
      <c r="AK298" s="8" t="n"/>
      <c r="AL298" s="15" t="n"/>
      <c r="AM298" s="16" t="n"/>
      <c r="AO298" s="44" t="n"/>
      <c r="AP298" s="44" t="n"/>
    </row>
    <row r="299" ht="15.5" customFormat="1" customHeight="1" s="1">
      <c r="A299" s="26" t="n"/>
      <c r="B299" s="7" t="n"/>
      <c r="C299" s="8" t="n"/>
      <c r="D299" s="8" t="n"/>
      <c r="E299" s="7" t="n"/>
      <c r="F299" s="8" t="n"/>
      <c r="G299" s="8" t="n"/>
      <c r="H299" s="7" t="n"/>
      <c r="I299" s="8" t="n"/>
      <c r="J299" s="8" t="n"/>
      <c r="K299" s="7" t="n"/>
      <c r="L299" s="8" t="n"/>
      <c r="M299" s="8" t="n"/>
      <c r="N299" s="7" t="n"/>
      <c r="O299" s="8" t="n"/>
      <c r="P299" s="8" t="n"/>
      <c r="Q299" s="7" t="n"/>
      <c r="R299" s="8" t="n"/>
      <c r="S299" s="8" t="n"/>
      <c r="T299" s="7" t="n"/>
      <c r="U299" s="8" t="n"/>
      <c r="V299" s="8" t="n"/>
      <c r="W299" s="7" t="n"/>
      <c r="X299" s="8" t="n"/>
      <c r="Y299" s="8" t="n"/>
      <c r="Z299" s="7" t="n"/>
      <c r="AA299" s="8" t="n"/>
      <c r="AB299" s="8" t="n"/>
      <c r="AC299" s="7" t="n"/>
      <c r="AD299" s="8" t="n"/>
      <c r="AE299" s="8" t="n"/>
      <c r="AF299" s="7" t="n"/>
      <c r="AG299" s="8" t="n"/>
      <c r="AH299" s="8" t="n"/>
      <c r="AI299" s="7" t="n"/>
      <c r="AJ299" s="8" t="n"/>
      <c r="AK299" s="8" t="n"/>
      <c r="AL299" s="15" t="n"/>
      <c r="AM299" s="16" t="n"/>
      <c r="AO299" s="44" t="n"/>
      <c r="AP299" s="44" t="n"/>
    </row>
    <row r="300" ht="15.5" customFormat="1" customHeight="1" s="44">
      <c r="A300" s="31" t="inlineStr">
        <is>
          <t>Serbest Nakit</t>
        </is>
      </c>
      <c r="B300" s="32">
        <f>'Bütçe Değişim TL'!$B$11</f>
        <v/>
      </c>
      <c r="C300" s="32">
        <f>'değişim-tl'!$B$11</f>
        <v/>
      </c>
      <c r="D300" s="18" t="n"/>
      <c r="E300" s="32">
        <f>'Bütçe Değişim TL'!$C$11</f>
        <v/>
      </c>
      <c r="F300" s="32">
        <f>'değişim-tl'!$C$11</f>
        <v/>
      </c>
      <c r="G300" s="18" t="n"/>
      <c r="H300" s="32">
        <f>'Bütçe Değişim TL'!$D$11</f>
        <v/>
      </c>
      <c r="I300" s="32">
        <f>'değişim-tl'!$D$11</f>
        <v/>
      </c>
      <c r="J300" s="18" t="n"/>
      <c r="K300" s="32">
        <f>'Bütçe Değişim TL'!$E$11</f>
        <v/>
      </c>
      <c r="L300" s="32">
        <f>'değişim-tl'!$E$11</f>
        <v/>
      </c>
      <c r="M300" s="18" t="n"/>
      <c r="N300" s="32">
        <f>'Bütçe Değişim TL'!$F$11</f>
        <v/>
      </c>
      <c r="O300" s="32">
        <f>'değişim-tl'!$F$11</f>
        <v/>
      </c>
      <c r="P300" s="18" t="n"/>
      <c r="Q300" s="32">
        <f>'Bütçe Değişim TL'!$G$11</f>
        <v/>
      </c>
      <c r="R300" s="32">
        <f>'değişim-tl'!$G$11</f>
        <v/>
      </c>
      <c r="S300" s="18" t="n"/>
      <c r="T300" s="32">
        <f>'Bütçe Değişim TL'!$H$11</f>
        <v/>
      </c>
      <c r="U300" s="32">
        <f>'değişim-tl'!$H$11</f>
        <v/>
      </c>
      <c r="V300" s="18" t="n"/>
      <c r="W300" s="32">
        <f>'Bütçe Değişim TL'!$I$11</f>
        <v/>
      </c>
      <c r="X300" s="32">
        <f>'değişim-tl'!$I$11</f>
        <v/>
      </c>
      <c r="Y300" s="18" t="n"/>
      <c r="Z300" s="32">
        <f>'Bütçe Değişim TL'!$J$11</f>
        <v/>
      </c>
      <c r="AA300" s="32">
        <f>'değişim-tl'!$J$11</f>
        <v/>
      </c>
      <c r="AB300" s="18" t="n"/>
      <c r="AC300" s="32">
        <f>'Bütçe Değişim TL'!$K$11</f>
        <v/>
      </c>
      <c r="AD300" s="32">
        <f>'değişim-tl'!$K$11</f>
        <v/>
      </c>
      <c r="AE300" s="18" t="n"/>
      <c r="AF300" s="32">
        <f>'Bütçe Değişim TL'!$L$11</f>
        <v/>
      </c>
      <c r="AG300" s="32">
        <f>'değişim-tl'!$L$11</f>
        <v/>
      </c>
      <c r="AH300" s="18" t="n"/>
      <c r="AI300" s="32">
        <f>'Bütçe Değişim TL'!$M$11</f>
        <v/>
      </c>
      <c r="AJ300" s="32">
        <f>'değişim-tl'!$M$11</f>
        <v/>
      </c>
      <c r="AK300" s="18" t="n"/>
      <c r="AL300" s="33">
        <f>AP300-AO300</f>
        <v/>
      </c>
      <c r="AM300" s="34">
        <f>AP300/AO300-1</f>
        <v/>
      </c>
      <c r="AO300" s="44">
        <f>IF($A$1=$B$1,B300,IF($A$1=$E$1,E300,IF($A$1=$H$1,H300,IF($A$1=$K$1,K300,IF($A$1=$N$1,N300,IF($A$1=$Q$1,Q300,IF($A$1=$T$1,T300,IF($A$1=$W$1,W300,IF($A$1=$Z$1,Z300,IF($A$1=$AC$1,AC300,IF($A$1=$AF$1,AF300,IF($A$1=$AI$1,AI300))))))))))))</f>
        <v/>
      </c>
      <c r="AP300" s="44">
        <f>IF($A$1=$B$1,C300,IF($A$1=$E$1,F300,IF($A$1=$H$1,I300,IF($A$1=$K$1,L300,IF($A$1=$N$1,O300,IF($A$1=$Q$1,R300,IF($A$1=$T$1,U300,IF($A$1=$W$1,X300,IF($A$1=$Z$1,AA300,IF($A$1=$AC$1,AD300,IF($A$1=$AF$1,AG300,IF($A$1=$AI$1,AJ300))))))))))))</f>
        <v/>
      </c>
    </row>
    <row r="301" ht="15.5" customFormat="1" customHeight="1" s="13">
      <c r="A301" s="27" t="n"/>
      <c r="B301" s="30" t="n"/>
      <c r="C301" s="30">
        <f>IFERROR((C259/#REF!),"")</f>
        <v/>
      </c>
      <c r="D301" s="41" t="n"/>
      <c r="E301" s="30" t="n"/>
      <c r="F301" s="30">
        <f>IFERROR((F259/#REF!),"")</f>
        <v/>
      </c>
      <c r="G301" s="41" t="n"/>
      <c r="H301" s="30" t="n"/>
      <c r="I301" s="30">
        <f>IFERROR((I259/#REF!),"")</f>
        <v/>
      </c>
      <c r="J301" s="41" t="n"/>
      <c r="K301" s="30" t="n"/>
      <c r="L301" s="30">
        <f>IFERROR((L259/#REF!),"")</f>
        <v/>
      </c>
      <c r="M301" s="41" t="n"/>
      <c r="N301" s="30" t="n"/>
      <c r="O301" s="30">
        <f>IFERROR((O259/#REF!),"")</f>
        <v/>
      </c>
      <c r="P301" s="41" t="n"/>
      <c r="Q301" s="30" t="n"/>
      <c r="R301" s="30">
        <f>IFERROR((R259/#REF!),"")</f>
        <v/>
      </c>
      <c r="S301" s="41" t="n"/>
      <c r="T301" s="30" t="n"/>
      <c r="U301" s="30">
        <f>IFERROR((U259/#REF!),"")</f>
        <v/>
      </c>
      <c r="V301" s="41" t="n"/>
      <c r="W301" s="30" t="n"/>
      <c r="X301" s="30">
        <f>IFERROR((X259/#REF!),"")</f>
        <v/>
      </c>
      <c r="Y301" s="41" t="n"/>
      <c r="Z301" s="30" t="n"/>
      <c r="AA301" s="30">
        <f>IFERROR((AA259/#REF!),"")</f>
        <v/>
      </c>
      <c r="AB301" s="41" t="n"/>
      <c r="AC301" s="30" t="n"/>
      <c r="AD301" s="30">
        <f>IFERROR((AD259/#REF!),"")</f>
        <v/>
      </c>
      <c r="AE301" s="41" t="n"/>
      <c r="AF301" s="30" t="n"/>
      <c r="AG301" s="30">
        <f>IFERROR((AG259/#REF!),"")</f>
        <v/>
      </c>
      <c r="AH301" s="41" t="n"/>
      <c r="AI301" s="30" t="n"/>
      <c r="AJ301" s="30">
        <f>IFERROR((AJ259/#REF!),"")</f>
        <v/>
      </c>
      <c r="AK301" s="41" t="n"/>
      <c r="AL301" s="15" t="n"/>
      <c r="AM301" s="22" t="n"/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/>
      </c>
      <c r="AP301" s="44">
        <f>IF($A$1=$B$1,C301,IF($A$1=$E$1,F301,IF($A$1=$H$1,I301,IF($A$1=$K$1,L301,IF($A$1=$N$1,O301,IF($A$1=$Q$1,R301,IF($A$1=$T$1,U301,IF($A$1=$W$1,X301,IF($A$1=$Z$1,AA301,IF($A$1=$AC$1,AD301,IF($A$1=$AF$1,AG301,IF($A$1=$AI$1,AJ301))))))))))))</f>
        <v/>
      </c>
    </row>
    <row r="302" ht="17" customFormat="1" customHeight="1" s="49">
      <c r="A302" s="47" t="inlineStr">
        <is>
          <t>Serbest Nakit (100%)</t>
        </is>
      </c>
      <c r="B302" s="413" t="n"/>
      <c r="C302" s="413" t="n"/>
      <c r="D302" s="413" t="n"/>
      <c r="E302" s="413" t="n"/>
      <c r="F302" s="413" t="n"/>
      <c r="G302" s="413" t="n"/>
      <c r="H302" s="413" t="n"/>
      <c r="I302" s="413" t="n"/>
      <c r="J302" s="413" t="n"/>
      <c r="K302" s="413" t="n"/>
      <c r="L302" s="413" t="n"/>
      <c r="M302" s="413" t="n"/>
      <c r="N302" s="413" t="n"/>
      <c r="O302" s="413" t="n"/>
      <c r="P302" s="413" t="n"/>
      <c r="Q302" s="413" t="n"/>
      <c r="R302" s="413" t="n"/>
      <c r="S302" s="413" t="n"/>
      <c r="T302" s="413" t="n"/>
      <c r="U302" s="413" t="n"/>
      <c r="V302" s="413" t="n"/>
      <c r="W302" s="413" t="n"/>
      <c r="X302" s="413" t="n"/>
      <c r="Y302" s="413" t="n"/>
      <c r="Z302" s="413" t="n"/>
      <c r="AA302" s="413" t="n"/>
      <c r="AB302" s="413" t="n"/>
      <c r="AC302" s="413" t="n"/>
      <c r="AD302" s="413" t="n"/>
      <c r="AE302" s="413" t="n"/>
      <c r="AF302" s="413" t="n"/>
      <c r="AG302" s="413" t="n"/>
      <c r="AH302" s="413" t="n"/>
      <c r="AI302" s="413" t="n"/>
      <c r="AJ302" s="413" t="n"/>
      <c r="AK302" s="413" t="n"/>
      <c r="AL302" s="413" t="n"/>
      <c r="AM302" s="48" t="n"/>
    </row>
    <row r="303" ht="15.5" customHeight="1">
      <c r="A303" s="26" t="inlineStr">
        <is>
          <t xml:space="preserve">İnci Holding </t>
        </is>
      </c>
      <c r="B303" s="7">
        <f>'Bütçe Değişim TL'!$B$12</f>
        <v/>
      </c>
      <c r="C303" s="7">
        <f>'değişim-tl'!$B$12</f>
        <v/>
      </c>
      <c r="D303" s="7" t="n"/>
      <c r="E303" s="7">
        <f>'Bütçe Değişim TL'!$C$12</f>
        <v/>
      </c>
      <c r="F303" s="7">
        <f>'değişim-tl'!$C$12</f>
        <v/>
      </c>
      <c r="G303" s="7" t="n"/>
      <c r="H303" s="7">
        <f>'Bütçe Değişim TL'!$D$12</f>
        <v/>
      </c>
      <c r="I303" s="7">
        <f>'değişim-tl'!$D$12</f>
        <v/>
      </c>
      <c r="J303" s="7" t="n"/>
      <c r="K303" s="7">
        <f>'Bütçe Değişim TL'!$E$12</f>
        <v/>
      </c>
      <c r="L303" s="7">
        <f>'değişim-tl'!$E$12</f>
        <v/>
      </c>
      <c r="M303" s="7" t="n"/>
      <c r="N303" s="7">
        <f>'Bütçe Değişim TL'!$F$12</f>
        <v/>
      </c>
      <c r="O303" s="7">
        <f>'değişim-tl'!$F$12</f>
        <v/>
      </c>
      <c r="P303" s="7" t="n"/>
      <c r="Q303" s="7">
        <f>'Bütçe Değişim TL'!$G$12</f>
        <v/>
      </c>
      <c r="R303" s="7">
        <f>'değişim-tl'!$G$12</f>
        <v/>
      </c>
      <c r="S303" s="7" t="n"/>
      <c r="T303" s="7">
        <f>'Bütçe Değişim TL'!$H$12</f>
        <v/>
      </c>
      <c r="U303" s="7">
        <f>'değişim-tl'!$H$12</f>
        <v/>
      </c>
      <c r="V303" s="7" t="n"/>
      <c r="W303" s="7">
        <f>'Bütçe Değişim TL'!$I$12</f>
        <v/>
      </c>
      <c r="X303" s="7">
        <f>'değişim-tl'!$I$12</f>
        <v/>
      </c>
      <c r="Y303" s="7" t="n"/>
      <c r="Z303" s="7">
        <f>'Bütçe Değişim TL'!$J$12</f>
        <v/>
      </c>
      <c r="AA303" s="7">
        <f>'değişim-tl'!$J$12</f>
        <v/>
      </c>
      <c r="AB303" s="7" t="n"/>
      <c r="AC303" s="7">
        <f>'Bütçe Değişim TL'!$K$12</f>
        <v/>
      </c>
      <c r="AD303" s="7">
        <f>'değişim-tl'!$K$12</f>
        <v/>
      </c>
      <c r="AE303" s="7" t="n"/>
      <c r="AF303" s="7">
        <f>'Bütçe Değişim TL'!$L$12</f>
        <v/>
      </c>
      <c r="AG303" s="7">
        <f>'değişim-tl'!$L$12</f>
        <v/>
      </c>
      <c r="AH303" s="7" t="n"/>
      <c r="AI303" s="7">
        <f>'Bütçe Değişim TL'!$M$12</f>
        <v/>
      </c>
      <c r="AJ303" s="7">
        <f>'değişim-tl'!$M$12</f>
        <v/>
      </c>
      <c r="AK303" s="7" t="n"/>
      <c r="AL303" s="21">
        <f>AP303-AO303</f>
        <v/>
      </c>
      <c r="AM303" s="22">
        <f>AP303/AO303-1</f>
        <v/>
      </c>
      <c r="AO303" s="44">
        <f>IF($A$1=$B$1,B303,IF($A$1=$E$1,E303,IF($A$1=$H$1,H303,IF($A$1=$K$1,K303,IF($A$1=$N$1,N303,IF($A$1=$Q$1,Q303,IF($A$1=$T$1,T303,IF($A$1=$W$1,W303,IF($A$1=$Z$1,Z303,IF($A$1=$AC$1,AC303,IF($A$1=$AF$1,AF303,IF($A$1=$AI$1,AI303))))))))))))</f>
        <v/>
      </c>
      <c r="AP303" s="44">
        <f>IF($A$1=$B$1,C303,IF($A$1=$E$1,F303,IF($A$1=$H$1,I303,IF($A$1=$K$1,L303,IF($A$1=$N$1,O303,IF($A$1=$Q$1,R303,IF($A$1=$T$1,U303,IF($A$1=$W$1,X303,IF($A$1=$Z$1,AA303,IF($A$1=$AC$1,AD303,IF($A$1=$AF$1,AG303,IF($A$1=$AI$1,AJ303))))))))))))</f>
        <v/>
      </c>
    </row>
    <row r="304" ht="15.5" customHeight="1">
      <c r="A304" s="26" t="inlineStr">
        <is>
          <t xml:space="preserve">ISM </t>
        </is>
      </c>
      <c r="B304" s="7">
        <f>'Bütçe Değişim TL'!$B$13</f>
        <v/>
      </c>
      <c r="C304" s="7">
        <f>'değişim-tl'!$B$13</f>
        <v/>
      </c>
      <c r="D304" s="7" t="n"/>
      <c r="E304" s="7">
        <f>'Bütçe Değişim TL'!$C$13</f>
        <v/>
      </c>
      <c r="F304" s="7">
        <f>'değişim-tl'!$C$13</f>
        <v/>
      </c>
      <c r="G304" s="7" t="n"/>
      <c r="H304" s="7">
        <f>'Bütçe Değişim TL'!$D$13</f>
        <v/>
      </c>
      <c r="I304" s="7">
        <f>'değişim-tl'!$D$13</f>
        <v/>
      </c>
      <c r="J304" s="7" t="n"/>
      <c r="K304" s="7">
        <f>'Bütçe Değişim TL'!$E$13</f>
        <v/>
      </c>
      <c r="L304" s="7">
        <f>'değişim-tl'!$E$13</f>
        <v/>
      </c>
      <c r="M304" s="7" t="n"/>
      <c r="N304" s="7">
        <f>'Bütçe Değişim TL'!$F$13</f>
        <v/>
      </c>
      <c r="O304" s="7">
        <f>'değişim-tl'!$F$13</f>
        <v/>
      </c>
      <c r="P304" s="7" t="n"/>
      <c r="Q304" s="7">
        <f>'Bütçe Değişim TL'!$G$13</f>
        <v/>
      </c>
      <c r="R304" s="7">
        <f>'değişim-tl'!$G$13</f>
        <v/>
      </c>
      <c r="S304" s="7" t="n"/>
      <c r="T304" s="7">
        <f>'Bütçe Değişim TL'!$H$13</f>
        <v/>
      </c>
      <c r="U304" s="7">
        <f>'değişim-tl'!$H$13</f>
        <v/>
      </c>
      <c r="V304" s="7" t="n"/>
      <c r="W304" s="7">
        <f>'Bütçe Değişim TL'!$I$13</f>
        <v/>
      </c>
      <c r="X304" s="7">
        <f>'değişim-tl'!$I$13</f>
        <v/>
      </c>
      <c r="Y304" s="7" t="n"/>
      <c r="Z304" s="7">
        <f>'Bütçe Değişim TL'!$J$13</f>
        <v/>
      </c>
      <c r="AA304" s="7">
        <f>'değişim-tl'!$J$13</f>
        <v/>
      </c>
      <c r="AB304" s="7" t="n"/>
      <c r="AC304" s="7">
        <f>'Bütçe Değişim TL'!$K$13</f>
        <v/>
      </c>
      <c r="AD304" s="7">
        <f>'değişim-tl'!$K$13</f>
        <v/>
      </c>
      <c r="AE304" s="7" t="n"/>
      <c r="AF304" s="7">
        <f>'Bütçe Değişim TL'!$L$13</f>
        <v/>
      </c>
      <c r="AG304" s="7">
        <f>'değişim-tl'!$L$13</f>
        <v/>
      </c>
      <c r="AH304" s="7" t="n"/>
      <c r="AI304" s="7">
        <f>'Bütçe Değişim TL'!$M$13</f>
        <v/>
      </c>
      <c r="AJ304" s="7">
        <f>'değişim-tl'!$M$13</f>
        <v/>
      </c>
      <c r="AK304" s="7" t="n"/>
      <c r="AL304" s="21">
        <f>AP304-AO304</f>
        <v/>
      </c>
      <c r="AM304" s="22">
        <f>AP304/AO304-1</f>
        <v/>
      </c>
      <c r="AO304" s="44">
        <f>IF($A$1=$B$1,B304,IF($A$1=$E$1,E304,IF($A$1=$H$1,H304,IF($A$1=$K$1,K304,IF($A$1=$N$1,N304,IF($A$1=$Q$1,Q304,IF($A$1=$T$1,T304,IF($A$1=$W$1,W304,IF($A$1=$Z$1,Z304,IF($A$1=$AC$1,AC304,IF($A$1=$AF$1,AF304,IF($A$1=$AI$1,AI304))))))))))))</f>
        <v/>
      </c>
      <c r="AP304" s="44">
        <f>IF($A$1=$B$1,C304,IF($A$1=$E$1,F304,IF($A$1=$H$1,I304,IF($A$1=$K$1,L304,IF($A$1=$N$1,O304,IF($A$1=$Q$1,R304,IF($A$1=$T$1,U304,IF($A$1=$W$1,X304,IF($A$1=$Z$1,AA304,IF($A$1=$AC$1,AD304,IF($A$1=$AF$1,AG304,IF($A$1=$AI$1,AJ304))))))))))))</f>
        <v/>
      </c>
    </row>
    <row r="305" ht="15.5" customHeight="1">
      <c r="A305" s="26" t="inlineStr">
        <is>
          <t>İncitaş</t>
        </is>
      </c>
      <c r="B305" s="7">
        <f>'Bütçe Değişim TL'!$B$14</f>
        <v/>
      </c>
      <c r="C305" s="7">
        <f>'değişim-tl'!$B$14</f>
        <v/>
      </c>
      <c r="D305" s="7" t="n"/>
      <c r="E305" s="7">
        <f>'Bütçe Değişim TL'!$C$14</f>
        <v/>
      </c>
      <c r="F305" s="7">
        <f>'değişim-tl'!$C$14</f>
        <v/>
      </c>
      <c r="G305" s="7" t="n"/>
      <c r="H305" s="7">
        <f>'Bütçe Değişim TL'!$D$14</f>
        <v/>
      </c>
      <c r="I305" s="7">
        <f>'değişim-tl'!$D$14</f>
        <v/>
      </c>
      <c r="J305" s="7" t="n"/>
      <c r="K305" s="7">
        <f>'Bütçe Değişim TL'!$E$14</f>
        <v/>
      </c>
      <c r="L305" s="7">
        <f>'değişim-tl'!$E$14</f>
        <v/>
      </c>
      <c r="M305" s="7" t="n"/>
      <c r="N305" s="7">
        <f>'Bütçe Değişim TL'!$F$14</f>
        <v/>
      </c>
      <c r="O305" s="7">
        <f>'değişim-tl'!$F$14</f>
        <v/>
      </c>
      <c r="P305" s="7" t="n"/>
      <c r="Q305" s="7">
        <f>'Bütçe Değişim TL'!$G$14</f>
        <v/>
      </c>
      <c r="R305" s="7">
        <f>'değişim-tl'!$G$14</f>
        <v/>
      </c>
      <c r="S305" s="7" t="n"/>
      <c r="T305" s="7">
        <f>'Bütçe Değişim TL'!$H$14</f>
        <v/>
      </c>
      <c r="U305" s="7">
        <f>'değişim-tl'!$H$14</f>
        <v/>
      </c>
      <c r="V305" s="7" t="n"/>
      <c r="W305" s="7">
        <f>'Bütçe Değişim TL'!$I$14</f>
        <v/>
      </c>
      <c r="X305" s="7">
        <f>'değişim-tl'!$I$14</f>
        <v/>
      </c>
      <c r="Y305" s="7" t="n"/>
      <c r="Z305" s="7">
        <f>'Bütçe Değişim TL'!$J$14</f>
        <v/>
      </c>
      <c r="AA305" s="7">
        <f>'değişim-tl'!$J$14</f>
        <v/>
      </c>
      <c r="AB305" s="7" t="n"/>
      <c r="AC305" s="7">
        <f>'Bütçe Değişim TL'!$K$14</f>
        <v/>
      </c>
      <c r="AD305" s="7">
        <f>'değişim-tl'!$K$14</f>
        <v/>
      </c>
      <c r="AE305" s="7" t="n"/>
      <c r="AF305" s="7">
        <f>'Bütçe Değişim TL'!$L$14</f>
        <v/>
      </c>
      <c r="AG305" s="7">
        <f>'değişim-tl'!$L$14</f>
        <v/>
      </c>
      <c r="AH305" s="7" t="n"/>
      <c r="AI305" s="7">
        <f>'Bütçe Değişim TL'!$M$14</f>
        <v/>
      </c>
      <c r="AJ305" s="7">
        <f>'değişim-tl'!$M$14</f>
        <v/>
      </c>
      <c r="AK305" s="7" t="n"/>
      <c r="AL305" s="21">
        <f>AP305-AO305</f>
        <v/>
      </c>
      <c r="AM305" s="22">
        <f>AP305/AO305-1</f>
        <v/>
      </c>
      <c r="AO305" s="44">
        <f>IF($A$1=$B$1,B305,IF($A$1=$E$1,E305,IF($A$1=$H$1,H305,IF($A$1=$K$1,K305,IF($A$1=$N$1,N305,IF($A$1=$Q$1,Q305,IF($A$1=$T$1,T305,IF($A$1=$W$1,W305,IF($A$1=$Z$1,Z305,IF($A$1=$AC$1,AC305,IF($A$1=$AF$1,AF305,IF($A$1=$AI$1,AI305))))))))))))</f>
        <v/>
      </c>
      <c r="AP305" s="44">
        <f>IF($A$1=$B$1,C305,IF($A$1=$E$1,F305,IF($A$1=$H$1,I305,IF($A$1=$K$1,L305,IF($A$1=$N$1,O305,IF($A$1=$Q$1,R305,IF($A$1=$T$1,U305,IF($A$1=$W$1,X305,IF($A$1=$Z$1,AA305,IF($A$1=$AC$1,AD305,IF($A$1=$AF$1,AG305,IF($A$1=$AI$1,AJ305))))))))))))</f>
        <v/>
      </c>
    </row>
    <row r="306" ht="15.5" customHeight="1">
      <c r="A306" s="26" t="inlineStr">
        <is>
          <t>İnci GS Yuasa</t>
        </is>
      </c>
      <c r="B306" s="7">
        <f>'Bütçe Değişim TL'!$B$15</f>
        <v/>
      </c>
      <c r="C306" s="7">
        <f>'değişim-tl'!$B$15</f>
        <v/>
      </c>
      <c r="D306" s="7" t="n"/>
      <c r="E306" s="7">
        <f>'Bütçe Değişim TL'!$C$15</f>
        <v/>
      </c>
      <c r="F306" s="7">
        <f>'değişim-tl'!$C$15</f>
        <v/>
      </c>
      <c r="G306" s="7" t="n"/>
      <c r="H306" s="7">
        <f>'Bütçe Değişim TL'!$D$15</f>
        <v/>
      </c>
      <c r="I306" s="7">
        <f>'değişim-tl'!$D$15</f>
        <v/>
      </c>
      <c r="J306" s="7" t="n"/>
      <c r="K306" s="7">
        <f>'Bütçe Değişim TL'!$E$15</f>
        <v/>
      </c>
      <c r="L306" s="7">
        <f>'değişim-tl'!$E$15</f>
        <v/>
      </c>
      <c r="M306" s="7" t="n"/>
      <c r="N306" s="7">
        <f>'Bütçe Değişim TL'!$F$15</f>
        <v/>
      </c>
      <c r="O306" s="7">
        <f>'değişim-tl'!$F$15</f>
        <v/>
      </c>
      <c r="P306" s="7" t="n"/>
      <c r="Q306" s="7">
        <f>'Bütçe Değişim TL'!$G$15</f>
        <v/>
      </c>
      <c r="R306" s="7">
        <f>'değişim-tl'!$G$15</f>
        <v/>
      </c>
      <c r="S306" s="7" t="n"/>
      <c r="T306" s="7">
        <f>'Bütçe Değişim TL'!$H$15</f>
        <v/>
      </c>
      <c r="U306" s="7">
        <f>'değişim-tl'!$H$15</f>
        <v/>
      </c>
      <c r="V306" s="7" t="n"/>
      <c r="W306" s="7">
        <f>'Bütçe Değişim TL'!$I$15</f>
        <v/>
      </c>
      <c r="X306" s="7">
        <f>'değişim-tl'!$I$15</f>
        <v/>
      </c>
      <c r="Y306" s="7" t="n"/>
      <c r="Z306" s="7">
        <f>'Bütçe Değişim TL'!$J$15</f>
        <v/>
      </c>
      <c r="AA306" s="7">
        <f>'değişim-tl'!$J$15</f>
        <v/>
      </c>
      <c r="AB306" s="7" t="n"/>
      <c r="AC306" s="7">
        <f>'Bütçe Değişim TL'!$K$15</f>
        <v/>
      </c>
      <c r="AD306" s="7">
        <f>'değişim-tl'!$K$15</f>
        <v/>
      </c>
      <c r="AE306" s="7" t="n"/>
      <c r="AF306" s="7">
        <f>'Bütçe Değişim TL'!$L$15</f>
        <v/>
      </c>
      <c r="AG306" s="7">
        <f>'değişim-tl'!$L$15</f>
        <v/>
      </c>
      <c r="AH306" s="7" t="n"/>
      <c r="AI306" s="7">
        <f>'Bütçe Değişim TL'!$M$15</f>
        <v/>
      </c>
      <c r="AJ306" s="7">
        <f>'değişim-tl'!$M$15</f>
        <v/>
      </c>
      <c r="AK306" s="7" t="n"/>
      <c r="AL306" s="21">
        <f>AP306-AO306</f>
        <v/>
      </c>
      <c r="AM306" s="22">
        <f>AP306/AO306-1</f>
        <v/>
      </c>
      <c r="AO306" s="44">
        <f>IF($A$1=$B$1,B306,IF($A$1=$E$1,E306,IF($A$1=$H$1,H306,IF($A$1=$K$1,K306,IF($A$1=$N$1,N306,IF($A$1=$Q$1,Q306,IF($A$1=$T$1,T306,IF($A$1=$W$1,W306,IF($A$1=$Z$1,Z306,IF($A$1=$AC$1,AC306,IF($A$1=$AF$1,AF306,IF($A$1=$AI$1,AI306))))))))))))</f>
        <v/>
      </c>
      <c r="AP306" s="44">
        <f>IF($A$1=$B$1,C306,IF($A$1=$E$1,F306,IF($A$1=$H$1,I306,IF($A$1=$K$1,L306,IF($A$1=$N$1,O306,IF($A$1=$Q$1,R306,IF($A$1=$T$1,U306,IF($A$1=$W$1,X306,IF($A$1=$Z$1,AA306,IF($A$1=$AC$1,AD306,IF($A$1=$AF$1,AG306,IF($A$1=$AI$1,AJ306))))))))))))</f>
        <v/>
      </c>
    </row>
    <row r="307" ht="15.5" customFormat="1" customHeight="1" s="1">
      <c r="A307" s="26" t="inlineStr">
        <is>
          <t>Yusen İnci Loj.</t>
        </is>
      </c>
      <c r="B307" s="7">
        <f>'Bütçe Değişim TL'!$B$16</f>
        <v/>
      </c>
      <c r="C307" s="7">
        <f>'değişim-tl'!$B$16</f>
        <v/>
      </c>
      <c r="D307" s="8" t="n"/>
      <c r="E307" s="7">
        <f>'Bütçe Değişim TL'!$C$16</f>
        <v/>
      </c>
      <c r="F307" s="7">
        <f>'değişim-tl'!$C$16</f>
        <v/>
      </c>
      <c r="G307" s="8" t="n"/>
      <c r="H307" s="7">
        <f>'Bütçe Değişim TL'!$D$16</f>
        <v/>
      </c>
      <c r="I307" s="7">
        <f>'değişim-tl'!$D$16</f>
        <v/>
      </c>
      <c r="J307" s="8" t="n"/>
      <c r="K307" s="7">
        <f>'Bütçe Değişim TL'!$E$16</f>
        <v/>
      </c>
      <c r="L307" s="7">
        <f>'değişim-tl'!$E$16</f>
        <v/>
      </c>
      <c r="M307" s="8" t="n"/>
      <c r="N307" s="7">
        <f>'Bütçe Değişim TL'!$F$16</f>
        <v/>
      </c>
      <c r="O307" s="7">
        <f>'değişim-tl'!$F$16</f>
        <v/>
      </c>
      <c r="P307" s="8" t="n"/>
      <c r="Q307" s="7">
        <f>'Bütçe Değişim TL'!$G$16</f>
        <v/>
      </c>
      <c r="R307" s="7">
        <f>'değişim-tl'!$G$16</f>
        <v/>
      </c>
      <c r="S307" s="8" t="n"/>
      <c r="T307" s="7">
        <f>'Bütçe Değişim TL'!$H$16</f>
        <v/>
      </c>
      <c r="U307" s="7">
        <f>'değişim-tl'!$H$16</f>
        <v/>
      </c>
      <c r="V307" s="8" t="n"/>
      <c r="W307" s="7">
        <f>'Bütçe Değişim TL'!$I$16</f>
        <v/>
      </c>
      <c r="X307" s="7">
        <f>'değişim-tl'!$I$16</f>
        <v/>
      </c>
      <c r="Y307" s="8" t="n"/>
      <c r="Z307" s="7">
        <f>'Bütçe Değişim TL'!$J$16</f>
        <v/>
      </c>
      <c r="AA307" s="7">
        <f>'değişim-tl'!$J$16</f>
        <v/>
      </c>
      <c r="AB307" s="8" t="n"/>
      <c r="AC307" s="7">
        <f>'Bütçe Değişim TL'!$K$16</f>
        <v/>
      </c>
      <c r="AD307" s="7">
        <f>'değişim-tl'!$K$16</f>
        <v/>
      </c>
      <c r="AE307" s="8" t="n"/>
      <c r="AF307" s="7">
        <f>'Bütçe Değişim TL'!$L$16</f>
        <v/>
      </c>
      <c r="AG307" s="7">
        <f>'değişim-tl'!$L$16</f>
        <v/>
      </c>
      <c r="AH307" s="8" t="n"/>
      <c r="AI307" s="7">
        <f>'Bütçe Değişim TL'!$M$16</f>
        <v/>
      </c>
      <c r="AJ307" s="7">
        <f>'değişim-tl'!$M$16</f>
        <v/>
      </c>
      <c r="AK307" s="8" t="n"/>
      <c r="AL307" s="21">
        <f>AP307-AO307</f>
        <v/>
      </c>
      <c r="AM307" s="22">
        <f>AP307/AO307-1</f>
        <v/>
      </c>
      <c r="AO307" s="44">
        <f>IF($A$1=$B$1,B307,IF($A$1=$E$1,E307,IF($A$1=$H$1,H307,IF($A$1=$K$1,K307,IF($A$1=$N$1,N307,IF($A$1=$Q$1,Q307,IF($A$1=$T$1,T307,IF($A$1=$W$1,W307,IF($A$1=$Z$1,Z307,IF($A$1=$AC$1,AC307,IF($A$1=$AF$1,AF307,IF($A$1=$AI$1,AI307))))))))))))</f>
        <v/>
      </c>
      <c r="AP307" s="44">
        <f>IF($A$1=$B$1,C307,IF($A$1=$E$1,F307,IF($A$1=$H$1,I307,IF($A$1=$K$1,L307,IF($A$1=$N$1,O307,IF($A$1=$Q$1,R307,IF($A$1=$T$1,U307,IF($A$1=$W$1,X307,IF($A$1=$Z$1,AA307,IF($A$1=$AC$1,AD307,IF($A$1=$AF$1,AG307,IF($A$1=$AI$1,AJ307))))))))))))</f>
        <v/>
      </c>
    </row>
    <row r="308" ht="15.5" customHeight="1">
      <c r="A308" s="26" t="inlineStr">
        <is>
          <t>Jantaş</t>
        </is>
      </c>
      <c r="B308" s="7">
        <f>'Bütçe Değişim TL'!$B$17</f>
        <v/>
      </c>
      <c r="C308" s="7">
        <f>'değişim-tl'!$B$17</f>
        <v/>
      </c>
      <c r="D308" s="7" t="n"/>
      <c r="E308" s="7">
        <f>'Bütçe Değişim TL'!$C$17</f>
        <v/>
      </c>
      <c r="F308" s="7">
        <f>'değişim-tl'!$C$17</f>
        <v/>
      </c>
      <c r="G308" s="7" t="n"/>
      <c r="H308" s="7">
        <f>'Bütçe Değişim TL'!$D$17</f>
        <v/>
      </c>
      <c r="I308" s="7">
        <f>'değişim-tl'!$D$17</f>
        <v/>
      </c>
      <c r="J308" s="7" t="n"/>
      <c r="K308" s="7">
        <f>'Bütçe Değişim TL'!$E$17</f>
        <v/>
      </c>
      <c r="L308" s="7">
        <f>'değişim-tl'!$E$17</f>
        <v/>
      </c>
      <c r="M308" s="7" t="n"/>
      <c r="N308" s="7">
        <f>'Bütçe Değişim TL'!$F$17</f>
        <v/>
      </c>
      <c r="O308" s="7">
        <f>'değişim-tl'!$F$17</f>
        <v/>
      </c>
      <c r="P308" s="7" t="n"/>
      <c r="Q308" s="7">
        <f>'Bütçe Değişim TL'!$G$17</f>
        <v/>
      </c>
      <c r="R308" s="7">
        <f>'değişim-tl'!$G$17</f>
        <v/>
      </c>
      <c r="S308" s="7" t="n"/>
      <c r="T308" s="7">
        <f>'Bütçe Değişim TL'!$H$17</f>
        <v/>
      </c>
      <c r="U308" s="7">
        <f>'değişim-tl'!$H$17</f>
        <v/>
      </c>
      <c r="V308" s="7" t="n"/>
      <c r="W308" s="7">
        <f>'Bütçe Değişim TL'!$I$17</f>
        <v/>
      </c>
      <c r="X308" s="7">
        <f>'değişim-tl'!$I$17</f>
        <v/>
      </c>
      <c r="Y308" s="7" t="n"/>
      <c r="Z308" s="7">
        <f>'Bütçe Değişim TL'!$J$17</f>
        <v/>
      </c>
      <c r="AA308" s="7">
        <f>'değişim-tl'!$J$17</f>
        <v/>
      </c>
      <c r="AB308" s="7" t="n"/>
      <c r="AC308" s="7">
        <f>'Bütçe Değişim TL'!$K$17</f>
        <v/>
      </c>
      <c r="AD308" s="7">
        <f>'değişim-tl'!$K$17</f>
        <v/>
      </c>
      <c r="AE308" s="7" t="n"/>
      <c r="AF308" s="7">
        <f>'Bütçe Değişim TL'!$L$17</f>
        <v/>
      </c>
      <c r="AG308" s="7">
        <f>'değişim-tl'!$L$17</f>
        <v/>
      </c>
      <c r="AH308" s="7" t="n"/>
      <c r="AI308" s="7">
        <f>'Bütçe Değişim TL'!$M$17</f>
        <v/>
      </c>
      <c r="AJ308" s="7">
        <f>'değişim-tl'!$M$17</f>
        <v/>
      </c>
      <c r="AK308" s="7" t="n"/>
      <c r="AL308" s="21">
        <f>AP308-AO308</f>
        <v/>
      </c>
      <c r="AM308" s="22">
        <f>AP308/AO308-1</f>
        <v/>
      </c>
      <c r="AO308" s="44">
        <f>IF($A$1=$B$1,B308,IF($A$1=$E$1,E308,IF($A$1=$H$1,H308,IF($A$1=$K$1,K308,IF($A$1=$N$1,N308,IF($A$1=$Q$1,Q308,IF($A$1=$T$1,T308,IF($A$1=$W$1,W308,IF($A$1=$Z$1,Z308,IF($A$1=$AC$1,AC308,IF($A$1=$AF$1,AF308,IF($A$1=$AI$1,AI308))))))))))))</f>
        <v/>
      </c>
      <c r="AP308" s="44">
        <f>IF($A$1=$B$1,C308,IF($A$1=$E$1,F308,IF($A$1=$H$1,I308,IF($A$1=$K$1,L308,IF($A$1=$N$1,O308,IF($A$1=$Q$1,R308,IF($A$1=$T$1,U308,IF($A$1=$W$1,X308,IF($A$1=$Z$1,AA308,IF($A$1=$AC$1,AD308,IF($A$1=$AF$1,AG308,IF($A$1=$AI$1,AJ308))))))))))))</f>
        <v/>
      </c>
    </row>
    <row r="309" ht="15.5" customFormat="1" customHeight="1" s="1">
      <c r="A309" s="26" t="inlineStr">
        <is>
          <t>Çelik</t>
        </is>
      </c>
      <c r="B309" s="7">
        <f>'Bütçe Değişim TL'!$B$18</f>
        <v/>
      </c>
      <c r="C309" s="7">
        <f>'değişim-tl'!$B$18</f>
        <v/>
      </c>
      <c r="D309" s="8" t="n"/>
      <c r="E309" s="7">
        <f>'Bütçe Değişim TL'!$C$18</f>
        <v/>
      </c>
      <c r="F309" s="7">
        <f>'değişim-tl'!$C$18</f>
        <v/>
      </c>
      <c r="G309" s="8" t="n"/>
      <c r="H309" s="7">
        <f>'Bütçe Değişim TL'!$D$18</f>
        <v/>
      </c>
      <c r="I309" s="7">
        <f>'değişim-tl'!$D$18</f>
        <v/>
      </c>
      <c r="J309" s="8" t="n"/>
      <c r="K309" s="7">
        <f>'Bütçe Değişim TL'!$E$18</f>
        <v/>
      </c>
      <c r="L309" s="7">
        <f>'değişim-tl'!$E$18</f>
        <v/>
      </c>
      <c r="M309" s="8" t="n"/>
      <c r="N309" s="7">
        <f>'Bütçe Değişim TL'!$F$18</f>
        <v/>
      </c>
      <c r="O309" s="7">
        <f>'değişim-tl'!$F$18</f>
        <v/>
      </c>
      <c r="P309" s="8" t="n"/>
      <c r="Q309" s="7">
        <f>'Bütçe Değişim TL'!$G$18</f>
        <v/>
      </c>
      <c r="R309" s="7">
        <f>'değişim-tl'!$G$18</f>
        <v/>
      </c>
      <c r="S309" s="8" t="n"/>
      <c r="T309" s="7">
        <f>'Bütçe Değişim TL'!$H$18</f>
        <v/>
      </c>
      <c r="U309" s="7">
        <f>'değişim-tl'!$H$18</f>
        <v/>
      </c>
      <c r="V309" s="8" t="n"/>
      <c r="W309" s="7">
        <f>'Bütçe Değişim TL'!$I$18</f>
        <v/>
      </c>
      <c r="X309" s="7">
        <f>'değişim-tl'!$I$18</f>
        <v/>
      </c>
      <c r="Y309" s="8" t="n"/>
      <c r="Z309" s="7">
        <f>'Bütçe Değişim TL'!$J$18</f>
        <v/>
      </c>
      <c r="AA309" s="7">
        <f>'değişim-tl'!$J$18</f>
        <v/>
      </c>
      <c r="AB309" s="8" t="n"/>
      <c r="AC309" s="7">
        <f>'Bütçe Değişim TL'!$K$18</f>
        <v/>
      </c>
      <c r="AD309" s="7">
        <f>'değişim-tl'!$K$18</f>
        <v/>
      </c>
      <c r="AE309" s="8" t="n"/>
      <c r="AF309" s="7">
        <f>'Bütçe Değişim TL'!$L$18</f>
        <v/>
      </c>
      <c r="AG309" s="7">
        <f>'değişim-tl'!$L$18</f>
        <v/>
      </c>
      <c r="AH309" s="8" t="n"/>
      <c r="AI309" s="7">
        <f>'Bütçe Değişim TL'!$M$18</f>
        <v/>
      </c>
      <c r="AJ309" s="7">
        <f>'değişim-tl'!$M$18</f>
        <v/>
      </c>
      <c r="AK309" s="8" t="n"/>
      <c r="AL309" s="21">
        <f>AP309-AO309</f>
        <v/>
      </c>
      <c r="AM309" s="22">
        <f>AP309/AO309-1</f>
        <v/>
      </c>
      <c r="AO309" s="44">
        <f>IF($A$1=$B$1,B309,IF($A$1=$E$1,E309,IF($A$1=$H$1,H309,IF($A$1=$K$1,K309,IF($A$1=$N$1,N309,IF($A$1=$Q$1,Q309,IF($A$1=$T$1,T309,IF($A$1=$W$1,W309,IF($A$1=$Z$1,Z309,IF($A$1=$AC$1,AC309,IF($A$1=$AF$1,AF309,IF($A$1=$AI$1,AI309))))))))))))</f>
        <v/>
      </c>
      <c r="AP309" s="44">
        <f>IF($A$1=$B$1,C309,IF($A$1=$E$1,F309,IF($A$1=$H$1,I309,IF($A$1=$K$1,L309,IF($A$1=$N$1,O309,IF($A$1=$Q$1,R309,IF($A$1=$T$1,U309,IF($A$1=$W$1,X309,IF($A$1=$Z$1,AA309,IF($A$1=$AC$1,AD309,IF($A$1=$AF$1,AG309,IF($A$1=$AI$1,AJ309))))))))))))</f>
        <v/>
      </c>
    </row>
    <row r="310" ht="15.5" customFormat="1" customHeight="1" s="1">
      <c r="A310" s="26" t="inlineStr">
        <is>
          <t>Alüminyum</t>
        </is>
      </c>
      <c r="B310" s="7">
        <f>'Bütçe Değişim TL'!$B$19</f>
        <v/>
      </c>
      <c r="C310" s="7">
        <f>'değişim-tl'!$B$19</f>
        <v/>
      </c>
      <c r="D310" s="8" t="n"/>
      <c r="E310" s="7">
        <f>'Bütçe Değişim TL'!$C$19</f>
        <v/>
      </c>
      <c r="F310" s="7">
        <f>'değişim-tl'!$C$19</f>
        <v/>
      </c>
      <c r="G310" s="8" t="n"/>
      <c r="H310" s="7">
        <f>'Bütçe Değişim TL'!$D$19</f>
        <v/>
      </c>
      <c r="I310" s="7">
        <f>'değişim-tl'!$D$19</f>
        <v/>
      </c>
      <c r="J310" s="8" t="n"/>
      <c r="K310" s="7">
        <f>'Bütçe Değişim TL'!$E$19</f>
        <v/>
      </c>
      <c r="L310" s="7">
        <f>'değişim-tl'!$E$19</f>
        <v/>
      </c>
      <c r="M310" s="8" t="n"/>
      <c r="N310" s="7">
        <f>'Bütçe Değişim TL'!$F$19</f>
        <v/>
      </c>
      <c r="O310" s="7">
        <f>'değişim-tl'!$F$19</f>
        <v/>
      </c>
      <c r="P310" s="8" t="n"/>
      <c r="Q310" s="7">
        <f>'Bütçe Değişim TL'!$G$19</f>
        <v/>
      </c>
      <c r="R310" s="7">
        <f>'değişim-tl'!$G$19</f>
        <v/>
      </c>
      <c r="S310" s="8" t="n"/>
      <c r="T310" s="7">
        <f>'Bütçe Değişim TL'!$H$19</f>
        <v/>
      </c>
      <c r="U310" s="7">
        <f>'değişim-tl'!$H$19</f>
        <v/>
      </c>
      <c r="V310" s="8" t="n"/>
      <c r="W310" s="7">
        <f>'Bütçe Değişim TL'!$I$19</f>
        <v/>
      </c>
      <c r="X310" s="7">
        <f>'değişim-tl'!$I$19</f>
        <v/>
      </c>
      <c r="Y310" s="8" t="n"/>
      <c r="Z310" s="7">
        <f>'Bütçe Değişim TL'!$J$19</f>
        <v/>
      </c>
      <c r="AA310" s="7">
        <f>'değişim-tl'!$J$19</f>
        <v/>
      </c>
      <c r="AB310" s="8" t="n"/>
      <c r="AC310" s="7">
        <f>'Bütçe Değişim TL'!$K$19</f>
        <v/>
      </c>
      <c r="AD310" s="7">
        <f>'değişim-tl'!$K$19</f>
        <v/>
      </c>
      <c r="AE310" s="8" t="n"/>
      <c r="AF310" s="7">
        <f>'Bütçe Değişim TL'!$L$19</f>
        <v/>
      </c>
      <c r="AG310" s="7">
        <f>'değişim-tl'!$L$19</f>
        <v/>
      </c>
      <c r="AH310" s="8" t="n"/>
      <c r="AI310" s="7">
        <f>'Bütçe Değişim TL'!$M$19</f>
        <v/>
      </c>
      <c r="AJ310" s="7">
        <f>'değişim-tl'!$M$19</f>
        <v/>
      </c>
      <c r="AK310" s="8" t="n"/>
      <c r="AL310" s="21">
        <f>AP310-AO310</f>
        <v/>
      </c>
      <c r="AM310" s="22">
        <f>AP310/AO310-1</f>
        <v/>
      </c>
      <c r="AO310" s="44">
        <f>IF($A$1=$B$1,B310,IF($A$1=$E$1,E310,IF($A$1=$H$1,H310,IF($A$1=$K$1,K310,IF($A$1=$N$1,N310,IF($A$1=$Q$1,Q310,IF($A$1=$T$1,T310,IF($A$1=$W$1,W310,IF($A$1=$Z$1,Z310,IF($A$1=$AC$1,AC310,IF($A$1=$AF$1,AF310,IF($A$1=$AI$1,AI310))))))))))))</f>
        <v/>
      </c>
      <c r="AP310" s="44">
        <f>IF($A$1=$B$1,C310,IF($A$1=$E$1,F310,IF($A$1=$H$1,I310,IF($A$1=$K$1,L310,IF($A$1=$N$1,O310,IF($A$1=$Q$1,R310,IF($A$1=$T$1,U310,IF($A$1=$W$1,X310,IF($A$1=$Z$1,AA310,IF($A$1=$AC$1,AD310,IF($A$1=$AF$1,AG310,IF($A$1=$AI$1,AJ310))))))))))))</f>
        <v/>
      </c>
    </row>
    <row r="311" ht="15.5" customFormat="1" customHeight="1" s="1">
      <c r="A311" s="26" t="n"/>
      <c r="B311" s="7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7" t="n"/>
      <c r="R311" s="8" t="n"/>
      <c r="S311" s="8" t="n"/>
      <c r="T311" s="7" t="n"/>
      <c r="U311" s="8" t="n"/>
      <c r="V311" s="8" t="n"/>
      <c r="W311" s="7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15" t="n"/>
      <c r="AM311" s="16" t="n"/>
      <c r="AO311" s="44" t="n"/>
      <c r="AP311" s="44" t="n"/>
    </row>
    <row r="312" ht="15.5" customFormat="1" customHeight="1" s="1">
      <c r="A312" s="26" t="n"/>
      <c r="B312" s="7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7" t="n"/>
      <c r="R312" s="8" t="n"/>
      <c r="S312" s="8" t="n"/>
      <c r="T312" s="7" t="n"/>
      <c r="U312" s="8" t="n"/>
      <c r="V312" s="8" t="n"/>
      <c r="W312" s="7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15" t="n"/>
      <c r="AM312" s="16" t="n"/>
      <c r="AO312" s="44" t="n"/>
      <c r="AP312" s="44" t="n"/>
    </row>
    <row r="313" ht="15.5" customFormat="1" customHeight="1" s="1">
      <c r="A313" s="26" t="n"/>
      <c r="B313" s="7">
        <f>B290-B278-B303</f>
        <v/>
      </c>
      <c r="C313" s="7">
        <f>C290-C278-C303</f>
        <v/>
      </c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7" t="n"/>
      <c r="R313" s="8" t="n"/>
      <c r="S313" s="8" t="n"/>
      <c r="T313" s="7" t="n"/>
      <c r="U313" s="8" t="n"/>
      <c r="V313" s="8" t="n"/>
      <c r="W313" s="7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15" t="n"/>
      <c r="AM313" s="16" t="n"/>
      <c r="AO313" s="44" t="n"/>
      <c r="AP313" s="44" t="n"/>
    </row>
    <row r="314" ht="15.5" customFormat="1" customHeight="1" s="1">
      <c r="A314" s="26" t="n"/>
      <c r="B314" s="7">
        <f>B291-B279-B304</f>
        <v/>
      </c>
      <c r="C314" s="7">
        <f>C291-C279-C304</f>
        <v/>
      </c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7" t="n"/>
      <c r="R314" s="8" t="n"/>
      <c r="S314" s="8" t="n"/>
      <c r="T314" s="7" t="n"/>
      <c r="U314" s="8" t="n"/>
      <c r="V314" s="8" t="n"/>
      <c r="W314" s="7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15" t="n"/>
      <c r="AM314" s="16" t="n"/>
      <c r="AO314" s="44" t="n"/>
      <c r="AP314" s="44" t="n"/>
    </row>
    <row r="315" ht="15.5" customFormat="1" customHeight="1" s="1">
      <c r="A315" s="26" t="n"/>
      <c r="B315" s="7">
        <f>B292-B280-B305</f>
        <v/>
      </c>
      <c r="C315" s="7">
        <f>C292-C280-C305</f>
        <v/>
      </c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7" t="n"/>
      <c r="R315" s="8" t="n"/>
      <c r="S315" s="8" t="n"/>
      <c r="T315" s="7" t="n"/>
      <c r="U315" s="8" t="n"/>
      <c r="V315" s="8" t="n"/>
      <c r="W315" s="7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15" t="n"/>
      <c r="AM315" s="16" t="n"/>
      <c r="AO315" s="44" t="n"/>
      <c r="AP315" s="44" t="n"/>
    </row>
    <row r="316" ht="15.5" customFormat="1" customHeight="1" s="1">
      <c r="A316" s="26" t="n"/>
      <c r="B316" s="7">
        <f>B293-B281-B306</f>
        <v/>
      </c>
      <c r="C316" s="7">
        <f>C293-C281-C306</f>
        <v/>
      </c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7" t="n"/>
      <c r="R316" s="8" t="n"/>
      <c r="S316" s="8" t="n"/>
      <c r="T316" s="7" t="n"/>
      <c r="U316" s="8" t="n"/>
      <c r="V316" s="8" t="n"/>
      <c r="W316" s="7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15" t="n"/>
      <c r="AM316" s="16" t="n"/>
      <c r="AO316" s="44" t="n"/>
      <c r="AP316" s="44" t="n"/>
    </row>
    <row r="317" ht="15.5" customFormat="1" customHeight="1" s="1">
      <c r="A317" s="26" t="n"/>
      <c r="B317" s="7">
        <f>B294-B282-B307</f>
        <v/>
      </c>
      <c r="C317" s="7">
        <f>C294-C282-C307</f>
        <v/>
      </c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7" t="n"/>
      <c r="R317" s="8" t="n"/>
      <c r="S317" s="8" t="n"/>
      <c r="T317" s="7" t="n"/>
      <c r="U317" s="8" t="n"/>
      <c r="V317" s="8" t="n"/>
      <c r="W317" s="7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15" t="n"/>
      <c r="AM317" s="16" t="n"/>
      <c r="AO317" s="44" t="n"/>
      <c r="AP317" s="44" t="n"/>
    </row>
    <row r="318" ht="15.5" customFormat="1" customHeight="1" s="1">
      <c r="A318" s="26" t="n"/>
      <c r="B318" s="7">
        <f>B295-B283-B308</f>
        <v/>
      </c>
      <c r="C318" s="7">
        <f>C295-C283-C308</f>
        <v/>
      </c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7" t="n"/>
      <c r="R318" s="8" t="n"/>
      <c r="S318" s="8" t="n"/>
      <c r="T318" s="7" t="n"/>
      <c r="U318" s="8" t="n"/>
      <c r="V318" s="8" t="n"/>
      <c r="W318" s="7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15" t="n"/>
      <c r="AM318" s="16" t="n"/>
      <c r="AO318" s="44" t="n"/>
      <c r="AP318" s="44" t="n"/>
    </row>
    <row r="319" ht="15.5" customFormat="1" customHeight="1" s="1">
      <c r="A319" s="26" t="n"/>
      <c r="B319" s="7">
        <f>B296-B284-B309</f>
        <v/>
      </c>
      <c r="C319" s="7">
        <f>C296-C284-C309</f>
        <v/>
      </c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7" t="n"/>
      <c r="R319" s="8" t="n"/>
      <c r="S319" s="8" t="n"/>
      <c r="T319" s="7" t="n"/>
      <c r="U319" s="8" t="n"/>
      <c r="V319" s="8" t="n"/>
      <c r="W319" s="7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15" t="n"/>
      <c r="AM319" s="16" t="n"/>
      <c r="AO319" s="44" t="n"/>
      <c r="AP319" s="44" t="n"/>
    </row>
    <row r="320" ht="15.5" customFormat="1" customHeight="1" s="1">
      <c r="A320" s="26" t="n"/>
      <c r="B320" s="7">
        <f>B297-B285-B310</f>
        <v/>
      </c>
      <c r="C320" s="7">
        <f>C297-C285-C310</f>
        <v/>
      </c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7" t="n"/>
      <c r="R320" s="8" t="n"/>
      <c r="S320" s="8" t="n"/>
      <c r="T320" s="7" t="n"/>
      <c r="U320" s="8" t="n"/>
      <c r="V320" s="8" t="n"/>
      <c r="W320" s="7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15" t="n"/>
      <c r="AM320" s="16" t="n"/>
      <c r="AO320" s="44" t="n"/>
      <c r="AP320" s="44" t="n"/>
    </row>
    <row r="321" ht="15.5" customFormat="1" customHeight="1" s="1">
      <c r="A321" s="26" t="n"/>
      <c r="B321" s="7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7" t="n"/>
      <c r="R321" s="8" t="n"/>
      <c r="S321" s="8" t="n"/>
      <c r="T321" s="7" t="n"/>
      <c r="U321" s="8" t="n"/>
      <c r="V321" s="8" t="n"/>
      <c r="W321" s="7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15" t="n"/>
      <c r="AM321" s="16" t="n"/>
      <c r="AO321" s="44" t="n"/>
      <c r="AP321" s="44" t="n"/>
    </row>
    <row r="322" ht="15.5" customFormat="1" customHeight="1" s="1">
      <c r="A322" s="26" t="n"/>
      <c r="B322" s="7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7" t="n"/>
      <c r="R322" s="8" t="n"/>
      <c r="S322" s="8" t="n"/>
      <c r="T322" s="7" t="n"/>
      <c r="U322" s="8" t="n"/>
      <c r="V322" s="8" t="n"/>
      <c r="W322" s="7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15" t="n"/>
      <c r="AM322" s="16" t="n"/>
      <c r="AO322" s="44" t="n"/>
      <c r="AP322" s="44" t="n"/>
    </row>
    <row r="323" ht="15.5" customFormat="1" customHeight="1" s="1">
      <c r="A323" s="26" t="n"/>
      <c r="B323" s="7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7" t="n"/>
      <c r="R323" s="8" t="n"/>
      <c r="S323" s="8" t="n"/>
      <c r="T323" s="7" t="n"/>
      <c r="U323" s="8" t="n"/>
      <c r="V323" s="8" t="n"/>
      <c r="W323" s="7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15" t="n"/>
      <c r="AM323" s="16" t="n"/>
      <c r="AO323" s="44" t="n"/>
      <c r="AP323" s="44" t="n"/>
    </row>
    <row r="324" ht="15.5" customFormat="1" customHeight="1" s="1">
      <c r="A324" s="26" t="n"/>
      <c r="B324" s="7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7" t="n"/>
      <c r="R324" s="8" t="n"/>
      <c r="S324" s="8" t="n"/>
      <c r="T324" s="7" t="n"/>
      <c r="U324" s="8" t="n"/>
      <c r="V324" s="8" t="n"/>
      <c r="W324" s="7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15" t="n"/>
      <c r="AM324" s="16" t="n"/>
      <c r="AO324" s="44" t="n"/>
      <c r="AP324" s="44" t="n"/>
    </row>
    <row r="325" ht="15.5" customFormat="1" customHeight="1" s="1">
      <c r="A325" s="26" t="n"/>
      <c r="B325" s="7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7" t="n"/>
      <c r="R325" s="8" t="n"/>
      <c r="S325" s="8" t="n"/>
      <c r="T325" s="7" t="n"/>
      <c r="U325" s="8" t="n"/>
      <c r="V325" s="8" t="n"/>
      <c r="W325" s="7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15" t="n"/>
      <c r="AM325" s="16" t="n"/>
      <c r="AO325" s="44" t="n"/>
      <c r="AP325" s="44" t="n"/>
    </row>
    <row r="326" ht="15.5" customFormat="1" customHeight="1" s="1">
      <c r="A326" s="26" t="n"/>
      <c r="B326" s="7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7" t="n"/>
      <c r="R326" s="8" t="n"/>
      <c r="S326" s="8" t="n"/>
      <c r="T326" s="7" t="n"/>
      <c r="U326" s="8" t="n"/>
      <c r="V326" s="8" t="n"/>
      <c r="W326" s="7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15" t="n"/>
      <c r="AM326" s="16" t="n"/>
      <c r="AO326" s="44" t="n"/>
      <c r="AP326" s="44" t="n"/>
    </row>
    <row r="327" ht="15.5" customFormat="1" customHeight="1" s="1">
      <c r="A327" s="26" t="n"/>
      <c r="B327" s="7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7" t="n"/>
      <c r="R327" s="8" t="n"/>
      <c r="S327" s="8" t="n"/>
      <c r="T327" s="7" t="n"/>
      <c r="U327" s="8" t="n"/>
      <c r="V327" s="8" t="n"/>
      <c r="W327" s="7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15" t="n"/>
      <c r="AM327" s="16" t="n"/>
      <c r="AO327" s="44" t="n"/>
      <c r="AP327" s="44" t="n"/>
    </row>
    <row r="328" ht="15.5" customFormat="1" customHeight="1" s="1">
      <c r="A328" s="26" t="n"/>
      <c r="B328" s="7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7" t="n"/>
      <c r="R328" s="8" t="n"/>
      <c r="S328" s="8" t="n"/>
      <c r="T328" s="7" t="n"/>
      <c r="U328" s="8" t="n"/>
      <c r="V328" s="8" t="n"/>
      <c r="W328" s="7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15" t="n"/>
      <c r="AM328" s="16" t="n"/>
      <c r="AO328" s="44" t="n"/>
      <c r="AP328" s="44" t="n"/>
    </row>
    <row r="329" ht="15.5" customFormat="1" customHeight="1" s="1">
      <c r="A329" s="26" t="n"/>
      <c r="B329" s="7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7" t="n"/>
      <c r="R329" s="8" t="n"/>
      <c r="S329" s="8" t="n"/>
      <c r="T329" s="7" t="n"/>
      <c r="U329" s="8" t="n"/>
      <c r="V329" s="8" t="n"/>
      <c r="W329" s="7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15" t="n"/>
      <c r="AM329" s="16" t="n"/>
      <c r="AO329" s="44" t="n"/>
      <c r="AP329" s="44" t="n"/>
    </row>
    <row r="330" ht="15.5" customFormat="1" customHeight="1" s="1">
      <c r="A330" s="26" t="n"/>
      <c r="B330" s="7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7" t="n"/>
      <c r="R330" s="8" t="n"/>
      <c r="S330" s="8" t="n"/>
      <c r="T330" s="7" t="n"/>
      <c r="U330" s="8" t="n"/>
      <c r="V330" s="8" t="n"/>
      <c r="W330" s="7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15" t="n"/>
      <c r="AM330" s="16" t="n"/>
      <c r="AO330" s="44" t="n"/>
      <c r="AP330" s="44" t="n"/>
    </row>
    <row r="331" ht="15.5" customFormat="1" customHeight="1" s="1">
      <c r="A331" s="26" t="n"/>
      <c r="B331" s="7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7" t="n"/>
      <c r="R331" s="8" t="n"/>
      <c r="S331" s="8" t="n"/>
      <c r="T331" s="7" t="n"/>
      <c r="U331" s="8" t="n"/>
      <c r="V331" s="8" t="n"/>
      <c r="W331" s="7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15" t="n"/>
      <c r="AM331" s="16" t="n"/>
      <c r="AO331" s="44" t="n"/>
      <c r="AP331" s="44" t="n"/>
    </row>
    <row r="332" ht="15.5" customFormat="1" customHeight="1" s="1">
      <c r="A332" s="26" t="n"/>
      <c r="B332" s="7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7" t="n"/>
      <c r="R332" s="8" t="n"/>
      <c r="S332" s="8" t="n"/>
      <c r="T332" s="7" t="n"/>
      <c r="U332" s="8" t="n"/>
      <c r="V332" s="8" t="n"/>
      <c r="W332" s="7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15" t="n"/>
      <c r="AM332" s="16" t="n"/>
      <c r="AO332" s="44" t="n"/>
      <c r="AP332" s="44" t="n"/>
    </row>
    <row r="333" ht="15.5" customFormat="1" customHeight="1" s="1">
      <c r="A333" s="26" t="n"/>
      <c r="B333" s="7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7" t="n"/>
      <c r="R333" s="8" t="n"/>
      <c r="S333" s="8" t="n"/>
      <c r="T333" s="7" t="n"/>
      <c r="U333" s="8" t="n"/>
      <c r="V333" s="8" t="n"/>
      <c r="W333" s="7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15" t="n"/>
      <c r="AM333" s="16" t="n"/>
      <c r="AO333" s="44" t="n"/>
      <c r="AP333" s="44" t="n"/>
    </row>
    <row r="334" ht="15.5" customFormat="1" customHeight="1" s="1">
      <c r="A334" s="26" t="n"/>
      <c r="B334" s="7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7" t="n"/>
      <c r="R334" s="8" t="n"/>
      <c r="S334" s="8" t="n"/>
      <c r="T334" s="7" t="n"/>
      <c r="U334" s="8" t="n"/>
      <c r="V334" s="8" t="n"/>
      <c r="W334" s="7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15" t="n"/>
      <c r="AM334" s="16" t="n"/>
      <c r="AO334" s="44" t="n"/>
      <c r="AP334" s="44" t="n"/>
    </row>
    <row r="335" ht="15.5" customFormat="1" customHeight="1" s="1">
      <c r="A335" s="26" t="n"/>
      <c r="B335" s="7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7" t="n"/>
      <c r="R335" s="8" t="n"/>
      <c r="S335" s="8" t="n"/>
      <c r="T335" s="7" t="n"/>
      <c r="U335" s="8" t="n"/>
      <c r="V335" s="8" t="n"/>
      <c r="W335" s="7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15" t="n"/>
      <c r="AM335" s="16" t="n"/>
      <c r="AO335" s="44" t="n"/>
      <c r="AP335" s="44" t="n"/>
    </row>
    <row r="336" ht="15.5" customFormat="1" customHeight="1" s="1">
      <c r="A336" s="26" t="n"/>
      <c r="B336" s="7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7" t="n"/>
      <c r="R336" s="8" t="n"/>
      <c r="S336" s="8" t="n"/>
      <c r="T336" s="7" t="n"/>
      <c r="U336" s="8" t="n"/>
      <c r="V336" s="8" t="n"/>
      <c r="W336" s="7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15" t="n"/>
      <c r="AM336" s="16" t="n"/>
      <c r="AO336" s="44" t="n"/>
      <c r="AP336" s="44" t="n"/>
    </row>
    <row r="337" ht="15.5" customFormat="1" customHeight="1" s="1">
      <c r="A337" s="26" t="n"/>
      <c r="B337" s="7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7" t="n"/>
      <c r="R337" s="8" t="n"/>
      <c r="S337" s="8" t="n"/>
      <c r="T337" s="7" t="n"/>
      <c r="U337" s="8" t="n"/>
      <c r="V337" s="8" t="n"/>
      <c r="W337" s="7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15" t="n"/>
      <c r="AM337" s="16" t="n"/>
      <c r="AO337" s="44" t="n"/>
      <c r="AP337" s="44" t="n"/>
    </row>
    <row r="338" ht="15.5" customFormat="1" customHeight="1" s="1">
      <c r="A338" s="26" t="n"/>
      <c r="B338" s="7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7" t="n"/>
      <c r="R338" s="8" t="n"/>
      <c r="S338" s="8" t="n"/>
      <c r="T338" s="7" t="n"/>
      <c r="U338" s="8" t="n"/>
      <c r="V338" s="8" t="n"/>
      <c r="W338" s="7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15" t="n"/>
      <c r="AM338" s="16" t="n"/>
      <c r="AO338" s="44" t="n"/>
      <c r="AP338" s="44" t="n"/>
    </row>
    <row r="339" ht="15.5" customFormat="1" customHeight="1" s="1">
      <c r="A339" s="26" t="n"/>
      <c r="B339" s="7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7" t="n"/>
      <c r="R339" s="8" t="n"/>
      <c r="S339" s="8" t="n"/>
      <c r="T339" s="7" t="n"/>
      <c r="U339" s="8" t="n"/>
      <c r="V339" s="8" t="n"/>
      <c r="W339" s="7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15" t="n"/>
      <c r="AM339" s="16" t="n"/>
      <c r="AO339" s="44" t="n"/>
      <c r="AP339" s="44" t="n"/>
    </row>
    <row r="340" ht="15.5" customFormat="1" customHeight="1" s="1">
      <c r="A340" s="26" t="n"/>
      <c r="B340" s="7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7" t="n"/>
      <c r="R340" s="8" t="n"/>
      <c r="S340" s="8" t="n"/>
      <c r="T340" s="7" t="n"/>
      <c r="U340" s="8" t="n"/>
      <c r="V340" s="8" t="n"/>
      <c r="W340" s="7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15" t="n"/>
      <c r="AM340" s="16" t="n"/>
      <c r="AO340" s="44" t="n"/>
      <c r="AP340" s="44" t="n"/>
    </row>
    <row r="341" ht="15.5" customFormat="1" customHeight="1" s="1">
      <c r="A341" s="26" t="n"/>
      <c r="B341" s="7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7" t="n"/>
      <c r="R341" s="8" t="n"/>
      <c r="S341" s="8" t="n"/>
      <c r="T341" s="7" t="n"/>
      <c r="U341" s="8" t="n"/>
      <c r="V341" s="8" t="n"/>
      <c r="W341" s="7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15" t="n"/>
      <c r="AM341" s="16" t="n"/>
      <c r="AO341" s="44" t="n"/>
      <c r="AP341" s="44" t="n"/>
    </row>
    <row r="342" ht="15.5" customFormat="1" customHeight="1" s="1">
      <c r="A342" s="26" t="n"/>
      <c r="B342" s="7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7" t="n"/>
      <c r="R342" s="8" t="n"/>
      <c r="S342" s="8" t="n"/>
      <c r="T342" s="7" t="n"/>
      <c r="U342" s="8" t="n"/>
      <c r="V342" s="8" t="n"/>
      <c r="W342" s="7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15" t="n"/>
      <c r="AM342" s="16" t="n"/>
      <c r="AO342" s="44" t="n"/>
      <c r="AP342" s="44" t="n"/>
    </row>
    <row r="343" ht="15.5" customFormat="1" customHeight="1" s="1">
      <c r="A343" s="26" t="n"/>
      <c r="B343" s="7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7" t="n"/>
      <c r="R343" s="8" t="n"/>
      <c r="S343" s="8" t="n"/>
      <c r="T343" s="7" t="n"/>
      <c r="U343" s="8" t="n"/>
      <c r="V343" s="8" t="n"/>
      <c r="W343" s="7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15" t="n"/>
      <c r="AM343" s="16" t="n"/>
      <c r="AO343" s="44" t="n"/>
      <c r="AP343" s="44" t="n"/>
    </row>
    <row r="344" ht="15.5" customFormat="1" customHeight="1" s="1">
      <c r="A344" s="26" t="n"/>
      <c r="B344" s="7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7" t="n"/>
      <c r="R344" s="8" t="n"/>
      <c r="S344" s="8" t="n"/>
      <c r="T344" s="7" t="n"/>
      <c r="U344" s="8" t="n"/>
      <c r="V344" s="8" t="n"/>
      <c r="W344" s="7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15" t="n"/>
      <c r="AM344" s="16" t="n"/>
      <c r="AO344" s="44" t="n"/>
      <c r="AP344" s="44" t="n"/>
    </row>
    <row r="345" ht="15.5" customFormat="1" customHeight="1" s="1">
      <c r="A345" s="26" t="n"/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7" t="n"/>
      <c r="R345" s="8" t="n"/>
      <c r="S345" s="8" t="n"/>
      <c r="T345" s="7" t="n"/>
      <c r="U345" s="8" t="n"/>
      <c r="V345" s="8" t="n"/>
      <c r="W345" s="7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15" t="n"/>
      <c r="AM345" s="16" t="n"/>
      <c r="AO345" s="44" t="n"/>
      <c r="AP345" s="44" t="n"/>
    </row>
    <row r="346" ht="15.5" customFormat="1" customHeight="1" s="1">
      <c r="A346" s="26" t="n"/>
      <c r="B346" s="7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7" t="n"/>
      <c r="R346" s="8" t="n"/>
      <c r="S346" s="8" t="n"/>
      <c r="T346" s="7" t="n"/>
      <c r="U346" s="8" t="n"/>
      <c r="V346" s="8" t="n"/>
      <c r="W346" s="7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15" t="n"/>
      <c r="AM346" s="16" t="n"/>
      <c r="AO346" s="44" t="n"/>
      <c r="AP346" s="44" t="n"/>
    </row>
    <row r="347" ht="15.5" customFormat="1" customHeight="1" s="1">
      <c r="A347" s="26" t="n"/>
      <c r="B347" s="7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7" t="n"/>
      <c r="R347" s="8" t="n"/>
      <c r="S347" s="8" t="n"/>
      <c r="T347" s="7" t="n"/>
      <c r="U347" s="8" t="n"/>
      <c r="V347" s="8" t="n"/>
      <c r="W347" s="7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15" t="n"/>
      <c r="AM347" s="16" t="n"/>
      <c r="AO347" s="44" t="n"/>
      <c r="AP347" s="44" t="n"/>
    </row>
    <row r="348" ht="15.5" customFormat="1" customHeight="1" s="1">
      <c r="A348" s="26" t="n"/>
      <c r="B348" s="7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7" t="n"/>
      <c r="R348" s="8" t="n"/>
      <c r="S348" s="8" t="n"/>
      <c r="T348" s="7" t="n"/>
      <c r="U348" s="8" t="n"/>
      <c r="V348" s="8" t="n"/>
      <c r="W348" s="7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15" t="n"/>
      <c r="AM348" s="16" t="n"/>
      <c r="AO348" s="44" t="n"/>
      <c r="AP348" s="44" t="n"/>
    </row>
    <row r="349" ht="15.5" customFormat="1" customHeight="1" s="1">
      <c r="A349" s="26" t="n"/>
      <c r="B349" s="7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7" t="n"/>
      <c r="R349" s="8" t="n"/>
      <c r="S349" s="8" t="n"/>
      <c r="T349" s="7" t="n"/>
      <c r="U349" s="8" t="n"/>
      <c r="V349" s="8" t="n"/>
      <c r="W349" s="7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15" t="n"/>
      <c r="AM349" s="16" t="n"/>
      <c r="AO349" s="44" t="n"/>
      <c r="AP349" s="44" t="n"/>
    </row>
    <row r="350" ht="15.5" customFormat="1" customHeight="1" s="1">
      <c r="A350" s="26" t="n"/>
      <c r="B350" s="7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7" t="n"/>
      <c r="R350" s="8" t="n"/>
      <c r="S350" s="8" t="n"/>
      <c r="T350" s="7" t="n"/>
      <c r="U350" s="8" t="n"/>
      <c r="V350" s="8" t="n"/>
      <c r="W350" s="7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15" t="n"/>
      <c r="AM350" s="16" t="n"/>
      <c r="AO350" s="44" t="n"/>
      <c r="AP350" s="44" t="n"/>
    </row>
    <row r="351" ht="15.5" customFormat="1" customHeight="1" s="1">
      <c r="A351" s="26" t="n"/>
      <c r="B351" s="7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7" t="n"/>
      <c r="R351" s="8" t="n"/>
      <c r="S351" s="8" t="n"/>
      <c r="T351" s="7" t="n"/>
      <c r="U351" s="8" t="n"/>
      <c r="V351" s="8" t="n"/>
      <c r="W351" s="7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15" t="n"/>
      <c r="AM351" s="16" t="n"/>
      <c r="AO351" s="44" t="n"/>
      <c r="AP351" s="44" t="n"/>
    </row>
    <row r="352" ht="15.5" customFormat="1" customHeight="1" s="1">
      <c r="A352" s="26" t="n"/>
      <c r="B352" s="7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7" t="n"/>
      <c r="R352" s="8" t="n"/>
      <c r="S352" s="8" t="n"/>
      <c r="T352" s="7" t="n"/>
      <c r="U352" s="8" t="n"/>
      <c r="V352" s="8" t="n"/>
      <c r="W352" s="7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15" t="n"/>
      <c r="AM352" s="16" t="n"/>
      <c r="AO352" s="44" t="n"/>
      <c r="AP352" s="44" t="n"/>
    </row>
    <row r="353" ht="15.5" customFormat="1" customHeight="1" s="1">
      <c r="A353" s="26" t="n"/>
      <c r="B353" s="7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7" t="n"/>
      <c r="R353" s="8" t="n"/>
      <c r="S353" s="8" t="n"/>
      <c r="T353" s="7" t="n"/>
      <c r="U353" s="8" t="n"/>
      <c r="V353" s="8" t="n"/>
      <c r="W353" s="7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15" t="n"/>
      <c r="AM353" s="16" t="n"/>
      <c r="AO353" s="44" t="n"/>
      <c r="AP353" s="44" t="n"/>
    </row>
    <row r="354" ht="15.5" customFormat="1" customHeight="1" s="1">
      <c r="A354" s="26" t="n"/>
      <c r="B354" s="7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7" t="n"/>
      <c r="R354" s="8" t="n"/>
      <c r="S354" s="8" t="n"/>
      <c r="T354" s="7" t="n"/>
      <c r="U354" s="8" t="n"/>
      <c r="V354" s="8" t="n"/>
      <c r="W354" s="7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15" t="n"/>
      <c r="AM354" s="16" t="n"/>
      <c r="AO354" s="44" t="n"/>
      <c r="AP354" s="44" t="n"/>
    </row>
    <row r="355" ht="15.5" customFormat="1" customHeight="1" s="1">
      <c r="A355" s="26" t="n"/>
      <c r="B355" s="7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7" t="n"/>
      <c r="R355" s="8" t="n"/>
      <c r="S355" s="8" t="n"/>
      <c r="T355" s="7" t="n"/>
      <c r="U355" s="8" t="n"/>
      <c r="V355" s="8" t="n"/>
      <c r="W355" s="7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15" t="n"/>
      <c r="AM355" s="16" t="n"/>
      <c r="AO355" s="44" t="n"/>
      <c r="AP355" s="44" t="n"/>
    </row>
    <row r="356" ht="15.5" customFormat="1" customHeight="1" s="1">
      <c r="A356" s="26" t="n"/>
      <c r="B356" s="7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7" t="n"/>
      <c r="R356" s="8" t="n"/>
      <c r="S356" s="8" t="n"/>
      <c r="T356" s="7" t="n"/>
      <c r="U356" s="8" t="n"/>
      <c r="V356" s="8" t="n"/>
      <c r="W356" s="7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15" t="n"/>
      <c r="AM356" s="16" t="n"/>
      <c r="AO356" s="44" t="n"/>
      <c r="AP356" s="44" t="n"/>
    </row>
    <row r="357" ht="15.5" customFormat="1" customHeight="1" s="1">
      <c r="A357" s="26" t="n"/>
      <c r="B357" s="7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7" t="n"/>
      <c r="R357" s="8" t="n"/>
      <c r="S357" s="8" t="n"/>
      <c r="T357" s="7" t="n"/>
      <c r="U357" s="8" t="n"/>
      <c r="V357" s="8" t="n"/>
      <c r="W357" s="7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15" t="n"/>
      <c r="AM357" s="16" t="n"/>
      <c r="AO357" s="44" t="n"/>
      <c r="AP357" s="44" t="n"/>
    </row>
    <row r="358" ht="15.5" customFormat="1" customHeight="1" s="1">
      <c r="A358" s="26" t="n"/>
      <c r="B358" s="7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7" t="n"/>
      <c r="R358" s="8" t="n"/>
      <c r="S358" s="8" t="n"/>
      <c r="T358" s="7" t="n"/>
      <c r="U358" s="8" t="n"/>
      <c r="V358" s="8" t="n"/>
      <c r="W358" s="7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15" t="n"/>
      <c r="AM358" s="16" t="n"/>
      <c r="AO358" s="44" t="n"/>
      <c r="AP358" s="44" t="n"/>
    </row>
    <row r="359" ht="15.5" customFormat="1" customHeight="1" s="1">
      <c r="A359" s="26" t="n"/>
      <c r="B359" s="7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7" t="n"/>
      <c r="R359" s="8" t="n"/>
      <c r="S359" s="8" t="n"/>
      <c r="T359" s="7" t="n"/>
      <c r="U359" s="8" t="n"/>
      <c r="V359" s="8" t="n"/>
      <c r="W359" s="7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15" t="n"/>
      <c r="AM359" s="16" t="n"/>
      <c r="AO359" s="44" t="n"/>
      <c r="AP359" s="44" t="n"/>
    </row>
    <row r="360" ht="15.5" customFormat="1" customHeight="1" s="1">
      <c r="A360" s="26" t="n"/>
      <c r="B360" s="7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7" t="n"/>
      <c r="R360" s="8" t="n"/>
      <c r="S360" s="8" t="n"/>
      <c r="T360" s="7" t="n"/>
      <c r="U360" s="8" t="n"/>
      <c r="V360" s="8" t="n"/>
      <c r="W360" s="7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15" t="n"/>
      <c r="AM360" s="16" t="n"/>
      <c r="AO360" s="44" t="n"/>
      <c r="AP360" s="44" t="n"/>
    </row>
    <row r="361" ht="15.5" customFormat="1" customHeight="1" s="1">
      <c r="A361" s="26" t="n"/>
      <c r="B361" s="7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7" t="n"/>
      <c r="R361" s="8" t="n"/>
      <c r="S361" s="8" t="n"/>
      <c r="T361" s="7" t="n"/>
      <c r="U361" s="8" t="n"/>
      <c r="V361" s="8" t="n"/>
      <c r="W361" s="7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15" t="n"/>
      <c r="AM361" s="16" t="n"/>
      <c r="AO361" s="44" t="n"/>
      <c r="AP361" s="44" t="n"/>
    </row>
    <row r="362" ht="15.5" customFormat="1" customHeight="1" s="1">
      <c r="A362" s="26" t="n"/>
      <c r="B362" s="7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7" t="n"/>
      <c r="R362" s="8" t="n"/>
      <c r="S362" s="8" t="n"/>
      <c r="T362" s="7" t="n"/>
      <c r="U362" s="8" t="n"/>
      <c r="V362" s="8" t="n"/>
      <c r="W362" s="7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15" t="n"/>
      <c r="AM362" s="16" t="n"/>
      <c r="AO362" s="44" t="n"/>
      <c r="AP362" s="44" t="n"/>
    </row>
  </sheetData>
  <mergeCells count="13">
    <mergeCell ref="Q1:R1"/>
    <mergeCell ref="AF1:AG1"/>
    <mergeCell ref="E1:F1"/>
    <mergeCell ref="K1:L1"/>
    <mergeCell ref="AI1:AJ1"/>
    <mergeCell ref="H1:I1"/>
    <mergeCell ref="AL1:AM1"/>
    <mergeCell ref="T1:U1"/>
    <mergeCell ref="W1:X1"/>
    <mergeCell ref="Z1:AA1"/>
    <mergeCell ref="AC1:AD1"/>
    <mergeCell ref="B1:C1"/>
    <mergeCell ref="N1:O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363"/>
  <sheetViews>
    <sheetView showGridLines="0" zoomScale="50" zoomScaleNormal="50" workbookViewId="0">
      <pane xSplit="1" ySplit="4" topLeftCell="P41" activePane="bottomRight" state="frozen"/>
      <selection pane="topRight" activeCell="B1" sqref="B1"/>
      <selection pane="bottomLeft" activeCell="A5" sqref="A5"/>
      <selection pane="bottomRight" activeCell="U141" sqref="U141"/>
    </sheetView>
  </sheetViews>
  <sheetFormatPr baseColWidth="8" defaultColWidth="9.1796875" defaultRowHeight="14.5"/>
  <cols>
    <col width="51.54296875" bestFit="1" customWidth="1" style="4" min="1" max="1"/>
    <col width="14.54296875" customWidth="1" style="9" min="2" max="3"/>
    <col width="5.1796875" customWidth="1" style="9" min="4" max="4"/>
    <col width="14.453125" customWidth="1" style="9" min="5" max="5"/>
    <col width="14.54296875" customWidth="1" style="9" min="6" max="6"/>
    <col width="5.81640625" customWidth="1" style="9" min="7" max="7"/>
    <col width="14.453125" customWidth="1" style="9" min="8" max="8"/>
    <col width="14.54296875" customWidth="1" style="9" min="9" max="9"/>
    <col width="2.81640625" customWidth="1" style="9" min="10" max="10"/>
    <col width="14.453125" customWidth="1" style="9" min="11" max="11"/>
    <col width="14.54296875" customWidth="1" style="9" min="12" max="12"/>
    <col width="5.1796875" customWidth="1" style="9" min="13" max="13"/>
    <col width="14.453125" customWidth="1" style="9" min="14" max="15"/>
    <col width="2.81640625" customWidth="1" style="9" min="16" max="16"/>
    <col width="14.453125" customWidth="1" style="9" min="17" max="18"/>
    <col width="2.81640625" customWidth="1" style="9" min="19" max="19"/>
    <col width="15.81640625" customWidth="1" style="9" min="20" max="20"/>
    <col width="15.453125" customWidth="1" style="9" min="21" max="21"/>
    <col width="2.81640625" customWidth="1" style="9" min="22" max="22"/>
    <col width="15.81640625" customWidth="1" style="9" min="23" max="23"/>
    <col width="14.453125" customWidth="1" style="9" min="24" max="24"/>
    <col width="6" customWidth="1" style="9" min="25" max="25"/>
    <col hidden="1" width="15.81640625" customWidth="1" style="9" min="26" max="27"/>
    <col hidden="1" width="2.81640625" customWidth="1" style="9" min="28" max="28"/>
    <col hidden="1" width="15.81640625" customWidth="1" style="9" min="29" max="30"/>
    <col hidden="1" width="2.81640625" customWidth="1" style="9" min="31" max="31"/>
    <col hidden="1" width="15.81640625" customWidth="1" style="9" min="32" max="32"/>
    <col hidden="1" width="15" customWidth="1" style="9" min="33" max="33"/>
    <col hidden="1" width="2.81640625" customWidth="1" style="9" min="34" max="34"/>
    <col hidden="1" width="15.81640625" customWidth="1" style="9" min="35" max="35"/>
    <col hidden="1" width="15" customWidth="1" style="9" min="36" max="36"/>
    <col hidden="1" width="12.453125" customWidth="1" style="9" min="37" max="37"/>
    <col width="14.453125" bestFit="1" customWidth="1" style="9" min="38" max="38"/>
    <col width="10.453125" customWidth="1" style="6" min="39" max="39"/>
    <col width="9.1796875" customWidth="1" min="41" max="42"/>
    <col width="12.54296875" bestFit="1" customWidth="1" min="43" max="43"/>
  </cols>
  <sheetData>
    <row r="1" customFormat="1" s="42">
      <c r="A1" s="59">
        <f>'A-TRY'!A1</f>
        <v/>
      </c>
      <c r="B1" s="463" t="inlineStr">
        <is>
          <t>OCAK</t>
        </is>
      </c>
      <c r="C1" s="464" t="n"/>
      <c r="D1" s="39" t="n"/>
      <c r="E1" s="463" t="inlineStr">
        <is>
          <t>ŞUBAT</t>
        </is>
      </c>
      <c r="F1" s="464" t="n"/>
      <c r="G1" s="39" t="n"/>
      <c r="H1" s="463" t="inlineStr">
        <is>
          <t>MART</t>
        </is>
      </c>
      <c r="I1" s="464" t="n"/>
      <c r="J1" s="39" t="n"/>
      <c r="K1" s="463" t="inlineStr">
        <is>
          <t>NİSAN</t>
        </is>
      </c>
      <c r="L1" s="464" t="n"/>
      <c r="M1" s="39" t="n"/>
      <c r="N1" s="463" t="inlineStr">
        <is>
          <t>MAYIS</t>
        </is>
      </c>
      <c r="O1" s="464" t="n"/>
      <c r="P1" s="39" t="n"/>
      <c r="Q1" s="463" t="inlineStr">
        <is>
          <t>HAZİRAN</t>
        </is>
      </c>
      <c r="R1" s="464" t="n"/>
      <c r="S1" s="39" t="n"/>
      <c r="T1" s="463" t="inlineStr">
        <is>
          <t>TEMMUZ</t>
        </is>
      </c>
      <c r="U1" s="464" t="n"/>
      <c r="V1" s="39" t="n"/>
      <c r="W1" s="463" t="inlineStr">
        <is>
          <t>AĞUSTOS</t>
        </is>
      </c>
      <c r="X1" s="464" t="n"/>
      <c r="Y1" s="39" t="n"/>
      <c r="Z1" s="463" t="inlineStr">
        <is>
          <t>EYLÜL</t>
        </is>
      </c>
      <c r="AA1" s="464" t="n"/>
      <c r="AB1" s="39" t="n"/>
      <c r="AC1" s="463" t="inlineStr">
        <is>
          <t>EKİM</t>
        </is>
      </c>
      <c r="AD1" s="464" t="n"/>
      <c r="AE1" s="39" t="n"/>
      <c r="AF1" s="463" t="inlineStr">
        <is>
          <t>KASIM</t>
        </is>
      </c>
      <c r="AG1" s="464" t="n"/>
      <c r="AH1" s="39" t="n"/>
      <c r="AI1" s="463" t="inlineStr">
        <is>
          <t>ARALIK</t>
        </is>
      </c>
      <c r="AJ1" s="464" t="n"/>
      <c r="AK1" s="39" t="n"/>
      <c r="AL1" s="448" t="n"/>
      <c r="AM1" s="464" t="n"/>
    </row>
    <row r="2" customFormat="1" s="1">
      <c r="A2" s="3" t="n"/>
      <c r="B2" s="11" t="inlineStr">
        <is>
          <t>Budget</t>
        </is>
      </c>
      <c r="C2" s="11" t="inlineStr">
        <is>
          <t>Actual</t>
        </is>
      </c>
      <c r="D2" s="8" t="n"/>
      <c r="E2" s="11" t="inlineStr">
        <is>
          <t>Budget</t>
        </is>
      </c>
      <c r="F2" s="11" t="inlineStr">
        <is>
          <t>Actual</t>
        </is>
      </c>
      <c r="G2" s="8" t="n"/>
      <c r="H2" s="11" t="inlineStr">
        <is>
          <t>Budget</t>
        </is>
      </c>
      <c r="I2" s="11" t="inlineStr">
        <is>
          <t>Actual</t>
        </is>
      </c>
      <c r="J2" s="8" t="n"/>
      <c r="K2" s="11" t="inlineStr">
        <is>
          <t>Budget</t>
        </is>
      </c>
      <c r="L2" s="11" t="inlineStr">
        <is>
          <t>Actual</t>
        </is>
      </c>
      <c r="M2" s="8" t="n"/>
      <c r="N2" s="11" t="inlineStr">
        <is>
          <t>Budget</t>
        </is>
      </c>
      <c r="O2" s="11" t="inlineStr">
        <is>
          <t>Actual</t>
        </is>
      </c>
      <c r="P2" s="8" t="n"/>
      <c r="Q2" s="11" t="inlineStr">
        <is>
          <t>Budget</t>
        </is>
      </c>
      <c r="R2" s="11" t="inlineStr">
        <is>
          <t>Actual</t>
        </is>
      </c>
      <c r="S2" s="8" t="n"/>
      <c r="T2" s="11" t="inlineStr">
        <is>
          <t>Budget</t>
        </is>
      </c>
      <c r="U2" s="11" t="inlineStr">
        <is>
          <t>Actual</t>
        </is>
      </c>
      <c r="V2" s="8" t="n"/>
      <c r="W2" s="11" t="inlineStr">
        <is>
          <t>Budget</t>
        </is>
      </c>
      <c r="X2" s="11" t="inlineStr">
        <is>
          <t>Actual</t>
        </is>
      </c>
      <c r="Y2" s="8" t="n"/>
      <c r="Z2" s="11" t="inlineStr">
        <is>
          <t>Budget</t>
        </is>
      </c>
      <c r="AA2" s="11" t="inlineStr">
        <is>
          <t>Actual</t>
        </is>
      </c>
      <c r="AB2" s="8" t="n"/>
      <c r="AC2" s="11" t="inlineStr">
        <is>
          <t>Budget</t>
        </is>
      </c>
      <c r="AD2" s="11" t="inlineStr">
        <is>
          <t>Actual</t>
        </is>
      </c>
      <c r="AE2" s="8" t="n"/>
      <c r="AF2" s="11" t="inlineStr">
        <is>
          <t>Budget</t>
        </is>
      </c>
      <c r="AG2" s="11" t="inlineStr">
        <is>
          <t>Actual</t>
        </is>
      </c>
      <c r="AH2" s="8" t="n"/>
      <c r="AI2" s="11" t="inlineStr">
        <is>
          <t>Budget</t>
        </is>
      </c>
      <c r="AJ2" s="11" t="inlineStr">
        <is>
          <t>Actual</t>
        </is>
      </c>
      <c r="AK2" s="8" t="n"/>
      <c r="AL2" s="11" t="inlineStr">
        <is>
          <t>Difference</t>
        </is>
      </c>
      <c r="AM2" s="11" t="inlineStr">
        <is>
          <t>Variance %</t>
        </is>
      </c>
      <c r="AO2" s="43" t="inlineStr">
        <is>
          <t>Budget</t>
        </is>
      </c>
      <c r="AP2" s="43" t="inlineStr">
        <is>
          <t>Actual</t>
        </is>
      </c>
    </row>
    <row r="3" ht="15.5" customHeight="1">
      <c r="A3" s="2" t="inlineStr">
        <is>
          <t>Eur Kapanış</t>
        </is>
      </c>
      <c r="B3" s="465">
        <f>'A-TRY'!B3</f>
        <v/>
      </c>
      <c r="C3" s="465">
        <f>'A-TRY'!C3</f>
        <v/>
      </c>
      <c r="D3" s="465" t="n"/>
      <c r="E3" s="465">
        <f>('A-TRY'!B3+'A-TRY'!E3)/2</f>
        <v/>
      </c>
      <c r="F3" s="465">
        <f>('A-TRY'!C3+'A-TRY'!F3)/2</f>
        <v/>
      </c>
      <c r="G3" s="465" t="n"/>
      <c r="H3" s="465">
        <f>('A-TRY'!B3+'A-TRY'!E3+'A-TRY'!H3)/3</f>
        <v/>
      </c>
      <c r="I3" s="465">
        <f>('A-TRY'!C3+'A-TRY'!F3+'A-TRY'!I3)/3</f>
        <v/>
      </c>
      <c r="J3" s="465" t="n"/>
      <c r="K3" s="465">
        <f>('A-TRY'!B3+'A-TRY'!E3+'A-TRY'!H3+'A-TRY'!K3)/4</f>
        <v/>
      </c>
      <c r="L3" s="465">
        <f>('A-TRY'!C3+'A-TRY'!F3+'A-TRY'!I3+'A-TRY'!L3)/4</f>
        <v/>
      </c>
      <c r="M3" s="465" t="n"/>
      <c r="N3" s="465">
        <f>('A-TRY'!B3+'A-TRY'!E3+'A-TRY'!H3+'A-TRY'!K3+'A-TRY'!N3)/5</f>
        <v/>
      </c>
      <c r="O3" s="465">
        <f>('A-TRY'!C3+'A-TRY'!F3+'A-TRY'!I3+'A-TRY'!L3+'A-TRY'!O3)/5</f>
        <v/>
      </c>
      <c r="P3" s="465" t="n"/>
      <c r="Q3" s="465">
        <f>('A-TRY'!B3+'A-TRY'!E3+'A-TRY'!H3+'A-TRY'!K3+'A-TRY'!N3+'A-TRY'!Q3)/6</f>
        <v/>
      </c>
      <c r="R3" s="465">
        <f>('A-TRY'!C3+'A-TRY'!F3+'A-TRY'!I3+'A-TRY'!L3+'A-TRY'!O3+'A-TRY'!R3)/6</f>
        <v/>
      </c>
      <c r="S3" s="465" t="n"/>
      <c r="T3" s="465">
        <f>('A-TRY'!B3+'A-TRY'!E3+'A-TRY'!H3+'A-TRY'!K3+'A-TRY'!N3+'A-TRY'!Q3+'A-TRY'!T3)/7</f>
        <v/>
      </c>
      <c r="U3" s="465">
        <f>('A-TRY'!C3+'A-TRY'!F3+'A-TRY'!I3+'A-TRY'!L3+'A-TRY'!O3+'A-TRY'!R3+'A-TRY'!U3)/7</f>
        <v/>
      </c>
      <c r="V3" s="465" t="n"/>
      <c r="W3" s="465">
        <f>('A-TRY'!B3+'A-TRY'!E3+'A-TRY'!H3+'A-TRY'!K3+'A-TRY'!N3+'A-TRY'!Q3+'A-TRY'!T3+'A-TRY'!W3)/8</f>
        <v/>
      </c>
      <c r="X3" s="465">
        <f>('A-TRY'!C3+'A-TRY'!F3+'A-TRY'!I3+'A-TRY'!L3+'A-TRY'!O3+'A-TRY'!R3+'A-TRY'!U3+'A-TRY'!X3)/8</f>
        <v/>
      </c>
      <c r="Y3" s="465" t="n"/>
      <c r="Z3" s="465">
        <f>('A-TRY'!B3+'A-TRY'!E3+'A-TRY'!H3+'A-TRY'!K3+'A-TRY'!N3+'A-TRY'!Q3+'A-TRY'!T3+'A-TRY'!W3+'A-TRY'!Z3)/9</f>
        <v/>
      </c>
      <c r="AA3" s="465">
        <f>('A-TRY'!C3+'A-TRY'!F3+'A-TRY'!I3+'A-TRY'!L3+'A-TRY'!O3+'A-TRY'!R3+'A-TRY'!U3+'A-TRY'!X3+'A-TRY'!AA3)/9</f>
        <v/>
      </c>
      <c r="AB3" s="465" t="n"/>
      <c r="AC3" s="465">
        <f>('A-TRY'!B3+'A-TRY'!E3+'A-TRY'!H3+'A-TRY'!K3+'A-TRY'!N3+'A-TRY'!Q3+'A-TRY'!T3+'A-TRY'!W3+'A-TRY'!Z3+'A-TRY'!AC3)/10</f>
        <v/>
      </c>
      <c r="AD3" s="465">
        <f>('A-TRY'!C3+'A-TRY'!F3+'A-TRY'!I3+'A-TRY'!L3+'A-TRY'!O3+'A-TRY'!R3+'A-TRY'!U3+'A-TRY'!X3+'A-TRY'!AA3+'A-TRY'!AD3)/10</f>
        <v/>
      </c>
      <c r="AE3" s="465" t="n"/>
      <c r="AF3" s="465">
        <f>('A-TRY'!B3+'A-TRY'!E3+'A-TRY'!H3+'A-TRY'!K3+'A-TRY'!N3+'A-TRY'!Q3+'A-TRY'!T3+'A-TRY'!W3+'A-TRY'!Z3+'A-TRY'!AC3+'A-TRY'!AF3)/11</f>
        <v/>
      </c>
      <c r="AG3" s="465">
        <f>('A-TRY'!C3+'A-TRY'!F3+'A-TRY'!I3+'A-TRY'!L3+'A-TRY'!O3+'A-TRY'!R3+'A-TRY'!U3+'A-TRY'!X3+'A-TRY'!AA3+'A-TRY'!AD3+'A-TRY'!AG3)/11</f>
        <v/>
      </c>
      <c r="AH3" s="465" t="n"/>
      <c r="AI3" s="465">
        <f>('A-TRY'!B3+'A-TRY'!E3+'A-TRY'!H3+'A-TRY'!K3+'A-TRY'!N3+'A-TRY'!Q3+'A-TRY'!T3+'A-TRY'!W3+'A-TRY'!Z3+'A-TRY'!AC3+'A-TRY'!AF3+'A-TRY'!AI3)/12</f>
        <v/>
      </c>
      <c r="AJ3" s="465">
        <f>('A-TRY'!C3+'A-TRY'!F3+'A-TRY'!I3+'A-TRY'!L3+'A-TRY'!O3+'A-TRY'!R3+'A-TRY'!U3+'A-TRY'!X3+'A-TRY'!AA3+'A-TRY'!AD3+'A-TRY'!AG3+'A-TRY'!AJ3)/12</f>
        <v/>
      </c>
      <c r="AK3" s="465" t="n"/>
      <c r="AL3" s="25">
        <f>AP3-AO3</f>
        <v/>
      </c>
      <c r="AM3" s="22">
        <f>AP3/AO3-1</f>
        <v/>
      </c>
      <c r="AO3" s="44">
        <f>IF($A$1=$B$1,B3,IF($A$1=$E$1,E3,IF($A$1=$H$1,H3,IF($A$1=$K$1,K3,IF($A$1=$N$1,N3,IF($A$1=$Q$1,Q3,IF($A$1=$T$1,T3,IF($A$1=$W$1,W3,IF($A$1=$Z$1,Z3,IF($A$1=$AC$1,AC3,IF($A$1=$AF$1,AF3,IF($A$1=$AI$1,AI3))))))))))))</f>
        <v/>
      </c>
      <c r="AP3" s="44">
        <f>IF($A$1=$B$1,C3,IF($A$1=$E$1,F3,IF($A$1=$H$1,I3,IF($A$1=$K$1,L3,IF($A$1=$N$1,O3,IF($A$1=$Q$1,R3,IF($A$1=$T$1,U3,IF($A$1=$W$1,X3,IF($A$1=$Z$1,AA3,IF($A$1=$AC$1,AD3,IF($A$1=$AF$1,AG3,IF($A$1=$AI$1,AJ3))))))))))))</f>
        <v/>
      </c>
    </row>
    <row r="4" ht="15.5" customHeight="1">
      <c r="A4" s="2" t="inlineStr">
        <is>
          <t>Eur Ortalama</t>
        </is>
      </c>
      <c r="B4" s="465">
        <f>'A-TRY'!B4</f>
        <v/>
      </c>
      <c r="C4" s="465">
        <f>'A-TRY'!C4</f>
        <v/>
      </c>
      <c r="D4" s="465" t="n"/>
      <c r="E4" s="465">
        <f>('A-TRY'!B4+'A-TRY'!E4)/2</f>
        <v/>
      </c>
      <c r="F4" s="465">
        <f>('A-TRY'!C4+'A-TRY'!F4)/2</f>
        <v/>
      </c>
      <c r="G4" s="465" t="n"/>
      <c r="H4" s="465">
        <f>('A-TRY'!B4+'A-TRY'!E4+'A-TRY'!H4)/3</f>
        <v/>
      </c>
      <c r="I4" s="465">
        <f>('A-TRY'!C4+'A-TRY'!F4+'A-TRY'!I4)/3</f>
        <v/>
      </c>
      <c r="J4" s="465" t="n"/>
      <c r="K4" s="465">
        <f>('A-TRY'!B4+'A-TRY'!E4+'A-TRY'!H4+'A-TRY'!K4)/4</f>
        <v/>
      </c>
      <c r="L4" s="465">
        <f>('A-TRY'!C4+'A-TRY'!F4+'A-TRY'!I4+'A-TRY'!L4)/4</f>
        <v/>
      </c>
      <c r="M4" s="465" t="n"/>
      <c r="N4" s="465">
        <f>('A-TRY'!B4+'A-TRY'!E4+'A-TRY'!H4+'A-TRY'!K4+'A-TRY'!N4)/5</f>
        <v/>
      </c>
      <c r="O4" s="465">
        <f>('A-TRY'!C4+'A-TRY'!F4+'A-TRY'!I4+'A-TRY'!L4+'A-TRY'!O4)/5</f>
        <v/>
      </c>
      <c r="P4" s="465" t="n"/>
      <c r="Q4" s="465">
        <f>('A-TRY'!B4+'A-TRY'!E4+'A-TRY'!H4+'A-TRY'!K4+'A-TRY'!N4+'A-TRY'!Q4)/6</f>
        <v/>
      </c>
      <c r="R4" s="465">
        <f>('A-TRY'!C4+'A-TRY'!F4+'A-TRY'!I4+'A-TRY'!L4+'A-TRY'!O4+'A-TRY'!R4)/6</f>
        <v/>
      </c>
      <c r="S4" s="465" t="n"/>
      <c r="T4" s="465">
        <f>('A-TRY'!B4+'A-TRY'!E4+'A-TRY'!H4+'A-TRY'!K4+'A-TRY'!N4+'A-TRY'!Q4+'A-TRY'!T4)/7</f>
        <v/>
      </c>
      <c r="U4" s="465">
        <f>('A-TRY'!C4+'A-TRY'!F4+'A-TRY'!I4+'A-TRY'!L4+'A-TRY'!O4+'A-TRY'!R4+'A-TRY'!U4)/7</f>
        <v/>
      </c>
      <c r="V4" s="465" t="n"/>
      <c r="W4" s="465">
        <f>('A-TRY'!B4+'A-TRY'!E4+'A-TRY'!H4+'A-TRY'!K4+'A-TRY'!N4+'A-TRY'!Q4+'A-TRY'!T4+'A-TRY'!W4)/8</f>
        <v/>
      </c>
      <c r="X4" s="465">
        <f>('A-TRY'!C4+'A-TRY'!F4+'A-TRY'!I4+'A-TRY'!L4+'A-TRY'!O4+'A-TRY'!R4+'A-TRY'!U4+'A-TRY'!X4)/8</f>
        <v/>
      </c>
      <c r="Y4" s="465" t="n"/>
      <c r="Z4" s="465">
        <f>('A-TRY'!B4+'A-TRY'!E4+'A-TRY'!H4+'A-TRY'!K4+'A-TRY'!N4+'A-TRY'!Q4+'A-TRY'!T4+'A-TRY'!W4+'A-TRY'!Z4)/9</f>
        <v/>
      </c>
      <c r="AA4" s="465">
        <f>('A-TRY'!C4+'A-TRY'!F4+'A-TRY'!I4+'A-TRY'!L4+'A-TRY'!O4+'A-TRY'!R4+'A-TRY'!U4+'A-TRY'!X4+'A-TRY'!AA4)/9</f>
        <v/>
      </c>
      <c r="AB4" s="465" t="n"/>
      <c r="AC4" s="465">
        <f>('A-TRY'!B4+'A-TRY'!E4+'A-TRY'!H4+'A-TRY'!K4+'A-TRY'!N4+'A-TRY'!Q4+'A-TRY'!T4+'A-TRY'!W4+'A-TRY'!Z4+'A-TRY'!AC4)/10</f>
        <v/>
      </c>
      <c r="AD4" s="465">
        <f>('A-TRY'!C4+'A-TRY'!F4+'A-TRY'!I4+'A-TRY'!L4+'A-TRY'!O4+'A-TRY'!R4+'A-TRY'!U4+'A-TRY'!X4+'A-TRY'!AA4+'A-TRY'!AD4)/10</f>
        <v/>
      </c>
      <c r="AE4" s="465" t="n"/>
      <c r="AF4" s="465">
        <f>('A-TRY'!B4+'A-TRY'!E4+'A-TRY'!H4+'A-TRY'!K4+'A-TRY'!N4+'A-TRY'!Q4+'A-TRY'!T4+'A-TRY'!W4+'A-TRY'!Z4+'A-TRY'!AC4+'A-TRY'!AF4)/11</f>
        <v/>
      </c>
      <c r="AG4" s="465">
        <f>('A-TRY'!C4+'A-TRY'!F4+'A-TRY'!I4+'A-TRY'!L4+'A-TRY'!O4+'A-TRY'!R4+'A-TRY'!U4+'A-TRY'!X4+'A-TRY'!AA4+'A-TRY'!AD4+'A-TRY'!AG4)/11</f>
        <v/>
      </c>
      <c r="AH4" s="465" t="n"/>
      <c r="AI4" s="465">
        <f>('A-TRY'!B4+'A-TRY'!E4+'A-TRY'!H4+'A-TRY'!K4+'A-TRY'!N4+'A-TRY'!Q4+'A-TRY'!T4+'A-TRY'!W4+'A-TRY'!Z4+'A-TRY'!AC4+'A-TRY'!AF4+'A-TRY'!AI4)/12</f>
        <v/>
      </c>
      <c r="AJ4" s="465">
        <f>('A-TRY'!C4+'A-TRY'!F4+'A-TRY'!I4+'A-TRY'!L4+'A-TRY'!O4+'A-TRY'!R4+'A-TRY'!U4+'A-TRY'!X4+'A-TRY'!AA4+'A-TRY'!AD4+'A-TRY'!AG4+'A-TRY'!AJ4)/12</f>
        <v/>
      </c>
      <c r="AK4" s="465" t="n"/>
      <c r="AL4" s="25">
        <f>AP4-AO4</f>
        <v/>
      </c>
      <c r="AM4" s="22">
        <f>AP4/AO4-1</f>
        <v/>
      </c>
      <c r="AO4" s="44">
        <f>IF($A$1=$B$1,B4,IF($A$1=$E$1,E4,IF($A$1=$H$1,H4,IF($A$1=$K$1,K4,IF($A$1=$N$1,N4,IF($A$1=$Q$1,Q4,IF($A$1=$T$1,T4,IF($A$1=$W$1,W4,IF($A$1=$Z$1,Z4,IF($A$1=$AC$1,AC4,IF($A$1=$AF$1,AF4,IF($A$1=$AI$1,AI4))))))))))))</f>
        <v/>
      </c>
      <c r="AP4" s="44">
        <f>IF($A$1=$B$1,C4,IF($A$1=$E$1,F4,IF($A$1=$H$1,I4,IF($A$1=$K$1,L4,IF($A$1=$N$1,O4,IF($A$1=$Q$1,R4,IF($A$1=$T$1,U4,IF($A$1=$W$1,X4,IF($A$1=$Z$1,AA4,IF($A$1=$AC$1,AD4,IF($A$1=$AF$1,AG4,IF($A$1=$AI$1,AJ4))))))))))))</f>
        <v/>
      </c>
    </row>
    <row r="5" ht="15.5" customHeight="1">
      <c r="A5" s="2" t="n"/>
      <c r="B5" s="465" t="n"/>
      <c r="C5" s="465" t="n"/>
      <c r="D5" s="465" t="n"/>
      <c r="E5" s="465" t="n"/>
      <c r="F5" s="465" t="n"/>
      <c r="G5" s="465" t="n"/>
      <c r="H5" s="465" t="n"/>
      <c r="I5" s="465" t="n"/>
      <c r="J5" s="465" t="n"/>
      <c r="K5" s="465" t="n"/>
      <c r="L5" s="465" t="n"/>
      <c r="M5" s="465" t="n"/>
      <c r="N5" s="465" t="n"/>
      <c r="O5" s="465" t="n"/>
      <c r="P5" s="465" t="n"/>
      <c r="Q5" s="465" t="n"/>
      <c r="R5" s="465" t="n"/>
      <c r="S5" s="465" t="n"/>
      <c r="T5" s="465" t="n"/>
      <c r="U5" s="465" t="n"/>
      <c r="V5" s="465" t="n"/>
      <c r="W5" s="465" t="n"/>
      <c r="X5" s="465" t="n"/>
      <c r="Y5" s="465" t="n"/>
      <c r="Z5" s="465" t="n"/>
      <c r="AA5" s="465" t="n"/>
      <c r="AB5" s="465" t="n"/>
      <c r="AC5" s="465" t="n"/>
      <c r="AD5" s="465" t="n"/>
      <c r="AE5" s="465" t="n"/>
      <c r="AF5" s="465" t="n"/>
      <c r="AG5" s="465" t="n"/>
      <c r="AH5" s="465" t="n"/>
      <c r="AI5" s="465" t="n"/>
      <c r="AJ5" s="465" t="n"/>
      <c r="AK5" s="5" t="n"/>
      <c r="AL5" s="25" t="n"/>
      <c r="AM5" s="22" t="n"/>
      <c r="AO5" s="44" t="n"/>
      <c r="AP5" s="44" t="n"/>
    </row>
    <row r="6" ht="15.5" customFormat="1" customHeight="1" s="44">
      <c r="A6" s="31" t="inlineStr">
        <is>
          <t>Net Sales</t>
        </is>
      </c>
      <c r="B6" s="32">
        <f>'A-TRY'!B6</f>
        <v/>
      </c>
      <c r="C6" s="32">
        <f>'A-TRY'!C6</f>
        <v/>
      </c>
      <c r="D6" s="18" t="n"/>
      <c r="E6" s="32">
        <f>B6+'A-TRY'!E6</f>
        <v/>
      </c>
      <c r="F6" s="32">
        <f>C6+'A-TRY'!F6</f>
        <v/>
      </c>
      <c r="G6" s="18" t="n"/>
      <c r="H6" s="32">
        <f>E6+'A-TRY'!H6</f>
        <v/>
      </c>
      <c r="I6" s="32">
        <f>F6+'A-TRY'!I6</f>
        <v/>
      </c>
      <c r="J6" s="18" t="n"/>
      <c r="K6" s="32">
        <f>H6+'A-TRY'!K6</f>
        <v/>
      </c>
      <c r="L6" s="32">
        <f>I6+'A-TRY'!L6</f>
        <v/>
      </c>
      <c r="M6" s="18" t="n"/>
      <c r="N6" s="32">
        <f>K6+'A-TRY'!N6</f>
        <v/>
      </c>
      <c r="O6" s="32">
        <f>L6+'A-TRY'!O6</f>
        <v/>
      </c>
      <c r="P6" s="18" t="n"/>
      <c r="Q6" s="32">
        <f>N6+'A-TRY'!Q6</f>
        <v/>
      </c>
      <c r="R6" s="32">
        <f>O6+'A-TRY'!R6</f>
        <v/>
      </c>
      <c r="S6" s="18" t="n"/>
      <c r="T6" s="32">
        <f>Q6+'A-TRY'!T6</f>
        <v/>
      </c>
      <c r="U6" s="32">
        <f>R6+'A-TRY'!U6</f>
        <v/>
      </c>
      <c r="V6" s="18" t="n"/>
      <c r="W6" s="32">
        <f>T6+'A-TRY'!W6</f>
        <v/>
      </c>
      <c r="X6" s="32">
        <f>U6+'A-TRY'!X6</f>
        <v/>
      </c>
      <c r="Y6" s="18" t="n"/>
      <c r="Z6" s="32">
        <f>W6+'A-TRY'!Z6</f>
        <v/>
      </c>
      <c r="AA6" s="32">
        <f>X6+'A-TRY'!AA6</f>
        <v/>
      </c>
      <c r="AB6" s="18" t="n"/>
      <c r="AC6" s="32">
        <f>Z6+'A-TRY'!AC6</f>
        <v/>
      </c>
      <c r="AD6" s="32">
        <f>AA6+'A-TRY'!AD6</f>
        <v/>
      </c>
      <c r="AE6" s="18" t="n"/>
      <c r="AF6" s="32">
        <f>AC6+'A-TRY'!AF6</f>
        <v/>
      </c>
      <c r="AG6" s="32">
        <f>AD6+'A-TRY'!AG6</f>
        <v/>
      </c>
      <c r="AH6" s="18" t="n"/>
      <c r="AI6" s="32">
        <f>AF6+'A-TRY'!AI6</f>
        <v/>
      </c>
      <c r="AJ6" s="32">
        <f>AG6+'A-TRY'!AJ6</f>
        <v/>
      </c>
      <c r="AK6" s="18" t="n"/>
      <c r="AL6" s="33">
        <f>AP6-AO6</f>
        <v/>
      </c>
      <c r="AM6" s="34">
        <f>AP6/AO6-1</f>
        <v/>
      </c>
      <c r="AO6" s="44">
        <f>IF($A$1=$B$1,B6,IF($A$1=$E$1,E6,IF($A$1=$H$1,H6,IF($A$1=$K$1,K6,IF($A$1=$N$1,N6,IF($A$1=$Q$1,Q6,IF($A$1=$T$1,T6,IF($A$1=$W$1,W6,IF($A$1=$Z$1,Z6,IF($A$1=$AC$1,AC6,IF($A$1=$AF$1,AF6,IF($A$1=$AI$1,AI6))))))))))))</f>
        <v/>
      </c>
      <c r="AP6" s="44">
        <f>IF($A$1=$B$1,C6,IF($A$1=$E$1,F6,IF($A$1=$H$1,I6,IF($A$1=$K$1,L6,IF($A$1=$N$1,O6,IF($A$1=$Q$1,R6,IF($A$1=$T$1,U6,IF($A$1=$W$1,X6,IF($A$1=$Z$1,AA6,IF($A$1=$AC$1,AD6,IF($A$1=$AF$1,AG6,IF($A$1=$AI$1,AJ6))))))))))))</f>
        <v/>
      </c>
    </row>
    <row r="7" ht="15.5" customFormat="1" customHeight="1" s="46">
      <c r="A7" s="17" t="n"/>
      <c r="B7" s="28" t="n"/>
      <c r="C7" s="28" t="n"/>
      <c r="D7" s="40" t="n"/>
      <c r="E7" s="28" t="n"/>
      <c r="F7" s="28">
        <f>F6/E6-1</f>
        <v/>
      </c>
      <c r="G7" s="40" t="n"/>
      <c r="H7" s="28" t="n"/>
      <c r="I7" s="28" t="n"/>
      <c r="J7" s="40" t="n"/>
      <c r="K7" s="28" t="n"/>
      <c r="L7" s="28" t="n"/>
      <c r="M7" s="40" t="n"/>
      <c r="N7" s="28" t="n"/>
      <c r="O7" s="28" t="n"/>
      <c r="P7" s="40" t="n"/>
      <c r="Q7" s="28" t="n"/>
      <c r="R7" s="28" t="n"/>
      <c r="S7" s="40" t="n"/>
      <c r="T7" s="28" t="n"/>
      <c r="U7" s="28" t="n"/>
      <c r="V7" s="40" t="n"/>
      <c r="W7" s="28" t="n"/>
      <c r="X7" s="28" t="n"/>
      <c r="Y7" s="40" t="n"/>
      <c r="Z7" s="28" t="n"/>
      <c r="AA7" s="28" t="n"/>
      <c r="AB7" s="40" t="n"/>
      <c r="AC7" s="28" t="n"/>
      <c r="AD7" s="28" t="n"/>
      <c r="AE7" s="40" t="n"/>
      <c r="AF7" s="28" t="n"/>
      <c r="AG7" s="28" t="n"/>
      <c r="AH7" s="40" t="n"/>
      <c r="AI7" s="28" t="n"/>
      <c r="AJ7" s="28" t="n"/>
      <c r="AK7" s="40" t="n"/>
      <c r="AL7" s="21" t="n"/>
      <c r="AM7" s="22" t="n"/>
      <c r="AO7" s="44" t="n"/>
      <c r="AP7" s="44" t="n"/>
    </row>
    <row r="8" ht="17" customFormat="1" customHeight="1" s="51">
      <c r="A8" s="47" t="inlineStr">
        <is>
          <t>SALES BY CHANNELS(100% Satışlar)</t>
        </is>
      </c>
      <c r="B8" s="411" t="n"/>
      <c r="C8" s="412" t="n"/>
      <c r="D8" s="411" t="n"/>
      <c r="E8" s="411" t="n"/>
      <c r="F8" s="412" t="n"/>
      <c r="G8" s="411" t="n"/>
      <c r="H8" s="411" t="n"/>
      <c r="I8" s="412" t="n"/>
      <c r="J8" s="411" t="n"/>
      <c r="K8" s="411" t="n"/>
      <c r="L8" s="412" t="n"/>
      <c r="M8" s="411" t="n"/>
      <c r="N8" s="411" t="n"/>
      <c r="O8" s="412" t="n"/>
      <c r="P8" s="411" t="n"/>
      <c r="Q8" s="411" t="n"/>
      <c r="R8" s="412" t="n"/>
      <c r="S8" s="411" t="n"/>
      <c r="T8" s="411" t="n"/>
      <c r="U8" s="412" t="n"/>
      <c r="V8" s="411" t="n"/>
      <c r="W8" s="411" t="n"/>
      <c r="X8" s="412" t="n"/>
      <c r="Y8" s="411" t="n"/>
      <c r="Z8" s="411" t="n"/>
      <c r="AA8" s="412" t="n"/>
      <c r="AB8" s="411" t="n"/>
      <c r="AC8" s="411" t="n"/>
      <c r="AD8" s="412" t="n"/>
      <c r="AE8" s="411" t="n"/>
      <c r="AF8" s="411" t="n"/>
      <c r="AG8" s="412" t="n"/>
      <c r="AH8" s="411" t="n"/>
      <c r="AI8" s="411" t="n"/>
      <c r="AJ8" s="412" t="n"/>
      <c r="AK8" s="411" t="n"/>
      <c r="AL8" s="411" t="n"/>
      <c r="AM8" s="50" t="n"/>
    </row>
    <row r="9" ht="15.5" customHeight="1">
      <c r="A9" s="26" t="inlineStr">
        <is>
          <t xml:space="preserve">İnci Holding </t>
        </is>
      </c>
      <c r="B9" s="14">
        <f>'A-TRY'!B9</f>
        <v/>
      </c>
      <c r="C9" s="14">
        <f>'A-TRY'!C9</f>
        <v/>
      </c>
      <c r="D9" s="72">
        <f>+(C9/B9)-1</f>
        <v/>
      </c>
      <c r="E9" s="14">
        <f>B9+'A-TRY'!E9</f>
        <v/>
      </c>
      <c r="F9" s="14">
        <f>C9+'A-TRY'!F9</f>
        <v/>
      </c>
      <c r="G9" s="72">
        <f>+(F9/E9)-1</f>
        <v/>
      </c>
      <c r="H9" s="14">
        <f>E9+'A-TRY'!H9</f>
        <v/>
      </c>
      <c r="I9" s="14">
        <f>F9+'A-TRY'!I9</f>
        <v/>
      </c>
      <c r="J9" s="14" t="n"/>
      <c r="K9" s="14">
        <f>H9+'A-TRY'!K9</f>
        <v/>
      </c>
      <c r="L9" s="14">
        <f>I9+'A-TRY'!L9</f>
        <v/>
      </c>
      <c r="M9" s="14" t="n"/>
      <c r="N9" s="14">
        <f>K9+'A-TRY'!N9</f>
        <v/>
      </c>
      <c r="O9" s="14">
        <f>L9+'A-TRY'!O9</f>
        <v/>
      </c>
      <c r="P9" s="14" t="n"/>
      <c r="Q9" s="14">
        <f>N9+'A-TRY'!Q9</f>
        <v/>
      </c>
      <c r="R9" s="14">
        <f>O9+'A-TRY'!R9</f>
        <v/>
      </c>
      <c r="S9" s="14" t="n"/>
      <c r="T9" s="14">
        <f>Q9+'A-TRY'!T9</f>
        <v/>
      </c>
      <c r="U9" s="14">
        <f>R9+'A-TRY'!U9</f>
        <v/>
      </c>
      <c r="V9" s="14" t="n"/>
      <c r="W9" s="14">
        <f>T9+'A-TRY'!W9</f>
        <v/>
      </c>
      <c r="X9" s="14">
        <f>U9+'A-TRY'!X9</f>
        <v/>
      </c>
      <c r="Y9" s="14" t="n"/>
      <c r="Z9" s="14">
        <f>W9+'A-TRY'!Z9</f>
        <v/>
      </c>
      <c r="AA9" s="14">
        <f>X9+'A-TRY'!AA9</f>
        <v/>
      </c>
      <c r="AB9" s="14" t="n"/>
      <c r="AC9" s="14">
        <f>Z9+'A-TRY'!AC9</f>
        <v/>
      </c>
      <c r="AD9" s="14">
        <f>AA9+'A-TRY'!AD9</f>
        <v/>
      </c>
      <c r="AE9" s="14" t="n"/>
      <c r="AF9" s="14">
        <f>AC9+'A-TRY'!AF9</f>
        <v/>
      </c>
      <c r="AG9" s="14">
        <f>AD9+'A-TRY'!AG9</f>
        <v/>
      </c>
      <c r="AH9" s="14" t="n"/>
      <c r="AI9" s="14">
        <f>AF9+'A-TRY'!AI9</f>
        <v/>
      </c>
      <c r="AJ9" s="14">
        <f>AG9+'A-TRY'!AJ9</f>
        <v/>
      </c>
      <c r="AK9" s="14" t="n"/>
      <c r="AL9" s="21">
        <f>AP9-AO9</f>
        <v/>
      </c>
      <c r="AM9" s="22">
        <f>AP9/AO9-1</f>
        <v/>
      </c>
      <c r="AO9" s="44">
        <f>IF($A$1=$B$1,B9,IF($A$1=$E$1,E9,IF($A$1=$H$1,H9,IF($A$1=$K$1,K9,IF($A$1=$N$1,N9,IF($A$1=$Q$1,Q9,IF($A$1=$T$1,T9,IF($A$1=$W$1,W9,IF($A$1=$Z$1,Z9,IF($A$1=$AC$1,AC9,IF($A$1=$AF$1,AF9,IF($A$1=$AI$1,AI9))))))))))))</f>
        <v/>
      </c>
      <c r="AP9" s="44">
        <f>IF($A$1=$B$1,C9,IF($A$1=$E$1,F9,IF($A$1=$H$1,I9,IF($A$1=$K$1,L9,IF($A$1=$N$1,O9,IF($A$1=$Q$1,R9,IF($A$1=$T$1,U9,IF($A$1=$W$1,X9,IF($A$1=$Z$1,AA9,IF($A$1=$AC$1,AD9,IF($A$1=$AF$1,AG9,IF($A$1=$AI$1,AJ9))))))))))))</f>
        <v/>
      </c>
    </row>
    <row r="10" ht="15.5" customHeight="1">
      <c r="A10" s="26" t="inlineStr">
        <is>
          <t xml:space="preserve">ISM </t>
        </is>
      </c>
      <c r="B10" s="7">
        <f>'A-TRY'!B10</f>
        <v/>
      </c>
      <c r="C10" s="14">
        <f>'A-TRY'!C10</f>
        <v/>
      </c>
      <c r="D10" s="72">
        <f>+(C10/B10)-1</f>
        <v/>
      </c>
      <c r="E10" s="7">
        <f>B10+'A-TRY'!E10</f>
        <v/>
      </c>
      <c r="F10" s="14">
        <f>C10+'A-TRY'!F10</f>
        <v/>
      </c>
      <c r="G10" s="72">
        <f>+(F10/E10)-1</f>
        <v/>
      </c>
      <c r="H10" s="7">
        <f>E10+'A-TRY'!H10</f>
        <v/>
      </c>
      <c r="I10" s="14">
        <f>F10+'A-TRY'!I10</f>
        <v/>
      </c>
      <c r="J10" s="7" t="n"/>
      <c r="K10" s="7">
        <f>H10+'A-TRY'!K10</f>
        <v/>
      </c>
      <c r="L10" s="14">
        <f>I10+'A-TRY'!L10</f>
        <v/>
      </c>
      <c r="M10" s="7" t="n"/>
      <c r="N10" s="7">
        <f>K10+'A-TRY'!N10</f>
        <v/>
      </c>
      <c r="O10" s="14">
        <f>L10+'A-TRY'!O10</f>
        <v/>
      </c>
      <c r="P10" s="7" t="n"/>
      <c r="Q10" s="7">
        <f>N10+'A-TRY'!Q10</f>
        <v/>
      </c>
      <c r="R10" s="14">
        <f>O10+'A-TRY'!R10</f>
        <v/>
      </c>
      <c r="S10" s="7" t="n"/>
      <c r="T10" s="7">
        <f>Q10+'A-TRY'!T10</f>
        <v/>
      </c>
      <c r="U10" s="14">
        <f>R10+'A-TRY'!U10</f>
        <v/>
      </c>
      <c r="V10" s="7" t="n"/>
      <c r="W10" s="7">
        <f>T10+'A-TRY'!W10</f>
        <v/>
      </c>
      <c r="X10" s="14">
        <f>U10+'A-TRY'!X10</f>
        <v/>
      </c>
      <c r="Y10" s="7" t="n"/>
      <c r="Z10" s="7">
        <f>W10+'A-TRY'!Z10</f>
        <v/>
      </c>
      <c r="AA10" s="14">
        <f>X10+'A-TRY'!AA10</f>
        <v/>
      </c>
      <c r="AB10" s="7" t="n"/>
      <c r="AC10" s="7">
        <f>Z10+'A-TRY'!AC10</f>
        <v/>
      </c>
      <c r="AD10" s="14">
        <f>AA10+'A-TRY'!AD10</f>
        <v/>
      </c>
      <c r="AE10" s="7" t="n"/>
      <c r="AF10" s="7">
        <f>AC10+'A-TRY'!AF10</f>
        <v/>
      </c>
      <c r="AG10" s="14">
        <f>AD10+'A-TRY'!AG10</f>
        <v/>
      </c>
      <c r="AH10" s="7" t="n"/>
      <c r="AI10" s="7">
        <f>AF10+'A-TRY'!AI10</f>
        <v/>
      </c>
      <c r="AJ10" s="14">
        <f>AG10+'A-TRY'!AJ10</f>
        <v/>
      </c>
      <c r="AK10" s="7" t="n"/>
      <c r="AL10" s="21">
        <f>AP10-AO10</f>
        <v/>
      </c>
      <c r="AM10" s="22">
        <f>AP10/AO10-1</f>
        <v/>
      </c>
      <c r="AO10" s="44">
        <f>IF($A$1=$B$1,B10,IF($A$1=$E$1,E10,IF($A$1=$H$1,H10,IF($A$1=$K$1,K10,IF($A$1=$N$1,N10,IF($A$1=$Q$1,Q10,IF($A$1=$T$1,T10,IF($A$1=$W$1,W10,IF($A$1=$Z$1,Z10,IF($A$1=$AC$1,AC10,IF($A$1=$AF$1,AF10,IF($A$1=$AI$1,AI10))))))))))))</f>
        <v/>
      </c>
      <c r="AP10" s="44">
        <f>IF($A$1=$B$1,C10,IF($A$1=$E$1,F10,IF($A$1=$H$1,I10,IF($A$1=$K$1,L10,IF($A$1=$N$1,O10,IF($A$1=$Q$1,R10,IF($A$1=$T$1,U10,IF($A$1=$W$1,X10,IF($A$1=$Z$1,AA10,IF($A$1=$AC$1,AD10,IF($A$1=$AF$1,AG10,IF($A$1=$AI$1,AJ10))))))))))))</f>
        <v/>
      </c>
    </row>
    <row r="11" ht="15.5" customHeight="1">
      <c r="A11" s="26" t="inlineStr">
        <is>
          <t>İncitaş</t>
        </is>
      </c>
      <c r="B11" s="7">
        <f>'A-TRY'!B11</f>
        <v/>
      </c>
      <c r="C11" s="14">
        <f>'A-TRY'!C11</f>
        <v/>
      </c>
      <c r="D11" s="72">
        <f>+(C11/B11)-1</f>
        <v/>
      </c>
      <c r="E11" s="7">
        <f>B11+'A-TRY'!E11</f>
        <v/>
      </c>
      <c r="F11" s="14">
        <f>C11+'A-TRY'!F11</f>
        <v/>
      </c>
      <c r="G11" s="72">
        <f>+(F11/E11)-1</f>
        <v/>
      </c>
      <c r="H11" s="7">
        <f>E11+'A-TRY'!H11</f>
        <v/>
      </c>
      <c r="I11" s="14">
        <f>F11+'A-TRY'!I11</f>
        <v/>
      </c>
      <c r="J11" s="7" t="n"/>
      <c r="K11" s="7">
        <f>H11+'A-TRY'!K11</f>
        <v/>
      </c>
      <c r="L11" s="14">
        <f>I11+'A-TRY'!L11</f>
        <v/>
      </c>
      <c r="M11" s="7" t="n"/>
      <c r="N11" s="7">
        <f>K11+'A-TRY'!N11</f>
        <v/>
      </c>
      <c r="O11" s="14">
        <f>L11+'A-TRY'!O11</f>
        <v/>
      </c>
      <c r="P11" s="7" t="n"/>
      <c r="Q11" s="7">
        <f>N11+'A-TRY'!Q11</f>
        <v/>
      </c>
      <c r="R11" s="14">
        <f>O11+'A-TRY'!R11</f>
        <v/>
      </c>
      <c r="S11" s="7" t="n"/>
      <c r="T11" s="7">
        <f>Q11+'A-TRY'!T11</f>
        <v/>
      </c>
      <c r="U11" s="14">
        <f>R11+'A-TRY'!U11</f>
        <v/>
      </c>
      <c r="V11" s="7" t="n"/>
      <c r="W11" s="7">
        <f>T11+'A-TRY'!W11</f>
        <v/>
      </c>
      <c r="X11" s="14">
        <f>U11+'A-TRY'!X11</f>
        <v/>
      </c>
      <c r="Y11" s="7" t="n"/>
      <c r="Z11" s="7">
        <f>W11+'A-TRY'!Z11</f>
        <v/>
      </c>
      <c r="AA11" s="14">
        <f>X11+'A-TRY'!AA11</f>
        <v/>
      </c>
      <c r="AB11" s="7" t="n"/>
      <c r="AC11" s="7">
        <f>Z11+'A-TRY'!AC11</f>
        <v/>
      </c>
      <c r="AD11" s="14">
        <f>AA11+'A-TRY'!AD11</f>
        <v/>
      </c>
      <c r="AE11" s="7" t="n"/>
      <c r="AF11" s="7">
        <f>AC11+'A-TRY'!AF11</f>
        <v/>
      </c>
      <c r="AG11" s="14">
        <f>AD11+'A-TRY'!AG11</f>
        <v/>
      </c>
      <c r="AH11" s="7" t="n"/>
      <c r="AI11" s="7">
        <f>AF11+'A-TRY'!AI11</f>
        <v/>
      </c>
      <c r="AJ11" s="14">
        <f>AG11+'A-TRY'!AJ11</f>
        <v/>
      </c>
      <c r="AK11" s="7" t="n"/>
      <c r="AL11" s="21">
        <f>AP11-AO11</f>
        <v/>
      </c>
      <c r="AM11" s="22">
        <f>AP11/AO11-1</f>
        <v/>
      </c>
      <c r="AO11" s="44">
        <f>IF($A$1=$B$1,B11,IF($A$1=$E$1,E11,IF($A$1=$H$1,H11,IF($A$1=$K$1,K11,IF($A$1=$N$1,N11,IF($A$1=$Q$1,Q11,IF($A$1=$T$1,T11,IF($A$1=$W$1,W11,IF($A$1=$Z$1,Z11,IF($A$1=$AC$1,AC11,IF($A$1=$AF$1,AF11,IF($A$1=$AI$1,AI11))))))))))))</f>
        <v/>
      </c>
      <c r="AP11" s="44">
        <f>IF($A$1=$B$1,C11,IF($A$1=$E$1,F11,IF($A$1=$H$1,I11,IF($A$1=$K$1,L11,IF($A$1=$N$1,O11,IF($A$1=$Q$1,R11,IF($A$1=$T$1,U11,IF($A$1=$W$1,X11,IF($A$1=$Z$1,AA11,IF($A$1=$AC$1,AD11,IF($A$1=$AF$1,AG11,IF($A$1=$AI$1,AJ11))))))))))))</f>
        <v/>
      </c>
    </row>
    <row r="12" ht="15.5" customHeight="1">
      <c r="A12" s="26" t="inlineStr">
        <is>
          <t>İnci GS Yuasa</t>
        </is>
      </c>
      <c r="B12" s="7">
        <f>'A-TRY'!B12</f>
        <v/>
      </c>
      <c r="C12" s="14">
        <f>'A-TRY'!C12</f>
        <v/>
      </c>
      <c r="D12" s="72">
        <f>+(C12/B12)-1</f>
        <v/>
      </c>
      <c r="E12" s="7">
        <f>B12+'A-TRY'!E12</f>
        <v/>
      </c>
      <c r="F12" s="14">
        <f>C12+'A-TRY'!F12</f>
        <v/>
      </c>
      <c r="G12" s="72">
        <f>+(F12/E12)-1</f>
        <v/>
      </c>
      <c r="H12" s="7">
        <f>E12+'A-TRY'!H12</f>
        <v/>
      </c>
      <c r="I12" s="14">
        <f>F12+'A-TRY'!I12</f>
        <v/>
      </c>
      <c r="J12" s="7" t="n"/>
      <c r="K12" s="7">
        <f>H12+'A-TRY'!K12</f>
        <v/>
      </c>
      <c r="L12" s="14">
        <f>I12+'A-TRY'!L12</f>
        <v/>
      </c>
      <c r="M12" s="7" t="n"/>
      <c r="N12" s="7">
        <f>K12+'A-TRY'!N12</f>
        <v/>
      </c>
      <c r="O12" s="14">
        <f>L12+'A-TRY'!O12</f>
        <v/>
      </c>
      <c r="P12" s="7" t="n"/>
      <c r="Q12" s="7">
        <f>N12+'A-TRY'!Q12</f>
        <v/>
      </c>
      <c r="R12" s="14">
        <f>O12+'A-TRY'!R12</f>
        <v/>
      </c>
      <c r="S12" s="7" t="n"/>
      <c r="T12" s="7">
        <f>Q12+'A-TRY'!T12</f>
        <v/>
      </c>
      <c r="U12" s="14">
        <f>R12+'A-TRY'!U12</f>
        <v/>
      </c>
      <c r="V12" s="7" t="n"/>
      <c r="W12" s="7">
        <f>T12+'A-TRY'!W12</f>
        <v/>
      </c>
      <c r="X12" s="14">
        <f>U12+'A-TRY'!X12</f>
        <v/>
      </c>
      <c r="Y12" s="7" t="n"/>
      <c r="Z12" s="7">
        <f>W12+'A-TRY'!Z12</f>
        <v/>
      </c>
      <c r="AA12" s="14">
        <f>X12+'A-TRY'!AA12</f>
        <v/>
      </c>
      <c r="AB12" s="7" t="n"/>
      <c r="AC12" s="7">
        <f>Z12+'A-TRY'!AC12</f>
        <v/>
      </c>
      <c r="AD12" s="14">
        <f>AA12+'A-TRY'!AD12</f>
        <v/>
      </c>
      <c r="AE12" s="7" t="n"/>
      <c r="AF12" s="7">
        <f>AC12+'A-TRY'!AF12</f>
        <v/>
      </c>
      <c r="AG12" s="14">
        <f>AD12+'A-TRY'!AG12</f>
        <v/>
      </c>
      <c r="AH12" s="7" t="n"/>
      <c r="AI12" s="7">
        <f>AF12+'A-TRY'!AI12</f>
        <v/>
      </c>
      <c r="AJ12" s="14">
        <f>AG12+'A-TRY'!AJ12</f>
        <v/>
      </c>
      <c r="AK12" s="7" t="n"/>
      <c r="AL12" s="21">
        <f>AP12-AO12</f>
        <v/>
      </c>
      <c r="AM12" s="22">
        <f>AP12/AO12-1</f>
        <v/>
      </c>
      <c r="AO12" s="44">
        <f>IF($A$1=$B$1,B12,IF($A$1=$E$1,E12,IF($A$1=$H$1,H12,IF($A$1=$K$1,K12,IF($A$1=$N$1,N12,IF($A$1=$Q$1,Q12,IF($A$1=$T$1,T12,IF($A$1=$W$1,W12,IF($A$1=$Z$1,Z12,IF($A$1=$AC$1,AC12,IF($A$1=$AF$1,AF12,IF($A$1=$AI$1,AI12))))))))))))</f>
        <v/>
      </c>
      <c r="AP12" s="44">
        <f>IF($A$1=$B$1,C12,IF($A$1=$E$1,F12,IF($A$1=$H$1,I12,IF($A$1=$K$1,L12,IF($A$1=$N$1,O12,IF($A$1=$Q$1,R12,IF($A$1=$T$1,U12,IF($A$1=$W$1,X12,IF($A$1=$Z$1,AA12,IF($A$1=$AC$1,AD12,IF($A$1=$AF$1,AG12,IF($A$1=$AI$1,AJ12))))))))))))</f>
        <v/>
      </c>
      <c r="AQ12" s="9" t="n"/>
    </row>
    <row r="13" ht="15.5" customFormat="1" customHeight="1" s="1">
      <c r="A13" s="26" t="inlineStr">
        <is>
          <t>Yusen İnci Loj.</t>
        </is>
      </c>
      <c r="B13" s="7">
        <f>'A-TRY'!B13</f>
        <v/>
      </c>
      <c r="C13" s="14">
        <f>'A-TRY'!C13</f>
        <v/>
      </c>
      <c r="D13" s="72">
        <f>+(C13/B13)-1</f>
        <v/>
      </c>
      <c r="E13" s="7">
        <f>B13+'A-TRY'!E13</f>
        <v/>
      </c>
      <c r="F13" s="14">
        <f>C13+'A-TRY'!F13</f>
        <v/>
      </c>
      <c r="G13" s="72">
        <f>+(F13/E13)-1</f>
        <v/>
      </c>
      <c r="H13" s="7">
        <f>E13+'A-TRY'!H13</f>
        <v/>
      </c>
      <c r="I13" s="14">
        <f>F13+'A-TRY'!I13</f>
        <v/>
      </c>
      <c r="J13" s="8" t="n"/>
      <c r="K13" s="7">
        <f>H13+'A-TRY'!K13</f>
        <v/>
      </c>
      <c r="L13" s="14">
        <f>I13+'A-TRY'!L13</f>
        <v/>
      </c>
      <c r="M13" s="76" t="n"/>
      <c r="N13" s="7">
        <f>K13+'A-TRY'!N13</f>
        <v/>
      </c>
      <c r="O13" s="14">
        <f>L13+'A-TRY'!O13</f>
        <v/>
      </c>
      <c r="P13" s="8" t="n"/>
      <c r="Q13" s="7">
        <f>N13+'A-TRY'!Q13</f>
        <v/>
      </c>
      <c r="R13" s="14">
        <f>O13+'A-TRY'!R13</f>
        <v/>
      </c>
      <c r="S13" s="8" t="n"/>
      <c r="T13" s="7">
        <f>Q13+'A-TRY'!T13</f>
        <v/>
      </c>
      <c r="U13" s="14">
        <f>R13+'A-TRY'!U13</f>
        <v/>
      </c>
      <c r="V13" s="8" t="n"/>
      <c r="W13" s="7">
        <f>T13+'A-TRY'!W13</f>
        <v/>
      </c>
      <c r="X13" s="14">
        <f>U13+'A-TRY'!X13</f>
        <v/>
      </c>
      <c r="Y13" s="8" t="n"/>
      <c r="Z13" s="7">
        <f>W13+'A-TRY'!Z13</f>
        <v/>
      </c>
      <c r="AA13" s="14">
        <f>X13+'A-TRY'!AA13</f>
        <v/>
      </c>
      <c r="AB13" s="8" t="n"/>
      <c r="AC13" s="7">
        <f>Z13+'A-TRY'!AC13</f>
        <v/>
      </c>
      <c r="AD13" s="14">
        <f>AA13+'A-TRY'!AD13</f>
        <v/>
      </c>
      <c r="AE13" s="8" t="n"/>
      <c r="AF13" s="7">
        <f>AC13+'A-TRY'!AF13</f>
        <v/>
      </c>
      <c r="AG13" s="14">
        <f>AD13+'A-TRY'!AG13</f>
        <v/>
      </c>
      <c r="AH13" s="8" t="n"/>
      <c r="AI13" s="7">
        <f>AF13+'A-TRY'!AI13</f>
        <v/>
      </c>
      <c r="AJ13" s="14">
        <f>AG13+'A-TRY'!AJ13</f>
        <v/>
      </c>
      <c r="AK13" s="8" t="n"/>
      <c r="AL13" s="21">
        <f>AP13-AO13</f>
        <v/>
      </c>
      <c r="AM13" s="22">
        <f>AP13/AO13-1</f>
        <v/>
      </c>
      <c r="AO13" s="44">
        <f>IF($A$1=$B$1,B13,IF($A$1=$E$1,E13,IF($A$1=$H$1,H13,IF($A$1=$K$1,K13,IF($A$1=$N$1,N13,IF($A$1=$Q$1,Q13,IF($A$1=$T$1,T13,IF($A$1=$W$1,W13,IF($A$1=$Z$1,Z13,IF($A$1=$AC$1,AC13,IF($A$1=$AF$1,AF13,IF($A$1=$AI$1,AI13))))))))))))</f>
        <v/>
      </c>
      <c r="AP13" s="44">
        <f>IF($A$1=$B$1,C13,IF($A$1=$E$1,F13,IF($A$1=$H$1,I13,IF($A$1=$K$1,L13,IF($A$1=$N$1,O13,IF($A$1=$Q$1,R13,IF($A$1=$T$1,U13,IF($A$1=$W$1,X13,IF($A$1=$Z$1,AA13,IF($A$1=$AC$1,AD13,IF($A$1=$AF$1,AG13,IF($A$1=$AI$1,AJ13))))))))))))</f>
        <v/>
      </c>
      <c r="AQ13" s="9" t="n"/>
    </row>
    <row r="14" ht="15.5" customHeight="1">
      <c r="A14" s="26" t="inlineStr">
        <is>
          <t>Jantaş</t>
        </is>
      </c>
      <c r="B14" s="7">
        <f>'A-TRY'!B14</f>
        <v/>
      </c>
      <c r="C14" s="14">
        <f>'A-TRY'!C14</f>
        <v/>
      </c>
      <c r="D14" s="72">
        <f>+(C14/B14)-1</f>
        <v/>
      </c>
      <c r="E14" s="7">
        <f>B14+'A-TRY'!E14</f>
        <v/>
      </c>
      <c r="F14" s="14">
        <f>C14+'A-TRY'!F14</f>
        <v/>
      </c>
      <c r="G14" s="72">
        <f>+(F14/E14)-1</f>
        <v/>
      </c>
      <c r="H14" s="7">
        <f>E14+'A-TRY'!H14</f>
        <v/>
      </c>
      <c r="I14" s="14">
        <f>F14+'A-TRY'!I14</f>
        <v/>
      </c>
      <c r="J14" s="7" t="n"/>
      <c r="K14" s="7">
        <f>H14+'A-TRY'!K14</f>
        <v/>
      </c>
      <c r="L14" s="14">
        <f>I14+'A-TRY'!L14</f>
        <v/>
      </c>
      <c r="M14" s="76" t="n"/>
      <c r="N14" s="7">
        <f>K14+'A-TRY'!N14</f>
        <v/>
      </c>
      <c r="O14" s="14">
        <f>L14+'A-TRY'!O14</f>
        <v/>
      </c>
      <c r="P14" s="7" t="n"/>
      <c r="Q14" s="7">
        <f>N14+'A-TRY'!Q14</f>
        <v/>
      </c>
      <c r="R14" s="14">
        <f>O14+'A-TRY'!R14</f>
        <v/>
      </c>
      <c r="S14" s="5" t="n"/>
      <c r="T14" s="7">
        <f>Q14+'A-TRY'!T14</f>
        <v/>
      </c>
      <c r="U14" s="14">
        <f>R14+'A-TRY'!U14</f>
        <v/>
      </c>
      <c r="V14" s="7" t="n"/>
      <c r="W14" s="7">
        <f>T14+'A-TRY'!W14</f>
        <v/>
      </c>
      <c r="X14" s="14">
        <f>U14+'A-TRY'!X14</f>
        <v/>
      </c>
      <c r="Y14" s="7" t="n"/>
      <c r="Z14" s="7">
        <f>W14+'A-TRY'!Z14</f>
        <v/>
      </c>
      <c r="AA14" s="14">
        <f>X14+'A-TRY'!AA14</f>
        <v/>
      </c>
      <c r="AB14" s="7" t="n"/>
      <c r="AC14" s="7">
        <f>Z14+'A-TRY'!AC14</f>
        <v/>
      </c>
      <c r="AD14" s="14">
        <f>AA14+'A-TRY'!AD14</f>
        <v/>
      </c>
      <c r="AE14" s="7" t="n"/>
      <c r="AF14" s="7">
        <f>AC14+'A-TRY'!AF14</f>
        <v/>
      </c>
      <c r="AG14" s="14">
        <f>AD14+'A-TRY'!AG14</f>
        <v/>
      </c>
      <c r="AH14" s="7" t="n"/>
      <c r="AI14" s="7">
        <f>AF14+'A-TRY'!AI14</f>
        <v/>
      </c>
      <c r="AJ14" s="14">
        <f>AG14+'A-TRY'!AJ14</f>
        <v/>
      </c>
      <c r="AK14" s="7" t="n"/>
      <c r="AL14" s="21">
        <f>AP14-AO14</f>
        <v/>
      </c>
      <c r="AM14" s="22">
        <f>AP14/AO14-1</f>
        <v/>
      </c>
      <c r="AO14" s="44">
        <f>IF($A$1=$B$1,B14,IF($A$1=$E$1,E14,IF($A$1=$H$1,H14,IF($A$1=$K$1,K14,IF($A$1=$N$1,N14,IF($A$1=$Q$1,Q14,IF($A$1=$T$1,T14,IF($A$1=$W$1,W14,IF($A$1=$Z$1,Z14,IF($A$1=$AC$1,AC14,IF($A$1=$AF$1,AF14,IF($A$1=$AI$1,AI14))))))))))))</f>
        <v/>
      </c>
      <c r="AP14" s="44">
        <f>IF($A$1=$B$1,C14,IF($A$1=$E$1,F14,IF($A$1=$H$1,I14,IF($A$1=$K$1,L14,IF($A$1=$N$1,O14,IF($A$1=$Q$1,R14,IF($A$1=$T$1,U14,IF($A$1=$W$1,X14,IF($A$1=$Z$1,AA14,IF($A$1=$AC$1,AD14,IF($A$1=$AF$1,AG14,IF($A$1=$AI$1,AJ14))))))))))))</f>
        <v/>
      </c>
    </row>
    <row r="15" ht="15.5" customHeight="1">
      <c r="A15" s="26" t="inlineStr">
        <is>
          <t>Çelik</t>
        </is>
      </c>
      <c r="B15" s="7">
        <f>'A-TRY'!B15</f>
        <v/>
      </c>
      <c r="C15" s="14">
        <f>'A-TRY'!C15</f>
        <v/>
      </c>
      <c r="D15" s="72">
        <f>+(C15/B15)-1</f>
        <v/>
      </c>
      <c r="E15" s="7">
        <f>B15+'A-TRY'!E15</f>
        <v/>
      </c>
      <c r="F15" s="14">
        <f>C15+'A-TRY'!F15</f>
        <v/>
      </c>
      <c r="G15" s="72">
        <f>+(F15/E15)-1</f>
        <v/>
      </c>
      <c r="H15" s="7">
        <f>E15+'A-TRY'!H15</f>
        <v/>
      </c>
      <c r="I15" s="14">
        <f>F15+'A-TRY'!I15</f>
        <v/>
      </c>
      <c r="J15" s="7" t="n"/>
      <c r="K15" s="7">
        <f>H15+'A-TRY'!K15</f>
        <v/>
      </c>
      <c r="L15" s="14">
        <f>I15+'A-TRY'!L15</f>
        <v/>
      </c>
      <c r="M15" s="76" t="n"/>
      <c r="N15" s="7">
        <f>K15+'A-TRY'!N15</f>
        <v/>
      </c>
      <c r="O15" s="14">
        <f>L15+'A-TRY'!O15</f>
        <v/>
      </c>
      <c r="P15" s="7" t="n"/>
      <c r="Q15" s="7">
        <f>N15+'A-TRY'!Q15</f>
        <v/>
      </c>
      <c r="R15" s="14">
        <f>O15+'A-TRY'!R15</f>
        <v/>
      </c>
      <c r="S15" s="5" t="n"/>
      <c r="T15" s="7">
        <f>Q15+'A-TRY'!T15</f>
        <v/>
      </c>
      <c r="U15" s="14">
        <f>R15+'A-TRY'!U15</f>
        <v/>
      </c>
      <c r="V15" s="7" t="n"/>
      <c r="W15" s="7">
        <f>T15+'A-TRY'!W15</f>
        <v/>
      </c>
      <c r="X15" s="14">
        <f>U15+'A-TRY'!X15</f>
        <v/>
      </c>
      <c r="Y15" s="7" t="n"/>
      <c r="Z15" s="7">
        <f>W15+'A-TRY'!Z15</f>
        <v/>
      </c>
      <c r="AA15" s="14">
        <f>X15+'A-TRY'!AA15</f>
        <v/>
      </c>
      <c r="AB15" s="7" t="n"/>
      <c r="AC15" s="7">
        <f>Z15+'A-TRY'!AC15</f>
        <v/>
      </c>
      <c r="AD15" s="14">
        <f>AA15+'A-TRY'!AD15</f>
        <v/>
      </c>
      <c r="AE15" s="7" t="n"/>
      <c r="AF15" s="7">
        <f>AC15+'A-TRY'!AF15</f>
        <v/>
      </c>
      <c r="AG15" s="14">
        <f>AD15+'A-TRY'!AG15</f>
        <v/>
      </c>
      <c r="AH15" s="7" t="n"/>
      <c r="AI15" s="7">
        <f>AF15+'A-TRY'!AI15</f>
        <v/>
      </c>
      <c r="AJ15" s="14">
        <f>AG15+'A-TRY'!AJ15</f>
        <v/>
      </c>
      <c r="AK15" s="7" t="n"/>
      <c r="AL15" s="21">
        <f>AP15-AO15</f>
        <v/>
      </c>
      <c r="AM15" s="22">
        <f>AP15/AO15-1</f>
        <v/>
      </c>
      <c r="AO15" s="44">
        <f>IF($A$1=$B$1,B15,IF($A$1=$E$1,E15,IF($A$1=$H$1,H15,IF($A$1=$K$1,K15,IF($A$1=$N$1,N15,IF($A$1=$Q$1,Q15,IF($A$1=$T$1,T15,IF($A$1=$W$1,W15,IF($A$1=$Z$1,Z15,IF($A$1=$AC$1,AC15,IF($A$1=$AF$1,AF15,IF($A$1=$AI$1,AI15))))))))))))</f>
        <v/>
      </c>
      <c r="AP15" s="44">
        <f>IF($A$1=$B$1,C15,IF($A$1=$E$1,F15,IF($A$1=$H$1,I15,IF($A$1=$K$1,L15,IF($A$1=$N$1,O15,IF($A$1=$Q$1,R15,IF($A$1=$T$1,U15,IF($A$1=$W$1,X15,IF($A$1=$Z$1,AA15,IF($A$1=$AC$1,AD15,IF($A$1=$AF$1,AG15,IF($A$1=$AI$1,AJ15))))))))))))</f>
        <v/>
      </c>
    </row>
    <row r="16" ht="15.5" customHeight="1">
      <c r="A16" s="26" t="inlineStr">
        <is>
          <t>Alüminyum</t>
        </is>
      </c>
      <c r="B16" s="7">
        <f>'A-TRY'!B16</f>
        <v/>
      </c>
      <c r="C16" s="14">
        <f>'A-TRY'!C16</f>
        <v/>
      </c>
      <c r="D16" s="72">
        <f>+(C16/B16)-1</f>
        <v/>
      </c>
      <c r="E16" s="7">
        <f>B16+'A-TRY'!E16</f>
        <v/>
      </c>
      <c r="F16" s="14">
        <f>C16+'A-TRY'!F16</f>
        <v/>
      </c>
      <c r="G16" s="72">
        <f>+(F16/E16)-1</f>
        <v/>
      </c>
      <c r="H16" s="7">
        <f>E16+'A-TRY'!H16</f>
        <v/>
      </c>
      <c r="I16" s="14">
        <f>F16+'A-TRY'!I16</f>
        <v/>
      </c>
      <c r="J16" s="7" t="n"/>
      <c r="K16" s="7">
        <f>H16+'A-TRY'!K16</f>
        <v/>
      </c>
      <c r="L16" s="14">
        <f>I16+'A-TRY'!L16</f>
        <v/>
      </c>
      <c r="M16" s="76" t="n"/>
      <c r="N16" s="7">
        <f>K16+'A-TRY'!N16</f>
        <v/>
      </c>
      <c r="O16" s="14">
        <f>L16+'A-TRY'!O16</f>
        <v/>
      </c>
      <c r="P16" s="7" t="n"/>
      <c r="Q16" s="7">
        <f>N16+'A-TRY'!Q16</f>
        <v/>
      </c>
      <c r="R16" s="14">
        <f>O16+'A-TRY'!R16</f>
        <v/>
      </c>
      <c r="S16" s="5" t="n"/>
      <c r="T16" s="7">
        <f>Q16+'A-TRY'!T16</f>
        <v/>
      </c>
      <c r="U16" s="14">
        <f>R16+'A-TRY'!U16</f>
        <v/>
      </c>
      <c r="V16" s="7" t="n"/>
      <c r="W16" s="7">
        <f>T16+'A-TRY'!W16</f>
        <v/>
      </c>
      <c r="X16" s="14">
        <f>U16+'A-TRY'!X16</f>
        <v/>
      </c>
      <c r="Y16" s="7" t="n"/>
      <c r="Z16" s="7">
        <f>W16+'A-TRY'!Z16</f>
        <v/>
      </c>
      <c r="AA16" s="14">
        <f>X16+'A-TRY'!AA16</f>
        <v/>
      </c>
      <c r="AB16" s="7" t="n"/>
      <c r="AC16" s="7">
        <f>Z16+'A-TRY'!AC16</f>
        <v/>
      </c>
      <c r="AD16" s="14">
        <f>AA16+'A-TRY'!AD16</f>
        <v/>
      </c>
      <c r="AE16" s="7" t="n"/>
      <c r="AF16" s="7">
        <f>AC16+'A-TRY'!AF16</f>
        <v/>
      </c>
      <c r="AG16" s="14">
        <f>AD16+'A-TRY'!AG16</f>
        <v/>
      </c>
      <c r="AH16" s="7" t="n"/>
      <c r="AI16" s="7">
        <f>AF16+'A-TRY'!AI16</f>
        <v/>
      </c>
      <c r="AJ16" s="14">
        <f>AG16+'A-TRY'!AJ16</f>
        <v/>
      </c>
      <c r="AK16" s="7" t="n"/>
      <c r="AL16" s="21">
        <f>AP16-AO16</f>
        <v/>
      </c>
      <c r="AM16" s="22">
        <f>AP16/AO16-1</f>
        <v/>
      </c>
      <c r="AO16" s="44">
        <f>IF($A$1=$B$1,B16,IF($A$1=$E$1,E16,IF($A$1=$H$1,H16,IF($A$1=$K$1,K16,IF($A$1=$N$1,N16,IF($A$1=$Q$1,Q16,IF($A$1=$T$1,T16,IF($A$1=$W$1,W16,IF($A$1=$Z$1,Z16,IF($A$1=$AC$1,AC16,IF($A$1=$AF$1,AF16,IF($A$1=$AI$1,AI16))))))))))))</f>
        <v/>
      </c>
      <c r="AP16" s="44">
        <f>IF($A$1=$B$1,C16,IF($A$1=$E$1,F16,IF($A$1=$H$1,I16,IF($A$1=$K$1,L16,IF($A$1=$N$1,O16,IF($A$1=$Q$1,R16,IF($A$1=$T$1,U16,IF($A$1=$W$1,X16,IF($A$1=$Z$1,AA16,IF($A$1=$AC$1,AD16,IF($A$1=$AF$1,AG16,IF($A$1=$AI$1,AJ16))))))))))))</f>
        <v/>
      </c>
    </row>
    <row r="17" ht="15.5" customHeight="1">
      <c r="A17" s="2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21" t="n"/>
      <c r="AM17" s="22" t="n"/>
      <c r="AO17" s="44">
        <f>IF($A$1=$B$1,B17,IF($A$1=$E$1,E17,IF($A$1=$H$1,H17,IF($A$1=$K$1,K17,IF($A$1=$N$1,N17,IF($A$1=$Q$1,Q17,IF($A$1=$T$1,T17,IF($A$1=$W$1,W17,IF($A$1=$Z$1,Z17,IF($A$1=$AC$1,AC17,IF($A$1=$AF$1,AF17,IF($A$1=$AI$1,AI17))))))))))))</f>
        <v/>
      </c>
      <c r="AP17" s="44">
        <f>IF($A$1=$B$1,C17,IF($A$1=$E$1,F17,IF($A$1=$H$1,I17,IF($A$1=$K$1,L17,IF($A$1=$N$1,O17,IF($A$1=$Q$1,R17,IF($A$1=$T$1,U17,IF($A$1=$W$1,X17,IF($A$1=$Z$1,AA17,IF($A$1=$AC$1,AD17,IF($A$1=$AF$1,AG17,IF($A$1=$AI$1,AJ17))))))))))))</f>
        <v/>
      </c>
    </row>
    <row r="18" ht="15.5" customHeight="1">
      <c r="A18" s="2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21" t="n"/>
      <c r="AM18" s="22" t="n"/>
      <c r="AO18" s="44">
        <f>IF($A$1=$B$1,B18,IF($A$1=$E$1,E18,IF($A$1=$H$1,H18,IF($A$1=$K$1,K18,IF($A$1=$N$1,N18,IF($A$1=$Q$1,Q18,IF($A$1=$T$1,T18,IF($A$1=$W$1,W18,IF($A$1=$Z$1,Z18,IF($A$1=$AC$1,AC18,IF($A$1=$AF$1,AF18,IF($A$1=$AI$1,AI18))))))))))))</f>
        <v/>
      </c>
      <c r="AP18" s="44">
        <f>IF($A$1=$B$1,C18,IF($A$1=$E$1,F18,IF($A$1=$H$1,I18,IF($A$1=$K$1,L18,IF($A$1=$N$1,O18,IF($A$1=$Q$1,R18,IF($A$1=$T$1,U18,IF($A$1=$W$1,X18,IF($A$1=$Z$1,AA18,IF($A$1=$AC$1,AD18,IF($A$1=$AF$1,AG18,IF($A$1=$AI$1,AJ18))))))))))))</f>
        <v/>
      </c>
    </row>
    <row r="19" ht="17" customFormat="1" customHeight="1" s="51">
      <c r="A19" s="47" t="inlineStr">
        <is>
          <t>SHARE OF SALES (%)</t>
        </is>
      </c>
      <c r="B19" s="411" t="n"/>
      <c r="C19" s="412" t="n"/>
      <c r="D19" s="411" t="n"/>
      <c r="E19" s="411" t="n"/>
      <c r="F19" s="412" t="n"/>
      <c r="G19" s="411" t="n"/>
      <c r="H19" s="411" t="n"/>
      <c r="I19" s="412" t="n"/>
      <c r="J19" s="411" t="n"/>
      <c r="K19" s="411" t="n"/>
      <c r="L19" s="412" t="n"/>
      <c r="M19" s="411" t="n"/>
      <c r="N19" s="411" t="n"/>
      <c r="O19" s="412" t="n"/>
      <c r="P19" s="411" t="n"/>
      <c r="Q19" s="411" t="n"/>
      <c r="R19" s="412" t="n"/>
      <c r="S19" s="411" t="n"/>
      <c r="T19" s="411" t="n"/>
      <c r="U19" s="412" t="n"/>
      <c r="V19" s="411" t="n"/>
      <c r="W19" s="411" t="n"/>
      <c r="X19" s="412" t="n"/>
      <c r="Y19" s="411" t="n"/>
      <c r="Z19" s="411" t="n"/>
      <c r="AA19" s="412" t="n"/>
      <c r="AB19" s="411" t="n"/>
      <c r="AC19" s="411" t="n"/>
      <c r="AD19" s="412" t="n"/>
      <c r="AE19" s="411" t="n"/>
      <c r="AF19" s="411" t="n"/>
      <c r="AG19" s="412" t="n"/>
      <c r="AH19" s="411" t="n"/>
      <c r="AI19" s="411" t="n"/>
      <c r="AJ19" s="412" t="n"/>
      <c r="AK19" s="411" t="n"/>
      <c r="AL19" s="411" t="n"/>
      <c r="AM19" s="50" t="n"/>
    </row>
    <row r="20" ht="15.5" customHeight="1">
      <c r="A20" s="26" t="inlineStr">
        <is>
          <t xml:space="preserve">İnci Holding </t>
        </is>
      </c>
      <c r="B20" s="56">
        <f>B9/B6</f>
        <v/>
      </c>
      <c r="C20" s="56">
        <f>C9/C6</f>
        <v/>
      </c>
      <c r="D20" s="14" t="n"/>
      <c r="E20" s="56">
        <f>E9/E6</f>
        <v/>
      </c>
      <c r="F20" s="56">
        <f>F9/F6</f>
        <v/>
      </c>
      <c r="G20" s="56" t="n"/>
      <c r="H20" s="56">
        <f>H9/H6</f>
        <v/>
      </c>
      <c r="I20" s="56">
        <f>I9/I6</f>
        <v/>
      </c>
      <c r="J20" s="56" t="n"/>
      <c r="K20" s="56">
        <f>K9/K6</f>
        <v/>
      </c>
      <c r="L20" s="56">
        <f>L9/L6</f>
        <v/>
      </c>
      <c r="M20" s="56" t="n"/>
      <c r="N20" s="56">
        <f>N9/N6</f>
        <v/>
      </c>
      <c r="O20" s="56">
        <f>O9/O6</f>
        <v/>
      </c>
      <c r="P20" s="56" t="n"/>
      <c r="Q20" s="56">
        <f>Q9/Q6</f>
        <v/>
      </c>
      <c r="R20" s="56">
        <f>R9/R6</f>
        <v/>
      </c>
      <c r="S20" s="56" t="n"/>
      <c r="T20" s="56">
        <f>T9/T6</f>
        <v/>
      </c>
      <c r="U20" s="56">
        <f>U9/U6</f>
        <v/>
      </c>
      <c r="V20" s="56" t="n"/>
      <c r="W20" s="56">
        <f>W9/W6</f>
        <v/>
      </c>
      <c r="X20" s="56">
        <f>X9/X6</f>
        <v/>
      </c>
      <c r="Y20" s="56" t="n"/>
      <c r="Z20" s="56">
        <f>Z9/Z6</f>
        <v/>
      </c>
      <c r="AA20" s="56">
        <f>AA9/AA6</f>
        <v/>
      </c>
      <c r="AB20" s="56" t="n"/>
      <c r="AC20" s="56">
        <f>AC9/AC6</f>
        <v/>
      </c>
      <c r="AD20" s="56">
        <f>AD9/AD6</f>
        <v/>
      </c>
      <c r="AE20" s="56" t="n"/>
      <c r="AF20" s="56">
        <f>AF9/AF6</f>
        <v/>
      </c>
      <c r="AG20" s="56">
        <f>AG9/AG6</f>
        <v/>
      </c>
      <c r="AH20" s="56" t="n"/>
      <c r="AI20" s="56">
        <f>AI9/AI6</f>
        <v/>
      </c>
      <c r="AJ20" s="56">
        <f>AJ9/AJ6</f>
        <v/>
      </c>
      <c r="AK20" s="56" t="n"/>
      <c r="AL20" s="56">
        <f>AP20-AO20</f>
        <v/>
      </c>
      <c r="AM20" s="56" t="n"/>
      <c r="AO20" s="44">
        <f>IF($A$1=$B$1,B20,IF($A$1=$E$1,E20,IF($A$1=$H$1,H20,IF($A$1=$K$1,K20,IF($A$1=$N$1,N20,IF($A$1=$Q$1,Q20,IF($A$1=$T$1,T20,IF($A$1=$W$1,W20,IF($A$1=$Z$1,Z20,IF($A$1=$AC$1,AC20,IF($A$1=$AF$1,AF20,IF($A$1=$AI$1,AI20))))))))))))</f>
        <v/>
      </c>
      <c r="AP20" s="44">
        <f>IF($A$1=$B$1,C20,IF($A$1=$E$1,F20,IF($A$1=$H$1,I20,IF($A$1=$K$1,L20,IF($A$1=$N$1,O20,IF($A$1=$Q$1,R20,IF($A$1=$T$1,U20,IF($A$1=$W$1,X20,IF($A$1=$Z$1,AA20,IF($A$1=$AC$1,AD20,IF($A$1=$AF$1,AG20,IF($A$1=$AI$1,AJ20))))))))))))</f>
        <v/>
      </c>
    </row>
    <row r="21" ht="15.5" customHeight="1">
      <c r="A21" s="26" t="inlineStr">
        <is>
          <t xml:space="preserve">ISM </t>
        </is>
      </c>
      <c r="B21" s="56">
        <f>B10/B6</f>
        <v/>
      </c>
      <c r="C21" s="56">
        <f>C10/C6</f>
        <v/>
      </c>
      <c r="D21" s="7" t="n"/>
      <c r="E21" s="56">
        <f>E10/E6</f>
        <v/>
      </c>
      <c r="F21" s="56">
        <f>F10/F6</f>
        <v/>
      </c>
      <c r="G21" s="56" t="n"/>
      <c r="H21" s="56">
        <f>H10/H6</f>
        <v/>
      </c>
      <c r="I21" s="56">
        <f>I10/I6</f>
        <v/>
      </c>
      <c r="J21" s="56" t="n"/>
      <c r="K21" s="56">
        <f>K10/K6</f>
        <v/>
      </c>
      <c r="L21" s="56">
        <f>L10/L6</f>
        <v/>
      </c>
      <c r="M21" s="56" t="n"/>
      <c r="N21" s="56">
        <f>N10/N6</f>
        <v/>
      </c>
      <c r="O21" s="56">
        <f>O10/O6</f>
        <v/>
      </c>
      <c r="P21" s="56" t="n"/>
      <c r="Q21" s="56">
        <f>Q10/Q6</f>
        <v/>
      </c>
      <c r="R21" s="56">
        <f>R10/R6</f>
        <v/>
      </c>
      <c r="S21" s="56" t="n"/>
      <c r="T21" s="56">
        <f>T10/T6</f>
        <v/>
      </c>
      <c r="U21" s="56">
        <f>U10/U6</f>
        <v/>
      </c>
      <c r="V21" s="56" t="n"/>
      <c r="W21" s="56">
        <f>W10/W6</f>
        <v/>
      </c>
      <c r="X21" s="56">
        <f>X10/X6</f>
        <v/>
      </c>
      <c r="Y21" s="56" t="n"/>
      <c r="Z21" s="56">
        <f>Z10/Z6</f>
        <v/>
      </c>
      <c r="AA21" s="56">
        <f>AA10/AA6</f>
        <v/>
      </c>
      <c r="AB21" s="56" t="n"/>
      <c r="AC21" s="56">
        <f>AC10/AC6</f>
        <v/>
      </c>
      <c r="AD21" s="56">
        <f>AD10/AD6</f>
        <v/>
      </c>
      <c r="AE21" s="56" t="n"/>
      <c r="AF21" s="56">
        <f>AF10/AF6</f>
        <v/>
      </c>
      <c r="AG21" s="56">
        <f>AG10/AG6</f>
        <v/>
      </c>
      <c r="AH21" s="56" t="n"/>
      <c r="AI21" s="56">
        <f>AI10/AI6</f>
        <v/>
      </c>
      <c r="AJ21" s="56">
        <f>AJ10/AJ6</f>
        <v/>
      </c>
      <c r="AK21" s="56" t="n"/>
      <c r="AL21" s="56">
        <f>AP21-AO21</f>
        <v/>
      </c>
      <c r="AM21" s="56" t="n"/>
      <c r="AO21" s="44">
        <f>IF($A$1=$B$1,B21,IF($A$1=$E$1,E21,IF($A$1=$H$1,H21,IF($A$1=$K$1,K21,IF($A$1=$N$1,N21,IF($A$1=$Q$1,Q21,IF($A$1=$T$1,T21,IF($A$1=$W$1,W21,IF($A$1=$Z$1,Z21,IF($A$1=$AC$1,AC21,IF($A$1=$AF$1,AF21,IF($A$1=$AI$1,AI21))))))))))))</f>
        <v/>
      </c>
      <c r="AP21" s="44">
        <f>IF($A$1=$B$1,C21,IF($A$1=$E$1,F21,IF($A$1=$H$1,I21,IF($A$1=$K$1,L21,IF($A$1=$N$1,O21,IF($A$1=$Q$1,R21,IF($A$1=$T$1,U21,IF($A$1=$W$1,X21,IF($A$1=$Z$1,AA21,IF($A$1=$AC$1,AD21,IF($A$1=$AF$1,AG21,IF($A$1=$AI$1,AJ21))))))))))))</f>
        <v/>
      </c>
    </row>
    <row r="22" ht="15.5" customHeight="1">
      <c r="A22" s="26" t="inlineStr">
        <is>
          <t>İncitaş</t>
        </is>
      </c>
      <c r="B22" s="56">
        <f>B11/B6</f>
        <v/>
      </c>
      <c r="C22" s="56">
        <f>C11/C6</f>
        <v/>
      </c>
      <c r="D22" s="7" t="n"/>
      <c r="E22" s="56">
        <f>E11/E6</f>
        <v/>
      </c>
      <c r="F22" s="56">
        <f>F11/F6</f>
        <v/>
      </c>
      <c r="G22" s="56" t="n"/>
      <c r="H22" s="56">
        <f>H11/H6</f>
        <v/>
      </c>
      <c r="I22" s="56">
        <f>I11/I6</f>
        <v/>
      </c>
      <c r="J22" s="56" t="n"/>
      <c r="K22" s="56">
        <f>K11/K6</f>
        <v/>
      </c>
      <c r="L22" s="56">
        <f>L11/L6</f>
        <v/>
      </c>
      <c r="M22" s="56" t="n"/>
      <c r="N22" s="56">
        <f>N11/N6</f>
        <v/>
      </c>
      <c r="O22" s="56">
        <f>O11/O6</f>
        <v/>
      </c>
      <c r="P22" s="56" t="n"/>
      <c r="Q22" s="56">
        <f>Q11/Q6</f>
        <v/>
      </c>
      <c r="R22" s="56">
        <f>R11/R6</f>
        <v/>
      </c>
      <c r="S22" s="56" t="n"/>
      <c r="T22" s="56">
        <f>T11/T6</f>
        <v/>
      </c>
      <c r="U22" s="56">
        <f>U11/U6</f>
        <v/>
      </c>
      <c r="V22" s="56" t="n"/>
      <c r="W22" s="56">
        <f>W11/W6</f>
        <v/>
      </c>
      <c r="X22" s="56">
        <f>X11/X6</f>
        <v/>
      </c>
      <c r="Y22" s="56" t="n"/>
      <c r="Z22" s="56">
        <f>Z11/Z6</f>
        <v/>
      </c>
      <c r="AA22" s="56">
        <f>AA11/AA6</f>
        <v/>
      </c>
      <c r="AB22" s="56" t="n"/>
      <c r="AC22" s="56">
        <f>AC11/AC6</f>
        <v/>
      </c>
      <c r="AD22" s="56">
        <f>AD11/AD6</f>
        <v/>
      </c>
      <c r="AE22" s="56" t="n"/>
      <c r="AF22" s="56">
        <f>AF11/AF6</f>
        <v/>
      </c>
      <c r="AG22" s="56">
        <f>AG11/AG6</f>
        <v/>
      </c>
      <c r="AH22" s="56" t="n"/>
      <c r="AI22" s="56">
        <f>AI11/AI6</f>
        <v/>
      </c>
      <c r="AJ22" s="56">
        <f>AJ11/AJ6</f>
        <v/>
      </c>
      <c r="AK22" s="56" t="n"/>
      <c r="AL22" s="56">
        <f>AP22-AO22</f>
        <v/>
      </c>
      <c r="AM22" s="56" t="n"/>
      <c r="AO22" s="44">
        <f>IF($A$1=$B$1,B22,IF($A$1=$E$1,E22,IF($A$1=$H$1,H22,IF($A$1=$K$1,K22,IF($A$1=$N$1,N22,IF($A$1=$Q$1,Q22,IF($A$1=$T$1,T22,IF($A$1=$W$1,W22,IF($A$1=$Z$1,Z22,IF($A$1=$AC$1,AC22,IF($A$1=$AF$1,AF22,IF($A$1=$AI$1,AI22))))))))))))</f>
        <v/>
      </c>
      <c r="AP22" s="44">
        <f>IF($A$1=$B$1,C22,IF($A$1=$E$1,F22,IF($A$1=$H$1,I22,IF($A$1=$K$1,L22,IF($A$1=$N$1,O22,IF($A$1=$Q$1,R22,IF($A$1=$T$1,U22,IF($A$1=$W$1,X22,IF($A$1=$Z$1,AA22,IF($A$1=$AC$1,AD22,IF($A$1=$AF$1,AG22,IF($A$1=$AI$1,AJ22))))))))))))</f>
        <v/>
      </c>
    </row>
    <row r="23" ht="15.5" customHeight="1">
      <c r="A23" s="26" t="inlineStr">
        <is>
          <t>İnci GS Yuasa</t>
        </is>
      </c>
      <c r="B23" s="56">
        <f>B12*0.5/B6</f>
        <v/>
      </c>
      <c r="C23" s="56">
        <f>C12*0.5/C6</f>
        <v/>
      </c>
      <c r="D23" s="7" t="n"/>
      <c r="E23" s="56">
        <f>E12*0.5/E6</f>
        <v/>
      </c>
      <c r="F23" s="56">
        <f>F12*0.5/F6</f>
        <v/>
      </c>
      <c r="G23" s="56" t="n"/>
      <c r="H23" s="56">
        <f>H12*0.5/H6</f>
        <v/>
      </c>
      <c r="I23" s="56">
        <f>I12*0.5/I6</f>
        <v/>
      </c>
      <c r="J23" s="56" t="n"/>
      <c r="K23" s="56">
        <f>K12*0.5/K6</f>
        <v/>
      </c>
      <c r="L23" s="56">
        <f>L12*0.5/L6</f>
        <v/>
      </c>
      <c r="M23" s="56" t="n"/>
      <c r="N23" s="56">
        <f>N12*0.5/N6</f>
        <v/>
      </c>
      <c r="O23" s="56">
        <f>O12*0.5/O6</f>
        <v/>
      </c>
      <c r="P23" s="56" t="n"/>
      <c r="Q23" s="56">
        <f>Q12*0.5/Q6</f>
        <v/>
      </c>
      <c r="R23" s="56">
        <f>R12*0.5/R6</f>
        <v/>
      </c>
      <c r="S23" s="56" t="n"/>
      <c r="T23" s="56">
        <f>T12*0.5/T6</f>
        <v/>
      </c>
      <c r="U23" s="56">
        <f>U12*0.5/U6</f>
        <v/>
      </c>
      <c r="V23" s="56" t="n"/>
      <c r="W23" s="56">
        <f>W12*0.5/W6</f>
        <v/>
      </c>
      <c r="X23" s="56">
        <f>X12*0.5/X6</f>
        <v/>
      </c>
      <c r="Y23" s="56" t="n"/>
      <c r="Z23" s="56">
        <f>Z12*0.5/Z6</f>
        <v/>
      </c>
      <c r="AA23" s="56">
        <f>AA12*0.5/AA6</f>
        <v/>
      </c>
      <c r="AB23" s="56" t="n"/>
      <c r="AC23" s="56">
        <f>AC12*0.5/AC6</f>
        <v/>
      </c>
      <c r="AD23" s="56">
        <f>AD12*0.5/AD6</f>
        <v/>
      </c>
      <c r="AE23" s="56" t="n"/>
      <c r="AF23" s="56">
        <f>AF12*0.5/AF6</f>
        <v/>
      </c>
      <c r="AG23" s="56">
        <f>AG12*0.5/AG6</f>
        <v/>
      </c>
      <c r="AH23" s="56" t="n"/>
      <c r="AI23" s="56">
        <f>AI12*0.5/AI6</f>
        <v/>
      </c>
      <c r="AJ23" s="56">
        <f>AJ12*0.5/AJ6</f>
        <v/>
      </c>
      <c r="AK23" s="56" t="n"/>
      <c r="AL23" s="56">
        <f>AP23-AO23</f>
        <v/>
      </c>
      <c r="AM23" s="56" t="n"/>
      <c r="AO23" s="44">
        <f>IF($A$1=$B$1,B23,IF($A$1=$E$1,E23,IF($A$1=$H$1,H23,IF($A$1=$K$1,K23,IF($A$1=$N$1,N23,IF($A$1=$Q$1,Q23,IF($A$1=$T$1,T23,IF($A$1=$W$1,W23,IF($A$1=$Z$1,Z23,IF($A$1=$AC$1,AC23,IF($A$1=$AF$1,AF23,IF($A$1=$AI$1,AI23))))))))))))</f>
        <v/>
      </c>
      <c r="AP23" s="44">
        <f>IF($A$1=$B$1,C23,IF($A$1=$E$1,F23,IF($A$1=$H$1,I23,IF($A$1=$K$1,L23,IF($A$1=$N$1,O23,IF($A$1=$Q$1,R23,IF($A$1=$T$1,U23,IF($A$1=$W$1,X23,IF($A$1=$Z$1,AA23,IF($A$1=$AC$1,AD23,IF($A$1=$AF$1,AG23,IF($A$1=$AI$1,AJ23))))))))))))</f>
        <v/>
      </c>
    </row>
    <row r="24" ht="15.5" customFormat="1" customHeight="1" s="1">
      <c r="A24" s="26" t="inlineStr">
        <is>
          <t>Yusen İnci Loj.</t>
        </is>
      </c>
      <c r="B24" s="56">
        <f>B13*0.4/B6</f>
        <v/>
      </c>
      <c r="C24" s="56">
        <f>C13*0.4/C6</f>
        <v/>
      </c>
      <c r="D24" s="8" t="n"/>
      <c r="E24" s="56">
        <f>E13*0.4/E6</f>
        <v/>
      </c>
      <c r="F24" s="56">
        <f>F13*0.4/F6</f>
        <v/>
      </c>
      <c r="G24" s="57" t="n"/>
      <c r="H24" s="56">
        <f>H13*0.4/H6</f>
        <v/>
      </c>
      <c r="I24" s="56">
        <f>I13*0.4/I6</f>
        <v/>
      </c>
      <c r="J24" s="57" t="n"/>
      <c r="K24" s="56">
        <f>K13*0.4/K6</f>
        <v/>
      </c>
      <c r="L24" s="56">
        <f>L13*0.4/L6</f>
        <v/>
      </c>
      <c r="M24" s="57" t="n"/>
      <c r="N24" s="56">
        <f>N13*0.4/N6</f>
        <v/>
      </c>
      <c r="O24" s="56">
        <f>O13*0.4/O6</f>
        <v/>
      </c>
      <c r="P24" s="57" t="n"/>
      <c r="Q24" s="56">
        <f>Q13*0.4/Q6</f>
        <v/>
      </c>
      <c r="R24" s="56">
        <f>R13*0.4/R6</f>
        <v/>
      </c>
      <c r="S24" s="57" t="n"/>
      <c r="T24" s="56">
        <f>T13*0.4/T6</f>
        <v/>
      </c>
      <c r="U24" s="56">
        <f>U13*0.4/U6</f>
        <v/>
      </c>
      <c r="V24" s="57" t="n"/>
      <c r="W24" s="56">
        <f>W13*0.4/W6</f>
        <v/>
      </c>
      <c r="X24" s="56">
        <f>X13*0.4/X6</f>
        <v/>
      </c>
      <c r="Y24" s="57" t="n"/>
      <c r="Z24" s="56">
        <f>Z13*0.4/Z6</f>
        <v/>
      </c>
      <c r="AA24" s="56">
        <f>AA13*0.4/AA6</f>
        <v/>
      </c>
      <c r="AB24" s="57" t="n"/>
      <c r="AC24" s="56">
        <f>AC13*0.4/AC6</f>
        <v/>
      </c>
      <c r="AD24" s="56">
        <f>AD13*0.4/AD6</f>
        <v/>
      </c>
      <c r="AE24" s="57" t="n"/>
      <c r="AF24" s="56">
        <f>AF13*0.4/AF6</f>
        <v/>
      </c>
      <c r="AG24" s="56">
        <f>AG13*0.4/AG6</f>
        <v/>
      </c>
      <c r="AH24" s="57" t="n"/>
      <c r="AI24" s="56">
        <f>AI13*0.4/AI6</f>
        <v/>
      </c>
      <c r="AJ24" s="56">
        <f>AJ13*0.4/AJ6</f>
        <v/>
      </c>
      <c r="AK24" s="57" t="n"/>
      <c r="AL24" s="56">
        <f>AP24-AO24</f>
        <v/>
      </c>
      <c r="AM24" s="57" t="n"/>
      <c r="AO24" s="44">
        <f>IF($A$1=$B$1,B24,IF($A$1=$E$1,E24,IF($A$1=$H$1,H24,IF($A$1=$K$1,K24,IF($A$1=$N$1,N24,IF($A$1=$Q$1,Q24,IF($A$1=$T$1,T24,IF($A$1=$W$1,W24,IF($A$1=$Z$1,Z24,IF($A$1=$AC$1,AC24,IF($A$1=$AF$1,AF24,IF($A$1=$AI$1,AI24))))))))))))</f>
        <v/>
      </c>
      <c r="AP24" s="44">
        <f>IF($A$1=$B$1,C24,IF($A$1=$E$1,F24,IF($A$1=$H$1,I24,IF($A$1=$K$1,L24,IF($A$1=$N$1,O24,IF($A$1=$Q$1,R24,IF($A$1=$T$1,U24,IF($A$1=$W$1,X24,IF($A$1=$Z$1,AA24,IF($A$1=$AC$1,AD24,IF($A$1=$AF$1,AG24,IF($A$1=$AI$1,AJ24))))))))))))</f>
        <v/>
      </c>
    </row>
    <row r="25" ht="15.5" customHeight="1">
      <c r="A25" s="26" t="inlineStr">
        <is>
          <t>Jantaş</t>
        </is>
      </c>
      <c r="B25" s="56">
        <f>B14*0.4/B6</f>
        <v/>
      </c>
      <c r="C25" s="56">
        <f>C14*0.4/C6</f>
        <v/>
      </c>
      <c r="D25" s="7" t="n"/>
      <c r="E25" s="56">
        <f>E14*0.4/E6</f>
        <v/>
      </c>
      <c r="F25" s="56">
        <f>F14*0.4/F6</f>
        <v/>
      </c>
      <c r="G25" s="56" t="n"/>
      <c r="H25" s="56">
        <f>H14*0.4/H6</f>
        <v/>
      </c>
      <c r="I25" s="56">
        <f>I14*0.4/I6</f>
        <v/>
      </c>
      <c r="J25" s="56" t="n"/>
      <c r="K25" s="56">
        <f>K14*0.4/K6</f>
        <v/>
      </c>
      <c r="L25" s="56">
        <f>L14*0.4/L6</f>
        <v/>
      </c>
      <c r="M25" s="56" t="n"/>
      <c r="N25" s="56">
        <f>N14*0.4/N6</f>
        <v/>
      </c>
      <c r="O25" s="56">
        <f>O14*0.4/O6</f>
        <v/>
      </c>
      <c r="P25" s="56" t="n"/>
      <c r="Q25" s="56">
        <f>Q14*0.4/Q6</f>
        <v/>
      </c>
      <c r="R25" s="56">
        <f>R14*0.4/R6</f>
        <v/>
      </c>
      <c r="S25" s="56" t="n"/>
      <c r="T25" s="56">
        <f>T14*0.4/T6</f>
        <v/>
      </c>
      <c r="U25" s="56">
        <f>U14*0.4/U6</f>
        <v/>
      </c>
      <c r="V25" s="56" t="n"/>
      <c r="W25" s="56">
        <f>W14*0.4/W6</f>
        <v/>
      </c>
      <c r="X25" s="56">
        <f>X14*0.4/X6</f>
        <v/>
      </c>
      <c r="Y25" s="56" t="n"/>
      <c r="Z25" s="56">
        <f>Z14*0.4/Z6</f>
        <v/>
      </c>
      <c r="AA25" s="56">
        <f>AA14*0.4/AA6</f>
        <v/>
      </c>
      <c r="AB25" s="56" t="n"/>
      <c r="AC25" s="56">
        <f>AC14*0.4/AC6</f>
        <v/>
      </c>
      <c r="AD25" s="56">
        <f>AD14*0.4/AD6</f>
        <v/>
      </c>
      <c r="AE25" s="56" t="n"/>
      <c r="AF25" s="56">
        <f>AF14*0.4/AF6</f>
        <v/>
      </c>
      <c r="AG25" s="56">
        <f>AG14*0.4/AG6</f>
        <v/>
      </c>
      <c r="AH25" s="56" t="n"/>
      <c r="AI25" s="56">
        <f>AI14*0.4/AI6</f>
        <v/>
      </c>
      <c r="AJ25" s="56">
        <f>AJ14*0.4/AJ6</f>
        <v/>
      </c>
      <c r="AK25" s="56" t="n"/>
      <c r="AL25" s="56">
        <f>AP25-AO25</f>
        <v/>
      </c>
      <c r="AM25" s="56" t="n"/>
      <c r="AO25" s="44">
        <f>IF($A$1=$B$1,B25,IF($A$1=$E$1,E25,IF($A$1=$H$1,H25,IF($A$1=$K$1,K25,IF($A$1=$N$1,N25,IF($A$1=$Q$1,Q25,IF($A$1=$T$1,T25,IF($A$1=$W$1,W25,IF($A$1=$Z$1,Z25,IF($A$1=$AC$1,AC25,IF($A$1=$AF$1,AF25,IF($A$1=$AI$1,AI25))))))))))))</f>
        <v/>
      </c>
      <c r="AP25" s="44">
        <f>IF($A$1=$B$1,C25,IF($A$1=$E$1,F25,IF($A$1=$H$1,I25,IF($A$1=$K$1,L25,IF($A$1=$N$1,O25,IF($A$1=$Q$1,R25,IF($A$1=$T$1,U25,IF($A$1=$W$1,X25,IF($A$1=$Z$1,AA25,IF($A$1=$AC$1,AD25,IF($A$1=$AF$1,AG25,IF($A$1=$AI$1,AJ25))))))))))))</f>
        <v/>
      </c>
    </row>
    <row r="26" ht="15.5" customHeight="1">
      <c r="A26" s="26" t="inlineStr">
        <is>
          <t>Çelik</t>
        </is>
      </c>
      <c r="B26" s="56">
        <f>B15*0.4/B6</f>
        <v/>
      </c>
      <c r="C26" s="56">
        <f>C15*0.4/C6</f>
        <v/>
      </c>
      <c r="D26" s="7" t="n"/>
      <c r="E26" s="56">
        <f>E15*0.4/E6</f>
        <v/>
      </c>
      <c r="F26" s="56">
        <f>F15*0.4/F6</f>
        <v/>
      </c>
      <c r="G26" s="56" t="n"/>
      <c r="H26" s="56">
        <f>H15*0.4/H6</f>
        <v/>
      </c>
      <c r="I26" s="56">
        <f>I15*0.4/I6</f>
        <v/>
      </c>
      <c r="J26" s="56" t="n"/>
      <c r="K26" s="56">
        <f>K15*0.4/K6</f>
        <v/>
      </c>
      <c r="L26" s="56">
        <f>L15*0.4/L6</f>
        <v/>
      </c>
      <c r="M26" s="56" t="n"/>
      <c r="N26" s="56">
        <f>N15*0.4/N6</f>
        <v/>
      </c>
      <c r="O26" s="56">
        <f>O15*0.4/O6</f>
        <v/>
      </c>
      <c r="P26" s="56" t="n"/>
      <c r="Q26" s="56">
        <f>Q15*0.4/Q6</f>
        <v/>
      </c>
      <c r="R26" s="56">
        <f>R15*0.4/R6</f>
        <v/>
      </c>
      <c r="S26" s="56" t="n"/>
      <c r="T26" s="56">
        <f>T15*0.4/T6</f>
        <v/>
      </c>
      <c r="U26" s="56">
        <f>U15*0.4/U6</f>
        <v/>
      </c>
      <c r="V26" s="56" t="n"/>
      <c r="W26" s="56">
        <f>W15*0.4/W6</f>
        <v/>
      </c>
      <c r="X26" s="56">
        <f>X15*0.4/X6</f>
        <v/>
      </c>
      <c r="Y26" s="56" t="n"/>
      <c r="Z26" s="56">
        <f>Z15*0.4/Z6</f>
        <v/>
      </c>
      <c r="AA26" s="56">
        <f>AA15*0.4/AA6</f>
        <v/>
      </c>
      <c r="AB26" s="56" t="n"/>
      <c r="AC26" s="56">
        <f>AC15*0.4/AC6</f>
        <v/>
      </c>
      <c r="AD26" s="56">
        <f>AD15*0.4/AD6</f>
        <v/>
      </c>
      <c r="AE26" s="56" t="n"/>
      <c r="AF26" s="56">
        <f>AF15*0.4/AF6</f>
        <v/>
      </c>
      <c r="AG26" s="56">
        <f>AG15*0.4/AG6</f>
        <v/>
      </c>
      <c r="AH26" s="56" t="n"/>
      <c r="AI26" s="56">
        <f>AI15*0.4/AI6</f>
        <v/>
      </c>
      <c r="AJ26" s="56">
        <f>AJ15*0.4/AJ6</f>
        <v/>
      </c>
      <c r="AK26" s="56" t="n"/>
      <c r="AL26" s="56">
        <f>AP26-AO26</f>
        <v/>
      </c>
      <c r="AM26" s="56" t="n"/>
      <c r="AO26" s="44">
        <f>IF($A$1=$B$1,B26,IF($A$1=$E$1,E26,IF($A$1=$H$1,H26,IF($A$1=$K$1,K26,IF($A$1=$N$1,N26,IF($A$1=$Q$1,Q26,IF($A$1=$T$1,T26,IF($A$1=$W$1,W26,IF($A$1=$Z$1,Z26,IF($A$1=$AC$1,AC26,IF($A$1=$AF$1,AF26,IF($A$1=$AI$1,AI26))))))))))))</f>
        <v/>
      </c>
      <c r="AP26" s="44">
        <f>IF($A$1=$B$1,C26,IF($A$1=$E$1,F26,IF($A$1=$H$1,I26,IF($A$1=$K$1,L26,IF($A$1=$N$1,O26,IF($A$1=$Q$1,R26,IF($A$1=$T$1,U26,IF($A$1=$W$1,X26,IF($A$1=$Z$1,AA26,IF($A$1=$AC$1,AD26,IF($A$1=$AF$1,AG26,IF($A$1=$AI$1,AJ26))))))))))))</f>
        <v/>
      </c>
    </row>
    <row r="27" ht="15.5" customHeight="1">
      <c r="A27" s="26" t="inlineStr">
        <is>
          <t>Alüminyum</t>
        </is>
      </c>
      <c r="B27" s="56">
        <f>B16*0.4/B6</f>
        <v/>
      </c>
      <c r="C27" s="56">
        <f>C16*0.4/C6</f>
        <v/>
      </c>
      <c r="D27" s="7" t="n"/>
      <c r="E27" s="56">
        <f>E16*0.4/E6</f>
        <v/>
      </c>
      <c r="F27" s="56">
        <f>F16*0.4/F6</f>
        <v/>
      </c>
      <c r="G27" s="56" t="n"/>
      <c r="H27" s="56">
        <f>H16*0.4/H6</f>
        <v/>
      </c>
      <c r="I27" s="56">
        <f>I16*0.4/I6</f>
        <v/>
      </c>
      <c r="J27" s="56" t="n"/>
      <c r="K27" s="56">
        <f>K16*0.4/K6</f>
        <v/>
      </c>
      <c r="L27" s="56">
        <f>L16*0.4/L6</f>
        <v/>
      </c>
      <c r="M27" s="56" t="n"/>
      <c r="N27" s="56">
        <f>N16*0.4/N6</f>
        <v/>
      </c>
      <c r="O27" s="56">
        <f>O16*0.4/O6</f>
        <v/>
      </c>
      <c r="P27" s="56" t="n"/>
      <c r="Q27" s="56">
        <f>Q16*0.4/Q6</f>
        <v/>
      </c>
      <c r="R27" s="56">
        <f>R16*0.4/R6</f>
        <v/>
      </c>
      <c r="S27" s="56" t="n"/>
      <c r="T27" s="56">
        <f>T16*0.4/T6</f>
        <v/>
      </c>
      <c r="U27" s="56">
        <f>U16*0.4/U6</f>
        <v/>
      </c>
      <c r="V27" s="56" t="n"/>
      <c r="W27" s="56">
        <f>W16*0.4/W6</f>
        <v/>
      </c>
      <c r="X27" s="56">
        <f>X16*0.4/X6</f>
        <v/>
      </c>
      <c r="Y27" s="56" t="n"/>
      <c r="Z27" s="56">
        <f>Z16*0.4/Z6</f>
        <v/>
      </c>
      <c r="AA27" s="56">
        <f>AA16*0.4/AA6</f>
        <v/>
      </c>
      <c r="AB27" s="56" t="n"/>
      <c r="AC27" s="56">
        <f>AC16*0.4/AC6</f>
        <v/>
      </c>
      <c r="AD27" s="56">
        <f>AD16*0.4/AD6</f>
        <v/>
      </c>
      <c r="AE27" s="56" t="n"/>
      <c r="AF27" s="56">
        <f>AF16*0.4/AF6</f>
        <v/>
      </c>
      <c r="AG27" s="56">
        <f>AG16*0.4/AG6</f>
        <v/>
      </c>
      <c r="AH27" s="56" t="n"/>
      <c r="AI27" s="56">
        <f>AI16*0.4/AI6</f>
        <v/>
      </c>
      <c r="AJ27" s="56">
        <f>AJ16*0.4/AJ6</f>
        <v/>
      </c>
      <c r="AK27" s="56" t="n"/>
      <c r="AL27" s="56">
        <f>AP27-AO27</f>
        <v/>
      </c>
      <c r="AM27" s="56" t="n"/>
      <c r="AO27" s="44">
        <f>IF($A$1=$B$1,B27,IF($A$1=$E$1,E27,IF($A$1=$H$1,H27,IF($A$1=$K$1,K27,IF($A$1=$N$1,N27,IF($A$1=$Q$1,Q27,IF($A$1=$T$1,T27,IF($A$1=$W$1,W27,IF($A$1=$Z$1,Z27,IF($A$1=$AC$1,AC27,IF($A$1=$AF$1,AF27,IF($A$1=$AI$1,AI27))))))))))))</f>
        <v/>
      </c>
      <c r="AP27" s="44">
        <f>IF($A$1=$B$1,C27,IF($A$1=$E$1,F27,IF($A$1=$H$1,I27,IF($A$1=$K$1,L27,IF($A$1=$N$1,O27,IF($A$1=$Q$1,R27,IF($A$1=$T$1,U27,IF($A$1=$W$1,X27,IF($A$1=$Z$1,AA27,IF($A$1=$AC$1,AD27,IF($A$1=$AF$1,AG27,IF($A$1=$AI$1,AJ27))))))))))))</f>
        <v/>
      </c>
    </row>
    <row r="28" ht="15.5" customHeight="1">
      <c r="A28" s="26" t="n"/>
      <c r="B28" s="56" t="n"/>
      <c r="C28" s="56" t="n"/>
      <c r="D28" s="7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>
        <f>AP28-AO28</f>
        <v/>
      </c>
      <c r="AM28" s="56" t="n"/>
      <c r="AO28" s="44">
        <f>IF($A$1=$B$1,B28,IF($A$1=$E$1,E28,IF($A$1=$H$1,H28,IF($A$1=$K$1,K28,IF($A$1=$N$1,N28,IF($A$1=$Q$1,Q28,IF($A$1=$T$1,T28,IF($A$1=$W$1,W28,IF($A$1=$Z$1,Z28,IF($A$1=$AC$1,AC28,IF($A$1=$AF$1,AF28,IF($A$1=$AI$1,AI28))))))))))))</f>
        <v/>
      </c>
      <c r="AP28" s="44">
        <f>IF($A$1=$B$1,C28,IF($A$1=$E$1,F28,IF($A$1=$H$1,I28,IF($A$1=$K$1,L28,IF($A$1=$N$1,O28,IF($A$1=$Q$1,R28,IF($A$1=$T$1,U28,IF($A$1=$W$1,X28,IF($A$1=$Z$1,AA28,IF($A$1=$AC$1,AD28,IF($A$1=$AF$1,AG28,IF($A$1=$AI$1,AJ28))))))))))))</f>
        <v/>
      </c>
    </row>
    <row r="29" ht="15.5" customHeight="1">
      <c r="A29" s="26" t="n"/>
      <c r="B29" s="56" t="n"/>
      <c r="C29" s="56" t="n"/>
      <c r="D29" s="7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>
        <f>AP29-AO29</f>
        <v/>
      </c>
      <c r="AM29" s="56" t="n"/>
      <c r="AO29" s="44">
        <f>IF($A$1=$B$1,B29,IF($A$1=$E$1,E29,IF($A$1=$H$1,H29,IF($A$1=$K$1,K29,IF($A$1=$N$1,N29,IF($A$1=$Q$1,Q29,IF($A$1=$T$1,T29,IF($A$1=$W$1,W29,IF($A$1=$Z$1,Z29,IF($A$1=$AC$1,AC29,IF($A$1=$AF$1,AF29,IF($A$1=$AI$1,AI29))))))))))))</f>
        <v/>
      </c>
      <c r="AP29" s="44">
        <f>IF($A$1=$B$1,C29,IF($A$1=$E$1,F29,IF($A$1=$H$1,I29,IF($A$1=$K$1,L29,IF($A$1=$N$1,O29,IF($A$1=$Q$1,R29,IF($A$1=$T$1,U29,IF($A$1=$W$1,X29,IF($A$1=$Z$1,AA29,IF($A$1=$AC$1,AD29,IF($A$1=$AF$1,AG29,IF($A$1=$AI$1,AJ29))))))))))))</f>
        <v/>
      </c>
    </row>
    <row r="30" ht="15.5" customFormat="1" customHeight="1" s="45">
      <c r="A30" s="35" t="inlineStr">
        <is>
          <t>Net Sales</t>
        </is>
      </c>
      <c r="B30" s="36">
        <f>'A-TRY'!B30</f>
        <v/>
      </c>
      <c r="C30" s="36">
        <f>'A-TRY'!C30</f>
        <v/>
      </c>
      <c r="D30" s="72">
        <f>+(C30/B30)-1</f>
        <v/>
      </c>
      <c r="E30" s="36">
        <f>B30+'A-TRY'!E30</f>
        <v/>
      </c>
      <c r="F30" s="36">
        <f>C30+'A-TRY'!F30</f>
        <v/>
      </c>
      <c r="G30" s="19" t="n"/>
      <c r="H30" s="36">
        <f>E30+'A-TRY'!H30</f>
        <v/>
      </c>
      <c r="I30" s="36">
        <f>F30+'A-TRY'!I30</f>
        <v/>
      </c>
      <c r="J30" s="19" t="n"/>
      <c r="K30" s="36">
        <f>H30+'A-TRY'!K30</f>
        <v/>
      </c>
      <c r="L30" s="36">
        <f>I30+'A-TRY'!L30</f>
        <v/>
      </c>
      <c r="M30" s="76" t="n"/>
      <c r="N30" s="36">
        <f>K30+'A-TRY'!N30</f>
        <v/>
      </c>
      <c r="O30" s="36">
        <f>L30+'A-TRY'!O30</f>
        <v/>
      </c>
      <c r="P30" s="19" t="n"/>
      <c r="Q30" s="36">
        <f>N30+'A-TRY'!Q30</f>
        <v/>
      </c>
      <c r="R30" s="36">
        <f>O30+'A-TRY'!R30</f>
        <v/>
      </c>
      <c r="S30" s="19" t="n"/>
      <c r="T30" s="36">
        <f>Q30+'A-TRY'!T30</f>
        <v/>
      </c>
      <c r="U30" s="36">
        <f>R30+'A-TRY'!U30</f>
        <v/>
      </c>
      <c r="V30" s="19" t="n"/>
      <c r="W30" s="36">
        <f>T30+'A-TRY'!W30</f>
        <v/>
      </c>
      <c r="X30" s="36">
        <f>U30+'A-TRY'!X30</f>
        <v/>
      </c>
      <c r="Y30" s="19" t="n"/>
      <c r="Z30" s="36">
        <f>W30+'A-TRY'!Z30</f>
        <v/>
      </c>
      <c r="AA30" s="36">
        <f>X30+'A-TRY'!AA30</f>
        <v/>
      </c>
      <c r="AB30" s="19" t="n"/>
      <c r="AC30" s="36">
        <f>Z30+'A-TRY'!AC30</f>
        <v/>
      </c>
      <c r="AD30" s="36">
        <f>AA30+'A-TRY'!AD30</f>
        <v/>
      </c>
      <c r="AE30" s="19" t="n"/>
      <c r="AF30" s="36">
        <f>AC30+'A-TRY'!AF30</f>
        <v/>
      </c>
      <c r="AG30" s="36">
        <f>AD30+'A-TRY'!AG30</f>
        <v/>
      </c>
      <c r="AH30" s="19" t="n"/>
      <c r="AI30" s="36">
        <f>AF30+'A-TRY'!AI30</f>
        <v/>
      </c>
      <c r="AJ30" s="36">
        <f>AG30+'A-TRY'!AJ30</f>
        <v/>
      </c>
      <c r="AK30" s="19" t="n"/>
      <c r="AL30" s="37">
        <f>AP30-AO30</f>
        <v/>
      </c>
      <c r="AM30" s="112">
        <f>AP30/AO30-1</f>
        <v/>
      </c>
      <c r="AO30" s="44">
        <f>IF($A$1=$B$1,B30,IF($A$1=$E$1,E30,IF($A$1=$H$1,H30,IF($A$1=$K$1,K30,IF($A$1=$N$1,N30,IF($A$1=$Q$1,Q30,IF($A$1=$T$1,T30,IF($A$1=$W$1,W30,IF($A$1=$Z$1,Z30,IF($A$1=$AC$1,AC30,IF($A$1=$AF$1,AF30,IF($A$1=$AI$1,AI30))))))))))))</f>
        <v/>
      </c>
      <c r="AP30" s="44">
        <f>IF($A$1=$B$1,C30,IF($A$1=$E$1,F30,IF($A$1=$H$1,I30,IF($A$1=$K$1,L30,IF($A$1=$N$1,O30,IF($A$1=$Q$1,R30,IF($A$1=$T$1,U30,IF($A$1=$W$1,X30,IF($A$1=$Z$1,AA30,IF($A$1=$AC$1,AD30,IF($A$1=$AF$1,AG30,IF($A$1=$AI$1,AJ30))))))))))))</f>
        <v/>
      </c>
    </row>
    <row r="31" ht="15.5" customFormat="1" customHeight="1" s="45">
      <c r="A31" s="35" t="inlineStr">
        <is>
          <t>Cost of Sales</t>
        </is>
      </c>
      <c r="B31" s="36">
        <f>'A-TRY'!B31</f>
        <v/>
      </c>
      <c r="C31" s="36">
        <f>'A-TRY'!C31</f>
        <v/>
      </c>
      <c r="D31" s="72">
        <f>+(C31/B31)-1</f>
        <v/>
      </c>
      <c r="E31" s="36">
        <f>B31+'A-TRY'!E31</f>
        <v/>
      </c>
      <c r="F31" s="36">
        <f>C31+'A-TRY'!F31</f>
        <v/>
      </c>
      <c r="G31" s="19" t="n"/>
      <c r="H31" s="36">
        <f>E31+'A-TRY'!H31</f>
        <v/>
      </c>
      <c r="I31" s="36">
        <f>F31+'A-TRY'!I31</f>
        <v/>
      </c>
      <c r="J31" s="19" t="n"/>
      <c r="K31" s="36">
        <f>H31+'A-TRY'!K31</f>
        <v/>
      </c>
      <c r="L31" s="36">
        <f>I31+'A-TRY'!L31</f>
        <v/>
      </c>
      <c r="M31" s="76" t="n"/>
      <c r="N31" s="36">
        <f>K31+'A-TRY'!N31</f>
        <v/>
      </c>
      <c r="O31" s="36">
        <f>L31+'A-TRY'!O31</f>
        <v/>
      </c>
      <c r="P31" s="19" t="n"/>
      <c r="Q31" s="36">
        <f>N31+'A-TRY'!Q31</f>
        <v/>
      </c>
      <c r="R31" s="36">
        <f>O31+'A-TRY'!R31</f>
        <v/>
      </c>
      <c r="S31" s="19" t="n"/>
      <c r="T31" s="36">
        <f>Q31+'A-TRY'!T31</f>
        <v/>
      </c>
      <c r="U31" s="36">
        <f>R31+'A-TRY'!U31</f>
        <v/>
      </c>
      <c r="V31" s="19" t="n"/>
      <c r="W31" s="36">
        <f>T31+'A-TRY'!W31</f>
        <v/>
      </c>
      <c r="X31" s="36">
        <f>U31+'A-TRY'!X31</f>
        <v/>
      </c>
      <c r="Y31" s="19">
        <f>X31-W31</f>
        <v/>
      </c>
      <c r="Z31" s="36">
        <f>W31+'A-TRY'!Z31</f>
        <v/>
      </c>
      <c r="AA31" s="36">
        <f>X31+'A-TRY'!AA31</f>
        <v/>
      </c>
      <c r="AB31" s="19" t="n"/>
      <c r="AC31" s="36">
        <f>Z31+'A-TRY'!AC31</f>
        <v/>
      </c>
      <c r="AD31" s="36">
        <f>AA31+'A-TRY'!AD31</f>
        <v/>
      </c>
      <c r="AE31" s="19" t="n"/>
      <c r="AF31" s="36">
        <f>AC31+'A-TRY'!AF31</f>
        <v/>
      </c>
      <c r="AG31" s="36">
        <f>AD31+'A-TRY'!AG31</f>
        <v/>
      </c>
      <c r="AH31" s="19" t="n"/>
      <c r="AI31" s="36">
        <f>AF31+'A-TRY'!AI31</f>
        <v/>
      </c>
      <c r="AJ31" s="36">
        <f>AG31+'A-TRY'!AJ31</f>
        <v/>
      </c>
      <c r="AK31" s="19" t="n"/>
      <c r="AL31" s="37">
        <f>AP31-AO31</f>
        <v/>
      </c>
      <c r="AM31" s="112">
        <f>AP31/AO31-1</f>
        <v/>
      </c>
      <c r="AO31" s="44">
        <f>IF($A$1=$B$1,B31,IF($A$1=$E$1,E31,IF($A$1=$H$1,H31,IF($A$1=$K$1,K31,IF($A$1=$N$1,N31,IF($A$1=$Q$1,Q31,IF($A$1=$T$1,T31,IF($A$1=$W$1,W31,IF($A$1=$Z$1,Z31,IF($A$1=$AC$1,AC31,IF($A$1=$AF$1,AF31,IF($A$1=$AI$1,AI31))))))))))))</f>
        <v/>
      </c>
      <c r="AP31" s="44">
        <f>IF($A$1=$B$1,C31,IF($A$1=$E$1,F31,IF($A$1=$H$1,I31,IF($A$1=$K$1,L31,IF($A$1=$N$1,O31,IF($A$1=$Q$1,R31,IF($A$1=$T$1,U31,IF($A$1=$W$1,X31,IF($A$1=$Z$1,AA31,IF($A$1=$AC$1,AD31,IF($A$1=$AF$1,AG31,IF($A$1=$AI$1,AJ31))))))))))))</f>
        <v/>
      </c>
    </row>
    <row r="32" ht="15.5" customFormat="1" customHeight="1" s="44">
      <c r="A32" s="31" t="inlineStr">
        <is>
          <t>Gross Profit</t>
        </is>
      </c>
      <c r="B32" s="32">
        <f>'A-TRY'!B32</f>
        <v/>
      </c>
      <c r="C32" s="32">
        <f>'A-TRY'!C32</f>
        <v/>
      </c>
      <c r="D32" s="72">
        <f>+(C32/B32)-1</f>
        <v/>
      </c>
      <c r="E32" s="32">
        <f>B32+'A-TRY'!E32</f>
        <v/>
      </c>
      <c r="F32" s="32">
        <f>C32+'A-TRY'!F32</f>
        <v/>
      </c>
      <c r="G32" s="18" t="n"/>
      <c r="H32" s="32">
        <f>E32+'A-TRY'!H32</f>
        <v/>
      </c>
      <c r="I32" s="32">
        <f>F32+'A-TRY'!I32</f>
        <v/>
      </c>
      <c r="J32" s="18" t="n"/>
      <c r="K32" s="32">
        <f>H32+'A-TRY'!K32</f>
        <v/>
      </c>
      <c r="L32" s="32">
        <f>I32+'A-TRY'!L32</f>
        <v/>
      </c>
      <c r="M32" s="76" t="n"/>
      <c r="N32" s="32">
        <f>K32+'A-TRY'!N32</f>
        <v/>
      </c>
      <c r="O32" s="32">
        <f>L32+'A-TRY'!O32</f>
        <v/>
      </c>
      <c r="P32" s="18" t="n"/>
      <c r="Q32" s="32">
        <f>N32+'A-TRY'!Q32</f>
        <v/>
      </c>
      <c r="R32" s="32">
        <f>O32+'A-TRY'!R32</f>
        <v/>
      </c>
      <c r="S32" s="18" t="n"/>
      <c r="T32" s="32">
        <f>Q32+'A-TRY'!T32</f>
        <v/>
      </c>
      <c r="U32" s="32">
        <f>R32+'A-TRY'!U32</f>
        <v/>
      </c>
      <c r="V32" s="18" t="n"/>
      <c r="W32" s="32">
        <f>T32+'A-TRY'!W32</f>
        <v/>
      </c>
      <c r="X32" s="32">
        <f>U32+'A-TRY'!X32</f>
        <v/>
      </c>
      <c r="Y32" s="18" t="n"/>
      <c r="Z32" s="32">
        <f>W32+'A-TRY'!Z32</f>
        <v/>
      </c>
      <c r="AA32" s="32">
        <f>X32+'A-TRY'!AA32</f>
        <v/>
      </c>
      <c r="AB32" s="18" t="n"/>
      <c r="AC32" s="32">
        <f>Z32+'A-TRY'!AC32</f>
        <v/>
      </c>
      <c r="AD32" s="32">
        <f>AA32+'A-TRY'!AD32</f>
        <v/>
      </c>
      <c r="AE32" s="18" t="n"/>
      <c r="AF32" s="32">
        <f>AC32+'A-TRY'!AF32</f>
        <v/>
      </c>
      <c r="AG32" s="32">
        <f>AD32+'A-TRY'!AG32</f>
        <v/>
      </c>
      <c r="AH32" s="18" t="n"/>
      <c r="AI32" s="32">
        <f>AF32+'A-TRY'!AI32</f>
        <v/>
      </c>
      <c r="AJ32" s="32">
        <f>AG32+'A-TRY'!AJ32</f>
        <v/>
      </c>
      <c r="AK32" s="18" t="n"/>
      <c r="AL32" s="33">
        <f>AP32-AO32</f>
        <v/>
      </c>
      <c r="AM32" s="113">
        <f>AP32/AO32-1</f>
        <v/>
      </c>
      <c r="AO32" s="44">
        <f>IF($A$1=$B$1,B32,IF($A$1=$E$1,E32,IF($A$1=$H$1,H32,IF($A$1=$K$1,K32,IF($A$1=$N$1,N32,IF($A$1=$Q$1,Q32,IF($A$1=$T$1,T32,IF($A$1=$W$1,W32,IF($A$1=$Z$1,Z32,IF($A$1=$AC$1,AC32,IF($A$1=$AF$1,AF32,IF($A$1=$AI$1,AI32))))))))))))</f>
        <v/>
      </c>
      <c r="AP32" s="44">
        <f>IF($A$1=$B$1,C32,IF($A$1=$E$1,F32,IF($A$1=$H$1,I32,IF($A$1=$K$1,L32,IF($A$1=$N$1,O32,IF($A$1=$Q$1,R32,IF($A$1=$T$1,U32,IF($A$1=$W$1,X32,IF($A$1=$Z$1,AA32,IF($A$1=$AC$1,AD32,IF($A$1=$AF$1,AG32,IF($A$1=$AI$1,AJ32))))))))))))</f>
        <v/>
      </c>
    </row>
    <row r="33" ht="15.5" customFormat="1" customHeight="1" s="46">
      <c r="A33" s="29" t="inlineStr">
        <is>
          <t>Gross Profit Margin</t>
        </is>
      </c>
      <c r="B33" s="28">
        <f>B32/B30</f>
        <v/>
      </c>
      <c r="C33" s="28">
        <f>C32/C30</f>
        <v/>
      </c>
      <c r="D33" s="40" t="n"/>
      <c r="E33" s="28">
        <f>E32/E30</f>
        <v/>
      </c>
      <c r="F33" s="28">
        <f>F32/F30</f>
        <v/>
      </c>
      <c r="G33" s="40" t="n"/>
      <c r="H33" s="471">
        <f>H32/H30</f>
        <v/>
      </c>
      <c r="I33" s="471">
        <f>I32/I30</f>
        <v/>
      </c>
      <c r="J33" s="40" t="n"/>
      <c r="K33" s="28">
        <f>K32/K30</f>
        <v/>
      </c>
      <c r="L33" s="28">
        <f>L32/L30</f>
        <v/>
      </c>
      <c r="M33" s="40" t="n"/>
      <c r="N33" s="28">
        <f>N32/N30</f>
        <v/>
      </c>
      <c r="O33" s="28">
        <f>O32/O30</f>
        <v/>
      </c>
      <c r="P33" s="40" t="n"/>
      <c r="Q33" s="28">
        <f>Q32/Q30</f>
        <v/>
      </c>
      <c r="R33" s="28">
        <f>R32/R30</f>
        <v/>
      </c>
      <c r="S33" s="40" t="n"/>
      <c r="T33" s="28">
        <f>T32/T30</f>
        <v/>
      </c>
      <c r="U33" s="28">
        <f>U32/U30</f>
        <v/>
      </c>
      <c r="V33" s="40" t="n"/>
      <c r="W33" s="28">
        <f>W32/W30</f>
        <v/>
      </c>
      <c r="X33" s="28">
        <f>X32/X30</f>
        <v/>
      </c>
      <c r="Y33" s="40" t="n"/>
      <c r="Z33" s="28">
        <f>Z32/Z30</f>
        <v/>
      </c>
      <c r="AA33" s="28">
        <f>AA32/AA30</f>
        <v/>
      </c>
      <c r="AB33" s="40" t="n"/>
      <c r="AC33" s="28">
        <f>AC32/AC30</f>
        <v/>
      </c>
      <c r="AD33" s="28">
        <f>AD32/AD30</f>
        <v/>
      </c>
      <c r="AE33" s="40" t="n"/>
      <c r="AF33" s="28">
        <f>AF32/AF30</f>
        <v/>
      </c>
      <c r="AG33" s="28">
        <f>AG32/AG30</f>
        <v/>
      </c>
      <c r="AH33" s="40" t="n"/>
      <c r="AI33" s="28">
        <f>AI32/AI30</f>
        <v/>
      </c>
      <c r="AJ33" s="28">
        <f>AJ32/AJ30</f>
        <v/>
      </c>
      <c r="AK33" s="40" t="n"/>
      <c r="AL33" s="15" t="n"/>
      <c r="AM33" s="22">
        <f>AP33-AO33</f>
        <v/>
      </c>
      <c r="AO33" s="44">
        <f>IF($A$1=$B$1,B33,IF($A$1=$E$1,E33,IF($A$1=$H$1,H33,IF($A$1=$K$1,K33,IF($A$1=$N$1,N33,IF($A$1=$Q$1,Q33,IF($A$1=$T$1,T33,IF($A$1=$W$1,W33,IF($A$1=$Z$1,Z33,IF($A$1=$AC$1,AC33,IF($A$1=$AF$1,AF33,IF($A$1=$AI$1,AI33))))))))))))</f>
        <v/>
      </c>
      <c r="AP33" s="44">
        <f>IF($A$1=$B$1,C33,IF($A$1=$E$1,F33,IF($A$1=$H$1,I33,IF($A$1=$K$1,L33,IF($A$1=$N$1,O33,IF($A$1=$Q$1,R33,IF($A$1=$T$1,U33,IF($A$1=$W$1,X33,IF($A$1=$Z$1,AA33,IF($A$1=$AC$1,AD33,IF($A$1=$AF$1,AG33,IF($A$1=$AI$1,AJ33))))))))))))</f>
        <v/>
      </c>
    </row>
    <row r="34" ht="15.5" customHeight="1">
      <c r="A34" s="2" t="n"/>
      <c r="B34" s="7" t="n"/>
      <c r="C34" s="7" t="n"/>
      <c r="D34" s="7" t="n"/>
      <c r="E34" s="7" t="n"/>
      <c r="F34" s="28">
        <f>F32/E32-1</f>
        <v/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5" t="n"/>
    </row>
    <row r="35" ht="17" customFormat="1" customHeight="1" s="49">
      <c r="A35" s="47" t="inlineStr">
        <is>
          <t>GROSS PROFIT BY CHANNELS (100%)</t>
        </is>
      </c>
      <c r="B35" s="413" t="n"/>
      <c r="C35" s="413" t="n"/>
      <c r="D35" s="413" t="n"/>
      <c r="E35" s="413" t="n"/>
      <c r="F35" s="413" t="n"/>
      <c r="G35" s="413" t="n"/>
      <c r="H35" s="413" t="n"/>
      <c r="I35" s="413" t="n"/>
      <c r="J35" s="413" t="n"/>
      <c r="K35" s="413" t="n"/>
      <c r="L35" s="413" t="n"/>
      <c r="M35" s="413" t="n"/>
      <c r="N35" s="413" t="n"/>
      <c r="O35" s="413" t="n"/>
      <c r="P35" s="413" t="n"/>
      <c r="Q35" s="413" t="n"/>
      <c r="R35" s="413" t="n"/>
      <c r="S35" s="413" t="n"/>
      <c r="T35" s="413" t="n"/>
      <c r="U35" s="413" t="n"/>
      <c r="V35" s="413" t="n"/>
      <c r="W35" s="413" t="n"/>
      <c r="X35" s="413" t="n"/>
      <c r="Y35" s="413" t="n"/>
      <c r="Z35" s="413" t="n"/>
      <c r="AA35" s="413" t="n"/>
      <c r="AB35" s="413" t="n"/>
      <c r="AC35" s="413" t="n"/>
      <c r="AD35" s="413" t="n"/>
      <c r="AE35" s="413" t="n"/>
      <c r="AF35" s="413" t="n"/>
      <c r="AG35" s="413" t="n"/>
      <c r="AH35" s="413" t="n"/>
      <c r="AI35" s="413" t="n"/>
      <c r="AJ35" s="413" t="n"/>
      <c r="AK35" s="413" t="n"/>
      <c r="AL35" s="413" t="n"/>
      <c r="AM35" s="48" t="n"/>
    </row>
    <row r="36" ht="15.5" customHeight="1">
      <c r="A36" s="26" t="inlineStr">
        <is>
          <t xml:space="preserve">İnci Holding </t>
        </is>
      </c>
      <c r="B36" s="7">
        <f>'A-TRY'!B36</f>
        <v/>
      </c>
      <c r="C36" s="7">
        <f>'A-TRY'!C36</f>
        <v/>
      </c>
      <c r="D36" s="7" t="n"/>
      <c r="E36" s="7">
        <f>B36+'A-TRY'!E36</f>
        <v/>
      </c>
      <c r="F36" s="7">
        <f>C36+'A-TRY'!F36</f>
        <v/>
      </c>
      <c r="G36" s="7" t="n"/>
      <c r="H36" s="7">
        <f>E36+'A-TRY'!H36</f>
        <v/>
      </c>
      <c r="I36" s="7">
        <f>F36+'A-TRY'!I36</f>
        <v/>
      </c>
      <c r="J36" s="7" t="n"/>
      <c r="K36" s="7">
        <f>H36+'A-TRY'!K36</f>
        <v/>
      </c>
      <c r="L36" s="7">
        <f>I36+'A-TRY'!L36</f>
        <v/>
      </c>
      <c r="M36" s="7" t="n"/>
      <c r="N36" s="7">
        <f>K36+'A-TRY'!N36</f>
        <v/>
      </c>
      <c r="O36" s="7">
        <f>L36+'A-TRY'!O36</f>
        <v/>
      </c>
      <c r="P36" s="7" t="n"/>
      <c r="Q36" s="7">
        <f>N36+'A-TRY'!Q36</f>
        <v/>
      </c>
      <c r="R36" s="7">
        <f>O36+'A-TRY'!R36</f>
        <v/>
      </c>
      <c r="S36" s="7" t="n"/>
      <c r="T36" s="7">
        <f>Q36+'A-TRY'!T36</f>
        <v/>
      </c>
      <c r="U36" s="7">
        <f>R36+'A-TRY'!U36</f>
        <v/>
      </c>
      <c r="V36" s="7" t="n"/>
      <c r="W36" s="7">
        <f>T36+'A-TRY'!W36</f>
        <v/>
      </c>
      <c r="X36" s="7">
        <f>U36+'A-TRY'!X36</f>
        <v/>
      </c>
      <c r="Y36" s="7" t="n"/>
      <c r="Z36" s="7">
        <f>W36+'A-TRY'!Z36</f>
        <v/>
      </c>
      <c r="AA36" s="7">
        <f>X36+'A-TRY'!AA36</f>
        <v/>
      </c>
      <c r="AB36" s="7" t="n"/>
      <c r="AC36" s="7">
        <f>Z36+'A-TRY'!AC36</f>
        <v/>
      </c>
      <c r="AD36" s="7">
        <f>AA36+'A-TRY'!AD36</f>
        <v/>
      </c>
      <c r="AE36" s="7" t="n"/>
      <c r="AF36" s="7">
        <f>AC36+'A-TRY'!AF36</f>
        <v/>
      </c>
      <c r="AG36" s="7">
        <f>AD36+'A-TRY'!AG36</f>
        <v/>
      </c>
      <c r="AH36" s="7" t="n"/>
      <c r="AI36" s="7">
        <f>AF36+'A-TRY'!AI36</f>
        <v/>
      </c>
      <c r="AJ36" s="7">
        <f>AG36+'A-TRY'!AJ36</f>
        <v/>
      </c>
      <c r="AK36" s="7" t="n"/>
      <c r="AL36" s="21">
        <f>AP36-AO36</f>
        <v/>
      </c>
      <c r="AM36" s="22">
        <f>AP36/AO36-1</f>
        <v/>
      </c>
      <c r="AO36" s="44">
        <f>IF($A$1=$B$1,B36,IF($A$1=$E$1,E36,IF($A$1=$H$1,H36,IF($A$1=$K$1,K36,IF($A$1=$N$1,N36,IF($A$1=$Q$1,Q36,IF($A$1=$T$1,T36,IF($A$1=$W$1,W36,IF($A$1=$Z$1,Z36,IF($A$1=$AC$1,AC36,IF($A$1=$AF$1,AF36,IF($A$1=$AI$1,AI36))))))))))))</f>
        <v/>
      </c>
      <c r="AP36" s="44">
        <f>IF($A$1=$B$1,C36,IF($A$1=$E$1,F36,IF($A$1=$H$1,I36,IF($A$1=$K$1,L36,IF($A$1=$N$1,O36,IF($A$1=$Q$1,R36,IF($A$1=$T$1,U36,IF($A$1=$W$1,X36,IF($A$1=$Z$1,AA36,IF($A$1=$AC$1,AD36,IF($A$1=$AF$1,AG36,IF($A$1=$AI$1,AJ36))))))))))))</f>
        <v/>
      </c>
    </row>
    <row r="37" ht="15.5" customHeight="1">
      <c r="A37" s="26" t="inlineStr">
        <is>
          <t xml:space="preserve">ISM </t>
        </is>
      </c>
      <c r="B37" s="7">
        <f>'A-TRY'!B37</f>
        <v/>
      </c>
      <c r="C37" s="7">
        <f>'A-TRY'!C37</f>
        <v/>
      </c>
      <c r="D37" s="7" t="n"/>
      <c r="E37" s="7">
        <f>B37+'A-TRY'!E37</f>
        <v/>
      </c>
      <c r="F37" s="7">
        <f>C37+'A-TRY'!F37</f>
        <v/>
      </c>
      <c r="G37" s="7" t="n"/>
      <c r="H37" s="7">
        <f>E37+'A-TRY'!H37</f>
        <v/>
      </c>
      <c r="I37" s="7">
        <f>F37+'A-TRY'!I37</f>
        <v/>
      </c>
      <c r="J37" s="7" t="n"/>
      <c r="K37" s="7">
        <f>H37+'A-TRY'!K37</f>
        <v/>
      </c>
      <c r="L37" s="7">
        <f>I37+'A-TRY'!L37</f>
        <v/>
      </c>
      <c r="M37" s="7" t="n"/>
      <c r="N37" s="7">
        <f>K37+'A-TRY'!N37</f>
        <v/>
      </c>
      <c r="O37" s="7">
        <f>L37+'A-TRY'!O37</f>
        <v/>
      </c>
      <c r="P37" s="7" t="n"/>
      <c r="Q37" s="7">
        <f>N37+'A-TRY'!Q37</f>
        <v/>
      </c>
      <c r="R37" s="7">
        <f>O37+'A-TRY'!R37</f>
        <v/>
      </c>
      <c r="S37" s="7" t="n"/>
      <c r="T37" s="7">
        <f>Q37+'A-TRY'!T37</f>
        <v/>
      </c>
      <c r="U37" s="7">
        <f>R37+'A-TRY'!U37</f>
        <v/>
      </c>
      <c r="V37" s="7" t="n"/>
      <c r="W37" s="7">
        <f>T37+'A-TRY'!W37</f>
        <v/>
      </c>
      <c r="X37" s="7">
        <f>U37+'A-TRY'!X37</f>
        <v/>
      </c>
      <c r="Y37" s="7" t="n"/>
      <c r="Z37" s="7">
        <f>W37+'A-TRY'!Z37</f>
        <v/>
      </c>
      <c r="AA37" s="7">
        <f>X37+'A-TRY'!AA37</f>
        <v/>
      </c>
      <c r="AB37" s="7" t="n"/>
      <c r="AC37" s="7">
        <f>Z37+'A-TRY'!AC37</f>
        <v/>
      </c>
      <c r="AD37" s="7">
        <f>AA37+'A-TRY'!AD37</f>
        <v/>
      </c>
      <c r="AE37" s="7" t="n"/>
      <c r="AF37" s="7">
        <f>AC37+'A-TRY'!AF37</f>
        <v/>
      </c>
      <c r="AG37" s="7">
        <f>AD37+'A-TRY'!AG37</f>
        <v/>
      </c>
      <c r="AH37" s="7" t="n"/>
      <c r="AI37" s="7">
        <f>AF37+'A-TRY'!AI37</f>
        <v/>
      </c>
      <c r="AJ37" s="7">
        <f>AG37+'A-TRY'!AJ37</f>
        <v/>
      </c>
      <c r="AK37" s="7" t="n"/>
      <c r="AL37" s="21">
        <f>AP37-AO37</f>
        <v/>
      </c>
      <c r="AM37" s="22">
        <f>AP37/AO37-1</f>
        <v/>
      </c>
      <c r="AO37" s="44">
        <f>IF($A$1=$B$1,B37,IF($A$1=$E$1,E37,IF($A$1=$H$1,H37,IF($A$1=$K$1,K37,IF($A$1=$N$1,N37,IF($A$1=$Q$1,Q37,IF($A$1=$T$1,T37,IF($A$1=$W$1,W37,IF($A$1=$Z$1,Z37,IF($A$1=$AC$1,AC37,IF($A$1=$AF$1,AF37,IF($A$1=$AI$1,AI37))))))))))))</f>
        <v/>
      </c>
      <c r="AP37" s="44">
        <f>IF($A$1=$B$1,C37,IF($A$1=$E$1,F37,IF($A$1=$H$1,I37,IF($A$1=$K$1,L37,IF($A$1=$N$1,O37,IF($A$1=$Q$1,R37,IF($A$1=$T$1,U37,IF($A$1=$W$1,X37,IF($A$1=$Z$1,AA37,IF($A$1=$AC$1,AD37,IF($A$1=$AF$1,AG37,IF($A$1=$AI$1,AJ37))))))))))))</f>
        <v/>
      </c>
    </row>
    <row r="38" ht="15.5" customHeight="1">
      <c r="A38" s="26" t="inlineStr">
        <is>
          <t>İncitaş</t>
        </is>
      </c>
      <c r="B38" s="7">
        <f>'A-TRY'!B38</f>
        <v/>
      </c>
      <c r="C38" s="7">
        <f>'A-TRY'!C38</f>
        <v/>
      </c>
      <c r="D38" s="7" t="n"/>
      <c r="E38" s="7">
        <f>B38+'A-TRY'!E38</f>
        <v/>
      </c>
      <c r="F38" s="7">
        <f>C38+'A-TRY'!F38</f>
        <v/>
      </c>
      <c r="G38" s="7" t="n"/>
      <c r="H38" s="7">
        <f>E38+'A-TRY'!H38</f>
        <v/>
      </c>
      <c r="I38" s="7">
        <f>F38+'A-TRY'!I38</f>
        <v/>
      </c>
      <c r="J38" s="7" t="n"/>
      <c r="K38" s="7">
        <f>H38+'A-TRY'!K38</f>
        <v/>
      </c>
      <c r="L38" s="7">
        <f>I38+'A-TRY'!L38</f>
        <v/>
      </c>
      <c r="M38" s="7" t="n"/>
      <c r="N38" s="7">
        <f>K38+'A-TRY'!N38</f>
        <v/>
      </c>
      <c r="O38" s="7">
        <f>L38+'A-TRY'!O38</f>
        <v/>
      </c>
      <c r="P38" s="7" t="n"/>
      <c r="Q38" s="7">
        <f>N38+'A-TRY'!Q38</f>
        <v/>
      </c>
      <c r="R38" s="7">
        <f>O38+'A-TRY'!R38</f>
        <v/>
      </c>
      <c r="S38" s="7" t="n"/>
      <c r="T38" s="7">
        <f>Q38+'A-TRY'!T38</f>
        <v/>
      </c>
      <c r="U38" s="7">
        <f>R38+'A-TRY'!U38</f>
        <v/>
      </c>
      <c r="V38" s="7" t="n"/>
      <c r="W38" s="7">
        <f>T38+'A-TRY'!W38</f>
        <v/>
      </c>
      <c r="X38" s="7">
        <f>U38+'A-TRY'!X38</f>
        <v/>
      </c>
      <c r="Y38" s="7" t="n"/>
      <c r="Z38" s="7">
        <f>W38+'A-TRY'!Z38</f>
        <v/>
      </c>
      <c r="AA38" s="7">
        <f>X38+'A-TRY'!AA38</f>
        <v/>
      </c>
      <c r="AB38" s="7" t="n"/>
      <c r="AC38" s="7">
        <f>Z38+'A-TRY'!AC38</f>
        <v/>
      </c>
      <c r="AD38" s="7">
        <f>AA38+'A-TRY'!AD38</f>
        <v/>
      </c>
      <c r="AE38" s="7" t="n"/>
      <c r="AF38" s="7">
        <f>AC38+'A-TRY'!AF38</f>
        <v/>
      </c>
      <c r="AG38" s="7">
        <f>AD38+'A-TRY'!AG38</f>
        <v/>
      </c>
      <c r="AH38" s="7" t="n"/>
      <c r="AI38" s="7">
        <f>AF38+'A-TRY'!AI38</f>
        <v/>
      </c>
      <c r="AJ38" s="7">
        <f>AG38+'A-TRY'!AJ38</f>
        <v/>
      </c>
      <c r="AK38" s="7" t="n"/>
      <c r="AL38" s="21">
        <f>AP38-AO38</f>
        <v/>
      </c>
      <c r="AM38" s="22">
        <f>AP38/AO38-1</f>
        <v/>
      </c>
      <c r="AO38" s="44">
        <f>IF($A$1=$B$1,B38,IF($A$1=$E$1,E38,IF($A$1=$H$1,H38,IF($A$1=$K$1,K38,IF($A$1=$N$1,N38,IF($A$1=$Q$1,Q38,IF($A$1=$T$1,T38,IF($A$1=$W$1,W38,IF($A$1=$Z$1,Z38,IF($A$1=$AC$1,AC38,IF($A$1=$AF$1,AF38,IF($A$1=$AI$1,AI38))))))))))))</f>
        <v/>
      </c>
      <c r="AP38" s="44">
        <f>IF($A$1=$B$1,C38,IF($A$1=$E$1,F38,IF($A$1=$H$1,I38,IF($A$1=$K$1,L38,IF($A$1=$N$1,O38,IF($A$1=$Q$1,R38,IF($A$1=$T$1,U38,IF($A$1=$W$1,X38,IF($A$1=$Z$1,AA38,IF($A$1=$AC$1,AD38,IF($A$1=$AF$1,AG38,IF($A$1=$AI$1,AJ38))))))))))))</f>
        <v/>
      </c>
    </row>
    <row r="39" ht="15.5" customHeight="1">
      <c r="A39" s="26" t="inlineStr">
        <is>
          <t>İnci GS Yuasa</t>
        </is>
      </c>
      <c r="B39" s="7">
        <f>'A-TRY'!B39</f>
        <v/>
      </c>
      <c r="C39" s="7">
        <f>'A-TRY'!C39</f>
        <v/>
      </c>
      <c r="D39" s="7" t="n"/>
      <c r="E39" s="7">
        <f>B39+'A-TRY'!E39</f>
        <v/>
      </c>
      <c r="F39" s="7">
        <f>C39+'A-TRY'!F39</f>
        <v/>
      </c>
      <c r="G39" s="7" t="n"/>
      <c r="H39" s="7">
        <f>E39+'A-TRY'!H39</f>
        <v/>
      </c>
      <c r="I39" s="7">
        <f>F39+'A-TRY'!I39</f>
        <v/>
      </c>
      <c r="J39" s="7" t="n"/>
      <c r="K39" s="7">
        <f>H39+'A-TRY'!K39</f>
        <v/>
      </c>
      <c r="L39" s="7">
        <f>I39+'A-TRY'!L39</f>
        <v/>
      </c>
      <c r="M39" s="7" t="n"/>
      <c r="N39" s="7">
        <f>K39+'A-TRY'!N39</f>
        <v/>
      </c>
      <c r="O39" s="7">
        <f>L39+'A-TRY'!O39</f>
        <v/>
      </c>
      <c r="P39" s="7" t="n"/>
      <c r="Q39" s="7">
        <f>N39+'A-TRY'!Q39</f>
        <v/>
      </c>
      <c r="R39" s="7">
        <f>O39+'A-TRY'!R39</f>
        <v/>
      </c>
      <c r="S39" s="7" t="n"/>
      <c r="T39" s="7">
        <f>Q39+'A-TRY'!T39</f>
        <v/>
      </c>
      <c r="U39" s="7">
        <f>R39+'A-TRY'!U39</f>
        <v/>
      </c>
      <c r="V39" s="7" t="n"/>
      <c r="W39" s="7">
        <f>T39+'A-TRY'!W39</f>
        <v/>
      </c>
      <c r="X39" s="7">
        <f>U39+'A-TRY'!X39</f>
        <v/>
      </c>
      <c r="Y39" s="7" t="n"/>
      <c r="Z39" s="7">
        <f>W39+'A-TRY'!Z39</f>
        <v/>
      </c>
      <c r="AA39" s="7">
        <f>X39+'A-TRY'!AA39</f>
        <v/>
      </c>
      <c r="AB39" s="7" t="n"/>
      <c r="AC39" s="7">
        <f>Z39+'A-TRY'!AC39</f>
        <v/>
      </c>
      <c r="AD39" s="7">
        <f>AA39+'A-TRY'!AD39</f>
        <v/>
      </c>
      <c r="AE39" s="7" t="n"/>
      <c r="AF39" s="7">
        <f>AC39+'A-TRY'!AF39</f>
        <v/>
      </c>
      <c r="AG39" s="7">
        <f>AD39+'A-TRY'!AG39</f>
        <v/>
      </c>
      <c r="AH39" s="7" t="n"/>
      <c r="AI39" s="7">
        <f>AF39+'A-TRY'!AI39</f>
        <v/>
      </c>
      <c r="AJ39" s="7">
        <f>AG39+'A-TRY'!AJ39</f>
        <v/>
      </c>
      <c r="AK39" s="7" t="n"/>
      <c r="AL39" s="21">
        <f>AP39-AO39</f>
        <v/>
      </c>
      <c r="AM39" s="22">
        <f>AP39/AO39-1</f>
        <v/>
      </c>
      <c r="AO39" s="44">
        <f>IF($A$1=$B$1,B39,IF($A$1=$E$1,E39,IF($A$1=$H$1,H39,IF($A$1=$K$1,K39,IF($A$1=$N$1,N39,IF($A$1=$Q$1,Q39,IF($A$1=$T$1,T39,IF($A$1=$W$1,W39,IF($A$1=$Z$1,Z39,IF($A$1=$AC$1,AC39,IF($A$1=$AF$1,AF39,IF($A$1=$AI$1,AI39))))))))))))</f>
        <v/>
      </c>
      <c r="AP39" s="44">
        <f>IF($A$1=$B$1,C39,IF($A$1=$E$1,F39,IF($A$1=$H$1,I39,IF($A$1=$K$1,L39,IF($A$1=$N$1,O39,IF($A$1=$Q$1,R39,IF($A$1=$T$1,U39,IF($A$1=$W$1,X39,IF($A$1=$Z$1,AA39,IF($A$1=$AC$1,AD39,IF($A$1=$AF$1,AG39,IF($A$1=$AI$1,AJ39))))))))))))</f>
        <v/>
      </c>
    </row>
    <row r="40" ht="15.5" customFormat="1" customHeight="1" s="1">
      <c r="A40" s="26" t="inlineStr">
        <is>
          <t>Yusen İnci Loj.</t>
        </is>
      </c>
      <c r="B40" s="7">
        <f>'A-TRY'!B40</f>
        <v/>
      </c>
      <c r="C40" s="7">
        <f>'A-TRY'!C40</f>
        <v/>
      </c>
      <c r="D40" s="8" t="n"/>
      <c r="E40" s="7">
        <f>B40+'A-TRY'!E40</f>
        <v/>
      </c>
      <c r="F40" s="7">
        <f>C40+'A-TRY'!F40</f>
        <v/>
      </c>
      <c r="G40" s="8" t="n"/>
      <c r="H40" s="7">
        <f>E40+'A-TRY'!H40</f>
        <v/>
      </c>
      <c r="I40" s="7">
        <f>F40+'A-TRY'!I40</f>
        <v/>
      </c>
      <c r="J40" s="8" t="n"/>
      <c r="K40" s="7">
        <f>H40+'A-TRY'!K40</f>
        <v/>
      </c>
      <c r="L40" s="7">
        <f>I40+'A-TRY'!L40</f>
        <v/>
      </c>
      <c r="M40" s="76" t="n"/>
      <c r="N40" s="7">
        <f>K40+'A-TRY'!N40</f>
        <v/>
      </c>
      <c r="O40" s="7">
        <f>L40+'A-TRY'!O40</f>
        <v/>
      </c>
      <c r="P40" s="8" t="n"/>
      <c r="Q40" s="7">
        <f>N40+'A-TRY'!Q40</f>
        <v/>
      </c>
      <c r="R40" s="7">
        <f>O40+'A-TRY'!R40</f>
        <v/>
      </c>
      <c r="S40" s="8" t="n"/>
      <c r="T40" s="7">
        <f>Q40+'A-TRY'!T40</f>
        <v/>
      </c>
      <c r="U40" s="7">
        <f>R40+'A-TRY'!U40</f>
        <v/>
      </c>
      <c r="V40" s="8" t="n"/>
      <c r="W40" s="7">
        <f>T40+'A-TRY'!W40</f>
        <v/>
      </c>
      <c r="X40" s="7">
        <f>U40+'A-TRY'!X40</f>
        <v/>
      </c>
      <c r="Y40" s="8" t="n"/>
      <c r="Z40" s="7">
        <f>W40+'A-TRY'!Z40</f>
        <v/>
      </c>
      <c r="AA40" s="7">
        <f>X40+'A-TRY'!AA40</f>
        <v/>
      </c>
      <c r="AB40" s="8" t="n"/>
      <c r="AC40" s="7">
        <f>Z40+'A-TRY'!AC40</f>
        <v/>
      </c>
      <c r="AD40" s="7">
        <f>AA40+'A-TRY'!AD40</f>
        <v/>
      </c>
      <c r="AE40" s="8" t="n"/>
      <c r="AF40" s="7">
        <f>AC40+'A-TRY'!AF40</f>
        <v/>
      </c>
      <c r="AG40" s="7">
        <f>AD40+'A-TRY'!AG40</f>
        <v/>
      </c>
      <c r="AH40" s="8" t="n"/>
      <c r="AI40" s="7">
        <f>AF40+'A-TRY'!AI40</f>
        <v/>
      </c>
      <c r="AJ40" s="7">
        <f>AG40+'A-TRY'!AJ40</f>
        <v/>
      </c>
      <c r="AK40" s="8" t="n"/>
      <c r="AL40" s="21">
        <f>AP40-AO40</f>
        <v/>
      </c>
      <c r="AM40" s="22">
        <f>AP40/AO40-1</f>
        <v/>
      </c>
      <c r="AO40" s="44">
        <f>IF($A$1=$B$1,B40,IF($A$1=$E$1,E40,IF($A$1=$H$1,H40,IF($A$1=$K$1,K40,IF($A$1=$N$1,N40,IF($A$1=$Q$1,Q40,IF($A$1=$T$1,T40,IF($A$1=$W$1,W40,IF($A$1=$Z$1,Z40,IF($A$1=$AC$1,AC40,IF($A$1=$AF$1,AF40,IF($A$1=$AI$1,AI40))))))))))))</f>
        <v/>
      </c>
      <c r="AP40" s="44">
        <f>IF($A$1=$B$1,C40,IF($A$1=$E$1,F40,IF($A$1=$H$1,I40,IF($A$1=$K$1,L40,IF($A$1=$N$1,O40,IF($A$1=$Q$1,R40,IF($A$1=$T$1,U40,IF($A$1=$W$1,X40,IF($A$1=$Z$1,AA40,IF($A$1=$AC$1,AD40,IF($A$1=$AF$1,AG40,IF($A$1=$AI$1,AJ40))))))))))))</f>
        <v/>
      </c>
    </row>
    <row r="41" ht="15.5" customHeight="1">
      <c r="A41" s="26" t="inlineStr">
        <is>
          <t>Jantaş</t>
        </is>
      </c>
      <c r="B41" s="7">
        <f>'A-TRY'!B41</f>
        <v/>
      </c>
      <c r="C41" s="7">
        <f>'A-TRY'!C41</f>
        <v/>
      </c>
      <c r="D41" s="7" t="n"/>
      <c r="E41" s="7">
        <f>B41+'A-TRY'!E41</f>
        <v/>
      </c>
      <c r="F41" s="7">
        <f>C41+'A-TRY'!F41</f>
        <v/>
      </c>
      <c r="G41" s="7" t="n"/>
      <c r="H41" s="7">
        <f>E41+'A-TRY'!H41</f>
        <v/>
      </c>
      <c r="I41" s="7">
        <f>F41+'A-TRY'!I41</f>
        <v/>
      </c>
      <c r="J41" s="7" t="n"/>
      <c r="K41" s="7">
        <f>H41+'A-TRY'!K41</f>
        <v/>
      </c>
      <c r="L41" s="7">
        <f>I41+'A-TRY'!L41</f>
        <v/>
      </c>
      <c r="M41" s="7" t="n"/>
      <c r="N41" s="7">
        <f>K41+'A-TRY'!N41</f>
        <v/>
      </c>
      <c r="O41" s="7">
        <f>L41+'A-TRY'!O41</f>
        <v/>
      </c>
      <c r="P41" s="7" t="n"/>
      <c r="Q41" s="7">
        <f>N41+'A-TRY'!Q41</f>
        <v/>
      </c>
      <c r="R41" s="7">
        <f>O41+'A-TRY'!R41</f>
        <v/>
      </c>
      <c r="S41" s="7" t="n"/>
      <c r="T41" s="7">
        <f>Q41+'A-TRY'!T41</f>
        <v/>
      </c>
      <c r="U41" s="7">
        <f>R41+'A-TRY'!U41</f>
        <v/>
      </c>
      <c r="V41" s="7" t="n"/>
      <c r="W41" s="7">
        <f>T41+'A-TRY'!W41</f>
        <v/>
      </c>
      <c r="X41" s="7">
        <f>U41+'A-TRY'!X41</f>
        <v/>
      </c>
      <c r="Y41" s="7" t="n"/>
      <c r="Z41" s="7">
        <f>W41+'A-TRY'!Z41</f>
        <v/>
      </c>
      <c r="AA41" s="7">
        <f>X41+'A-TRY'!AA41</f>
        <v/>
      </c>
      <c r="AB41" s="7" t="n"/>
      <c r="AC41" s="7">
        <f>Z41+'A-TRY'!AC41</f>
        <v/>
      </c>
      <c r="AD41" s="7">
        <f>AA41+'A-TRY'!AD41</f>
        <v/>
      </c>
      <c r="AE41" s="7" t="n"/>
      <c r="AF41" s="7">
        <f>AC41+'A-TRY'!AF41</f>
        <v/>
      </c>
      <c r="AG41" s="7">
        <f>AD41+'A-TRY'!AG41</f>
        <v/>
      </c>
      <c r="AH41" s="7" t="n"/>
      <c r="AI41" s="7">
        <f>AF41+'A-TRY'!AI41</f>
        <v/>
      </c>
      <c r="AJ41" s="7">
        <f>AG41+'A-TRY'!AJ41</f>
        <v/>
      </c>
      <c r="AK41" s="7" t="n"/>
      <c r="AL41" s="21">
        <f>AP41-AO41</f>
        <v/>
      </c>
      <c r="AM41" s="22">
        <f>AP41/AO41-1</f>
        <v/>
      </c>
      <c r="AO41" s="44">
        <f>IF($A$1=$B$1,B41,IF($A$1=$E$1,E41,IF($A$1=$H$1,H41,IF($A$1=$K$1,K41,IF($A$1=$N$1,N41,IF($A$1=$Q$1,Q41,IF($A$1=$T$1,T41,IF($A$1=$W$1,W41,IF($A$1=$Z$1,Z41,IF($A$1=$AC$1,AC41,IF($A$1=$AF$1,AF41,IF($A$1=$AI$1,AI41))))))))))))</f>
        <v/>
      </c>
      <c r="AP41" s="44">
        <f>IF($A$1=$B$1,C41,IF($A$1=$E$1,F41,IF($A$1=$H$1,I41,IF($A$1=$K$1,L41,IF($A$1=$N$1,O41,IF($A$1=$Q$1,R41,IF($A$1=$T$1,U41,IF($A$1=$W$1,X41,IF($A$1=$Z$1,AA41,IF($A$1=$AC$1,AD41,IF($A$1=$AF$1,AG41,IF($A$1=$AI$1,AJ41))))))))))))</f>
        <v/>
      </c>
    </row>
    <row r="42" ht="15.5" customHeight="1">
      <c r="A42" s="26" t="inlineStr">
        <is>
          <t>Çelik</t>
        </is>
      </c>
      <c r="B42" s="7">
        <f>'A-TRY'!B42</f>
        <v/>
      </c>
      <c r="C42" s="7">
        <f>'A-TRY'!C42</f>
        <v/>
      </c>
      <c r="D42" s="7" t="n"/>
      <c r="E42" s="7">
        <f>B42+'A-TRY'!E42</f>
        <v/>
      </c>
      <c r="F42" s="7">
        <f>C42+'A-TRY'!F42</f>
        <v/>
      </c>
      <c r="G42" s="7" t="n"/>
      <c r="H42" s="7">
        <f>E42+'A-TRY'!H42</f>
        <v/>
      </c>
      <c r="I42" s="7">
        <f>F42+'A-TRY'!I42</f>
        <v/>
      </c>
      <c r="J42" s="7" t="n"/>
      <c r="K42" s="7">
        <f>H42+'A-TRY'!K42</f>
        <v/>
      </c>
      <c r="L42" s="7">
        <f>I42+'A-TRY'!L42</f>
        <v/>
      </c>
      <c r="M42" s="7" t="n"/>
      <c r="N42" s="7">
        <f>K42+'A-TRY'!N42</f>
        <v/>
      </c>
      <c r="O42" s="7">
        <f>L42+'A-TRY'!O42</f>
        <v/>
      </c>
      <c r="P42" s="7" t="n"/>
      <c r="Q42" s="7">
        <f>N42+'A-TRY'!Q42</f>
        <v/>
      </c>
      <c r="R42" s="7">
        <f>O42+'A-TRY'!R42</f>
        <v/>
      </c>
      <c r="S42" s="7" t="n"/>
      <c r="T42" s="7">
        <f>Q42+'A-TRY'!T42</f>
        <v/>
      </c>
      <c r="U42" s="7">
        <f>R42+'A-TRY'!U42</f>
        <v/>
      </c>
      <c r="V42" s="7" t="n"/>
      <c r="W42" s="7">
        <f>T42+'A-TRY'!W42</f>
        <v/>
      </c>
      <c r="X42" s="7">
        <f>U42+'A-TRY'!X42</f>
        <v/>
      </c>
      <c r="Y42" s="7" t="n"/>
      <c r="Z42" s="7">
        <f>W42+'A-TRY'!Z42</f>
        <v/>
      </c>
      <c r="AA42" s="7">
        <f>X42+'A-TRY'!AA42</f>
        <v/>
      </c>
      <c r="AB42" s="7" t="n"/>
      <c r="AC42" s="7">
        <f>Z42+'A-TRY'!AC42</f>
        <v/>
      </c>
      <c r="AD42" s="7">
        <f>AA42+'A-TRY'!AD42</f>
        <v/>
      </c>
      <c r="AE42" s="7" t="n"/>
      <c r="AF42" s="7">
        <f>AC42+'A-TRY'!AF42</f>
        <v/>
      </c>
      <c r="AG42" s="7">
        <f>AD42+'A-TRY'!AG42</f>
        <v/>
      </c>
      <c r="AH42" s="7" t="n"/>
      <c r="AI42" s="7">
        <f>AF42+'A-TRY'!AI42</f>
        <v/>
      </c>
      <c r="AJ42" s="7">
        <f>AG42+'A-TRY'!AJ42</f>
        <v/>
      </c>
      <c r="AK42" s="7" t="n"/>
      <c r="AL42" s="21">
        <f>AP42-AO42</f>
        <v/>
      </c>
      <c r="AM42" s="22">
        <f>AP42/AO42-1</f>
        <v/>
      </c>
      <c r="AO42" s="44">
        <f>IF($A$1=$B$1,B42,IF($A$1=$E$1,E42,IF($A$1=$H$1,H42,IF($A$1=$K$1,K42,IF($A$1=$N$1,N42,IF($A$1=$Q$1,Q42,IF($A$1=$T$1,T42,IF($A$1=$W$1,W42,IF($A$1=$Z$1,Z42,IF($A$1=$AC$1,AC42,IF($A$1=$AF$1,AF42,IF($A$1=$AI$1,AI42))))))))))))</f>
        <v/>
      </c>
      <c r="AP42" s="44">
        <f>IF($A$1=$B$1,C42,IF($A$1=$E$1,F42,IF($A$1=$H$1,I42,IF($A$1=$K$1,L42,IF($A$1=$N$1,O42,IF($A$1=$Q$1,R42,IF($A$1=$T$1,U42,IF($A$1=$W$1,X42,IF($A$1=$Z$1,AA42,IF($A$1=$AC$1,AD42,IF($A$1=$AF$1,AG42,IF($A$1=$AI$1,AJ42))))))))))))</f>
        <v/>
      </c>
    </row>
    <row r="43" ht="15.5" customHeight="1">
      <c r="A43" s="26" t="inlineStr">
        <is>
          <t>Alüminyum</t>
        </is>
      </c>
      <c r="B43" s="7">
        <f>'A-TRY'!B43</f>
        <v/>
      </c>
      <c r="C43" s="7">
        <f>'A-TRY'!C43</f>
        <v/>
      </c>
      <c r="D43" s="7" t="n"/>
      <c r="E43" s="7">
        <f>B43+'A-TRY'!E43</f>
        <v/>
      </c>
      <c r="F43" s="7">
        <f>C43+'A-TRY'!F43</f>
        <v/>
      </c>
      <c r="G43" s="7" t="n"/>
      <c r="H43" s="7">
        <f>E43+'A-TRY'!H43</f>
        <v/>
      </c>
      <c r="I43" s="7">
        <f>F43+'A-TRY'!I43</f>
        <v/>
      </c>
      <c r="J43" s="7" t="n"/>
      <c r="K43" s="7">
        <f>H43+'A-TRY'!K43</f>
        <v/>
      </c>
      <c r="L43" s="7">
        <f>I43+'A-TRY'!L43</f>
        <v/>
      </c>
      <c r="M43" s="7" t="n"/>
      <c r="N43" s="7">
        <f>K43+'A-TRY'!N43</f>
        <v/>
      </c>
      <c r="O43" s="7">
        <f>L43+'A-TRY'!O43</f>
        <v/>
      </c>
      <c r="P43" s="7" t="n"/>
      <c r="Q43" s="7">
        <f>N43+'A-TRY'!Q43</f>
        <v/>
      </c>
      <c r="R43" s="7">
        <f>O43+'A-TRY'!R43</f>
        <v/>
      </c>
      <c r="S43" s="7" t="n"/>
      <c r="T43" s="7">
        <f>Q43+'A-TRY'!T43</f>
        <v/>
      </c>
      <c r="U43" s="7">
        <f>R43+'A-TRY'!U43</f>
        <v/>
      </c>
      <c r="V43" s="7" t="n"/>
      <c r="W43" s="7">
        <f>T43+'A-TRY'!W43</f>
        <v/>
      </c>
      <c r="X43" s="7">
        <f>U43+'A-TRY'!X43</f>
        <v/>
      </c>
      <c r="Y43" s="7" t="n"/>
      <c r="Z43" s="7">
        <f>W43+'A-TRY'!Z43</f>
        <v/>
      </c>
      <c r="AA43" s="7">
        <f>X43+'A-TRY'!AA43</f>
        <v/>
      </c>
      <c r="AB43" s="7" t="n"/>
      <c r="AC43" s="7">
        <f>Z43+'A-TRY'!AC43</f>
        <v/>
      </c>
      <c r="AD43" s="7">
        <f>AA43+'A-TRY'!AD43</f>
        <v/>
      </c>
      <c r="AE43" s="7" t="n"/>
      <c r="AF43" s="7">
        <f>AC43+'A-TRY'!AF43</f>
        <v/>
      </c>
      <c r="AG43" s="7">
        <f>AD43+'A-TRY'!AG43</f>
        <v/>
      </c>
      <c r="AH43" s="7" t="n"/>
      <c r="AI43" s="7">
        <f>AF43+'A-TRY'!AI43</f>
        <v/>
      </c>
      <c r="AJ43" s="7">
        <f>AG43+'A-TRY'!AJ43</f>
        <v/>
      </c>
      <c r="AK43" s="7" t="n"/>
      <c r="AL43" s="21">
        <f>AP43-AO43</f>
        <v/>
      </c>
      <c r="AM43" s="22">
        <f>AP43/AO43-1</f>
        <v/>
      </c>
      <c r="AO43" s="44">
        <f>IF($A$1=$B$1,B43,IF($A$1=$E$1,E43,IF($A$1=$H$1,H43,IF($A$1=$K$1,K43,IF($A$1=$N$1,N43,IF($A$1=$Q$1,Q43,IF($A$1=$T$1,T43,IF($A$1=$W$1,W43,IF($A$1=$Z$1,Z43,IF($A$1=$AC$1,AC43,IF($A$1=$AF$1,AF43,IF($A$1=$AI$1,AI43))))))))))))</f>
        <v/>
      </c>
      <c r="AP43" s="44">
        <f>IF($A$1=$B$1,C43,IF($A$1=$E$1,F43,IF($A$1=$H$1,I43,IF($A$1=$K$1,L43,IF($A$1=$N$1,O43,IF($A$1=$Q$1,R43,IF($A$1=$T$1,U43,IF($A$1=$W$1,X43,IF($A$1=$Z$1,AA43,IF($A$1=$AC$1,AD43,IF($A$1=$AF$1,AG43,IF($A$1=$AI$1,AJ43))))))))))))</f>
        <v/>
      </c>
    </row>
    <row r="44" ht="15.5" customHeight="1">
      <c r="A44" s="2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21" t="n"/>
      <c r="AM44" s="22" t="n"/>
      <c r="AO44" s="44">
        <f>IF($A$1=$B$1,B44,IF($A$1=$E$1,E44,IF($A$1=$H$1,H44,IF($A$1=$K$1,K44,IF($A$1=$N$1,N44,IF($A$1=$Q$1,Q44,IF($A$1=$T$1,T44,IF($A$1=$W$1,W44,IF($A$1=$Z$1,Z44,IF($A$1=$AC$1,AC44,IF($A$1=$AF$1,AF44,IF($A$1=$AI$1,AI44))))))))))))</f>
        <v/>
      </c>
      <c r="AP44" s="44">
        <f>IF($A$1=$B$1,C44,IF($A$1=$E$1,F44,IF($A$1=$H$1,I44,IF($A$1=$K$1,L44,IF($A$1=$N$1,O44,IF($A$1=$Q$1,R44,IF($A$1=$T$1,U44,IF($A$1=$W$1,X44,IF($A$1=$Z$1,AA44,IF($A$1=$AC$1,AD44,IF($A$1=$AF$1,AG44,IF($A$1=$AI$1,AJ44))))))))))))</f>
        <v/>
      </c>
    </row>
    <row r="45" hidden="1" ht="15.75" customHeight="1">
      <c r="A45" s="2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21">
        <f>AP45-AO45</f>
        <v/>
      </c>
      <c r="AM45" s="22">
        <f>AP45/AO45-1</f>
        <v/>
      </c>
      <c r="AO45" s="44">
        <f>IF($A$1=$B$1,B45,IF($A$1=$E$1,E45,IF($A$1=$H$1,H45,IF($A$1=$K$1,K45,IF($A$1=$N$1,N45,IF($A$1=$Q$1,Q45,IF($A$1=$T$1,T45,IF($A$1=$W$1,W45,IF($A$1=$Z$1,Z45,IF($A$1=$AC$1,AC45,IF($A$1=$AF$1,AF45,IF($A$1=$AI$1,AI45))))))))))))</f>
        <v/>
      </c>
      <c r="AP45" s="44">
        <f>IF($A$1=$B$1,C45,IF($A$1=$E$1,F45,IF($A$1=$H$1,I45,IF($A$1=$K$1,L45,IF($A$1=$N$1,O45,IF($A$1=$Q$1,R45,IF($A$1=$T$1,U45,IF($A$1=$W$1,X45,IF($A$1=$Z$1,AA45,IF($A$1=$AC$1,AD45,IF($A$1=$AF$1,AG45,IF($A$1=$AI$1,AJ45))))))))))))</f>
        <v/>
      </c>
    </row>
    <row r="46" hidden="1" ht="15.75" customFormat="1" customHeight="1" s="1">
      <c r="A46" s="27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15">
        <f>AP46-AO46</f>
        <v/>
      </c>
      <c r="AM46" s="16">
        <f>AP46/AO46-1</f>
        <v/>
      </c>
      <c r="AO46" s="44">
        <f>IF($A$1=$B$1,B46,IF($A$1=$E$1,E46,IF($A$1=$H$1,H46,IF($A$1=$K$1,K46,IF($A$1=$N$1,N46,IF($A$1=$Q$1,Q46,IF($A$1=$T$1,T46,IF($A$1=$W$1,W46,IF($A$1=$Z$1,Z46,IF($A$1=$AC$1,AC46,IF($A$1=$AF$1,AF46,IF($A$1=$AI$1,AI46))))))))))))</f>
        <v/>
      </c>
      <c r="AP46" s="44">
        <f>IF($A$1=$B$1,C46,IF($A$1=$E$1,F46,IF($A$1=$H$1,I46,IF($A$1=$K$1,L46,IF($A$1=$N$1,O46,IF($A$1=$Q$1,R46,IF($A$1=$T$1,U46,IF($A$1=$W$1,X46,IF($A$1=$Z$1,AA46,IF($A$1=$AC$1,AD46,IF($A$1=$AF$1,AG46,IF($A$1=$AI$1,AJ46))))))))))))</f>
        <v/>
      </c>
    </row>
    <row r="47" hidden="1" ht="15.75" customHeight="1">
      <c r="A47" s="2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21">
        <f>AP47-AO47</f>
        <v/>
      </c>
      <c r="AM47" s="22">
        <f>AP47/AO47-1</f>
        <v/>
      </c>
      <c r="AO47" s="44">
        <f>IF($A$1=$B$1,B47,IF($A$1=$E$1,E47,IF($A$1=$H$1,H47,IF($A$1=$K$1,K47,IF($A$1=$N$1,N47,IF($A$1=$Q$1,Q47,IF($A$1=$T$1,T47,IF($A$1=$W$1,W47,IF($A$1=$Z$1,Z47,IF($A$1=$AC$1,AC47,IF($A$1=$AF$1,AF47,IF($A$1=$AI$1,AI47))))))))))))</f>
        <v/>
      </c>
      <c r="AP47" s="44">
        <f>IF($A$1=$B$1,C47,IF($A$1=$E$1,F47,IF($A$1=$H$1,I47,IF($A$1=$K$1,L47,IF($A$1=$N$1,O47,IF($A$1=$Q$1,R47,IF($A$1=$T$1,U47,IF($A$1=$W$1,X47,IF($A$1=$Z$1,AA47,IF($A$1=$AC$1,AD47,IF($A$1=$AF$1,AG47,IF($A$1=$AI$1,AJ47))))))))))))</f>
        <v/>
      </c>
    </row>
    <row r="48" hidden="1" ht="15.75" customFormat="1" customHeight="1" s="1">
      <c r="A48" s="27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15">
        <f>AP48-AO48</f>
        <v/>
      </c>
      <c r="AM48" s="16">
        <f>AP48/AO48-1</f>
        <v/>
      </c>
      <c r="AO48" s="44">
        <f>IF($A$1=$B$1,B48,IF($A$1=$E$1,E48,IF($A$1=$H$1,H48,IF($A$1=$K$1,K48,IF($A$1=$N$1,N48,IF($A$1=$Q$1,Q48,IF($A$1=$T$1,T48,IF($A$1=$W$1,W48,IF($A$1=$Z$1,Z48,IF($A$1=$AC$1,AC48,IF($A$1=$AF$1,AF48,IF($A$1=$AI$1,AI48))))))))))))</f>
        <v/>
      </c>
      <c r="AP48" s="44">
        <f>IF($A$1=$B$1,C48,IF($A$1=$E$1,F48,IF($A$1=$H$1,I48,IF($A$1=$K$1,L48,IF($A$1=$N$1,O48,IF($A$1=$Q$1,R48,IF($A$1=$T$1,U48,IF($A$1=$W$1,X48,IF($A$1=$Z$1,AA48,IF($A$1=$AC$1,AD48,IF($A$1=$AF$1,AG48,IF($A$1=$AI$1,AJ48))))))))))))</f>
        <v/>
      </c>
    </row>
    <row r="49" hidden="1" ht="15.75" customHeight="1">
      <c r="A49" s="2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21" t="n"/>
      <c r="AM49" s="22" t="n"/>
      <c r="AO49" s="44">
        <f>IF($A$1=$B$1,B49,IF($A$1=$E$1,E49,IF($A$1=$H$1,H49,IF($A$1=$K$1,K49,IF($A$1=$N$1,N49,IF($A$1=$Q$1,Q49,IF($A$1=$T$1,T49,IF($A$1=$W$1,W49,IF($A$1=$Z$1,Z49,IF($A$1=$AC$1,AC49,IF($A$1=$AF$1,AF49,IF($A$1=$AI$1,AI49))))))))))))</f>
        <v/>
      </c>
      <c r="AP49" s="44">
        <f>IF($A$1=$B$1,C49,IF($A$1=$E$1,F49,IF($A$1=$H$1,I49,IF($A$1=$K$1,L49,IF($A$1=$N$1,O49,IF($A$1=$Q$1,R49,IF($A$1=$T$1,U49,IF($A$1=$W$1,X49,IF($A$1=$Z$1,AA49,IF($A$1=$AC$1,AD49,IF($A$1=$AF$1,AG49,IF($A$1=$AI$1,AJ49))))))))))))</f>
        <v/>
      </c>
    </row>
    <row r="50" hidden="1" ht="15.75" customHeight="1">
      <c r="A50" s="2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21">
        <f>AP50-AO50</f>
        <v/>
      </c>
      <c r="AM50" s="22">
        <f>AP50/AO50-1</f>
        <v/>
      </c>
      <c r="AO50" s="44">
        <f>IF($A$1=$B$1,B50,IF($A$1=$E$1,E50,IF($A$1=$H$1,H50,IF($A$1=$K$1,K50,IF($A$1=$N$1,N50,IF($A$1=$Q$1,Q50,IF($A$1=$T$1,T50,IF($A$1=$W$1,W50,IF($A$1=$Z$1,Z50,IF($A$1=$AC$1,AC50,IF($A$1=$AF$1,AF50,IF($A$1=$AI$1,AI50))))))))))))</f>
        <v/>
      </c>
      <c r="AP50" s="44">
        <f>IF($A$1=$B$1,C50,IF($A$1=$E$1,F50,IF($A$1=$H$1,I50,IF($A$1=$K$1,L50,IF($A$1=$N$1,O50,IF($A$1=$Q$1,R50,IF($A$1=$T$1,U50,IF($A$1=$W$1,X50,IF($A$1=$Z$1,AA50,IF($A$1=$AC$1,AD50,IF($A$1=$AF$1,AG50,IF($A$1=$AI$1,AJ50))))))))))))</f>
        <v/>
      </c>
    </row>
    <row r="51" hidden="1" ht="15.75" customHeight="1">
      <c r="A51" s="2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21">
        <f>AP51-AO51</f>
        <v/>
      </c>
      <c r="AM51" s="22">
        <f>AP51/AO51-1</f>
        <v/>
      </c>
      <c r="AO51" s="44">
        <f>IF($A$1=$B$1,B51,IF($A$1=$E$1,E51,IF($A$1=$H$1,H51,IF($A$1=$K$1,K51,IF($A$1=$N$1,N51,IF($A$1=$Q$1,Q51,IF($A$1=$T$1,T51,IF($A$1=$W$1,W51,IF($A$1=$Z$1,Z51,IF($A$1=$AC$1,AC51,IF($A$1=$AF$1,AF51,IF($A$1=$AI$1,AI51))))))))))))</f>
        <v/>
      </c>
      <c r="AP51" s="44">
        <f>IF($A$1=$B$1,C51,IF($A$1=$E$1,F51,IF($A$1=$H$1,I51,IF($A$1=$K$1,L51,IF($A$1=$N$1,O51,IF($A$1=$Q$1,R51,IF($A$1=$T$1,U51,IF($A$1=$W$1,X51,IF($A$1=$Z$1,AA51,IF($A$1=$AC$1,AD51,IF($A$1=$AF$1,AG51,IF($A$1=$AI$1,AJ51))))))))))))</f>
        <v/>
      </c>
    </row>
    <row r="52" hidden="1" ht="15.75" customHeight="1">
      <c r="A52" s="2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21">
        <f>AP52-AO52</f>
        <v/>
      </c>
      <c r="AM52" s="22">
        <f>AP52/AO52-1</f>
        <v/>
      </c>
      <c r="AO52" s="44">
        <f>IF($A$1=$B$1,B52,IF($A$1=$E$1,E52,IF($A$1=$H$1,H52,IF($A$1=$K$1,K52,IF($A$1=$N$1,N52,IF($A$1=$Q$1,Q52,IF($A$1=$T$1,T52,IF($A$1=$W$1,W52,IF($A$1=$Z$1,Z52,IF($A$1=$AC$1,AC52,IF($A$1=$AF$1,AF52,IF($A$1=$AI$1,AI52))))))))))))</f>
        <v/>
      </c>
      <c r="AP52" s="44">
        <f>IF($A$1=$B$1,C52,IF($A$1=$E$1,F52,IF($A$1=$H$1,I52,IF($A$1=$K$1,L52,IF($A$1=$N$1,O52,IF($A$1=$Q$1,R52,IF($A$1=$T$1,U52,IF($A$1=$W$1,X52,IF($A$1=$Z$1,AA52,IF($A$1=$AC$1,AD52,IF($A$1=$AF$1,AG52,IF($A$1=$AI$1,AJ52))))))))))))</f>
        <v/>
      </c>
    </row>
    <row r="53" hidden="1" ht="15.75" customHeight="1">
      <c r="A53" s="2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21">
        <f>AP53-AO53</f>
        <v/>
      </c>
      <c r="AM53" s="22">
        <f>AP53/AO53-1</f>
        <v/>
      </c>
      <c r="AO53" s="44">
        <f>IF($A$1=$B$1,B53,IF($A$1=$E$1,E53,IF($A$1=$H$1,H53,IF($A$1=$K$1,K53,IF($A$1=$N$1,N53,IF($A$1=$Q$1,Q53,IF($A$1=$T$1,T53,IF($A$1=$W$1,W53,IF($A$1=$Z$1,Z53,IF($A$1=$AC$1,AC53,IF($A$1=$AF$1,AF53,IF($A$1=$AI$1,AI53))))))))))))</f>
        <v/>
      </c>
      <c r="AP53" s="44">
        <f>IF($A$1=$B$1,C53,IF($A$1=$E$1,F53,IF($A$1=$H$1,I53,IF($A$1=$K$1,L53,IF($A$1=$N$1,O53,IF($A$1=$Q$1,R53,IF($A$1=$T$1,U53,IF($A$1=$W$1,X53,IF($A$1=$Z$1,AA53,IF($A$1=$AC$1,AD53,IF($A$1=$AF$1,AG53,IF($A$1=$AI$1,AJ53))))))))))))</f>
        <v/>
      </c>
    </row>
    <row r="54" hidden="1" ht="15.75" customFormat="1" customHeight="1" s="1">
      <c r="A54" s="27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15">
        <f>AP54-AO54</f>
        <v/>
      </c>
      <c r="AM54" s="16">
        <f>AP54/AO54-1</f>
        <v/>
      </c>
      <c r="AO54" s="44">
        <f>IF($A$1=$B$1,B54,IF($A$1=$E$1,E54,IF($A$1=$H$1,H54,IF($A$1=$K$1,K54,IF($A$1=$N$1,N54,IF($A$1=$Q$1,Q54,IF($A$1=$T$1,T54,IF($A$1=$W$1,W54,IF($A$1=$Z$1,Z54,IF($A$1=$AC$1,AC54,IF($A$1=$AF$1,AF54,IF($A$1=$AI$1,AI54))))))))))))</f>
        <v/>
      </c>
      <c r="AP54" s="44">
        <f>IF($A$1=$B$1,C54,IF($A$1=$E$1,F54,IF($A$1=$H$1,I54,IF($A$1=$K$1,L54,IF($A$1=$N$1,O54,IF($A$1=$Q$1,R54,IF($A$1=$T$1,U54,IF($A$1=$W$1,X54,IF($A$1=$Z$1,AA54,IF($A$1=$AC$1,AD54,IF($A$1=$AF$1,AG54,IF($A$1=$AI$1,AJ54))))))))))))</f>
        <v/>
      </c>
    </row>
    <row r="55" hidden="1" ht="15.75" customHeight="1">
      <c r="A55" s="2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21">
        <f>AP55-AO55</f>
        <v/>
      </c>
      <c r="AM55" s="22">
        <f>AP55/AO55-1</f>
        <v/>
      </c>
      <c r="AO55" s="44">
        <f>IF($A$1=$B$1,B55,IF($A$1=$E$1,E55,IF($A$1=$H$1,H55,IF($A$1=$K$1,K55,IF($A$1=$N$1,N55,IF($A$1=$Q$1,Q55,IF($A$1=$T$1,T55,IF($A$1=$W$1,W55,IF($A$1=$Z$1,Z55,IF($A$1=$AC$1,AC55,IF($A$1=$AF$1,AF55,IF($A$1=$AI$1,AI55))))))))))))</f>
        <v/>
      </c>
      <c r="AP55" s="44">
        <f>IF($A$1=$B$1,C55,IF($A$1=$E$1,F55,IF($A$1=$H$1,I55,IF($A$1=$K$1,L55,IF($A$1=$N$1,O55,IF($A$1=$Q$1,R55,IF($A$1=$T$1,U55,IF($A$1=$W$1,X55,IF($A$1=$Z$1,AA55,IF($A$1=$AC$1,AD55,IF($A$1=$AF$1,AG55,IF($A$1=$AI$1,AJ55))))))))))))</f>
        <v/>
      </c>
    </row>
    <row r="56" hidden="1" ht="15.75" customHeight="1">
      <c r="A56" s="2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21">
        <f>AP56-AO56</f>
        <v/>
      </c>
      <c r="AM56" s="22">
        <f>AP56/AO56-1</f>
        <v/>
      </c>
      <c r="AO56" s="44">
        <f>IF($A$1=$B$1,B56,IF($A$1=$E$1,E56,IF($A$1=$H$1,H56,IF($A$1=$K$1,K56,IF($A$1=$N$1,N56,IF($A$1=$Q$1,Q56,IF($A$1=$T$1,T56,IF($A$1=$W$1,W56,IF($A$1=$Z$1,Z56,IF($A$1=$AC$1,AC56,IF($A$1=$AF$1,AF56,IF($A$1=$AI$1,AI56))))))))))))</f>
        <v/>
      </c>
      <c r="AP56" s="44">
        <f>IF($A$1=$B$1,C56,IF($A$1=$E$1,F56,IF($A$1=$H$1,I56,IF($A$1=$K$1,L56,IF($A$1=$N$1,O56,IF($A$1=$Q$1,R56,IF($A$1=$T$1,U56,IF($A$1=$W$1,X56,IF($A$1=$Z$1,AA56,IF($A$1=$AC$1,AD56,IF($A$1=$AF$1,AG56,IF($A$1=$AI$1,AJ56))))))))))))</f>
        <v/>
      </c>
    </row>
    <row r="57" hidden="1" ht="15.75" customHeight="1">
      <c r="A57" s="2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21">
        <f>AP57-AO57</f>
        <v/>
      </c>
      <c r="AM57" s="22">
        <f>AP57/AO57-1</f>
        <v/>
      </c>
      <c r="AO57" s="44">
        <f>IF($A$1=$B$1,B57,IF($A$1=$E$1,E57,IF($A$1=$H$1,H57,IF($A$1=$K$1,K57,IF($A$1=$N$1,N57,IF($A$1=$Q$1,Q57,IF($A$1=$T$1,T57,IF($A$1=$W$1,W57,IF($A$1=$Z$1,Z57,IF($A$1=$AC$1,AC57,IF($A$1=$AF$1,AF57,IF($A$1=$AI$1,AI57))))))))))))</f>
        <v/>
      </c>
      <c r="AP57" s="44">
        <f>IF($A$1=$B$1,C57,IF($A$1=$E$1,F57,IF($A$1=$H$1,I57,IF($A$1=$K$1,L57,IF($A$1=$N$1,O57,IF($A$1=$Q$1,R57,IF($A$1=$T$1,U57,IF($A$1=$W$1,X57,IF($A$1=$Z$1,AA57,IF($A$1=$AC$1,AD57,IF($A$1=$AF$1,AG57,IF($A$1=$AI$1,AJ57))))))))))))</f>
        <v/>
      </c>
    </row>
    <row r="58" hidden="1" ht="15.75" customHeight="1">
      <c r="A58" s="26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21">
        <f>AP58-AO58</f>
        <v/>
      </c>
      <c r="AM58" s="22">
        <f>AP58/AO58-1</f>
        <v/>
      </c>
      <c r="AO58" s="44">
        <f>IF($A$1=$B$1,B58,IF($A$1=$E$1,E58,IF($A$1=$H$1,H58,IF($A$1=$K$1,K58,IF($A$1=$N$1,N58,IF($A$1=$Q$1,Q58,IF($A$1=$T$1,T58,IF($A$1=$W$1,W58,IF($A$1=$Z$1,Z58,IF($A$1=$AC$1,AC58,IF($A$1=$AF$1,AF58,IF($A$1=$AI$1,AI58))))))))))))</f>
        <v/>
      </c>
      <c r="AP58" s="44">
        <f>IF($A$1=$B$1,C58,IF($A$1=$E$1,F58,IF($A$1=$H$1,I58,IF($A$1=$K$1,L58,IF($A$1=$N$1,O58,IF($A$1=$Q$1,R58,IF($A$1=$T$1,U58,IF($A$1=$W$1,X58,IF($A$1=$Z$1,AA58,IF($A$1=$AC$1,AD58,IF($A$1=$AF$1,AG58,IF($A$1=$AI$1,AJ58))))))))))))</f>
        <v/>
      </c>
    </row>
    <row r="59" hidden="1" ht="15.75" customHeight="1">
      <c r="A59" s="26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21">
        <f>AP59-AO59</f>
        <v/>
      </c>
      <c r="AM59" s="22">
        <f>AP59/AO59-1</f>
        <v/>
      </c>
      <c r="AO59" s="44">
        <f>IF($A$1=$B$1,B59,IF($A$1=$E$1,E59,IF($A$1=$H$1,H59,IF($A$1=$K$1,K59,IF($A$1=$N$1,N59,IF($A$1=$Q$1,Q59,IF($A$1=$T$1,T59,IF($A$1=$W$1,W59,IF($A$1=$Z$1,Z59,IF($A$1=$AC$1,AC59,IF($A$1=$AF$1,AF59,IF($A$1=$AI$1,AI59))))))))))))</f>
        <v/>
      </c>
      <c r="AP59" s="44">
        <f>IF($A$1=$B$1,C59,IF($A$1=$E$1,F59,IF($A$1=$H$1,I59,IF($A$1=$K$1,L59,IF($A$1=$N$1,O59,IF($A$1=$Q$1,R59,IF($A$1=$T$1,U59,IF($A$1=$W$1,X59,IF($A$1=$Z$1,AA59,IF($A$1=$AC$1,AD59,IF($A$1=$AF$1,AG59,IF($A$1=$AI$1,AJ59))))))))))))</f>
        <v/>
      </c>
    </row>
    <row r="60" hidden="1" ht="15.75" customFormat="1" customHeight="1" s="1">
      <c r="A60" s="27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15">
        <f>AP60-AO60</f>
        <v/>
      </c>
      <c r="AM60" s="16">
        <f>AP60/AO60-1</f>
        <v/>
      </c>
      <c r="AO60" s="44">
        <f>IF($A$1=$B$1,B60,IF($A$1=$E$1,E60,IF($A$1=$H$1,H60,IF($A$1=$K$1,K60,IF($A$1=$N$1,N60,IF($A$1=$Q$1,Q60,IF($A$1=$T$1,T60,IF($A$1=$W$1,W60,IF($A$1=$Z$1,Z60,IF($A$1=$AC$1,AC60,IF($A$1=$AF$1,AF60,IF($A$1=$AI$1,AI60))))))))))))</f>
        <v/>
      </c>
      <c r="AP60" s="44">
        <f>IF($A$1=$B$1,C60,IF($A$1=$E$1,F60,IF($A$1=$H$1,I60,IF($A$1=$K$1,L60,IF($A$1=$N$1,O60,IF($A$1=$Q$1,R60,IF($A$1=$T$1,U60,IF($A$1=$W$1,X60,IF($A$1=$Z$1,AA60,IF($A$1=$AC$1,AD60,IF($A$1=$AF$1,AG60,IF($A$1=$AI$1,AJ60))))))))))))</f>
        <v/>
      </c>
    </row>
    <row r="61" hidden="1" ht="15.75" customHeight="1">
      <c r="A61" s="26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21">
        <f>AP61-AO61</f>
        <v/>
      </c>
      <c r="AM61" s="22">
        <f>AP61/AO61-1</f>
        <v/>
      </c>
      <c r="AO61" s="44">
        <f>IF($A$1=$B$1,B61,IF($A$1=$E$1,E61,IF($A$1=$H$1,H61,IF($A$1=$K$1,K61,IF($A$1=$N$1,N61,IF($A$1=$Q$1,Q61,IF($A$1=$T$1,T61,IF($A$1=$W$1,W61,IF($A$1=$Z$1,Z61,IF($A$1=$AC$1,AC61,IF($A$1=$AF$1,AF61,IF($A$1=$AI$1,AI61))))))))))))</f>
        <v/>
      </c>
      <c r="AP61" s="44">
        <f>IF($A$1=$B$1,C61,IF($A$1=$E$1,F61,IF($A$1=$H$1,I61,IF($A$1=$K$1,L61,IF($A$1=$N$1,O61,IF($A$1=$Q$1,R61,IF($A$1=$T$1,U61,IF($A$1=$W$1,X61,IF($A$1=$Z$1,AA61,IF($A$1=$AC$1,AD61,IF($A$1=$AF$1,AG61,IF($A$1=$AI$1,AJ61))))))))))))</f>
        <v/>
      </c>
    </row>
    <row r="62" hidden="1" ht="15.75" customFormat="1" customHeight="1" s="1">
      <c r="A62" s="27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15">
        <f>AP62-AO62</f>
        <v/>
      </c>
      <c r="AM62" s="16">
        <f>AP62/AO62-1</f>
        <v/>
      </c>
      <c r="AO62" s="44">
        <f>IF($A$1=$B$1,B62,IF($A$1=$E$1,E62,IF($A$1=$H$1,H62,IF($A$1=$K$1,K62,IF($A$1=$N$1,N62,IF($A$1=$Q$1,Q62,IF($A$1=$T$1,T62,IF($A$1=$W$1,W62,IF($A$1=$Z$1,Z62,IF($A$1=$AC$1,AC62,IF($A$1=$AF$1,AF62,IF($A$1=$AI$1,AI62))))))))))))</f>
        <v/>
      </c>
      <c r="AP62" s="44">
        <f>IF($A$1=$B$1,C62,IF($A$1=$E$1,F62,IF($A$1=$H$1,I62,IF($A$1=$K$1,L62,IF($A$1=$N$1,O62,IF($A$1=$Q$1,R62,IF($A$1=$T$1,U62,IF($A$1=$W$1,X62,IF($A$1=$Z$1,AA62,IF($A$1=$AC$1,AD62,IF($A$1=$AF$1,AG62,IF($A$1=$AI$1,AJ62))))))))))))</f>
        <v/>
      </c>
    </row>
    <row r="63" hidden="1" ht="15.75" customHeight="1">
      <c r="A63" s="2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21">
        <f>AP63-AO63</f>
        <v/>
      </c>
      <c r="AM63" s="22">
        <f>AP63/AO63-1</f>
        <v/>
      </c>
      <c r="AO63" s="44">
        <f>IF($A$1=$B$1,B63,IF($A$1=$E$1,E63,IF($A$1=$H$1,H63,IF($A$1=$K$1,K63,IF($A$1=$N$1,N63,IF($A$1=$Q$1,Q63,IF($A$1=$T$1,T63,IF($A$1=$W$1,W63,IF($A$1=$Z$1,Z63,IF($A$1=$AC$1,AC63,IF($A$1=$AF$1,AF63,IF($A$1=$AI$1,AI63))))))))))))</f>
        <v/>
      </c>
      <c r="AP63" s="44">
        <f>IF($A$1=$B$1,C63,IF($A$1=$E$1,F63,IF($A$1=$H$1,I63,IF($A$1=$K$1,L63,IF($A$1=$N$1,O63,IF($A$1=$Q$1,R63,IF($A$1=$T$1,U63,IF($A$1=$W$1,X63,IF($A$1=$Z$1,AA63,IF($A$1=$AC$1,AD63,IF($A$1=$AF$1,AG63,IF($A$1=$AI$1,AJ63))))))))))))</f>
        <v/>
      </c>
    </row>
    <row r="64" hidden="1" ht="15.75" customHeight="1">
      <c r="A64" s="26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21">
        <f>AP64-AO64</f>
        <v/>
      </c>
      <c r="AM64" s="22">
        <f>AP64/AO64-1</f>
        <v/>
      </c>
      <c r="AO64" s="44">
        <f>IF($A$1=$B$1,B64,IF($A$1=$E$1,E64,IF($A$1=$H$1,H64,IF($A$1=$K$1,K64,IF($A$1=$N$1,N64,IF($A$1=$Q$1,Q64,IF($A$1=$T$1,T64,IF($A$1=$W$1,W64,IF($A$1=$Z$1,Z64,IF($A$1=$AC$1,AC64,IF($A$1=$AF$1,AF64,IF($A$1=$AI$1,AI64))))))))))))</f>
        <v/>
      </c>
      <c r="AP64" s="44">
        <f>IF($A$1=$B$1,C64,IF($A$1=$E$1,F64,IF($A$1=$H$1,I64,IF($A$1=$K$1,L64,IF($A$1=$N$1,O64,IF($A$1=$Q$1,R64,IF($A$1=$T$1,U64,IF($A$1=$W$1,X64,IF($A$1=$Z$1,AA64,IF($A$1=$AC$1,AD64,IF($A$1=$AF$1,AG64,IF($A$1=$AI$1,AJ64))))))))))))</f>
        <v/>
      </c>
    </row>
    <row r="65" hidden="1" ht="15.75" customHeight="1">
      <c r="A65" s="26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21">
        <f>AP65-AO65</f>
        <v/>
      </c>
      <c r="AM65" s="22">
        <f>AP65/AO65-1</f>
        <v/>
      </c>
      <c r="AO65" s="44">
        <f>IF($A$1=$B$1,B65,IF($A$1=$E$1,E65,IF($A$1=$H$1,H65,IF($A$1=$K$1,K65,IF($A$1=$N$1,N65,IF($A$1=$Q$1,Q65,IF($A$1=$T$1,T65,IF($A$1=$W$1,W65,IF($A$1=$Z$1,Z65,IF($A$1=$AC$1,AC65,IF($A$1=$AF$1,AF65,IF($A$1=$AI$1,AI65))))))))))))</f>
        <v/>
      </c>
      <c r="AP65" s="44">
        <f>IF($A$1=$B$1,C65,IF($A$1=$E$1,F65,IF($A$1=$H$1,I65,IF($A$1=$K$1,L65,IF($A$1=$N$1,O65,IF($A$1=$Q$1,R65,IF($A$1=$T$1,U65,IF($A$1=$W$1,X65,IF($A$1=$Z$1,AA65,IF($A$1=$AC$1,AD65,IF($A$1=$AF$1,AG65,IF($A$1=$AI$1,AJ65))))))))))))</f>
        <v/>
      </c>
    </row>
    <row r="66" hidden="1" ht="15.75" customHeight="1">
      <c r="A66" s="26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21">
        <f>AP66-AO66</f>
        <v/>
      </c>
      <c r="AM66" s="22">
        <f>AP66/AO66-1</f>
        <v/>
      </c>
      <c r="AO66" s="44">
        <f>IF($A$1=$B$1,B66,IF($A$1=$E$1,E66,IF($A$1=$H$1,H66,IF($A$1=$K$1,K66,IF($A$1=$N$1,N66,IF($A$1=$Q$1,Q66,IF($A$1=$T$1,T66,IF($A$1=$W$1,W66,IF($A$1=$Z$1,Z66,IF($A$1=$AC$1,AC66,IF($A$1=$AF$1,AF66,IF($A$1=$AI$1,AI66))))))))))))</f>
        <v/>
      </c>
      <c r="AP66" s="44">
        <f>IF($A$1=$B$1,C66,IF($A$1=$E$1,F66,IF($A$1=$H$1,I66,IF($A$1=$K$1,L66,IF($A$1=$N$1,O66,IF($A$1=$Q$1,R66,IF($A$1=$T$1,U66,IF($A$1=$W$1,X66,IF($A$1=$Z$1,AA66,IF($A$1=$AC$1,AD66,IF($A$1=$AF$1,AG66,IF($A$1=$AI$1,AJ66))))))))))))</f>
        <v/>
      </c>
    </row>
    <row r="67" hidden="1" ht="15.75" customHeight="1">
      <c r="A67" s="2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21">
        <f>AP67-AO67</f>
        <v/>
      </c>
      <c r="AM67" s="22">
        <f>AP67/AO67-1</f>
        <v/>
      </c>
      <c r="AO67" s="44">
        <f>IF($A$1=$B$1,B67,IF($A$1=$E$1,E67,IF($A$1=$H$1,H67,IF($A$1=$K$1,K67,IF($A$1=$N$1,N67,IF($A$1=$Q$1,Q67,IF($A$1=$T$1,T67,IF($A$1=$W$1,W67,IF($A$1=$Z$1,Z67,IF($A$1=$AC$1,AC67,IF($A$1=$AF$1,AF67,IF($A$1=$AI$1,AI67))))))))))))</f>
        <v/>
      </c>
      <c r="AP67" s="44">
        <f>IF($A$1=$B$1,C67,IF($A$1=$E$1,F67,IF($A$1=$H$1,I67,IF($A$1=$K$1,L67,IF($A$1=$N$1,O67,IF($A$1=$Q$1,R67,IF($A$1=$T$1,U67,IF($A$1=$W$1,X67,IF($A$1=$Z$1,AA67,IF($A$1=$AC$1,AD67,IF($A$1=$AF$1,AG67,IF($A$1=$AI$1,AJ67))))))))))))</f>
        <v/>
      </c>
    </row>
    <row r="68" hidden="1" ht="15.75" customFormat="1" customHeight="1" s="1">
      <c r="A68" s="27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15">
        <f>AP68-AO68</f>
        <v/>
      </c>
      <c r="AM68" s="16">
        <f>AP68/AO68-1</f>
        <v/>
      </c>
      <c r="AO68" s="44">
        <f>IF($A$1=$B$1,B68,IF($A$1=$E$1,E68,IF($A$1=$H$1,H68,IF($A$1=$K$1,K68,IF($A$1=$N$1,N68,IF($A$1=$Q$1,Q68,IF($A$1=$T$1,T68,IF($A$1=$W$1,W68,IF($A$1=$Z$1,Z68,IF($A$1=$AC$1,AC68,IF($A$1=$AF$1,AF68,IF($A$1=$AI$1,AI68))))))))))))</f>
        <v/>
      </c>
      <c r="AP68" s="44">
        <f>IF($A$1=$B$1,C68,IF($A$1=$E$1,F68,IF($A$1=$H$1,I68,IF($A$1=$K$1,L68,IF($A$1=$N$1,O68,IF($A$1=$Q$1,R68,IF($A$1=$T$1,U68,IF($A$1=$W$1,X68,IF($A$1=$Z$1,AA68,IF($A$1=$AC$1,AD68,IF($A$1=$AF$1,AG68,IF($A$1=$AI$1,AJ68))))))))))))</f>
        <v/>
      </c>
    </row>
    <row r="69" hidden="1" ht="15.75" customHeight="1">
      <c r="A69" s="26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21">
        <f>AP69-AO69</f>
        <v/>
      </c>
      <c r="AM69" s="22">
        <f>AP69/AO69-1</f>
        <v/>
      </c>
      <c r="AO69" s="44">
        <f>IF($A$1=$B$1,B69,IF($A$1=$E$1,E69,IF($A$1=$H$1,H69,IF($A$1=$K$1,K69,IF($A$1=$N$1,N69,IF($A$1=$Q$1,Q69,IF($A$1=$T$1,T69,IF($A$1=$W$1,W69,IF($A$1=$Z$1,Z69,IF($A$1=$AC$1,AC69,IF($A$1=$AF$1,AF69,IF($A$1=$AI$1,AI69))))))))))))</f>
        <v/>
      </c>
      <c r="AP69" s="44">
        <f>IF($A$1=$B$1,C69,IF($A$1=$E$1,F69,IF($A$1=$H$1,I69,IF($A$1=$K$1,L69,IF($A$1=$N$1,O69,IF($A$1=$Q$1,R69,IF($A$1=$T$1,U69,IF($A$1=$W$1,X69,IF($A$1=$Z$1,AA69,IF($A$1=$AC$1,AD69,IF($A$1=$AF$1,AG69,IF($A$1=$AI$1,AJ69))))))))))))</f>
        <v/>
      </c>
    </row>
    <row r="70" hidden="1" ht="15.75" customHeight="1">
      <c r="A70" s="26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21">
        <f>AP70-AO70</f>
        <v/>
      </c>
      <c r="AM70" s="22">
        <f>AP70/AO70-1</f>
        <v/>
      </c>
      <c r="AO70" s="44">
        <f>IF($A$1=$B$1,B70,IF($A$1=$E$1,E70,IF($A$1=$H$1,H70,IF($A$1=$K$1,K70,IF($A$1=$N$1,N70,IF($A$1=$Q$1,Q70,IF($A$1=$T$1,T70,IF($A$1=$W$1,W70,IF($A$1=$Z$1,Z70,IF($A$1=$AC$1,AC70,IF($A$1=$AF$1,AF70,IF($A$1=$AI$1,AI70))))))))))))</f>
        <v/>
      </c>
      <c r="AP70" s="44">
        <f>IF($A$1=$B$1,C70,IF($A$1=$E$1,F70,IF($A$1=$H$1,I70,IF($A$1=$K$1,L70,IF($A$1=$N$1,O70,IF($A$1=$Q$1,R70,IF($A$1=$T$1,U70,IF($A$1=$W$1,X70,IF($A$1=$Z$1,AA70,IF($A$1=$AC$1,AD70,IF($A$1=$AF$1,AG70,IF($A$1=$AI$1,AJ70))))))))))))</f>
        <v/>
      </c>
    </row>
    <row r="71" hidden="1" ht="15.75" customHeight="1">
      <c r="A71" s="2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21" t="n"/>
      <c r="AM71" s="22" t="n"/>
      <c r="AO71" s="44" t="n"/>
      <c r="AP71" s="44" t="n"/>
    </row>
    <row r="72" hidden="1" ht="15.75" customHeight="1">
      <c r="A72" s="26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21" t="n"/>
      <c r="AM72" s="22" t="n"/>
      <c r="AO72" s="44" t="n"/>
      <c r="AP72" s="44" t="n"/>
    </row>
    <row r="73" hidden="1" ht="15.75" customFormat="1" customHeight="1" s="1">
      <c r="A73" s="27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21">
        <f>AP73-AO73</f>
        <v/>
      </c>
      <c r="AM73" s="22">
        <f>AP73/AO73-1</f>
        <v/>
      </c>
      <c r="AO73" s="44">
        <f>IF($A$1=$B$1,B73,IF($A$1=$E$1,E73,IF($A$1=$H$1,H73,IF($A$1=$K$1,K73,IF($A$1=$N$1,N73,IF($A$1=$Q$1,Q73,IF($A$1=$T$1,T73,IF($A$1=$W$1,W73,IF($A$1=$Z$1,Z73,IF($A$1=$AC$1,AC73,IF($A$1=$AF$1,AF73,IF($A$1=$AI$1,AI73))))))))))))</f>
        <v/>
      </c>
      <c r="AP73" s="44">
        <f>IF($A$1=$B$1,C73,IF($A$1=$E$1,F73,IF($A$1=$H$1,I73,IF($A$1=$K$1,L73,IF($A$1=$N$1,O73,IF($A$1=$Q$1,R73,IF($A$1=$T$1,U73,IF($A$1=$W$1,X73,IF($A$1=$Z$1,AA73,IF($A$1=$AC$1,AD73,IF($A$1=$AF$1,AG73,IF($A$1=$AI$1,AJ73))))))))))))</f>
        <v/>
      </c>
    </row>
    <row r="74" hidden="1" ht="15.75" customHeight="1">
      <c r="A74" s="26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21">
        <f>AP74-AO74</f>
        <v/>
      </c>
      <c r="AM74" s="22">
        <f>AP74/AO74-1</f>
        <v/>
      </c>
      <c r="AO74" s="44">
        <f>IF($A$1=$B$1,B74,IF($A$1=$E$1,E74,IF($A$1=$H$1,H74,IF($A$1=$K$1,K74,IF($A$1=$N$1,N74,IF($A$1=$Q$1,Q74,IF($A$1=$T$1,T74,IF($A$1=$W$1,W74,IF($A$1=$Z$1,Z74,IF($A$1=$AC$1,AC74,IF($A$1=$AF$1,AF74,IF($A$1=$AI$1,AI74))))))))))))</f>
        <v/>
      </c>
      <c r="AP74" s="44">
        <f>IF($A$1=$B$1,C74,IF($A$1=$E$1,F74,IF($A$1=$H$1,I74,IF($A$1=$K$1,L74,IF($A$1=$N$1,O74,IF($A$1=$Q$1,R74,IF($A$1=$T$1,U74,IF($A$1=$W$1,X74,IF($A$1=$Z$1,AA74,IF($A$1=$AC$1,AD74,IF($A$1=$AF$1,AG74,IF($A$1=$AI$1,AJ74))))))))))))</f>
        <v/>
      </c>
    </row>
    <row r="75" hidden="1" ht="15.75" customFormat="1" customHeight="1" s="1">
      <c r="A75" s="27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21">
        <f>AP75-AO75</f>
        <v/>
      </c>
      <c r="AM75" s="22">
        <f>AP75/AO75-1</f>
        <v/>
      </c>
      <c r="AO75" s="44">
        <f>IF($A$1=$B$1,B75,IF($A$1=$E$1,E75,IF($A$1=$H$1,H75,IF($A$1=$K$1,K75,IF($A$1=$N$1,N75,IF($A$1=$Q$1,Q75,IF($A$1=$T$1,T75,IF($A$1=$W$1,W75,IF($A$1=$Z$1,Z75,IF($A$1=$AC$1,AC75,IF($A$1=$AF$1,AF75,IF($A$1=$AI$1,AI75))))))))))))</f>
        <v/>
      </c>
      <c r="AP75" s="44">
        <f>IF($A$1=$B$1,C75,IF($A$1=$E$1,F75,IF($A$1=$H$1,I75,IF($A$1=$K$1,L75,IF($A$1=$N$1,O75,IF($A$1=$Q$1,R75,IF($A$1=$T$1,U75,IF($A$1=$W$1,X75,IF($A$1=$Z$1,AA75,IF($A$1=$AC$1,AD75,IF($A$1=$AF$1,AG75,IF($A$1=$AI$1,AJ75))))))))))))</f>
        <v/>
      </c>
    </row>
    <row r="76" hidden="1" ht="15.75" customHeight="1">
      <c r="A76" s="2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15" t="n"/>
      <c r="AM76" s="16" t="n"/>
    </row>
    <row r="77">
      <c r="A77" s="2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5" t="n"/>
    </row>
    <row r="78" ht="17" customFormat="1" customHeight="1" s="49">
      <c r="A78" s="47" t="inlineStr">
        <is>
          <t>GROSS PROFIT MARGIN BY CHANNELS</t>
        </is>
      </c>
      <c r="B78" s="413" t="n"/>
      <c r="C78" s="413" t="n"/>
      <c r="D78" s="413" t="n"/>
      <c r="E78" s="413" t="n"/>
      <c r="F78" s="413" t="n"/>
      <c r="G78" s="413" t="n"/>
      <c r="H78" s="413" t="n"/>
      <c r="I78" s="413" t="n"/>
      <c r="J78" s="413" t="n"/>
      <c r="K78" s="413" t="n"/>
      <c r="L78" s="413" t="n"/>
      <c r="M78" s="413" t="n"/>
      <c r="N78" s="413" t="n"/>
      <c r="O78" s="413" t="n"/>
      <c r="P78" s="413" t="n"/>
      <c r="Q78" s="413" t="n"/>
      <c r="R78" s="413" t="n"/>
      <c r="S78" s="413" t="n"/>
      <c r="T78" s="413" t="n"/>
      <c r="U78" s="413" t="n"/>
      <c r="V78" s="413" t="n"/>
      <c r="W78" s="413" t="n"/>
      <c r="X78" s="413" t="n"/>
      <c r="Y78" s="413" t="n"/>
      <c r="Z78" s="413" t="n"/>
      <c r="AA78" s="413" t="n"/>
      <c r="AB78" s="413" t="n"/>
      <c r="AC78" s="413" t="n"/>
      <c r="AD78" s="413" t="n"/>
      <c r="AE78" s="413" t="n"/>
      <c r="AF78" s="413" t="n"/>
      <c r="AG78" s="413" t="n"/>
      <c r="AH78" s="413" t="n"/>
      <c r="AI78" s="413" t="n"/>
      <c r="AJ78" s="413" t="n"/>
      <c r="AK78" s="413" t="n"/>
      <c r="AL78" s="413" t="n"/>
      <c r="AM78" s="48" t="n"/>
    </row>
    <row r="79" ht="15.5" customFormat="1" customHeight="1" s="13">
      <c r="A79" s="26" t="inlineStr">
        <is>
          <t xml:space="preserve">İnci Holding </t>
        </is>
      </c>
      <c r="B79" s="12">
        <f>B36/B9</f>
        <v/>
      </c>
      <c r="C79" s="12">
        <f>IFERROR((C36/C9),"")</f>
        <v/>
      </c>
      <c r="D79" s="41" t="n"/>
      <c r="E79" s="12">
        <f>E36/E9</f>
        <v/>
      </c>
      <c r="F79" s="12">
        <f>IFERROR((F36/F9),"")</f>
        <v/>
      </c>
      <c r="G79" s="41" t="n"/>
      <c r="H79" s="12">
        <f>H36/H9</f>
        <v/>
      </c>
      <c r="I79" s="12">
        <f>IFERROR((I36/I9),"")</f>
        <v/>
      </c>
      <c r="J79" s="41" t="n"/>
      <c r="K79" s="12">
        <f>K36/K9</f>
        <v/>
      </c>
      <c r="L79" s="12">
        <f>IFERROR((L36/L9),"")</f>
        <v/>
      </c>
      <c r="M79" s="41" t="n"/>
      <c r="N79" s="12">
        <f>N36/N9</f>
        <v/>
      </c>
      <c r="O79" s="12">
        <f>IFERROR((O36/O9),"")</f>
        <v/>
      </c>
      <c r="P79" s="41" t="n"/>
      <c r="Q79" s="12">
        <f>Q36/Q9</f>
        <v/>
      </c>
      <c r="R79" s="12">
        <f>IFERROR((R36/R9),"")</f>
        <v/>
      </c>
      <c r="S79" s="41" t="n"/>
      <c r="T79" s="12">
        <f>T36/T9</f>
        <v/>
      </c>
      <c r="U79" s="12">
        <f>IFERROR((U36/U9),"")</f>
        <v/>
      </c>
      <c r="V79" s="41" t="n"/>
      <c r="W79" s="12">
        <f>W36/W9</f>
        <v/>
      </c>
      <c r="X79" s="12">
        <f>IFERROR((X36/X9),"")</f>
        <v/>
      </c>
      <c r="Y79" s="41" t="n"/>
      <c r="Z79" s="12">
        <f>Z36/Z9</f>
        <v/>
      </c>
      <c r="AA79" s="12">
        <f>IFERROR((AA36/AA9),"")</f>
        <v/>
      </c>
      <c r="AB79" s="41" t="n"/>
      <c r="AC79" s="12">
        <f>AC36/AC9</f>
        <v/>
      </c>
      <c r="AD79" s="12">
        <f>IFERROR((AD36/AD9),"")</f>
        <v/>
      </c>
      <c r="AE79" s="41" t="n"/>
      <c r="AF79" s="12">
        <f>AF36/AF9</f>
        <v/>
      </c>
      <c r="AG79" s="12">
        <f>IFERROR((AG36/AG9),"")</f>
        <v/>
      </c>
      <c r="AH79" s="41" t="n"/>
      <c r="AI79" s="12">
        <f>AI36/AI9</f>
        <v/>
      </c>
      <c r="AJ79" s="12">
        <f>IFERROR((AJ36/AJ9),"")</f>
        <v/>
      </c>
      <c r="AK79" s="41" t="n"/>
      <c r="AL79" s="15" t="n"/>
      <c r="AM79" s="22">
        <f>AP79-AO79</f>
        <v/>
      </c>
      <c r="AO79" s="44">
        <f>IF($A$1=$B$1,B79,IF($A$1=$E$1,E79,IF($A$1=$H$1,H79,IF($A$1=$K$1,K79,IF($A$1=$N$1,N79,IF($A$1=$Q$1,Q79,IF($A$1=$T$1,T79,IF($A$1=$W$1,W79,IF($A$1=$Z$1,Z79,IF($A$1=$AC$1,AC79,IF($A$1=$AF$1,AF79,IF($A$1=$AI$1,AI79))))))))))))</f>
        <v/>
      </c>
      <c r="AP79" s="44">
        <f>IF($A$1=$B$1,C79,IF($A$1=$E$1,F79,IF($A$1=$H$1,I79,IF($A$1=$K$1,L79,IF($A$1=$N$1,O79,IF($A$1=$Q$1,R79,IF($A$1=$T$1,U79,IF($A$1=$W$1,X79,IF($A$1=$Z$1,AA79,IF($A$1=$AC$1,AD79,IF($A$1=$AF$1,AG79,IF($A$1=$AI$1,AJ79))))))))))))</f>
        <v/>
      </c>
    </row>
    <row r="80" ht="15.5" customFormat="1" customHeight="1" s="13">
      <c r="A80" s="26" t="inlineStr">
        <is>
          <t xml:space="preserve">ISM </t>
        </is>
      </c>
      <c r="B80" s="12">
        <f>B37/B10</f>
        <v/>
      </c>
      <c r="C80" s="12">
        <f>IFERROR((C37/C10),"")</f>
        <v/>
      </c>
      <c r="D80" s="41" t="n"/>
      <c r="E80" s="12">
        <f>E37/E10</f>
        <v/>
      </c>
      <c r="F80" s="12">
        <f>IFERROR((F37/F10),"")</f>
        <v/>
      </c>
      <c r="G80" s="41" t="n"/>
      <c r="H80" s="12">
        <f>H37/H10</f>
        <v/>
      </c>
      <c r="I80" s="12">
        <f>IFERROR((I37/I10),"")</f>
        <v/>
      </c>
      <c r="J80" s="41" t="n"/>
      <c r="K80" s="12">
        <f>K37/K10</f>
        <v/>
      </c>
      <c r="L80" s="12">
        <f>IFERROR((L37/L10),"")</f>
        <v/>
      </c>
      <c r="M80" s="41" t="n"/>
      <c r="N80" s="12">
        <f>N37/N10</f>
        <v/>
      </c>
      <c r="O80" s="12">
        <f>IFERROR((O37/O10),"")</f>
        <v/>
      </c>
      <c r="P80" s="41" t="n"/>
      <c r="Q80" s="12">
        <f>Q37/Q10</f>
        <v/>
      </c>
      <c r="R80" s="12">
        <f>IFERROR((R37/R10),"")</f>
        <v/>
      </c>
      <c r="S80" s="41" t="n"/>
      <c r="T80" s="12">
        <f>T37/T10</f>
        <v/>
      </c>
      <c r="U80" s="12">
        <f>IFERROR((U37/U10),"")</f>
        <v/>
      </c>
      <c r="V80" s="41" t="n"/>
      <c r="W80" s="12">
        <f>W37/W10</f>
        <v/>
      </c>
      <c r="X80" s="12">
        <f>IFERROR((X37/X10),"")</f>
        <v/>
      </c>
      <c r="Y80" s="41" t="n"/>
      <c r="Z80" s="12">
        <f>Z37/Z10</f>
        <v/>
      </c>
      <c r="AA80" s="12">
        <f>IFERROR((AA37/AA10),"")</f>
        <v/>
      </c>
      <c r="AB80" s="41" t="n"/>
      <c r="AC80" s="12">
        <f>AC37/AC10</f>
        <v/>
      </c>
      <c r="AD80" s="12">
        <f>IFERROR((AD37/AD10),"")</f>
        <v/>
      </c>
      <c r="AE80" s="41" t="n"/>
      <c r="AF80" s="12">
        <f>AF37/AF10</f>
        <v/>
      </c>
      <c r="AG80" s="12">
        <f>IFERROR((AG37/AG10),"")</f>
        <v/>
      </c>
      <c r="AH80" s="41" t="n"/>
      <c r="AI80" s="12">
        <f>AI37/AI10</f>
        <v/>
      </c>
      <c r="AJ80" s="12">
        <f>IFERROR((AJ37/AJ10),"")</f>
        <v/>
      </c>
      <c r="AK80" s="41" t="n"/>
      <c r="AL80" s="15" t="n"/>
      <c r="AM80" s="22">
        <f>AP80-AO80</f>
        <v/>
      </c>
      <c r="AO80" s="44">
        <f>IF($A$1=$B$1,B80,IF($A$1=$E$1,E80,IF($A$1=$H$1,H80,IF($A$1=$K$1,K80,IF($A$1=$N$1,N80,IF($A$1=$Q$1,Q80,IF($A$1=$T$1,T80,IF($A$1=$W$1,W80,IF($A$1=$Z$1,Z80,IF($A$1=$AC$1,AC80,IF($A$1=$AF$1,AF80,IF($A$1=$AI$1,AI80))))))))))))</f>
        <v/>
      </c>
      <c r="AP80" s="44">
        <f>IF($A$1=$B$1,C80,IF($A$1=$E$1,F80,IF($A$1=$H$1,I80,IF($A$1=$K$1,L80,IF($A$1=$N$1,O80,IF($A$1=$Q$1,R80,IF($A$1=$T$1,U80,IF($A$1=$W$1,X80,IF($A$1=$Z$1,AA80,IF($A$1=$AC$1,AD80,IF($A$1=$AF$1,AG80,IF($A$1=$AI$1,AJ80))))))))))))</f>
        <v/>
      </c>
    </row>
    <row r="81" ht="15.5" customFormat="1" customHeight="1" s="13">
      <c r="A81" s="26" t="inlineStr">
        <is>
          <t>İncitaş</t>
        </is>
      </c>
      <c r="B81" s="12">
        <f>B38/B11</f>
        <v/>
      </c>
      <c r="C81" s="12">
        <f>IFERROR((C38/C11),"")</f>
        <v/>
      </c>
      <c r="D81" s="41" t="n"/>
      <c r="E81" s="12">
        <f>E38/E11</f>
        <v/>
      </c>
      <c r="F81" s="12">
        <f>IFERROR((F38/F11),"")</f>
        <v/>
      </c>
      <c r="G81" s="41" t="n"/>
      <c r="H81" s="12">
        <f>H38/H11</f>
        <v/>
      </c>
      <c r="I81" s="12">
        <f>IFERROR((I38/I11),"")</f>
        <v/>
      </c>
      <c r="J81" s="41" t="n"/>
      <c r="K81" s="12">
        <f>K38/K11</f>
        <v/>
      </c>
      <c r="L81" s="12">
        <f>IFERROR((L38/L11),"")</f>
        <v/>
      </c>
      <c r="M81" s="41" t="n"/>
      <c r="N81" s="12">
        <f>N38/N11</f>
        <v/>
      </c>
      <c r="O81" s="12">
        <f>IFERROR((O38/O11),"")</f>
        <v/>
      </c>
      <c r="P81" s="41" t="n"/>
      <c r="Q81" s="12">
        <f>Q38/Q11</f>
        <v/>
      </c>
      <c r="R81" s="12">
        <f>IFERROR((R38/R11),"")</f>
        <v/>
      </c>
      <c r="S81" s="41" t="n"/>
      <c r="T81" s="12">
        <f>T38/T11</f>
        <v/>
      </c>
      <c r="U81" s="12">
        <f>IFERROR((U38/U11),"")</f>
        <v/>
      </c>
      <c r="V81" s="41" t="n"/>
      <c r="W81" s="12">
        <f>W38/W11</f>
        <v/>
      </c>
      <c r="X81" s="12">
        <f>IFERROR((X38/X11),"")</f>
        <v/>
      </c>
      <c r="Y81" s="41" t="n"/>
      <c r="Z81" s="12">
        <f>Z38/Z11</f>
        <v/>
      </c>
      <c r="AA81" s="12">
        <f>IFERROR((AA38/AA11),"")</f>
        <v/>
      </c>
      <c r="AB81" s="41" t="n"/>
      <c r="AC81" s="12">
        <f>AC38/AC11</f>
        <v/>
      </c>
      <c r="AD81" s="12">
        <f>IFERROR((AD38/AD11),"")</f>
        <v/>
      </c>
      <c r="AE81" s="41" t="n"/>
      <c r="AF81" s="12">
        <f>AF38/AF11</f>
        <v/>
      </c>
      <c r="AG81" s="12">
        <f>IFERROR((AG38/AG11),"")</f>
        <v/>
      </c>
      <c r="AH81" s="41" t="n"/>
      <c r="AI81" s="12">
        <f>AI38/AI11</f>
        <v/>
      </c>
      <c r="AJ81" s="12">
        <f>IFERROR((AJ38/AJ11),"")</f>
        <v/>
      </c>
      <c r="AK81" s="41" t="n"/>
      <c r="AL81" s="15" t="n"/>
      <c r="AM81" s="22">
        <f>AP81-AO81</f>
        <v/>
      </c>
      <c r="AO81" s="44">
        <f>IF($A$1=$B$1,B81,IF($A$1=$E$1,E81,IF($A$1=$H$1,H81,IF($A$1=$K$1,K81,IF($A$1=$N$1,N81,IF($A$1=$Q$1,Q81,IF($A$1=$T$1,T81,IF($A$1=$W$1,W81,IF($A$1=$Z$1,Z81,IF($A$1=$AC$1,AC81,IF($A$1=$AF$1,AF81,IF($A$1=$AI$1,AI81))))))))))))</f>
        <v/>
      </c>
      <c r="AP81" s="44">
        <f>IF($A$1=$B$1,C81,IF($A$1=$E$1,F81,IF($A$1=$H$1,I81,IF($A$1=$K$1,L81,IF($A$1=$N$1,O81,IF($A$1=$Q$1,R81,IF($A$1=$T$1,U81,IF($A$1=$W$1,X81,IF($A$1=$Z$1,AA81,IF($A$1=$AC$1,AD81,IF($A$1=$AF$1,AG81,IF($A$1=$AI$1,AJ81))))))))))))</f>
        <v/>
      </c>
    </row>
    <row r="82" ht="15.5" customFormat="1" customHeight="1" s="13">
      <c r="A82" s="26" t="inlineStr">
        <is>
          <t>İnci GS Yuasa</t>
        </is>
      </c>
      <c r="B82" s="12">
        <f>B39/B12</f>
        <v/>
      </c>
      <c r="C82" s="12">
        <f>IFERROR((C39/C12),"")</f>
        <v/>
      </c>
      <c r="D82" s="41" t="n"/>
      <c r="E82" s="12">
        <f>E39/E12</f>
        <v/>
      </c>
      <c r="F82" s="12">
        <f>IFERROR((F39/F12),"")</f>
        <v/>
      </c>
      <c r="G82" s="41" t="n"/>
      <c r="H82" s="12">
        <f>H39/H12</f>
        <v/>
      </c>
      <c r="I82" s="12">
        <f>IFERROR((I39/I12),"")</f>
        <v/>
      </c>
      <c r="J82" s="41" t="n"/>
      <c r="K82" s="12">
        <f>K39/K12</f>
        <v/>
      </c>
      <c r="L82" s="12">
        <f>IFERROR((L39/L12),"")</f>
        <v/>
      </c>
      <c r="M82" s="41" t="n"/>
      <c r="N82" s="12">
        <f>N39/N12</f>
        <v/>
      </c>
      <c r="O82" s="12">
        <f>IFERROR((O39/O12),"")</f>
        <v/>
      </c>
      <c r="P82" s="41" t="n"/>
      <c r="Q82" s="12">
        <f>Q39/Q12</f>
        <v/>
      </c>
      <c r="R82" s="12">
        <f>IFERROR((R39/R12),"")</f>
        <v/>
      </c>
      <c r="S82" s="41" t="n"/>
      <c r="T82" s="12">
        <f>T39/T12</f>
        <v/>
      </c>
      <c r="U82" s="12">
        <f>IFERROR((U39/U12),"")</f>
        <v/>
      </c>
      <c r="V82" s="41" t="n"/>
      <c r="W82" s="12">
        <f>W39/W12</f>
        <v/>
      </c>
      <c r="X82" s="12">
        <f>IFERROR((X39/X12),"")</f>
        <v/>
      </c>
      <c r="Y82" s="41" t="n"/>
      <c r="Z82" s="12">
        <f>Z39/Z12</f>
        <v/>
      </c>
      <c r="AA82" s="12">
        <f>IFERROR((AA39/AA12),"")</f>
        <v/>
      </c>
      <c r="AB82" s="41" t="n"/>
      <c r="AC82" s="12">
        <f>AC39/AC12</f>
        <v/>
      </c>
      <c r="AD82" s="12">
        <f>IFERROR((AD39/AD12),"")</f>
        <v/>
      </c>
      <c r="AE82" s="41" t="n"/>
      <c r="AF82" s="12">
        <f>AF39/AF12</f>
        <v/>
      </c>
      <c r="AG82" s="12">
        <f>IFERROR((AG39/AG12),"")</f>
        <v/>
      </c>
      <c r="AH82" s="41" t="n"/>
      <c r="AI82" s="12">
        <f>AI39/AI12</f>
        <v/>
      </c>
      <c r="AJ82" s="12">
        <f>IFERROR((AJ39/AJ12),"")</f>
        <v/>
      </c>
      <c r="AK82" s="41" t="n"/>
      <c r="AL82" s="15" t="n"/>
      <c r="AM82" s="22">
        <f>AP82-AO82</f>
        <v/>
      </c>
      <c r="AO82" s="44">
        <f>IF($A$1=$B$1,B82,IF($A$1=$E$1,E82,IF($A$1=$H$1,H82,IF($A$1=$K$1,K82,IF($A$1=$N$1,N82,IF($A$1=$Q$1,Q82,IF($A$1=$T$1,T82,IF($A$1=$W$1,W82,IF($A$1=$Z$1,Z82,IF($A$1=$AC$1,AC82,IF($A$1=$AF$1,AF82,IF($A$1=$AI$1,AI82))))))))))))</f>
        <v/>
      </c>
      <c r="AP82" s="44">
        <f>IF($A$1=$B$1,C82,IF($A$1=$E$1,F82,IF($A$1=$H$1,I82,IF($A$1=$K$1,L82,IF($A$1=$N$1,O82,IF($A$1=$Q$1,R82,IF($A$1=$T$1,U82,IF($A$1=$W$1,X82,IF($A$1=$Z$1,AA82,IF($A$1=$AC$1,AD82,IF($A$1=$AF$1,AG82,IF($A$1=$AI$1,AJ82))))))))))))</f>
        <v/>
      </c>
    </row>
    <row r="83" ht="15.5" customFormat="1" customHeight="1" s="13">
      <c r="A83" s="26" t="inlineStr">
        <is>
          <t>Yusen İnci Loj.</t>
        </is>
      </c>
      <c r="B83" s="12">
        <f>B40/B13</f>
        <v/>
      </c>
      <c r="C83" s="30">
        <f>IFERROR((C40/C13),"")</f>
        <v/>
      </c>
      <c r="D83" s="41" t="n"/>
      <c r="E83" s="12">
        <f>E40/E13</f>
        <v/>
      </c>
      <c r="F83" s="30">
        <f>IFERROR((F40/F13),"")</f>
        <v/>
      </c>
      <c r="G83" s="41" t="n"/>
      <c r="H83" s="12">
        <f>H40/H13</f>
        <v/>
      </c>
      <c r="I83" s="30">
        <f>IFERROR((I40/I13),"")</f>
        <v/>
      </c>
      <c r="J83" s="41" t="n"/>
      <c r="K83" s="12">
        <f>K40/K13</f>
        <v/>
      </c>
      <c r="L83" s="30">
        <f>IFERROR((L40/L13),"")</f>
        <v/>
      </c>
      <c r="M83" s="41" t="n"/>
      <c r="N83" s="12">
        <f>N40/N13</f>
        <v/>
      </c>
      <c r="O83" s="30">
        <f>IFERROR((O40/O13),"")</f>
        <v/>
      </c>
      <c r="P83" s="41" t="n"/>
      <c r="Q83" s="12">
        <f>Q40/Q13</f>
        <v/>
      </c>
      <c r="R83" s="30">
        <f>IFERROR((R40/R13),"")</f>
        <v/>
      </c>
      <c r="S83" s="41" t="n"/>
      <c r="T83" s="12">
        <f>T40/T13</f>
        <v/>
      </c>
      <c r="U83" s="30">
        <f>IFERROR((U40/U13),"")</f>
        <v/>
      </c>
      <c r="V83" s="41" t="n"/>
      <c r="W83" s="12">
        <f>W40/W13</f>
        <v/>
      </c>
      <c r="X83" s="30">
        <f>IFERROR((X40/X13),"")</f>
        <v/>
      </c>
      <c r="Y83" s="41" t="n"/>
      <c r="Z83" s="12">
        <f>Z40/Z13</f>
        <v/>
      </c>
      <c r="AA83" s="30">
        <f>IFERROR((AA40/AA13),"")</f>
        <v/>
      </c>
      <c r="AB83" s="41" t="n"/>
      <c r="AC83" s="12">
        <f>AC40/AC13</f>
        <v/>
      </c>
      <c r="AD83" s="30">
        <f>IFERROR((AD40/AD13),"")</f>
        <v/>
      </c>
      <c r="AE83" s="41" t="n"/>
      <c r="AF83" s="12">
        <f>AF40/AF13</f>
        <v/>
      </c>
      <c r="AG83" s="30">
        <f>IFERROR((AG40/AG13),"")</f>
        <v/>
      </c>
      <c r="AH83" s="41" t="n"/>
      <c r="AI83" s="12">
        <f>AI40/AI13</f>
        <v/>
      </c>
      <c r="AJ83" s="30">
        <f>IFERROR((AJ40/AJ13),"")</f>
        <v/>
      </c>
      <c r="AK83" s="41" t="n"/>
      <c r="AL83" s="15" t="n"/>
      <c r="AM83" s="22">
        <f>AP83-AO83</f>
        <v/>
      </c>
      <c r="AO83" s="44">
        <f>IF($A$1=$B$1,B83,IF($A$1=$E$1,E83,IF($A$1=$H$1,H83,IF($A$1=$K$1,K83,IF($A$1=$N$1,N83,IF($A$1=$Q$1,Q83,IF($A$1=$T$1,T83,IF($A$1=$W$1,W83,IF($A$1=$Z$1,Z83,IF($A$1=$AC$1,AC83,IF($A$1=$AF$1,AF83,IF($A$1=$AI$1,AI83))))))))))))</f>
        <v/>
      </c>
      <c r="AP83" s="44">
        <f>IF($A$1=$B$1,C83,IF($A$1=$E$1,F83,IF($A$1=$H$1,I83,IF($A$1=$K$1,L83,IF($A$1=$N$1,O83,IF($A$1=$Q$1,R83,IF($A$1=$T$1,U83,IF($A$1=$W$1,X83,IF($A$1=$Z$1,AA83,IF($A$1=$AC$1,AD83,IF($A$1=$AF$1,AG83,IF($A$1=$AI$1,AJ83))))))))))))</f>
        <v/>
      </c>
    </row>
    <row r="84" ht="15.5" customFormat="1" customHeight="1" s="13">
      <c r="A84" s="26" t="inlineStr">
        <is>
          <t>Jantaş</t>
        </is>
      </c>
      <c r="B84" s="12">
        <f>B41/B14</f>
        <v/>
      </c>
      <c r="C84" s="12">
        <f>IFERROR((C41/C14),"")</f>
        <v/>
      </c>
      <c r="D84" s="41" t="n"/>
      <c r="E84" s="12">
        <f>E41/E14</f>
        <v/>
      </c>
      <c r="F84" s="12">
        <f>IFERROR((F41/F14),"")</f>
        <v/>
      </c>
      <c r="G84" s="41" t="n"/>
      <c r="H84" s="12">
        <f>H41/H14</f>
        <v/>
      </c>
      <c r="I84" s="12">
        <f>IFERROR((I41/I14),"")</f>
        <v/>
      </c>
      <c r="J84" s="41" t="n"/>
      <c r="K84" s="12">
        <f>K41/K14</f>
        <v/>
      </c>
      <c r="L84" s="12">
        <f>IFERROR((L41/L14),"")</f>
        <v/>
      </c>
      <c r="M84" s="41" t="n"/>
      <c r="N84" s="12">
        <f>N41/N14</f>
        <v/>
      </c>
      <c r="O84" s="12">
        <f>IFERROR((O41/O14),"")</f>
        <v/>
      </c>
      <c r="P84" s="41" t="n"/>
      <c r="Q84" s="12">
        <f>Q41/Q14</f>
        <v/>
      </c>
      <c r="R84" s="12">
        <f>IFERROR((R41/R14),"")</f>
        <v/>
      </c>
      <c r="S84" s="41" t="n"/>
      <c r="T84" s="12">
        <f>T41/T14</f>
        <v/>
      </c>
      <c r="U84" s="12">
        <f>IFERROR((U41/U14),"")</f>
        <v/>
      </c>
      <c r="V84" s="41" t="n"/>
      <c r="W84" s="12">
        <f>W41/W14</f>
        <v/>
      </c>
      <c r="X84" s="12">
        <f>IFERROR((X41/X14),"")</f>
        <v/>
      </c>
      <c r="Y84" s="41" t="n"/>
      <c r="Z84" s="12">
        <f>Z41/Z14</f>
        <v/>
      </c>
      <c r="AA84" s="12">
        <f>IFERROR((AA41/AA14),"")</f>
        <v/>
      </c>
      <c r="AB84" s="41" t="n"/>
      <c r="AC84" s="12">
        <f>AC41/AC14</f>
        <v/>
      </c>
      <c r="AD84" s="12">
        <f>IFERROR((AD41/AD14),"")</f>
        <v/>
      </c>
      <c r="AE84" s="41" t="n"/>
      <c r="AF84" s="12">
        <f>AF41/AF14</f>
        <v/>
      </c>
      <c r="AG84" s="12">
        <f>IFERROR((AG41/AG14),"")</f>
        <v/>
      </c>
      <c r="AH84" s="41" t="n"/>
      <c r="AI84" s="12">
        <f>AI41/AI14</f>
        <v/>
      </c>
      <c r="AJ84" s="12">
        <f>IFERROR((AJ41/AJ14),"")</f>
        <v/>
      </c>
      <c r="AK84" s="41" t="n"/>
      <c r="AL84" s="15" t="n"/>
      <c r="AM84" s="22">
        <f>AP84-AO84</f>
        <v/>
      </c>
      <c r="AO84" s="44">
        <f>IF($A$1=$B$1,B84,IF($A$1=$E$1,E84,IF($A$1=$H$1,H84,IF($A$1=$K$1,K84,IF($A$1=$N$1,N84,IF($A$1=$Q$1,Q84,IF($A$1=$T$1,T84,IF($A$1=$W$1,W84,IF($A$1=$Z$1,Z84,IF($A$1=$AC$1,AC84,IF($A$1=$AF$1,AF84,IF($A$1=$AI$1,AI84))))))))))))</f>
        <v/>
      </c>
      <c r="AP84" s="44">
        <f>IF($A$1=$B$1,C84,IF($A$1=$E$1,F84,IF($A$1=$H$1,I84,IF($A$1=$K$1,L84,IF($A$1=$N$1,O84,IF($A$1=$Q$1,R84,IF($A$1=$T$1,U84,IF($A$1=$W$1,X84,IF($A$1=$Z$1,AA84,IF($A$1=$AC$1,AD84,IF($A$1=$AF$1,AG84,IF($A$1=$AI$1,AJ84))))))))))))</f>
        <v/>
      </c>
    </row>
    <row r="85" ht="15.5" customFormat="1" customHeight="1" s="13">
      <c r="A85" s="26" t="inlineStr">
        <is>
          <t>Çelik</t>
        </is>
      </c>
      <c r="B85" s="12">
        <f>B42/B15</f>
        <v/>
      </c>
      <c r="C85" s="12">
        <f>IFERROR((C42/C15),"")</f>
        <v/>
      </c>
      <c r="D85" s="41" t="n"/>
      <c r="E85" s="12">
        <f>E42/E15</f>
        <v/>
      </c>
      <c r="F85" s="12">
        <f>IFERROR((F42/F15),"")</f>
        <v/>
      </c>
      <c r="G85" s="41" t="n"/>
      <c r="H85" s="12">
        <f>H42/H15</f>
        <v/>
      </c>
      <c r="I85" s="12">
        <f>IFERROR((I42/I15),"")</f>
        <v/>
      </c>
      <c r="J85" s="41" t="n"/>
      <c r="K85" s="12">
        <f>K42/K15</f>
        <v/>
      </c>
      <c r="L85" s="12">
        <f>IFERROR((L42/L15),"")</f>
        <v/>
      </c>
      <c r="M85" s="41" t="n"/>
      <c r="N85" s="12">
        <f>N42/N15</f>
        <v/>
      </c>
      <c r="O85" s="12">
        <f>IFERROR((O42/O15),"")</f>
        <v/>
      </c>
      <c r="P85" s="41" t="n"/>
      <c r="Q85" s="12">
        <f>Q42/Q15</f>
        <v/>
      </c>
      <c r="R85" s="12">
        <f>IFERROR((R42/R15),"")</f>
        <v/>
      </c>
      <c r="S85" s="41" t="n"/>
      <c r="T85" s="12">
        <f>T42/T15</f>
        <v/>
      </c>
      <c r="U85" s="12">
        <f>IFERROR((U42/U15),"")</f>
        <v/>
      </c>
      <c r="V85" s="41" t="n"/>
      <c r="W85" s="12">
        <f>W42/W15</f>
        <v/>
      </c>
      <c r="X85" s="12">
        <f>IFERROR((X42/X15),"")</f>
        <v/>
      </c>
      <c r="Y85" s="41" t="n"/>
      <c r="Z85" s="12">
        <f>Z42/Z15</f>
        <v/>
      </c>
      <c r="AA85" s="12">
        <f>IFERROR((AA42/AA15),"")</f>
        <v/>
      </c>
      <c r="AB85" s="41" t="n"/>
      <c r="AC85" s="12">
        <f>AC42/AC15</f>
        <v/>
      </c>
      <c r="AD85" s="12">
        <f>IFERROR((AD42/AD15),"")</f>
        <v/>
      </c>
      <c r="AE85" s="41" t="n"/>
      <c r="AF85" s="12">
        <f>AF42/AF15</f>
        <v/>
      </c>
      <c r="AG85" s="12">
        <f>IFERROR((AG42/AG15),"")</f>
        <v/>
      </c>
      <c r="AH85" s="41" t="n"/>
      <c r="AI85" s="12">
        <f>AI42/AI15</f>
        <v/>
      </c>
      <c r="AJ85" s="12">
        <f>IFERROR((AJ42/AJ15),"")</f>
        <v/>
      </c>
      <c r="AK85" s="41" t="n"/>
      <c r="AL85" s="15" t="n"/>
      <c r="AM85" s="22">
        <f>AP85-AO85</f>
        <v/>
      </c>
      <c r="AO85" s="44">
        <f>IF($A$1=$B$1,B85,IF($A$1=$E$1,E85,IF($A$1=$H$1,H85,IF($A$1=$K$1,K85,IF($A$1=$N$1,N85,IF($A$1=$Q$1,Q85,IF($A$1=$T$1,T85,IF($A$1=$W$1,W85,IF($A$1=$Z$1,Z85,IF($A$1=$AC$1,AC85,IF($A$1=$AF$1,AF85,IF($A$1=$AI$1,AI85))))))))))))</f>
        <v/>
      </c>
      <c r="AP85" s="44">
        <f>IF($A$1=$B$1,C85,IF($A$1=$E$1,F85,IF($A$1=$H$1,I85,IF($A$1=$K$1,L85,IF($A$1=$N$1,O85,IF($A$1=$Q$1,R85,IF($A$1=$T$1,U85,IF($A$1=$W$1,X85,IF($A$1=$Z$1,AA85,IF($A$1=$AC$1,AD85,IF($A$1=$AF$1,AG85,IF($A$1=$AI$1,AJ85))))))))))))</f>
        <v/>
      </c>
    </row>
    <row r="86" ht="15.5" customFormat="1" customHeight="1" s="13">
      <c r="A86" s="26" t="inlineStr">
        <is>
          <t>Alüminyum</t>
        </is>
      </c>
      <c r="B86" s="12">
        <f>B43/B16</f>
        <v/>
      </c>
      <c r="C86" s="12">
        <f>IFERROR((C43/C16),"")</f>
        <v/>
      </c>
      <c r="D86" s="41" t="n"/>
      <c r="E86" s="12">
        <f>E43/E16</f>
        <v/>
      </c>
      <c r="F86" s="12">
        <f>IFERROR((F43/F16),"")</f>
        <v/>
      </c>
      <c r="G86" s="41" t="n"/>
      <c r="H86" s="12">
        <f>H43/H16</f>
        <v/>
      </c>
      <c r="I86" s="12">
        <f>IFERROR((I43/I16),"")</f>
        <v/>
      </c>
      <c r="J86" s="41" t="n"/>
      <c r="K86" s="12">
        <f>K43/K16</f>
        <v/>
      </c>
      <c r="L86" s="12">
        <f>IFERROR((L43/L16),"")</f>
        <v/>
      </c>
      <c r="M86" s="41" t="n"/>
      <c r="N86" s="12">
        <f>N43/N16</f>
        <v/>
      </c>
      <c r="O86" s="12">
        <f>IFERROR((O43/O16),"")</f>
        <v/>
      </c>
      <c r="P86" s="41" t="n"/>
      <c r="Q86" s="12">
        <f>Q43/Q16</f>
        <v/>
      </c>
      <c r="R86" s="12">
        <f>IFERROR((R43/R16),"")</f>
        <v/>
      </c>
      <c r="S86" s="41" t="n"/>
      <c r="T86" s="12">
        <f>T43/T16</f>
        <v/>
      </c>
      <c r="U86" s="12">
        <f>IFERROR((U43/U16),"")</f>
        <v/>
      </c>
      <c r="V86" s="41" t="n"/>
      <c r="W86" s="12">
        <f>W43/W16</f>
        <v/>
      </c>
      <c r="X86" s="12">
        <f>IFERROR((X43/X16),"")</f>
        <v/>
      </c>
      <c r="Y86" s="41" t="n"/>
      <c r="Z86" s="12">
        <f>Z43/Z16</f>
        <v/>
      </c>
      <c r="AA86" s="12">
        <f>IFERROR((AA43/AA16),"")</f>
        <v/>
      </c>
      <c r="AB86" s="41" t="n"/>
      <c r="AC86" s="12">
        <f>AC43/AC16</f>
        <v/>
      </c>
      <c r="AD86" s="12">
        <f>IFERROR((AD43/AD16),"")</f>
        <v/>
      </c>
      <c r="AE86" s="41" t="n"/>
      <c r="AF86" s="12">
        <f>AF43/AF16</f>
        <v/>
      </c>
      <c r="AG86" s="12">
        <f>IFERROR((AG43/AG16),"")</f>
        <v/>
      </c>
      <c r="AH86" s="41" t="n"/>
      <c r="AI86" s="12">
        <f>AI43/AI16</f>
        <v/>
      </c>
      <c r="AJ86" s="12">
        <f>IFERROR((AJ43/AJ16),"")</f>
        <v/>
      </c>
      <c r="AK86" s="41" t="n"/>
      <c r="AL86" s="15" t="n"/>
      <c r="AM86" s="22">
        <f>AP86-AO86</f>
        <v/>
      </c>
      <c r="AO86" s="44">
        <f>IF($A$1=$B$1,B86,IF($A$1=$E$1,E86,IF($A$1=$H$1,H86,IF($A$1=$K$1,K86,IF($A$1=$N$1,N86,IF($A$1=$Q$1,Q86,IF($A$1=$T$1,T86,IF($A$1=$W$1,W86,IF($A$1=$Z$1,Z86,IF($A$1=$AC$1,AC86,IF($A$1=$AF$1,AF86,IF($A$1=$AI$1,AI86))))))))))))</f>
        <v/>
      </c>
      <c r="AP86" s="44">
        <f>IF($A$1=$B$1,C86,IF($A$1=$E$1,F86,IF($A$1=$H$1,I86,IF($A$1=$K$1,L86,IF($A$1=$N$1,O86,IF($A$1=$Q$1,R86,IF($A$1=$T$1,U86,IF($A$1=$W$1,X86,IF($A$1=$Z$1,AA86,IF($A$1=$AC$1,AD86,IF($A$1=$AF$1,AG86,IF($A$1=$AI$1,AJ86))))))))))))</f>
        <v/>
      </c>
    </row>
    <row r="87" ht="15.5" customFormat="1" customHeight="1" s="13">
      <c r="A87" s="26" t="n"/>
      <c r="B87" s="12" t="n"/>
      <c r="C87" s="12">
        <f>IFERROR((C44/C17),"")</f>
        <v/>
      </c>
      <c r="D87" s="41" t="n"/>
      <c r="E87" s="12" t="n"/>
      <c r="F87" s="12">
        <f>IFERROR((F44/F17),"")</f>
        <v/>
      </c>
      <c r="G87" s="41" t="n"/>
      <c r="H87" s="12" t="n"/>
      <c r="I87" s="12">
        <f>IFERROR((I44/I17),"")</f>
        <v/>
      </c>
      <c r="J87" s="41" t="n"/>
      <c r="K87" s="12" t="n"/>
      <c r="L87" s="12">
        <f>IFERROR((L44/L17),"")</f>
        <v/>
      </c>
      <c r="M87" s="41" t="n"/>
      <c r="N87" s="12" t="n"/>
      <c r="O87" s="12">
        <f>IFERROR((O44/O17),"")</f>
        <v/>
      </c>
      <c r="P87" s="41" t="n"/>
      <c r="Q87" s="12" t="n"/>
      <c r="R87" s="12">
        <f>IFERROR((R44/R17),"")</f>
        <v/>
      </c>
      <c r="S87" s="41" t="n"/>
      <c r="T87" s="12" t="n"/>
      <c r="U87" s="12">
        <f>IFERROR((U44/U17),"")</f>
        <v/>
      </c>
      <c r="V87" s="41" t="n"/>
      <c r="W87" s="12" t="n"/>
      <c r="X87" s="12">
        <f>IFERROR((X44/X17),"")</f>
        <v/>
      </c>
      <c r="Y87" s="41" t="n"/>
      <c r="Z87" s="12" t="n"/>
      <c r="AA87" s="12">
        <f>IFERROR((AA44/AA17),"")</f>
        <v/>
      </c>
      <c r="AB87" s="41" t="n"/>
      <c r="AC87" s="12" t="n"/>
      <c r="AD87" s="12">
        <f>IFERROR((AD44/AD17),"")</f>
        <v/>
      </c>
      <c r="AE87" s="41" t="n"/>
      <c r="AF87" s="12" t="n"/>
      <c r="AG87" s="12">
        <f>IFERROR((AG44/AG17),"")</f>
        <v/>
      </c>
      <c r="AH87" s="41" t="n"/>
      <c r="AI87" s="12" t="n"/>
      <c r="AJ87" s="12">
        <f>IFERROR((AJ44/AJ17),"")</f>
        <v/>
      </c>
      <c r="AK87" s="41" t="n"/>
      <c r="AL87" s="15" t="n"/>
      <c r="AM87" s="22" t="n"/>
      <c r="AO87" s="44">
        <f>IF($A$1=$B$1,B87,IF($A$1=$E$1,E87,IF($A$1=$H$1,H87,IF($A$1=$K$1,K87,IF($A$1=$N$1,N87,IF($A$1=$Q$1,Q87,IF($A$1=$T$1,T87,IF($A$1=$W$1,W87,IF($A$1=$Z$1,Z87,IF($A$1=$AC$1,AC87,IF($A$1=$AF$1,AF87,IF($A$1=$AI$1,AI87))))))))))))</f>
        <v/>
      </c>
      <c r="AP87" s="44">
        <f>IF($A$1=$B$1,C87,IF($A$1=$E$1,F87,IF($A$1=$H$1,I87,IF($A$1=$K$1,L87,IF($A$1=$N$1,O87,IF($A$1=$Q$1,R87,IF($A$1=$T$1,U87,IF($A$1=$W$1,X87,IF($A$1=$Z$1,AA87,IF($A$1=$AC$1,AD87,IF($A$1=$AF$1,AG87,IF($A$1=$AI$1,AJ87))))))))))))</f>
        <v/>
      </c>
    </row>
    <row r="88" ht="15.5" customFormat="1" customHeight="1" s="44">
      <c r="A88" s="31" t="inlineStr">
        <is>
          <t>Operating Expenses</t>
        </is>
      </c>
      <c r="B88" s="32">
        <f>'A-TRY'!B88</f>
        <v/>
      </c>
      <c r="C88" s="32">
        <f>'A-TRY'!C88</f>
        <v/>
      </c>
      <c r="D88" s="72">
        <f>+(C88/B88)-1</f>
        <v/>
      </c>
      <c r="E88" s="32">
        <f>B88+'A-TRY'!E88</f>
        <v/>
      </c>
      <c r="F88" s="32">
        <f>C88+'A-TRY'!F88</f>
        <v/>
      </c>
      <c r="G88" s="18" t="n"/>
      <c r="H88" s="32">
        <f>E88+'A-TRY'!H88</f>
        <v/>
      </c>
      <c r="I88" s="32">
        <f>F88+'A-TRY'!I88</f>
        <v/>
      </c>
      <c r="J88" s="18" t="n"/>
      <c r="K88" s="32">
        <f>H88+'A-TRY'!K88</f>
        <v/>
      </c>
      <c r="L88" s="32">
        <f>I88+'A-TRY'!L88</f>
        <v/>
      </c>
      <c r="M88" s="18" t="n"/>
      <c r="N88" s="32">
        <f>K88+'A-TRY'!N88</f>
        <v/>
      </c>
      <c r="O88" s="32">
        <f>L88+'A-TRY'!O88</f>
        <v/>
      </c>
      <c r="P88" s="18" t="n"/>
      <c r="Q88" s="32">
        <f>N88+'A-TRY'!Q88</f>
        <v/>
      </c>
      <c r="R88" s="32">
        <f>O88+'A-TRY'!R88</f>
        <v/>
      </c>
      <c r="S88" s="18" t="n"/>
      <c r="T88" s="32">
        <f>Q88+'A-TRY'!T88</f>
        <v/>
      </c>
      <c r="U88" s="32">
        <f>R88+'A-TRY'!U88</f>
        <v/>
      </c>
      <c r="V88" s="18" t="n"/>
      <c r="W88" s="32">
        <f>T88+'A-TRY'!W88</f>
        <v/>
      </c>
      <c r="X88" s="32">
        <f>U88+'A-TRY'!X88</f>
        <v/>
      </c>
      <c r="Y88" s="18" t="n"/>
      <c r="Z88" s="32">
        <f>W88+'A-TRY'!Z88</f>
        <v/>
      </c>
      <c r="AA88" s="32">
        <f>X88+'A-TRY'!AA88</f>
        <v/>
      </c>
      <c r="AB88" s="18" t="n"/>
      <c r="AC88" s="32">
        <f>Z88+'A-TRY'!AC88</f>
        <v/>
      </c>
      <c r="AD88" s="32">
        <f>AA88+'A-TRY'!AD88</f>
        <v/>
      </c>
      <c r="AE88" s="18" t="n"/>
      <c r="AF88" s="32">
        <f>AC88+'A-TRY'!AF88</f>
        <v/>
      </c>
      <c r="AG88" s="32">
        <f>AD88+'A-TRY'!AG88</f>
        <v/>
      </c>
      <c r="AH88" s="18" t="n"/>
      <c r="AI88" s="32">
        <f>AF88+'A-TRY'!AI88</f>
        <v/>
      </c>
      <c r="AJ88" s="32">
        <f>AG88+'A-TRY'!AJ88</f>
        <v/>
      </c>
      <c r="AK88" s="18" t="n"/>
      <c r="AL88" s="33">
        <f>AP88-AO88</f>
        <v/>
      </c>
      <c r="AM88" s="34">
        <f>AP88/AO88-1</f>
        <v/>
      </c>
      <c r="AO88" s="44">
        <f>IF($A$1=$B$1,B88,IF($A$1=$E$1,E88,IF($A$1=$H$1,H88,IF($A$1=$K$1,K88,IF($A$1=$N$1,N88,IF($A$1=$Q$1,Q88,IF($A$1=$T$1,T88,IF($A$1=$W$1,W88,IF($A$1=$Z$1,Z88,IF($A$1=$AC$1,AC88,IF($A$1=$AF$1,AF88,IF($A$1=$AI$1,AI88))))))))))))</f>
        <v/>
      </c>
      <c r="AP88" s="44">
        <f>IF($A$1=$B$1,C88,IF($A$1=$E$1,F88,IF($A$1=$H$1,I88,IF($A$1=$K$1,L88,IF($A$1=$N$1,O88,IF($A$1=$Q$1,R88,IF($A$1=$T$1,U88,IF($A$1=$W$1,X88,IF($A$1=$Z$1,AA88,IF($A$1=$AC$1,AD88,IF($A$1=$AF$1,AG88,IF($A$1=$AI$1,AJ88))))))))))))</f>
        <v/>
      </c>
    </row>
    <row r="89" ht="15.5" customFormat="1" customHeight="1" s="13">
      <c r="A89" s="27" t="n"/>
      <c r="B89" s="30">
        <f>IFERROR((B46/#REF!),"")</f>
        <v/>
      </c>
      <c r="C89" s="30">
        <f>IFERROR((C46/#REF!),"")</f>
        <v/>
      </c>
      <c r="D89" s="41" t="n"/>
      <c r="E89" s="30">
        <f>IFERROR((E46/#REF!),"")</f>
        <v/>
      </c>
      <c r="F89" s="30">
        <f>IFERROR((F46/#REF!),"")</f>
        <v/>
      </c>
      <c r="G89" s="41" t="n"/>
      <c r="H89" s="30">
        <f>IFERROR((H46/#REF!),"")</f>
        <v/>
      </c>
      <c r="I89" s="30">
        <f>IFERROR((I46/#REF!),"")</f>
        <v/>
      </c>
      <c r="J89" s="41" t="n"/>
      <c r="K89" s="30">
        <f>IFERROR((K46/#REF!),"")</f>
        <v/>
      </c>
      <c r="L89" s="30">
        <f>IFERROR((L46/#REF!),"")</f>
        <v/>
      </c>
      <c r="M89" s="41" t="n"/>
      <c r="N89" s="30">
        <f>IFERROR((N46/#REF!),"")</f>
        <v/>
      </c>
      <c r="O89" s="30">
        <f>IFERROR((O46/#REF!),"")</f>
        <v/>
      </c>
      <c r="P89" s="41" t="n"/>
      <c r="Q89" s="30">
        <f>IFERROR((Q46/#REF!),"")</f>
        <v/>
      </c>
      <c r="R89" s="30">
        <f>IFERROR((R46/#REF!),"")</f>
        <v/>
      </c>
      <c r="S89" s="41" t="n"/>
      <c r="T89" s="30">
        <f>IFERROR((T46/#REF!),"")</f>
        <v/>
      </c>
      <c r="U89" s="30">
        <f>IFERROR((U46/#REF!),"")</f>
        <v/>
      </c>
      <c r="V89" s="41" t="n"/>
      <c r="W89" s="30">
        <f>IFERROR((W46/#REF!),"")</f>
        <v/>
      </c>
      <c r="X89" s="30">
        <f>IFERROR((X46/#REF!),"")</f>
        <v/>
      </c>
      <c r="Y89" s="41" t="n"/>
      <c r="Z89" s="30">
        <f>IFERROR((Z46/#REF!),"")</f>
        <v/>
      </c>
      <c r="AA89" s="30">
        <f>IFERROR((AA46/#REF!),"")</f>
        <v/>
      </c>
      <c r="AB89" s="41" t="n"/>
      <c r="AC89" s="30">
        <f>IFERROR((AC46/#REF!),"")</f>
        <v/>
      </c>
      <c r="AD89" s="30">
        <f>IFERROR((AD46/#REF!),"")</f>
        <v/>
      </c>
      <c r="AE89" s="41" t="n"/>
      <c r="AF89" s="30">
        <f>IFERROR((AF46/#REF!),"")</f>
        <v/>
      </c>
      <c r="AG89" s="30">
        <f>IFERROR((AG46/#REF!),"")</f>
        <v/>
      </c>
      <c r="AH89" s="41" t="n"/>
      <c r="AI89" s="30">
        <f>IFERROR((AI46/#REF!),"")</f>
        <v/>
      </c>
      <c r="AJ89" s="30">
        <f>IFERROR((AJ46/#REF!),"")</f>
        <v/>
      </c>
      <c r="AK89" s="41" t="n"/>
      <c r="AL89" s="15" t="n"/>
      <c r="AM89" s="22" t="n"/>
      <c r="AO89" s="44">
        <f>IF($A$1=$B$1,B89,IF($A$1=$E$1,E89,IF($A$1=$H$1,H89,IF($A$1=$K$1,K89,IF($A$1=$N$1,N89,IF($A$1=$Q$1,Q89,IF($A$1=$T$1,T89,IF($A$1=$W$1,W89,IF($A$1=$Z$1,Z89,IF($A$1=$AC$1,AC89,IF($A$1=$AF$1,AF89,IF($A$1=$AI$1,AI89))))))))))))</f>
        <v/>
      </c>
      <c r="AP89" s="44">
        <f>IF($A$1=$B$1,C89,IF($A$1=$E$1,F89,IF($A$1=$H$1,I89,IF($A$1=$K$1,L89,IF($A$1=$N$1,O89,IF($A$1=$Q$1,R89,IF($A$1=$T$1,U89,IF($A$1=$W$1,X89,IF($A$1=$Z$1,AA89,IF($A$1=$AC$1,AD89,IF($A$1=$AF$1,AG89,IF($A$1=$AI$1,AJ89))))))))))))</f>
        <v/>
      </c>
    </row>
    <row r="90" ht="17" customFormat="1" customHeight="1" s="49">
      <c r="A90" s="47" t="inlineStr">
        <is>
          <t>Operating Expenses by channels (100%)</t>
        </is>
      </c>
      <c r="B90" s="413" t="n"/>
      <c r="C90" s="413" t="n"/>
      <c r="D90" s="413" t="n"/>
      <c r="E90" s="413" t="n"/>
      <c r="F90" s="413" t="n"/>
      <c r="G90" s="413" t="n"/>
      <c r="H90" s="413" t="n"/>
      <c r="I90" s="413" t="n"/>
      <c r="J90" s="413" t="n"/>
      <c r="K90" s="413" t="n"/>
      <c r="L90" s="413" t="n"/>
      <c r="M90" s="413" t="n"/>
      <c r="N90" s="413" t="n"/>
      <c r="O90" s="413" t="n"/>
      <c r="P90" s="413" t="n"/>
      <c r="Q90" s="413" t="n"/>
      <c r="R90" s="413" t="n"/>
      <c r="S90" s="413" t="n"/>
      <c r="T90" s="413" t="n"/>
      <c r="U90" s="413" t="n"/>
      <c r="V90" s="413" t="n"/>
      <c r="W90" s="413" t="n"/>
      <c r="X90" s="413" t="n"/>
      <c r="Y90" s="413" t="n"/>
      <c r="Z90" s="413" t="n"/>
      <c r="AA90" s="413" t="n"/>
      <c r="AB90" s="413" t="n"/>
      <c r="AC90" s="413" t="n"/>
      <c r="AD90" s="413" t="n"/>
      <c r="AE90" s="413" t="n"/>
      <c r="AF90" s="413" t="n"/>
      <c r="AG90" s="413" t="n"/>
      <c r="AH90" s="413" t="n"/>
      <c r="AI90" s="413" t="n"/>
      <c r="AJ90" s="413" t="n"/>
      <c r="AK90" s="413" t="n"/>
      <c r="AL90" s="413" t="n"/>
      <c r="AM90" s="48" t="n"/>
    </row>
    <row r="91" ht="15.5" customHeight="1">
      <c r="A91" s="26" t="inlineStr">
        <is>
          <t xml:space="preserve">İnci Holding </t>
        </is>
      </c>
      <c r="B91" s="7">
        <f>'A-TRY'!B91</f>
        <v/>
      </c>
      <c r="C91" s="7">
        <f>'A-TRY'!C91</f>
        <v/>
      </c>
      <c r="D91" s="7" t="n"/>
      <c r="E91" s="7">
        <f>B91+'A-TRY'!E91</f>
        <v/>
      </c>
      <c r="F91" s="7">
        <f>C91+'A-TRY'!F91</f>
        <v/>
      </c>
      <c r="G91" s="7" t="n"/>
      <c r="H91" s="7">
        <f>E91+'A-TRY'!H91</f>
        <v/>
      </c>
      <c r="I91" s="7">
        <f>F91+'A-TRY'!I91</f>
        <v/>
      </c>
      <c r="J91" s="7" t="n"/>
      <c r="K91" s="7">
        <f>H91+'A-TRY'!K91</f>
        <v/>
      </c>
      <c r="L91" s="7">
        <f>I91+'A-TRY'!L91</f>
        <v/>
      </c>
      <c r="M91" s="7" t="n"/>
      <c r="N91" s="7">
        <f>K91+'A-TRY'!N91</f>
        <v/>
      </c>
      <c r="O91" s="7">
        <f>L91+'A-TRY'!O91</f>
        <v/>
      </c>
      <c r="P91" s="7" t="n"/>
      <c r="Q91" s="7">
        <f>N91+'A-TRY'!Q91</f>
        <v/>
      </c>
      <c r="R91" s="7">
        <f>O91+'A-TRY'!R91</f>
        <v/>
      </c>
      <c r="S91" s="7" t="n"/>
      <c r="T91" s="7">
        <f>Q91+'A-TRY'!T91</f>
        <v/>
      </c>
      <c r="U91" s="7">
        <f>R91+'A-TRY'!U91</f>
        <v/>
      </c>
      <c r="V91" s="7" t="n"/>
      <c r="W91" s="7">
        <f>T91+'A-TRY'!W91</f>
        <v/>
      </c>
      <c r="X91" s="7">
        <f>U91+'A-TRY'!X91</f>
        <v/>
      </c>
      <c r="Y91" s="7" t="n"/>
      <c r="Z91" s="7">
        <f>W91+'A-TRY'!Z91</f>
        <v/>
      </c>
      <c r="AA91" s="7">
        <f>X91+'A-TRY'!AA91</f>
        <v/>
      </c>
      <c r="AB91" s="7" t="n"/>
      <c r="AC91" s="7">
        <f>Z91+'A-TRY'!AC91</f>
        <v/>
      </c>
      <c r="AD91" s="7">
        <f>AA91+'A-TRY'!AD91</f>
        <v/>
      </c>
      <c r="AE91" s="7" t="n"/>
      <c r="AF91" s="7">
        <f>AC91+'A-TRY'!AF91</f>
        <v/>
      </c>
      <c r="AG91" s="7">
        <f>AD91+'A-TRY'!AG91</f>
        <v/>
      </c>
      <c r="AH91" s="7" t="n"/>
      <c r="AI91" s="7">
        <f>AF91+'A-TRY'!AI91</f>
        <v/>
      </c>
      <c r="AJ91" s="7">
        <f>AG91+'A-TRY'!AJ91</f>
        <v/>
      </c>
      <c r="AK91" s="7" t="n"/>
      <c r="AL91" s="21">
        <f>AP91-AO91</f>
        <v/>
      </c>
      <c r="AM91" s="22">
        <f>AP91/AO91-1</f>
        <v/>
      </c>
      <c r="AO91" s="44">
        <f>IF($A$1=$B$1,B91,IF($A$1=$E$1,E91,IF($A$1=$H$1,H91,IF($A$1=$K$1,K91,IF($A$1=$N$1,N91,IF($A$1=$Q$1,Q91,IF($A$1=$T$1,T91,IF($A$1=$W$1,W91,IF($A$1=$Z$1,Z91,IF($A$1=$AC$1,AC91,IF($A$1=$AF$1,AF91,IF($A$1=$AI$1,AI91))))))))))))</f>
        <v/>
      </c>
      <c r="AP91" s="44">
        <f>IF($A$1=$B$1,C91,IF($A$1=$E$1,F91,IF($A$1=$H$1,I91,IF($A$1=$K$1,L91,IF($A$1=$N$1,O91,IF($A$1=$Q$1,R91,IF($A$1=$T$1,U91,IF($A$1=$W$1,X91,IF($A$1=$Z$1,AA91,IF($A$1=$AC$1,AD91,IF($A$1=$AF$1,AG91,IF($A$1=$AI$1,AJ91))))))))))))</f>
        <v/>
      </c>
    </row>
    <row r="92" ht="15.5" customHeight="1">
      <c r="A92" s="26" t="inlineStr">
        <is>
          <t xml:space="preserve">ISM </t>
        </is>
      </c>
      <c r="B92" s="7">
        <f>'A-TRY'!B92</f>
        <v/>
      </c>
      <c r="C92" s="7">
        <f>'A-TRY'!C92</f>
        <v/>
      </c>
      <c r="D92" s="7" t="n"/>
      <c r="E92" s="7">
        <f>B92+'A-TRY'!E92</f>
        <v/>
      </c>
      <c r="F92" s="7">
        <f>C92+'A-TRY'!F92</f>
        <v/>
      </c>
      <c r="G92" s="7" t="n"/>
      <c r="H92" s="7">
        <f>E92+'A-TRY'!H92</f>
        <v/>
      </c>
      <c r="I92" s="7">
        <f>F92+'A-TRY'!I92</f>
        <v/>
      </c>
      <c r="J92" s="7" t="n"/>
      <c r="K92" s="7">
        <f>H92+'A-TRY'!K92</f>
        <v/>
      </c>
      <c r="L92" s="7">
        <f>I92+'A-TRY'!L92</f>
        <v/>
      </c>
      <c r="M92" s="7" t="n"/>
      <c r="N92" s="7">
        <f>K92+'A-TRY'!N92</f>
        <v/>
      </c>
      <c r="O92" s="7">
        <f>L92+'A-TRY'!O92</f>
        <v/>
      </c>
      <c r="P92" s="7" t="n"/>
      <c r="Q92" s="7">
        <f>N92+'A-TRY'!Q92</f>
        <v/>
      </c>
      <c r="R92" s="7">
        <f>O92+'A-TRY'!R92</f>
        <v/>
      </c>
      <c r="S92" s="7" t="n"/>
      <c r="T92" s="7">
        <f>Q92+'A-TRY'!T92</f>
        <v/>
      </c>
      <c r="U92" s="7">
        <f>R92+'A-TRY'!U92</f>
        <v/>
      </c>
      <c r="V92" s="7" t="n"/>
      <c r="W92" s="7">
        <f>T92+'A-TRY'!W92</f>
        <v/>
      </c>
      <c r="X92" s="7">
        <f>U92+'A-TRY'!X92</f>
        <v/>
      </c>
      <c r="Y92" s="7" t="n"/>
      <c r="Z92" s="7">
        <f>W92+'A-TRY'!Z92</f>
        <v/>
      </c>
      <c r="AA92" s="7">
        <f>X92+'A-TRY'!AA92</f>
        <v/>
      </c>
      <c r="AB92" s="7" t="n"/>
      <c r="AC92" s="7">
        <f>Z92+'A-TRY'!AC92</f>
        <v/>
      </c>
      <c r="AD92" s="7">
        <f>AA92+'A-TRY'!AD92</f>
        <v/>
      </c>
      <c r="AE92" s="7" t="n"/>
      <c r="AF92" s="7">
        <f>AC92+'A-TRY'!AF92</f>
        <v/>
      </c>
      <c r="AG92" s="7">
        <f>AD92+'A-TRY'!AG92</f>
        <v/>
      </c>
      <c r="AH92" s="7" t="n"/>
      <c r="AI92" s="7">
        <f>AF92+'A-TRY'!AI92</f>
        <v/>
      </c>
      <c r="AJ92" s="7">
        <f>AG92+'A-TRY'!AJ92</f>
        <v/>
      </c>
      <c r="AK92" s="7" t="n"/>
      <c r="AL92" s="21">
        <f>AP92-AO92</f>
        <v/>
      </c>
      <c r="AM92" s="22">
        <f>AP92/AO92-1</f>
        <v/>
      </c>
      <c r="AO92" s="44">
        <f>IF($A$1=$B$1,B92,IF($A$1=$E$1,E92,IF($A$1=$H$1,H92,IF($A$1=$K$1,K92,IF($A$1=$N$1,N92,IF($A$1=$Q$1,Q92,IF($A$1=$T$1,T92,IF($A$1=$W$1,W92,IF($A$1=$Z$1,Z92,IF($A$1=$AC$1,AC92,IF($A$1=$AF$1,AF92,IF($A$1=$AI$1,AI92))))))))))))</f>
        <v/>
      </c>
      <c r="AP92" s="44">
        <f>IF($A$1=$B$1,C92,IF($A$1=$E$1,F92,IF($A$1=$H$1,I92,IF($A$1=$K$1,L92,IF($A$1=$N$1,O92,IF($A$1=$Q$1,R92,IF($A$1=$T$1,U92,IF($A$1=$W$1,X92,IF($A$1=$Z$1,AA92,IF($A$1=$AC$1,AD92,IF($A$1=$AF$1,AG92,IF($A$1=$AI$1,AJ92))))))))))))</f>
        <v/>
      </c>
    </row>
    <row r="93" ht="15.5" customHeight="1">
      <c r="A93" s="26" t="inlineStr">
        <is>
          <t>İncitaş</t>
        </is>
      </c>
      <c r="B93" s="7">
        <f>'A-TRY'!B93</f>
        <v/>
      </c>
      <c r="C93" s="7">
        <f>'A-TRY'!C93</f>
        <v/>
      </c>
      <c r="D93" s="7" t="n"/>
      <c r="E93" s="7">
        <f>B93+'A-TRY'!E93</f>
        <v/>
      </c>
      <c r="F93" s="7">
        <f>C93+'A-TRY'!F93</f>
        <v/>
      </c>
      <c r="G93" s="7" t="n"/>
      <c r="H93" s="7">
        <f>E93+'A-TRY'!H93</f>
        <v/>
      </c>
      <c r="I93" s="7">
        <f>F93+'A-TRY'!I93</f>
        <v/>
      </c>
      <c r="J93" s="7" t="n"/>
      <c r="K93" s="7">
        <f>H93+'A-TRY'!K93</f>
        <v/>
      </c>
      <c r="L93" s="7">
        <f>I93+'A-TRY'!L93</f>
        <v/>
      </c>
      <c r="M93" s="7" t="n"/>
      <c r="N93" s="7">
        <f>K93+'A-TRY'!N93</f>
        <v/>
      </c>
      <c r="O93" s="7">
        <f>L93+'A-TRY'!O93</f>
        <v/>
      </c>
      <c r="P93" s="7" t="n"/>
      <c r="Q93" s="7">
        <f>N93+'A-TRY'!Q93</f>
        <v/>
      </c>
      <c r="R93" s="7">
        <f>O93+'A-TRY'!R93</f>
        <v/>
      </c>
      <c r="S93" s="7" t="n"/>
      <c r="T93" s="7">
        <f>Q93+'A-TRY'!T93</f>
        <v/>
      </c>
      <c r="U93" s="7">
        <f>R93+'A-TRY'!U93</f>
        <v/>
      </c>
      <c r="V93" s="7" t="n"/>
      <c r="W93" s="7">
        <f>T93+'A-TRY'!W93</f>
        <v/>
      </c>
      <c r="X93" s="7">
        <f>U93+'A-TRY'!X93</f>
        <v/>
      </c>
      <c r="Y93" s="7" t="n"/>
      <c r="Z93" s="7">
        <f>W93+'A-TRY'!Z93</f>
        <v/>
      </c>
      <c r="AA93" s="7">
        <f>X93+'A-TRY'!AA93</f>
        <v/>
      </c>
      <c r="AB93" s="7" t="n"/>
      <c r="AC93" s="7">
        <f>Z93+'A-TRY'!AC93</f>
        <v/>
      </c>
      <c r="AD93" s="7">
        <f>AA93+'A-TRY'!AD93</f>
        <v/>
      </c>
      <c r="AE93" s="7" t="n"/>
      <c r="AF93" s="7">
        <f>AC93+'A-TRY'!AF93</f>
        <v/>
      </c>
      <c r="AG93" s="7">
        <f>AD93+'A-TRY'!AG93</f>
        <v/>
      </c>
      <c r="AH93" s="7" t="n"/>
      <c r="AI93" s="7">
        <f>AF93+'A-TRY'!AI93</f>
        <v/>
      </c>
      <c r="AJ93" s="7">
        <f>AG93+'A-TRY'!AJ93</f>
        <v/>
      </c>
      <c r="AK93" s="7" t="n"/>
      <c r="AL93" s="21">
        <f>AP93-AO93</f>
        <v/>
      </c>
      <c r="AM93" s="22">
        <f>AP93/AO93-1</f>
        <v/>
      </c>
      <c r="AO93" s="44">
        <f>IF($A$1=$B$1,B93,IF($A$1=$E$1,E93,IF($A$1=$H$1,H93,IF($A$1=$K$1,K93,IF($A$1=$N$1,N93,IF($A$1=$Q$1,Q93,IF($A$1=$T$1,T93,IF($A$1=$W$1,W93,IF($A$1=$Z$1,Z93,IF($A$1=$AC$1,AC93,IF($A$1=$AF$1,AF93,IF($A$1=$AI$1,AI93))))))))))))</f>
        <v/>
      </c>
      <c r="AP93" s="44">
        <f>IF($A$1=$B$1,C93,IF($A$1=$E$1,F93,IF($A$1=$H$1,I93,IF($A$1=$K$1,L93,IF($A$1=$N$1,O93,IF($A$1=$Q$1,R93,IF($A$1=$T$1,U93,IF($A$1=$W$1,X93,IF($A$1=$Z$1,AA93,IF($A$1=$AC$1,AD93,IF($A$1=$AF$1,AG93,IF($A$1=$AI$1,AJ93))))))))))))</f>
        <v/>
      </c>
    </row>
    <row r="94" ht="15.5" customHeight="1">
      <c r="A94" s="26" t="inlineStr">
        <is>
          <t>İnci GS Yuasa</t>
        </is>
      </c>
      <c r="B94" s="7">
        <f>'A-TRY'!B94</f>
        <v/>
      </c>
      <c r="C94" s="7">
        <f>'A-TRY'!C94</f>
        <v/>
      </c>
      <c r="D94" s="7" t="n"/>
      <c r="E94" s="7">
        <f>B94+'A-TRY'!E94</f>
        <v/>
      </c>
      <c r="F94" s="7">
        <f>C94+'A-TRY'!F94</f>
        <v/>
      </c>
      <c r="G94" s="7" t="n"/>
      <c r="H94" s="7">
        <f>E94+'A-TRY'!H94</f>
        <v/>
      </c>
      <c r="I94" s="7">
        <f>F94+'A-TRY'!I94</f>
        <v/>
      </c>
      <c r="J94" s="7" t="n"/>
      <c r="K94" s="7">
        <f>H94+'A-TRY'!K94</f>
        <v/>
      </c>
      <c r="L94" s="7">
        <f>I94+'A-TRY'!L94</f>
        <v/>
      </c>
      <c r="M94" s="7" t="n"/>
      <c r="N94" s="7">
        <f>K94+'A-TRY'!N94</f>
        <v/>
      </c>
      <c r="O94" s="7">
        <f>L94+'A-TRY'!O94</f>
        <v/>
      </c>
      <c r="P94" s="7" t="n"/>
      <c r="Q94" s="7">
        <f>N94+'A-TRY'!Q94</f>
        <v/>
      </c>
      <c r="R94" s="7">
        <f>O94+'A-TRY'!R94</f>
        <v/>
      </c>
      <c r="S94" s="7" t="n"/>
      <c r="T94" s="7">
        <f>Q94+'A-TRY'!T94</f>
        <v/>
      </c>
      <c r="U94" s="7">
        <f>R94+'A-TRY'!U94</f>
        <v/>
      </c>
      <c r="V94" s="7" t="n"/>
      <c r="W94" s="7">
        <f>T94+'A-TRY'!W94</f>
        <v/>
      </c>
      <c r="X94" s="7">
        <f>U94+'A-TRY'!X94</f>
        <v/>
      </c>
      <c r="Y94" s="7" t="n"/>
      <c r="Z94" s="7">
        <f>W94+'A-TRY'!Z94</f>
        <v/>
      </c>
      <c r="AA94" s="7">
        <f>X94+'A-TRY'!AA94</f>
        <v/>
      </c>
      <c r="AB94" s="7" t="n"/>
      <c r="AC94" s="7">
        <f>Z94+'A-TRY'!AC94</f>
        <v/>
      </c>
      <c r="AD94" s="7">
        <f>AA94+'A-TRY'!AD94</f>
        <v/>
      </c>
      <c r="AE94" s="7" t="n"/>
      <c r="AF94" s="7">
        <f>AC94+'A-TRY'!AF94</f>
        <v/>
      </c>
      <c r="AG94" s="7">
        <f>AD94+'A-TRY'!AG94</f>
        <v/>
      </c>
      <c r="AH94" s="7" t="n"/>
      <c r="AI94" s="7">
        <f>AF94+'A-TRY'!AI94</f>
        <v/>
      </c>
      <c r="AJ94" s="7">
        <f>AG94+'A-TRY'!AJ94</f>
        <v/>
      </c>
      <c r="AK94" s="7" t="n"/>
      <c r="AL94" s="21">
        <f>AP94-AO94</f>
        <v/>
      </c>
      <c r="AM94" s="22">
        <f>AP94/AO94-1</f>
        <v/>
      </c>
      <c r="AO94" s="44">
        <f>IF($A$1=$B$1,B94,IF($A$1=$E$1,E94,IF($A$1=$H$1,H94,IF($A$1=$K$1,K94,IF($A$1=$N$1,N94,IF($A$1=$Q$1,Q94,IF($A$1=$T$1,T94,IF($A$1=$W$1,W94,IF($A$1=$Z$1,Z94,IF($A$1=$AC$1,AC94,IF($A$1=$AF$1,AF94,IF($A$1=$AI$1,AI94))))))))))))</f>
        <v/>
      </c>
      <c r="AP94" s="44">
        <f>IF($A$1=$B$1,C94,IF($A$1=$E$1,F94,IF($A$1=$H$1,I94,IF($A$1=$K$1,L94,IF($A$1=$N$1,O94,IF($A$1=$Q$1,R94,IF($A$1=$T$1,U94,IF($A$1=$W$1,X94,IF($A$1=$Z$1,AA94,IF($A$1=$AC$1,AD94,IF($A$1=$AF$1,AG94,IF($A$1=$AI$1,AJ94))))))))))))</f>
        <v/>
      </c>
    </row>
    <row r="95" ht="15.5" customFormat="1" customHeight="1" s="1">
      <c r="A95" s="26" t="inlineStr">
        <is>
          <t>Yusen İnci Loj.</t>
        </is>
      </c>
      <c r="B95" s="7">
        <f>'A-TRY'!B95</f>
        <v/>
      </c>
      <c r="C95" s="7">
        <f>'A-TRY'!C95</f>
        <v/>
      </c>
      <c r="D95" s="8" t="n"/>
      <c r="E95" s="7">
        <f>B95+'A-TRY'!E95</f>
        <v/>
      </c>
      <c r="F95" s="7">
        <f>C95+'A-TRY'!F95</f>
        <v/>
      </c>
      <c r="G95" s="8" t="n"/>
      <c r="H95" s="7">
        <f>E95+'A-TRY'!H95</f>
        <v/>
      </c>
      <c r="I95" s="7">
        <f>F95+'A-TRY'!I95</f>
        <v/>
      </c>
      <c r="J95" s="8" t="n"/>
      <c r="K95" s="7">
        <f>H95+'A-TRY'!K95</f>
        <v/>
      </c>
      <c r="L95" s="7">
        <f>I95+'A-TRY'!L95</f>
        <v/>
      </c>
      <c r="M95" s="8" t="n"/>
      <c r="N95" s="7">
        <f>K95+'A-TRY'!N95</f>
        <v/>
      </c>
      <c r="O95" s="7">
        <f>L95+'A-TRY'!O95</f>
        <v/>
      </c>
      <c r="P95" s="8" t="n"/>
      <c r="Q95" s="7">
        <f>N95+'A-TRY'!Q95</f>
        <v/>
      </c>
      <c r="R95" s="7">
        <f>O95+'A-TRY'!R95</f>
        <v/>
      </c>
      <c r="S95" s="8" t="n"/>
      <c r="T95" s="7">
        <f>Q95+'A-TRY'!T95</f>
        <v/>
      </c>
      <c r="U95" s="7">
        <f>R95+'A-TRY'!U95</f>
        <v/>
      </c>
      <c r="V95" s="8" t="n"/>
      <c r="W95" s="7">
        <f>T95+'A-TRY'!W95</f>
        <v/>
      </c>
      <c r="X95" s="7">
        <f>U95+'A-TRY'!X95</f>
        <v/>
      </c>
      <c r="Y95" s="8" t="n"/>
      <c r="Z95" s="7">
        <f>W95+'A-TRY'!Z95</f>
        <v/>
      </c>
      <c r="AA95" s="7">
        <f>X95+'A-TRY'!AA95</f>
        <v/>
      </c>
      <c r="AB95" s="8" t="n"/>
      <c r="AC95" s="7">
        <f>Z95+'A-TRY'!AC95</f>
        <v/>
      </c>
      <c r="AD95" s="7">
        <f>AA95+'A-TRY'!AD95</f>
        <v/>
      </c>
      <c r="AE95" s="8" t="n"/>
      <c r="AF95" s="7">
        <f>AC95+'A-TRY'!AF95</f>
        <v/>
      </c>
      <c r="AG95" s="7">
        <f>AD95+'A-TRY'!AG95</f>
        <v/>
      </c>
      <c r="AH95" s="8" t="n"/>
      <c r="AI95" s="7">
        <f>AF95+'A-TRY'!AI95</f>
        <v/>
      </c>
      <c r="AJ95" s="7">
        <f>AG95+'A-TRY'!AJ95</f>
        <v/>
      </c>
      <c r="AK95" s="8" t="n"/>
      <c r="AL95" s="21">
        <f>AP95-AO95</f>
        <v/>
      </c>
      <c r="AM95" s="22">
        <f>AP95/AO95-1</f>
        <v/>
      </c>
      <c r="AO95" s="44">
        <f>IF($A$1=$B$1,B95,IF($A$1=$E$1,E95,IF($A$1=$H$1,H95,IF($A$1=$K$1,K95,IF($A$1=$N$1,N95,IF($A$1=$Q$1,Q95,IF($A$1=$T$1,T95,IF($A$1=$W$1,W95,IF($A$1=$Z$1,Z95,IF($A$1=$AC$1,AC95,IF($A$1=$AF$1,AF95,IF($A$1=$AI$1,AI95))))))))))))</f>
        <v/>
      </c>
      <c r="AP95" s="44">
        <f>IF($A$1=$B$1,C95,IF($A$1=$E$1,F95,IF($A$1=$H$1,I95,IF($A$1=$K$1,L95,IF($A$1=$N$1,O95,IF($A$1=$Q$1,R95,IF($A$1=$T$1,U95,IF($A$1=$W$1,X95,IF($A$1=$Z$1,AA95,IF($A$1=$AC$1,AD95,IF($A$1=$AF$1,AG95,IF($A$1=$AI$1,AJ95))))))))))))</f>
        <v/>
      </c>
    </row>
    <row r="96" ht="15.5" customHeight="1">
      <c r="A96" s="26" t="inlineStr">
        <is>
          <t>Jantaş</t>
        </is>
      </c>
      <c r="B96" s="7">
        <f>'A-TRY'!B96</f>
        <v/>
      </c>
      <c r="C96" s="7">
        <f>'A-TRY'!C96</f>
        <v/>
      </c>
      <c r="D96" s="7" t="n"/>
      <c r="E96" s="7">
        <f>B96+'A-TRY'!E96</f>
        <v/>
      </c>
      <c r="F96" s="7">
        <f>C96+'A-TRY'!F96</f>
        <v/>
      </c>
      <c r="G96" s="7" t="n"/>
      <c r="H96" s="7">
        <f>E96+'A-TRY'!H96</f>
        <v/>
      </c>
      <c r="I96" s="7">
        <f>F96+'A-TRY'!I96</f>
        <v/>
      </c>
      <c r="J96" s="7" t="n"/>
      <c r="K96" s="7">
        <f>H96+'A-TRY'!K96</f>
        <v/>
      </c>
      <c r="L96" s="7">
        <f>I96+'A-TRY'!L96</f>
        <v/>
      </c>
      <c r="M96" s="7" t="n"/>
      <c r="N96" s="7">
        <f>K96+'A-TRY'!N96</f>
        <v/>
      </c>
      <c r="O96" s="7">
        <f>L96+'A-TRY'!O96</f>
        <v/>
      </c>
      <c r="P96" s="7" t="n"/>
      <c r="Q96" s="7">
        <f>N96+'A-TRY'!Q96</f>
        <v/>
      </c>
      <c r="R96" s="7">
        <f>O96+'A-TRY'!R96</f>
        <v/>
      </c>
      <c r="S96" s="7" t="n"/>
      <c r="T96" s="7">
        <f>Q96+'A-TRY'!T96</f>
        <v/>
      </c>
      <c r="U96" s="7">
        <f>R96+'A-TRY'!U96</f>
        <v/>
      </c>
      <c r="V96" s="7" t="n"/>
      <c r="W96" s="7">
        <f>T96+'A-TRY'!W96</f>
        <v/>
      </c>
      <c r="X96" s="7">
        <f>U96+'A-TRY'!X96</f>
        <v/>
      </c>
      <c r="Y96" s="7" t="n"/>
      <c r="Z96" s="7">
        <f>W96+'A-TRY'!Z96</f>
        <v/>
      </c>
      <c r="AA96" s="7">
        <f>X96+'A-TRY'!AA96</f>
        <v/>
      </c>
      <c r="AB96" s="7" t="n"/>
      <c r="AC96" s="7">
        <f>Z96+'A-TRY'!AC96</f>
        <v/>
      </c>
      <c r="AD96" s="7">
        <f>AA96+'A-TRY'!AD96</f>
        <v/>
      </c>
      <c r="AE96" s="7" t="n"/>
      <c r="AF96" s="7">
        <f>AC96+'A-TRY'!AF96</f>
        <v/>
      </c>
      <c r="AG96" s="7">
        <f>AD96+'A-TRY'!AG96</f>
        <v/>
      </c>
      <c r="AH96" s="7" t="n"/>
      <c r="AI96" s="7">
        <f>AF96+'A-TRY'!AI96</f>
        <v/>
      </c>
      <c r="AJ96" s="7">
        <f>AG96+'A-TRY'!AJ96</f>
        <v/>
      </c>
      <c r="AK96" s="7" t="n"/>
      <c r="AL96" s="21">
        <f>AP96-AO96</f>
        <v/>
      </c>
      <c r="AM96" s="22">
        <f>AP96/AO96-1</f>
        <v/>
      </c>
      <c r="AO96" s="44">
        <f>IF($A$1=$B$1,B96,IF($A$1=$E$1,E96,IF($A$1=$H$1,H96,IF($A$1=$K$1,K96,IF($A$1=$N$1,N96,IF($A$1=$Q$1,Q96,IF($A$1=$T$1,T96,IF($A$1=$W$1,W96,IF($A$1=$Z$1,Z96,IF($A$1=$AC$1,AC96,IF($A$1=$AF$1,AF96,IF($A$1=$AI$1,AI96))))))))))))</f>
        <v/>
      </c>
      <c r="AP96" s="44">
        <f>IF($A$1=$B$1,C96,IF($A$1=$E$1,F96,IF($A$1=$H$1,I96,IF($A$1=$K$1,L96,IF($A$1=$N$1,O96,IF($A$1=$Q$1,R96,IF($A$1=$T$1,U96,IF($A$1=$W$1,X96,IF($A$1=$Z$1,AA96,IF($A$1=$AC$1,AD96,IF($A$1=$AF$1,AG96,IF($A$1=$AI$1,AJ96))))))))))))</f>
        <v/>
      </c>
    </row>
    <row r="97" ht="15.5" customHeight="1">
      <c r="A97" s="26" t="inlineStr">
        <is>
          <t>Çelik</t>
        </is>
      </c>
      <c r="B97" s="7">
        <f>'A-TRY'!B97</f>
        <v/>
      </c>
      <c r="C97" s="7">
        <f>'A-TRY'!C97</f>
        <v/>
      </c>
      <c r="D97" s="7" t="n"/>
      <c r="E97" s="7">
        <f>B97+'A-TRY'!E97</f>
        <v/>
      </c>
      <c r="F97" s="7">
        <f>C97+'A-TRY'!F97</f>
        <v/>
      </c>
      <c r="G97" s="7" t="n"/>
      <c r="H97" s="7">
        <f>E97+'A-TRY'!H97</f>
        <v/>
      </c>
      <c r="I97" s="7">
        <f>F97+'A-TRY'!I97</f>
        <v/>
      </c>
      <c r="J97" s="7" t="n"/>
      <c r="K97" s="7">
        <f>H97+'A-TRY'!K97</f>
        <v/>
      </c>
      <c r="L97" s="7">
        <f>I97+'A-TRY'!L97</f>
        <v/>
      </c>
      <c r="M97" s="7" t="n"/>
      <c r="N97" s="7">
        <f>K97+'A-TRY'!N97</f>
        <v/>
      </c>
      <c r="O97" s="7">
        <f>L97+'A-TRY'!O97</f>
        <v/>
      </c>
      <c r="P97" s="7" t="n"/>
      <c r="Q97" s="7">
        <f>N97+'A-TRY'!Q97</f>
        <v/>
      </c>
      <c r="R97" s="7">
        <f>O97+'A-TRY'!R97</f>
        <v/>
      </c>
      <c r="S97" s="7" t="n"/>
      <c r="T97" s="7">
        <f>Q97+'A-TRY'!T97</f>
        <v/>
      </c>
      <c r="U97" s="7">
        <f>R97+'A-TRY'!U97</f>
        <v/>
      </c>
      <c r="V97" s="7" t="n"/>
      <c r="W97" s="7">
        <f>T97+'A-TRY'!W97</f>
        <v/>
      </c>
      <c r="X97" s="7">
        <f>U97+'A-TRY'!X97</f>
        <v/>
      </c>
      <c r="Y97" s="7" t="n"/>
      <c r="Z97" s="7">
        <f>W97+'A-TRY'!Z97</f>
        <v/>
      </c>
      <c r="AA97" s="7">
        <f>X97+'A-TRY'!AA97</f>
        <v/>
      </c>
      <c r="AB97" s="7" t="n"/>
      <c r="AC97" s="7">
        <f>Z97+'A-TRY'!AC97</f>
        <v/>
      </c>
      <c r="AD97" s="7">
        <f>AA97+'A-TRY'!AD97</f>
        <v/>
      </c>
      <c r="AE97" s="7" t="n"/>
      <c r="AF97" s="7">
        <f>AC97+'A-TRY'!AF97</f>
        <v/>
      </c>
      <c r="AG97" s="7">
        <f>AD97+'A-TRY'!AG97</f>
        <v/>
      </c>
      <c r="AH97" s="7" t="n"/>
      <c r="AI97" s="7">
        <f>AF97+'A-TRY'!AI97</f>
        <v/>
      </c>
      <c r="AJ97" s="7">
        <f>AG97+'A-TRY'!AJ97</f>
        <v/>
      </c>
      <c r="AK97" s="7" t="n"/>
      <c r="AL97" s="21">
        <f>AP97-AO97</f>
        <v/>
      </c>
      <c r="AM97" s="22">
        <f>AP97/AO97-1</f>
        <v/>
      </c>
      <c r="AO97" s="44">
        <f>IF($A$1=$B$1,B97,IF($A$1=$E$1,E97,IF($A$1=$H$1,H97,IF($A$1=$K$1,K97,IF($A$1=$N$1,N97,IF($A$1=$Q$1,Q97,IF($A$1=$T$1,T97,IF($A$1=$W$1,W97,IF($A$1=$Z$1,Z97,IF($A$1=$AC$1,AC97,IF($A$1=$AF$1,AF97,IF($A$1=$AI$1,AI97))))))))))))</f>
        <v/>
      </c>
      <c r="AP97" s="44">
        <f>IF($A$1=$B$1,C97,IF($A$1=$E$1,F97,IF($A$1=$H$1,I97,IF($A$1=$K$1,L97,IF($A$1=$N$1,O97,IF($A$1=$Q$1,R97,IF($A$1=$T$1,U97,IF($A$1=$W$1,X97,IF($A$1=$Z$1,AA97,IF($A$1=$AC$1,AD97,IF($A$1=$AF$1,AG97,IF($A$1=$AI$1,AJ97))))))))))))</f>
        <v/>
      </c>
    </row>
    <row r="98" ht="15.5" customHeight="1">
      <c r="A98" s="26" t="inlineStr">
        <is>
          <t>Alüminyum</t>
        </is>
      </c>
      <c r="B98" s="7">
        <f>'A-TRY'!B98</f>
        <v/>
      </c>
      <c r="C98" s="7">
        <f>'A-TRY'!C98</f>
        <v/>
      </c>
      <c r="D98" s="7" t="n"/>
      <c r="E98" s="7">
        <f>B98+'A-TRY'!E98</f>
        <v/>
      </c>
      <c r="F98" s="7">
        <f>C98+'A-TRY'!F98</f>
        <v/>
      </c>
      <c r="G98" s="7" t="n"/>
      <c r="H98" s="7">
        <f>E98+'A-TRY'!H98</f>
        <v/>
      </c>
      <c r="I98" s="7">
        <f>F98+'A-TRY'!I98</f>
        <v/>
      </c>
      <c r="J98" s="7" t="n"/>
      <c r="K98" s="7">
        <f>H98+'A-TRY'!K98</f>
        <v/>
      </c>
      <c r="L98" s="7">
        <f>I98+'A-TRY'!L98</f>
        <v/>
      </c>
      <c r="M98" s="7" t="n"/>
      <c r="N98" s="7">
        <f>K98+'A-TRY'!N98</f>
        <v/>
      </c>
      <c r="O98" s="7">
        <f>L98+'A-TRY'!O98</f>
        <v/>
      </c>
      <c r="P98" s="7" t="n"/>
      <c r="Q98" s="7">
        <f>N98+'A-TRY'!Q98</f>
        <v/>
      </c>
      <c r="R98" s="7">
        <f>O98+'A-TRY'!R98</f>
        <v/>
      </c>
      <c r="S98" s="7" t="n"/>
      <c r="T98" s="7">
        <f>Q98+'A-TRY'!T98</f>
        <v/>
      </c>
      <c r="U98" s="7">
        <f>R98+'A-TRY'!U98</f>
        <v/>
      </c>
      <c r="V98" s="7" t="n"/>
      <c r="W98" s="7">
        <f>T98+'A-TRY'!W98</f>
        <v/>
      </c>
      <c r="X98" s="7">
        <f>U98+'A-TRY'!X98</f>
        <v/>
      </c>
      <c r="Y98" s="7" t="n"/>
      <c r="Z98" s="7">
        <f>W98+'A-TRY'!Z98</f>
        <v/>
      </c>
      <c r="AA98" s="7">
        <f>X98+'A-TRY'!AA98</f>
        <v/>
      </c>
      <c r="AB98" s="7" t="n"/>
      <c r="AC98" s="7">
        <f>Z98+'A-TRY'!AC98</f>
        <v/>
      </c>
      <c r="AD98" s="7">
        <f>AA98+'A-TRY'!AD98</f>
        <v/>
      </c>
      <c r="AE98" s="7" t="n"/>
      <c r="AF98" s="7">
        <f>AC98+'A-TRY'!AF98</f>
        <v/>
      </c>
      <c r="AG98" s="7">
        <f>AD98+'A-TRY'!AG98</f>
        <v/>
      </c>
      <c r="AH98" s="7" t="n"/>
      <c r="AI98" s="7">
        <f>AF98+'A-TRY'!AI98</f>
        <v/>
      </c>
      <c r="AJ98" s="7">
        <f>AG98+'A-TRY'!AJ98</f>
        <v/>
      </c>
      <c r="AK98" s="7" t="n"/>
      <c r="AL98" s="21">
        <f>AP98-AO98</f>
        <v/>
      </c>
      <c r="AM98" s="22">
        <f>AP98/AO98-1</f>
        <v/>
      </c>
      <c r="AO98" s="44">
        <f>IF($A$1=$B$1,B98,IF($A$1=$E$1,E98,IF($A$1=$H$1,H98,IF($A$1=$K$1,K98,IF($A$1=$N$1,N98,IF($A$1=$Q$1,Q98,IF($A$1=$T$1,T98,IF($A$1=$W$1,W98,IF($A$1=$Z$1,Z98,IF($A$1=$AC$1,AC98,IF($A$1=$AF$1,AF98,IF($A$1=$AI$1,AI98))))))))))))</f>
        <v/>
      </c>
      <c r="AP98" s="44">
        <f>IF($A$1=$B$1,C98,IF($A$1=$E$1,F98,IF($A$1=$H$1,I98,IF($A$1=$K$1,L98,IF($A$1=$N$1,O98,IF($A$1=$Q$1,R98,IF($A$1=$T$1,U98,IF($A$1=$W$1,X98,IF($A$1=$Z$1,AA98,IF($A$1=$AC$1,AD98,IF($A$1=$AF$1,AG98,IF($A$1=$AI$1,AJ98))))))))))))</f>
        <v/>
      </c>
    </row>
    <row r="99" ht="15.5" customHeight="1">
      <c r="A99" s="2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21" t="n"/>
      <c r="AM99" s="22" t="n"/>
      <c r="AO99" s="44">
        <f>IF($A$1=$B$1,B99,IF($A$1=$E$1,E99,IF($A$1=$H$1,H99,IF($A$1=$K$1,K99,IF($A$1=$N$1,N99,IF($A$1=$Q$1,Q99,IF($A$1=$T$1,T99,IF($A$1=$W$1,W99,IF($A$1=$Z$1,Z99,IF($A$1=$AC$1,AC99,IF($A$1=$AF$1,AF99,IF($A$1=$AI$1,AI99))))))))))))</f>
        <v/>
      </c>
      <c r="AP99" s="44">
        <f>IF($A$1=$B$1,C99,IF($A$1=$E$1,F99,IF($A$1=$H$1,I99,IF($A$1=$K$1,L99,IF($A$1=$N$1,O99,IF($A$1=$Q$1,R99,IF($A$1=$T$1,U99,IF($A$1=$W$1,X99,IF($A$1=$Z$1,AA99,IF($A$1=$AC$1,AD99,IF($A$1=$AF$1,AG99,IF($A$1=$AI$1,AJ99))))))))))))</f>
        <v/>
      </c>
    </row>
    <row r="100">
      <c r="A100" s="2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5" t="n"/>
    </row>
    <row r="101" ht="17" customFormat="1" customHeight="1" s="49">
      <c r="A101" s="47" t="inlineStr">
        <is>
          <t>Operating expense/Sales</t>
        </is>
      </c>
      <c r="B101" s="413" t="n"/>
      <c r="C101" s="413" t="n"/>
      <c r="D101" s="413" t="n"/>
      <c r="E101" s="413" t="n"/>
      <c r="F101" s="413" t="n"/>
      <c r="G101" s="413" t="n"/>
      <c r="H101" s="413" t="n"/>
      <c r="I101" s="413" t="n"/>
      <c r="J101" s="413" t="n"/>
      <c r="K101" s="413" t="n"/>
      <c r="L101" s="413" t="n"/>
      <c r="M101" s="413" t="n"/>
      <c r="N101" s="413" t="n"/>
      <c r="O101" s="413" t="n"/>
      <c r="P101" s="413" t="n"/>
      <c r="Q101" s="413" t="n"/>
      <c r="R101" s="413" t="n"/>
      <c r="S101" s="413" t="n"/>
      <c r="T101" s="413" t="n"/>
      <c r="U101" s="413" t="n"/>
      <c r="V101" s="413" t="n"/>
      <c r="W101" s="413" t="n"/>
      <c r="X101" s="413" t="n"/>
      <c r="Y101" s="413" t="n"/>
      <c r="Z101" s="413" t="n"/>
      <c r="AA101" s="413" t="n"/>
      <c r="AB101" s="413" t="n"/>
      <c r="AC101" s="413" t="n"/>
      <c r="AD101" s="413" t="n"/>
      <c r="AE101" s="413" t="n"/>
      <c r="AF101" s="413" t="n"/>
      <c r="AG101" s="413" t="n"/>
      <c r="AH101" s="413" t="n"/>
      <c r="AI101" s="413" t="n"/>
      <c r="AJ101" s="413" t="n"/>
      <c r="AK101" s="413" t="n"/>
      <c r="AL101" s="413" t="n"/>
      <c r="AM101" s="48" t="n"/>
    </row>
    <row r="102" ht="15.5" customFormat="1" customHeight="1" s="13">
      <c r="A102" s="26" t="inlineStr">
        <is>
          <t xml:space="preserve">İnci Holding </t>
        </is>
      </c>
      <c r="B102" s="12">
        <f>B91*-1/B9</f>
        <v/>
      </c>
      <c r="C102" s="12">
        <f>C91*-1/C9</f>
        <v/>
      </c>
      <c r="D102" s="41" t="n"/>
      <c r="E102" s="12">
        <f>E91*-1/E9</f>
        <v/>
      </c>
      <c r="F102" s="12">
        <f>F91*-1/F9</f>
        <v/>
      </c>
      <c r="G102" s="41" t="n"/>
      <c r="H102" s="12">
        <f>H91*-1/H9</f>
        <v/>
      </c>
      <c r="I102" s="12">
        <f>I91*-1/I9</f>
        <v/>
      </c>
      <c r="J102" s="41" t="n"/>
      <c r="K102" s="12">
        <f>K91*-1/K9</f>
        <v/>
      </c>
      <c r="L102" s="12">
        <f>L91*-1/L9</f>
        <v/>
      </c>
      <c r="M102" s="41" t="n"/>
      <c r="N102" s="12">
        <f>N91*-1/N9</f>
        <v/>
      </c>
      <c r="O102" s="12">
        <f>O91*-1/O9</f>
        <v/>
      </c>
      <c r="P102" s="41" t="n"/>
      <c r="Q102" s="12">
        <f>Q91*-1/Q9</f>
        <v/>
      </c>
      <c r="R102" s="12">
        <f>R91*-1/R9</f>
        <v/>
      </c>
      <c r="S102" s="41" t="n"/>
      <c r="T102" s="12">
        <f>T91*-1/T9</f>
        <v/>
      </c>
      <c r="U102" s="12">
        <f>U91*-1/U9</f>
        <v/>
      </c>
      <c r="V102" s="41" t="n"/>
      <c r="W102" s="12">
        <f>W91*-1/W9</f>
        <v/>
      </c>
      <c r="X102" s="12">
        <f>X91*-1/X9</f>
        <v/>
      </c>
      <c r="Y102" s="41" t="n"/>
      <c r="Z102" s="12">
        <f>Z91*-1/Z9</f>
        <v/>
      </c>
      <c r="AA102" s="12">
        <f>AA91*-1/AA9</f>
        <v/>
      </c>
      <c r="AB102" s="41" t="n"/>
      <c r="AC102" s="12">
        <f>AC91*-1/AC9</f>
        <v/>
      </c>
      <c r="AD102" s="12">
        <f>AD91*-1/AD9</f>
        <v/>
      </c>
      <c r="AE102" s="41" t="n"/>
      <c r="AF102" s="12">
        <f>AF91*-1/AF9</f>
        <v/>
      </c>
      <c r="AG102" s="12">
        <f>AG91*-1/AG9</f>
        <v/>
      </c>
      <c r="AH102" s="41" t="n"/>
      <c r="AI102" s="12">
        <f>AI91*-1/AI9</f>
        <v/>
      </c>
      <c r="AJ102" s="12">
        <f>AJ91*-1/AJ9</f>
        <v/>
      </c>
      <c r="AK102" s="41" t="n"/>
      <c r="AL102" s="15" t="n"/>
      <c r="AM102" s="22">
        <f>AP102-AO102</f>
        <v/>
      </c>
      <c r="AO102" s="44">
        <f>IF($A$1=$B$1,B102,IF($A$1=$E$1,E102,IF($A$1=$H$1,H102,IF($A$1=$K$1,K102,IF($A$1=$N$1,N102,IF($A$1=$Q$1,Q102,IF($A$1=$T$1,T102,IF($A$1=$W$1,W102,IF($A$1=$Z$1,Z102,IF($A$1=$AC$1,AC102,IF($A$1=$AF$1,AF102,IF($A$1=$AI$1,AI102))))))))))))</f>
        <v/>
      </c>
      <c r="AP102" s="44">
        <f>IF($A$1=$B$1,C102,IF($A$1=$E$1,F102,IF($A$1=$H$1,I102,IF($A$1=$K$1,L102,IF($A$1=$N$1,O102,IF($A$1=$Q$1,R102,IF($A$1=$T$1,U102,IF($A$1=$W$1,X102,IF($A$1=$Z$1,AA102,IF($A$1=$AC$1,AD102,IF($A$1=$AF$1,AG102,IF($A$1=$AI$1,AJ102))))))))))))</f>
        <v/>
      </c>
    </row>
    <row r="103" ht="15.5" customFormat="1" customHeight="1" s="13">
      <c r="A103" s="26" t="inlineStr">
        <is>
          <t xml:space="preserve">ISM </t>
        </is>
      </c>
      <c r="B103" s="12">
        <f>B92*-1/B10</f>
        <v/>
      </c>
      <c r="C103" s="12">
        <f>C92*-1/C10</f>
        <v/>
      </c>
      <c r="D103" s="41" t="n"/>
      <c r="E103" s="12">
        <f>E92*-1/E10</f>
        <v/>
      </c>
      <c r="F103" s="12">
        <f>F92*-1/F10</f>
        <v/>
      </c>
      <c r="G103" s="41" t="n"/>
      <c r="H103" s="12">
        <f>H92*-1/H10</f>
        <v/>
      </c>
      <c r="I103" s="12">
        <f>I92*-1/I10</f>
        <v/>
      </c>
      <c r="J103" s="41" t="n"/>
      <c r="K103" s="12">
        <f>K92*-1/K10</f>
        <v/>
      </c>
      <c r="L103" s="12">
        <f>L92*-1/L10</f>
        <v/>
      </c>
      <c r="M103" s="41" t="n"/>
      <c r="N103" s="12">
        <f>N92*-1/N10</f>
        <v/>
      </c>
      <c r="O103" s="12">
        <f>O92*-1/O10</f>
        <v/>
      </c>
      <c r="P103" s="41" t="n"/>
      <c r="Q103" s="12">
        <f>Q92*-1/Q10</f>
        <v/>
      </c>
      <c r="R103" s="12">
        <f>R92*-1/R10</f>
        <v/>
      </c>
      <c r="S103" s="41" t="n"/>
      <c r="T103" s="12">
        <f>T92*-1/T10</f>
        <v/>
      </c>
      <c r="U103" s="12">
        <f>U92*-1/U10</f>
        <v/>
      </c>
      <c r="V103" s="41" t="n"/>
      <c r="W103" s="12">
        <f>W92*-1/W10</f>
        <v/>
      </c>
      <c r="X103" s="12">
        <f>X92*-1/X10</f>
        <v/>
      </c>
      <c r="Y103" s="41" t="n"/>
      <c r="Z103" s="12">
        <f>Z92*-1/Z10</f>
        <v/>
      </c>
      <c r="AA103" s="12">
        <f>AA92*-1/AA10</f>
        <v/>
      </c>
      <c r="AB103" s="41" t="n"/>
      <c r="AC103" s="12">
        <f>AC92*-1/AC10</f>
        <v/>
      </c>
      <c r="AD103" s="12">
        <f>AD92*-1/AD10</f>
        <v/>
      </c>
      <c r="AE103" s="41" t="n"/>
      <c r="AF103" s="12">
        <f>AF92*-1/AF10</f>
        <v/>
      </c>
      <c r="AG103" s="12">
        <f>AG92*-1/AG10</f>
        <v/>
      </c>
      <c r="AH103" s="41" t="n"/>
      <c r="AI103" s="12">
        <f>AI92*-1/AI10</f>
        <v/>
      </c>
      <c r="AJ103" s="12">
        <f>AJ92*-1/AJ10</f>
        <v/>
      </c>
      <c r="AK103" s="41" t="n"/>
      <c r="AL103" s="15" t="n"/>
      <c r="AM103" s="22">
        <f>AP103-AO103</f>
        <v/>
      </c>
      <c r="AO103" s="44">
        <f>IF($A$1=$B$1,B103,IF($A$1=$E$1,E103,IF($A$1=$H$1,H103,IF($A$1=$K$1,K103,IF($A$1=$N$1,N103,IF($A$1=$Q$1,Q103,IF($A$1=$T$1,T103,IF($A$1=$W$1,W103,IF($A$1=$Z$1,Z103,IF($A$1=$AC$1,AC103,IF($A$1=$AF$1,AF103,IF($A$1=$AI$1,AI103))))))))))))</f>
        <v/>
      </c>
      <c r="AP103" s="44">
        <f>IF($A$1=$B$1,C103,IF($A$1=$E$1,F103,IF($A$1=$H$1,I103,IF($A$1=$K$1,L103,IF($A$1=$N$1,O103,IF($A$1=$Q$1,R103,IF($A$1=$T$1,U103,IF($A$1=$W$1,X103,IF($A$1=$Z$1,AA103,IF($A$1=$AC$1,AD103,IF($A$1=$AF$1,AG103,IF($A$1=$AI$1,AJ103))))))))))))</f>
        <v/>
      </c>
    </row>
    <row r="104" ht="15.5" customFormat="1" customHeight="1" s="13">
      <c r="A104" s="26" t="inlineStr">
        <is>
          <t>İncitaş</t>
        </is>
      </c>
      <c r="B104" s="12">
        <f>B93*-1/B11</f>
        <v/>
      </c>
      <c r="C104" s="12">
        <f>C93*-1/C11</f>
        <v/>
      </c>
      <c r="D104" s="41" t="n"/>
      <c r="E104" s="12">
        <f>E93*-1/E11</f>
        <v/>
      </c>
      <c r="F104" s="12">
        <f>F93*-1/F11</f>
        <v/>
      </c>
      <c r="G104" s="41" t="n"/>
      <c r="H104" s="12">
        <f>H93*-1/H11</f>
        <v/>
      </c>
      <c r="I104" s="12">
        <f>I93*-1/I11</f>
        <v/>
      </c>
      <c r="J104" s="41" t="n"/>
      <c r="K104" s="12">
        <f>K93*-1/K11</f>
        <v/>
      </c>
      <c r="L104" s="12">
        <f>L93*-1/L11</f>
        <v/>
      </c>
      <c r="M104" s="41" t="n"/>
      <c r="N104" s="12">
        <f>N93*-1/N11</f>
        <v/>
      </c>
      <c r="O104" s="12">
        <f>O93*-1/O11</f>
        <v/>
      </c>
      <c r="P104" s="41" t="n"/>
      <c r="Q104" s="12">
        <f>Q93*-1/Q11</f>
        <v/>
      </c>
      <c r="R104" s="12">
        <f>R93*-1/R11</f>
        <v/>
      </c>
      <c r="S104" s="41" t="n"/>
      <c r="T104" s="12">
        <f>T93*-1/T11</f>
        <v/>
      </c>
      <c r="U104" s="12">
        <f>U93*-1/U11</f>
        <v/>
      </c>
      <c r="V104" s="41" t="n"/>
      <c r="W104" s="12">
        <f>W93*-1/W11</f>
        <v/>
      </c>
      <c r="X104" s="12">
        <f>X93*-1/X11</f>
        <v/>
      </c>
      <c r="Y104" s="41" t="n"/>
      <c r="Z104" s="12">
        <f>Z93*-1/Z11</f>
        <v/>
      </c>
      <c r="AA104" s="12">
        <f>AA93*-1/AA11</f>
        <v/>
      </c>
      <c r="AB104" s="41" t="n"/>
      <c r="AC104" s="12">
        <f>AC93*-1/AC11</f>
        <v/>
      </c>
      <c r="AD104" s="12">
        <f>AD93*-1/AD11</f>
        <v/>
      </c>
      <c r="AE104" s="41" t="n"/>
      <c r="AF104" s="12">
        <f>AF93*-1/AF11</f>
        <v/>
      </c>
      <c r="AG104" s="12">
        <f>AG93*-1/AG11</f>
        <v/>
      </c>
      <c r="AH104" s="41" t="n"/>
      <c r="AI104" s="12">
        <f>AI93*-1/AI11</f>
        <v/>
      </c>
      <c r="AJ104" s="12">
        <f>AJ93*-1/AJ11</f>
        <v/>
      </c>
      <c r="AK104" s="41" t="n"/>
      <c r="AL104" s="15" t="n"/>
      <c r="AM104" s="22">
        <f>AP104-AO104</f>
        <v/>
      </c>
      <c r="AO104" s="44">
        <f>IF($A$1=$B$1,B104,IF($A$1=$E$1,E104,IF($A$1=$H$1,H104,IF($A$1=$K$1,K104,IF($A$1=$N$1,N104,IF($A$1=$Q$1,Q104,IF($A$1=$T$1,T104,IF($A$1=$W$1,W104,IF($A$1=$Z$1,Z104,IF($A$1=$AC$1,AC104,IF($A$1=$AF$1,AF104,IF($A$1=$AI$1,AI104))))))))))))</f>
        <v/>
      </c>
      <c r="AP104" s="44">
        <f>IF($A$1=$B$1,C104,IF($A$1=$E$1,F104,IF($A$1=$H$1,I104,IF($A$1=$K$1,L104,IF($A$1=$N$1,O104,IF($A$1=$Q$1,R104,IF($A$1=$T$1,U104,IF($A$1=$W$1,X104,IF($A$1=$Z$1,AA104,IF($A$1=$AC$1,AD104,IF($A$1=$AF$1,AG104,IF($A$1=$AI$1,AJ104))))))))))))</f>
        <v/>
      </c>
    </row>
    <row r="105" ht="15.5" customFormat="1" customHeight="1" s="13">
      <c r="A105" s="26" t="inlineStr">
        <is>
          <t>İnci GS Yuasa</t>
        </is>
      </c>
      <c r="B105" s="12">
        <f>B94*-1/B12</f>
        <v/>
      </c>
      <c r="C105" s="12">
        <f>C94*-1/C12</f>
        <v/>
      </c>
      <c r="D105" s="41" t="n"/>
      <c r="E105" s="12">
        <f>E94*-1/E12</f>
        <v/>
      </c>
      <c r="F105" s="12">
        <f>F94*-1/F12</f>
        <v/>
      </c>
      <c r="G105" s="41" t="n"/>
      <c r="H105" s="12">
        <f>H94*-1/H12</f>
        <v/>
      </c>
      <c r="I105" s="12">
        <f>I94*-1/I12</f>
        <v/>
      </c>
      <c r="J105" s="41" t="n"/>
      <c r="K105" s="12">
        <f>K94*-1/K12</f>
        <v/>
      </c>
      <c r="L105" s="12">
        <f>L94*-1/L12</f>
        <v/>
      </c>
      <c r="M105" s="41" t="n"/>
      <c r="N105" s="12">
        <f>N94*-1/N12</f>
        <v/>
      </c>
      <c r="O105" s="12">
        <f>O94*-1/O12</f>
        <v/>
      </c>
      <c r="P105" s="41" t="n"/>
      <c r="Q105" s="12">
        <f>Q94*-1/Q12</f>
        <v/>
      </c>
      <c r="R105" s="12">
        <f>R94*-1/R12</f>
        <v/>
      </c>
      <c r="S105" s="41" t="n"/>
      <c r="T105" s="12">
        <f>T94*-1/T12</f>
        <v/>
      </c>
      <c r="U105" s="12">
        <f>U94*-1/U12</f>
        <v/>
      </c>
      <c r="V105" s="41" t="n"/>
      <c r="W105" s="12">
        <f>W94*-1/W12</f>
        <v/>
      </c>
      <c r="X105" s="12">
        <f>X94*-1/X12</f>
        <v/>
      </c>
      <c r="Y105" s="41" t="n"/>
      <c r="Z105" s="12">
        <f>Z94*-1/Z12</f>
        <v/>
      </c>
      <c r="AA105" s="12">
        <f>AA94*-1/AA12</f>
        <v/>
      </c>
      <c r="AB105" s="41" t="n"/>
      <c r="AC105" s="12">
        <f>AC94*-1/AC12</f>
        <v/>
      </c>
      <c r="AD105" s="12">
        <f>AD94*-1/AD12</f>
        <v/>
      </c>
      <c r="AE105" s="41" t="n"/>
      <c r="AF105" s="12">
        <f>AF94*-1/AF12</f>
        <v/>
      </c>
      <c r="AG105" s="12">
        <f>AG94*-1/AG12</f>
        <v/>
      </c>
      <c r="AH105" s="41" t="n"/>
      <c r="AI105" s="12">
        <f>AI94*-1/AI12</f>
        <v/>
      </c>
      <c r="AJ105" s="12">
        <f>AJ94*-1/AJ12</f>
        <v/>
      </c>
      <c r="AK105" s="41" t="n"/>
      <c r="AL105" s="15" t="n"/>
      <c r="AM105" s="22">
        <f>AP105-AO105</f>
        <v/>
      </c>
      <c r="AO105" s="44">
        <f>IF($A$1=$B$1,B105,IF($A$1=$E$1,E105,IF($A$1=$H$1,H105,IF($A$1=$K$1,K105,IF($A$1=$N$1,N105,IF($A$1=$Q$1,Q105,IF($A$1=$T$1,T105,IF($A$1=$W$1,W105,IF($A$1=$Z$1,Z105,IF($A$1=$AC$1,AC105,IF($A$1=$AF$1,AF105,IF($A$1=$AI$1,AI105))))))))))))</f>
        <v/>
      </c>
      <c r="AP105" s="44">
        <f>IF($A$1=$B$1,C105,IF($A$1=$E$1,F105,IF($A$1=$H$1,I105,IF($A$1=$K$1,L105,IF($A$1=$N$1,O105,IF($A$1=$Q$1,R105,IF($A$1=$T$1,U105,IF($A$1=$W$1,X105,IF($A$1=$Z$1,AA105,IF($A$1=$AC$1,AD105,IF($A$1=$AF$1,AG105,IF($A$1=$AI$1,AJ105))))))))))))</f>
        <v/>
      </c>
    </row>
    <row r="106" ht="15.5" customFormat="1" customHeight="1" s="13">
      <c r="A106" s="26" t="inlineStr">
        <is>
          <t>Yusen İnci Loj.</t>
        </is>
      </c>
      <c r="B106" s="12">
        <f>B95*-1/B13</f>
        <v/>
      </c>
      <c r="C106" s="12">
        <f>C95*-1/C13</f>
        <v/>
      </c>
      <c r="D106" s="41" t="n"/>
      <c r="E106" s="12">
        <f>E95*-1/E13</f>
        <v/>
      </c>
      <c r="F106" s="12">
        <f>F95*-1/F13</f>
        <v/>
      </c>
      <c r="G106" s="41" t="n"/>
      <c r="H106" s="12">
        <f>H95*-1/H13</f>
        <v/>
      </c>
      <c r="I106" s="12">
        <f>I95*-1/I13</f>
        <v/>
      </c>
      <c r="J106" s="41" t="n"/>
      <c r="K106" s="12">
        <f>K95*-1/K13</f>
        <v/>
      </c>
      <c r="L106" s="12">
        <f>L95*-1/L13</f>
        <v/>
      </c>
      <c r="M106" s="41" t="n"/>
      <c r="N106" s="12">
        <f>N95*-1/N13</f>
        <v/>
      </c>
      <c r="O106" s="12">
        <f>O95*-1/O13</f>
        <v/>
      </c>
      <c r="P106" s="41" t="n"/>
      <c r="Q106" s="12">
        <f>Q95*-1/Q13</f>
        <v/>
      </c>
      <c r="R106" s="12">
        <f>R95*-1/R13</f>
        <v/>
      </c>
      <c r="S106" s="41" t="n"/>
      <c r="T106" s="12">
        <f>T95*-1/T13</f>
        <v/>
      </c>
      <c r="U106" s="12">
        <f>U95*-1/U13</f>
        <v/>
      </c>
      <c r="V106" s="41" t="n"/>
      <c r="W106" s="12">
        <f>W95*-1/W13</f>
        <v/>
      </c>
      <c r="X106" s="12">
        <f>X95*-1/X13</f>
        <v/>
      </c>
      <c r="Y106" s="41" t="n"/>
      <c r="Z106" s="12">
        <f>Z95*-1/Z13</f>
        <v/>
      </c>
      <c r="AA106" s="12">
        <f>AA95*-1/AA13</f>
        <v/>
      </c>
      <c r="AB106" s="41" t="n"/>
      <c r="AC106" s="12">
        <f>AC95*-1/AC13</f>
        <v/>
      </c>
      <c r="AD106" s="12">
        <f>AD95*-1/AD13</f>
        <v/>
      </c>
      <c r="AE106" s="41" t="n"/>
      <c r="AF106" s="12">
        <f>AF95*-1/AF13</f>
        <v/>
      </c>
      <c r="AG106" s="12">
        <f>AG95*-1/AG13</f>
        <v/>
      </c>
      <c r="AH106" s="41" t="n"/>
      <c r="AI106" s="12">
        <f>AI95*-1/AI13</f>
        <v/>
      </c>
      <c r="AJ106" s="12">
        <f>AJ95*-1/AJ13</f>
        <v/>
      </c>
      <c r="AK106" s="41" t="n"/>
      <c r="AL106" s="15" t="n"/>
      <c r="AM106" s="22">
        <f>AP106-AO106</f>
        <v/>
      </c>
      <c r="AO106" s="44">
        <f>IF($A$1=$B$1,B106,IF($A$1=$E$1,E106,IF($A$1=$H$1,H106,IF($A$1=$K$1,K106,IF($A$1=$N$1,N106,IF($A$1=$Q$1,Q106,IF($A$1=$T$1,T106,IF($A$1=$W$1,W106,IF($A$1=$Z$1,Z106,IF($A$1=$AC$1,AC106,IF($A$1=$AF$1,AF106,IF($A$1=$AI$1,AI106))))))))))))</f>
        <v/>
      </c>
      <c r="AP106" s="44">
        <f>IF($A$1=$B$1,C106,IF($A$1=$E$1,F106,IF($A$1=$H$1,I106,IF($A$1=$K$1,L106,IF($A$1=$N$1,O106,IF($A$1=$Q$1,R106,IF($A$1=$T$1,U106,IF($A$1=$W$1,X106,IF($A$1=$Z$1,AA106,IF($A$1=$AC$1,AD106,IF($A$1=$AF$1,AG106,IF($A$1=$AI$1,AJ106))))))))))))</f>
        <v/>
      </c>
    </row>
    <row r="107" ht="15.5" customFormat="1" customHeight="1" s="13">
      <c r="A107" s="26" t="inlineStr">
        <is>
          <t>Jantaş</t>
        </is>
      </c>
      <c r="B107" s="12">
        <f>B96*-1/B14</f>
        <v/>
      </c>
      <c r="C107" s="12">
        <f>C96*-1/C14</f>
        <v/>
      </c>
      <c r="D107" s="41" t="n"/>
      <c r="E107" s="12">
        <f>E96*-1/E14</f>
        <v/>
      </c>
      <c r="F107" s="12">
        <f>F96*-1/F14</f>
        <v/>
      </c>
      <c r="G107" s="41" t="n"/>
      <c r="H107" s="12">
        <f>H96*-1/H14</f>
        <v/>
      </c>
      <c r="I107" s="12">
        <f>I96*-1/I14</f>
        <v/>
      </c>
      <c r="J107" s="41" t="n"/>
      <c r="K107" s="12">
        <f>K96*-1/K14</f>
        <v/>
      </c>
      <c r="L107" s="12">
        <f>L96*-1/L14</f>
        <v/>
      </c>
      <c r="M107" s="41" t="n"/>
      <c r="N107" s="12">
        <f>N96*-1/N14</f>
        <v/>
      </c>
      <c r="O107" s="12">
        <f>O96*-1/O14</f>
        <v/>
      </c>
      <c r="P107" s="41" t="n"/>
      <c r="Q107" s="12">
        <f>Q96*-1/Q14</f>
        <v/>
      </c>
      <c r="R107" s="12">
        <f>R96*-1/R14</f>
        <v/>
      </c>
      <c r="S107" s="41" t="n"/>
      <c r="T107" s="12">
        <f>T96*-1/T14</f>
        <v/>
      </c>
      <c r="U107" s="12">
        <f>U96*-1/U14</f>
        <v/>
      </c>
      <c r="V107" s="41" t="n"/>
      <c r="W107" s="12">
        <f>W96*-1/W14</f>
        <v/>
      </c>
      <c r="X107" s="12">
        <f>X96*-1/X14</f>
        <v/>
      </c>
      <c r="Y107" s="41" t="n"/>
      <c r="Z107" s="12">
        <f>Z96*-1/Z14</f>
        <v/>
      </c>
      <c r="AA107" s="12">
        <f>AA96*-1/AA14</f>
        <v/>
      </c>
      <c r="AB107" s="41" t="n"/>
      <c r="AC107" s="12">
        <f>AC96*-1/AC14</f>
        <v/>
      </c>
      <c r="AD107" s="12">
        <f>AD96*-1/AD14</f>
        <v/>
      </c>
      <c r="AE107" s="41" t="n"/>
      <c r="AF107" s="12">
        <f>AF96*-1/AF14</f>
        <v/>
      </c>
      <c r="AG107" s="12">
        <f>AG96*-1/AG14</f>
        <v/>
      </c>
      <c r="AH107" s="41" t="n"/>
      <c r="AI107" s="12">
        <f>AI96*-1/AI14</f>
        <v/>
      </c>
      <c r="AJ107" s="12">
        <f>AJ96*-1/AJ14</f>
        <v/>
      </c>
      <c r="AK107" s="41" t="n"/>
      <c r="AL107" s="15" t="n"/>
      <c r="AM107" s="22">
        <f>AP107-AO107</f>
        <v/>
      </c>
      <c r="AO107" s="44">
        <f>IF($A$1=$B$1,B107,IF($A$1=$E$1,E107,IF($A$1=$H$1,H107,IF($A$1=$K$1,K107,IF($A$1=$N$1,N107,IF($A$1=$Q$1,Q107,IF($A$1=$T$1,T107,IF($A$1=$W$1,W107,IF($A$1=$Z$1,Z107,IF($A$1=$AC$1,AC107,IF($A$1=$AF$1,AF107,IF($A$1=$AI$1,AI107))))))))))))</f>
        <v/>
      </c>
      <c r="AP107" s="44">
        <f>IF($A$1=$B$1,C107,IF($A$1=$E$1,F107,IF($A$1=$H$1,I107,IF($A$1=$K$1,L107,IF($A$1=$N$1,O107,IF($A$1=$Q$1,R107,IF($A$1=$T$1,U107,IF($A$1=$W$1,X107,IF($A$1=$Z$1,AA107,IF($A$1=$AC$1,AD107,IF($A$1=$AF$1,AG107,IF($A$1=$AI$1,AJ107))))))))))))</f>
        <v/>
      </c>
    </row>
    <row r="108" ht="15.5" customFormat="1" customHeight="1" s="13">
      <c r="A108" s="26" t="inlineStr">
        <is>
          <t>Çelik</t>
        </is>
      </c>
      <c r="B108" s="12">
        <f>B97*-1/B15</f>
        <v/>
      </c>
      <c r="C108" s="12">
        <f>C97*-1/C15</f>
        <v/>
      </c>
      <c r="D108" s="41" t="n"/>
      <c r="E108" s="12">
        <f>E97*-1/E15</f>
        <v/>
      </c>
      <c r="F108" s="12">
        <f>F97*-1/F15</f>
        <v/>
      </c>
      <c r="G108" s="41" t="n"/>
      <c r="H108" s="12">
        <f>H97*-1/H15</f>
        <v/>
      </c>
      <c r="I108" s="12">
        <f>I97*-1/I15</f>
        <v/>
      </c>
      <c r="J108" s="41" t="n"/>
      <c r="K108" s="12">
        <f>K97*-1/K15</f>
        <v/>
      </c>
      <c r="L108" s="12">
        <f>L97*-1/L15</f>
        <v/>
      </c>
      <c r="M108" s="41" t="n"/>
      <c r="N108" s="12">
        <f>N97*-1/N15</f>
        <v/>
      </c>
      <c r="O108" s="12">
        <f>O97*-1/O15</f>
        <v/>
      </c>
      <c r="P108" s="41" t="n"/>
      <c r="Q108" s="12">
        <f>Q97*-1/Q15</f>
        <v/>
      </c>
      <c r="R108" s="12">
        <f>R97*-1/R15</f>
        <v/>
      </c>
      <c r="S108" s="41" t="n"/>
      <c r="T108" s="12">
        <f>T97*-1/T15</f>
        <v/>
      </c>
      <c r="U108" s="12">
        <f>U97*-1/U15</f>
        <v/>
      </c>
      <c r="V108" s="41" t="n"/>
      <c r="W108" s="12">
        <f>W97*-1/W15</f>
        <v/>
      </c>
      <c r="X108" s="12">
        <f>X97*-1/X15</f>
        <v/>
      </c>
      <c r="Y108" s="41" t="n"/>
      <c r="Z108" s="12">
        <f>Z97*-1/Z15</f>
        <v/>
      </c>
      <c r="AA108" s="12">
        <f>AA97*-1/AA15</f>
        <v/>
      </c>
      <c r="AB108" s="41" t="n"/>
      <c r="AC108" s="12">
        <f>AC97*-1/AC15</f>
        <v/>
      </c>
      <c r="AD108" s="12">
        <f>AD97*-1/AD15</f>
        <v/>
      </c>
      <c r="AE108" s="41" t="n"/>
      <c r="AF108" s="12">
        <f>AF97*-1/AF15</f>
        <v/>
      </c>
      <c r="AG108" s="12">
        <f>AG97*-1/AG15</f>
        <v/>
      </c>
      <c r="AH108" s="41" t="n"/>
      <c r="AI108" s="12">
        <f>AI97*-1/AI15</f>
        <v/>
      </c>
      <c r="AJ108" s="12">
        <f>AJ97*-1/AJ15</f>
        <v/>
      </c>
      <c r="AK108" s="41" t="n"/>
      <c r="AL108" s="15" t="n"/>
      <c r="AM108" s="22">
        <f>AP108-AO108</f>
        <v/>
      </c>
      <c r="AO108" s="44">
        <f>IF($A$1=$B$1,B108,IF($A$1=$E$1,E108,IF($A$1=$H$1,H108,IF($A$1=$K$1,K108,IF($A$1=$N$1,N108,IF($A$1=$Q$1,Q108,IF($A$1=$T$1,T108,IF($A$1=$W$1,W108,IF($A$1=$Z$1,Z108,IF($A$1=$AC$1,AC108,IF($A$1=$AF$1,AF108,IF($A$1=$AI$1,AI108))))))))))))</f>
        <v/>
      </c>
      <c r="AP108" s="44">
        <f>IF($A$1=$B$1,C108,IF($A$1=$E$1,F108,IF($A$1=$H$1,I108,IF($A$1=$K$1,L108,IF($A$1=$N$1,O108,IF($A$1=$Q$1,R108,IF($A$1=$T$1,U108,IF($A$1=$W$1,X108,IF($A$1=$Z$1,AA108,IF($A$1=$AC$1,AD108,IF($A$1=$AF$1,AG108,IF($A$1=$AI$1,AJ108))))))))))))</f>
        <v/>
      </c>
    </row>
    <row r="109" ht="15.5" customFormat="1" customHeight="1" s="13">
      <c r="A109" s="26" t="inlineStr">
        <is>
          <t>Alüminyum</t>
        </is>
      </c>
      <c r="B109" s="12">
        <f>B98*-1/B16</f>
        <v/>
      </c>
      <c r="C109" s="12">
        <f>C98*-1/C16</f>
        <v/>
      </c>
      <c r="D109" s="41" t="n"/>
      <c r="E109" s="12">
        <f>E98*-1/E16</f>
        <v/>
      </c>
      <c r="F109" s="12">
        <f>F98*-1/F16</f>
        <v/>
      </c>
      <c r="G109" s="41" t="n"/>
      <c r="H109" s="12">
        <f>H98*-1/H16</f>
        <v/>
      </c>
      <c r="I109" s="12">
        <f>I98*-1/I16</f>
        <v/>
      </c>
      <c r="J109" s="41" t="n"/>
      <c r="K109" s="12">
        <f>K98*-1/K16</f>
        <v/>
      </c>
      <c r="L109" s="12">
        <f>L98*-1/L16</f>
        <v/>
      </c>
      <c r="M109" s="41" t="n"/>
      <c r="N109" s="12">
        <f>N98*-1/N16</f>
        <v/>
      </c>
      <c r="O109" s="12">
        <f>O98*-1/O16</f>
        <v/>
      </c>
      <c r="P109" s="41" t="n"/>
      <c r="Q109" s="12">
        <f>Q98*-1/Q16</f>
        <v/>
      </c>
      <c r="R109" s="12">
        <f>R98*-1/R16</f>
        <v/>
      </c>
      <c r="S109" s="41" t="n"/>
      <c r="T109" s="12">
        <f>T98*-1/T16</f>
        <v/>
      </c>
      <c r="U109" s="12">
        <f>U98*-1/U16</f>
        <v/>
      </c>
      <c r="V109" s="41" t="n"/>
      <c r="W109" s="12">
        <f>W98*-1/W16</f>
        <v/>
      </c>
      <c r="X109" s="12">
        <f>X98*-1/X16</f>
        <v/>
      </c>
      <c r="Y109" s="41" t="n"/>
      <c r="Z109" s="12">
        <f>Z98*-1/Z16</f>
        <v/>
      </c>
      <c r="AA109" s="12">
        <f>AA98*-1/AA16</f>
        <v/>
      </c>
      <c r="AB109" s="41" t="n"/>
      <c r="AC109" s="12">
        <f>AC98*-1/AC16</f>
        <v/>
      </c>
      <c r="AD109" s="12">
        <f>AD98*-1/AD16</f>
        <v/>
      </c>
      <c r="AE109" s="41" t="n"/>
      <c r="AF109" s="12">
        <f>AF98*-1/AF16</f>
        <v/>
      </c>
      <c r="AG109" s="12">
        <f>AG98*-1/AG16</f>
        <v/>
      </c>
      <c r="AH109" s="41" t="n"/>
      <c r="AI109" s="12">
        <f>AI98*-1/AI16</f>
        <v/>
      </c>
      <c r="AJ109" s="12">
        <f>AJ98*-1/AJ16</f>
        <v/>
      </c>
      <c r="AK109" s="41" t="n"/>
      <c r="AL109" s="15" t="n"/>
      <c r="AM109" s="22">
        <f>AP109-AO109</f>
        <v/>
      </c>
      <c r="AO109" s="44">
        <f>IF($A$1=$B$1,B109,IF($A$1=$E$1,E109,IF($A$1=$H$1,H109,IF($A$1=$K$1,K109,IF($A$1=$N$1,N109,IF($A$1=$Q$1,Q109,IF($A$1=$T$1,T109,IF($A$1=$W$1,W109,IF($A$1=$Z$1,Z109,IF($A$1=$AC$1,AC109,IF($A$1=$AF$1,AF109,IF($A$1=$AI$1,AI109))))))))))))</f>
        <v/>
      </c>
      <c r="AP109" s="44">
        <f>IF($A$1=$B$1,C109,IF($A$1=$E$1,F109,IF($A$1=$H$1,I109,IF($A$1=$K$1,L109,IF($A$1=$N$1,O109,IF($A$1=$Q$1,R109,IF($A$1=$T$1,U109,IF($A$1=$W$1,X109,IF($A$1=$Z$1,AA109,IF($A$1=$AC$1,AD109,IF($A$1=$AF$1,AG109,IF($A$1=$AI$1,AJ109))))))))))))</f>
        <v/>
      </c>
    </row>
    <row r="110" ht="15.5" customFormat="1" customHeight="1" s="13">
      <c r="A110" s="26" t="n"/>
      <c r="B110" s="12" t="n"/>
      <c r="C110" s="30" t="n"/>
      <c r="D110" s="41" t="n"/>
      <c r="E110" s="12" t="n"/>
      <c r="F110" s="30" t="n"/>
      <c r="G110" s="41" t="n"/>
      <c r="H110" s="12" t="n"/>
      <c r="I110" s="30" t="n"/>
      <c r="J110" s="41" t="n"/>
      <c r="K110" s="12" t="n"/>
      <c r="L110" s="30" t="n"/>
      <c r="M110" s="41" t="n"/>
      <c r="N110" s="12" t="n"/>
      <c r="O110" s="30" t="n"/>
      <c r="P110" s="41" t="n"/>
      <c r="Q110" s="12" t="n"/>
      <c r="R110" s="30" t="n"/>
      <c r="S110" s="41" t="n"/>
      <c r="T110" s="12" t="n"/>
      <c r="U110" s="30" t="n"/>
      <c r="V110" s="41" t="n"/>
      <c r="W110" s="12" t="n"/>
      <c r="X110" s="30" t="n"/>
      <c r="Y110" s="41" t="n"/>
      <c r="Z110" s="12" t="n"/>
      <c r="AA110" s="30" t="n"/>
      <c r="AB110" s="41" t="n"/>
      <c r="AC110" s="12" t="n"/>
      <c r="AD110" s="30" t="n"/>
      <c r="AE110" s="41" t="n"/>
      <c r="AF110" s="12" t="n"/>
      <c r="AG110" s="30" t="n"/>
      <c r="AH110" s="41" t="n"/>
      <c r="AI110" s="12" t="n"/>
      <c r="AJ110" s="30" t="n"/>
      <c r="AK110" s="41" t="n"/>
      <c r="AL110" s="15" t="n"/>
      <c r="AM110" s="22" t="n"/>
      <c r="AO110" s="44" t="n"/>
      <c r="AP110" s="44" t="n"/>
    </row>
    <row r="111" ht="15.5" customFormat="1" customHeight="1" s="13">
      <c r="A111" s="26" t="n"/>
      <c r="B111" s="12" t="n"/>
      <c r="C111" s="30" t="n"/>
      <c r="D111" s="41" t="n"/>
      <c r="E111" s="12" t="n"/>
      <c r="F111" s="30" t="n"/>
      <c r="G111" s="41" t="n"/>
      <c r="H111" s="12" t="n"/>
      <c r="I111" s="30" t="n"/>
      <c r="J111" s="41" t="n"/>
      <c r="K111" s="12" t="n"/>
      <c r="L111" s="30" t="n"/>
      <c r="M111" s="41" t="n"/>
      <c r="N111" s="12" t="n"/>
      <c r="O111" s="30" t="n"/>
      <c r="P111" s="41" t="n"/>
      <c r="Q111" s="12" t="n"/>
      <c r="R111" s="30" t="n"/>
      <c r="S111" s="41" t="n"/>
      <c r="T111" s="12" t="n"/>
      <c r="U111" s="30" t="n"/>
      <c r="V111" s="41" t="n"/>
      <c r="W111" s="12" t="n"/>
      <c r="X111" s="30" t="n"/>
      <c r="Y111" s="41" t="n"/>
      <c r="Z111" s="12" t="n"/>
      <c r="AA111" s="30" t="n"/>
      <c r="AB111" s="41" t="n"/>
      <c r="AC111" s="12" t="n"/>
      <c r="AD111" s="30" t="n"/>
      <c r="AE111" s="41" t="n"/>
      <c r="AF111" s="12" t="n"/>
      <c r="AG111" s="30" t="n"/>
      <c r="AH111" s="41" t="n"/>
      <c r="AI111" s="12" t="n"/>
      <c r="AJ111" s="30" t="n"/>
      <c r="AK111" s="41" t="n"/>
      <c r="AL111" s="15" t="n"/>
      <c r="AM111" s="22" t="n"/>
      <c r="AO111" s="44" t="n"/>
      <c r="AP111" s="44" t="n"/>
    </row>
    <row r="112" ht="15.5" customFormat="1" customHeight="1" s="44">
      <c r="A112" s="31" t="inlineStr">
        <is>
          <t>EBİT</t>
        </is>
      </c>
      <c r="B112" s="32">
        <f>'A-TRY'!B112</f>
        <v/>
      </c>
      <c r="C112" s="32">
        <f>'A-TRY'!C112</f>
        <v/>
      </c>
      <c r="D112" s="18" t="n"/>
      <c r="E112" s="32">
        <f>B112+'A-TRY'!E112</f>
        <v/>
      </c>
      <c r="F112" s="32">
        <f>C112+'A-TRY'!F112</f>
        <v/>
      </c>
      <c r="G112" s="18" t="n"/>
      <c r="H112" s="32">
        <f>E112+'A-TRY'!H112</f>
        <v/>
      </c>
      <c r="I112" s="32">
        <f>F112+'A-TRY'!I112</f>
        <v/>
      </c>
      <c r="J112" s="18" t="n"/>
      <c r="K112" s="32">
        <f>H112+'A-TRY'!K112</f>
        <v/>
      </c>
      <c r="L112" s="32">
        <f>I112+'A-TRY'!L112</f>
        <v/>
      </c>
      <c r="M112" s="18" t="n"/>
      <c r="N112" s="32">
        <f>K112+'A-TRY'!N112</f>
        <v/>
      </c>
      <c r="O112" s="32">
        <f>L112+'A-TRY'!O112</f>
        <v/>
      </c>
      <c r="P112" s="18" t="n"/>
      <c r="Q112" s="32">
        <f>N112+'A-TRY'!Q112</f>
        <v/>
      </c>
      <c r="R112" s="32">
        <f>O112+'A-TRY'!R112</f>
        <v/>
      </c>
      <c r="S112" s="18" t="n"/>
      <c r="T112" s="32">
        <f>Q112+'A-TRY'!T112</f>
        <v/>
      </c>
      <c r="U112" s="32">
        <f>R112+'A-TRY'!U112</f>
        <v/>
      </c>
      <c r="V112" s="18" t="n"/>
      <c r="W112" s="32">
        <f>T112+'A-TRY'!W112</f>
        <v/>
      </c>
      <c r="X112" s="32">
        <f>U112+'A-TRY'!X112</f>
        <v/>
      </c>
      <c r="Y112" s="18" t="n"/>
      <c r="Z112" s="32">
        <f>W112+'A-TRY'!Z112</f>
        <v/>
      </c>
      <c r="AA112" s="32">
        <f>X112+'A-TRY'!AA112</f>
        <v/>
      </c>
      <c r="AB112" s="18" t="n"/>
      <c r="AC112" s="32">
        <f>Z112+'A-TRY'!AC112</f>
        <v/>
      </c>
      <c r="AD112" s="32">
        <f>AA112+'A-TRY'!AD112</f>
        <v/>
      </c>
      <c r="AE112" s="18" t="n"/>
      <c r="AF112" s="32">
        <f>AC112+'A-TRY'!AF112</f>
        <v/>
      </c>
      <c r="AG112" s="32">
        <f>AD112+'A-TRY'!AG112</f>
        <v/>
      </c>
      <c r="AH112" s="18" t="n"/>
      <c r="AI112" s="32">
        <f>AF112+'A-TRY'!AI112</f>
        <v/>
      </c>
      <c r="AJ112" s="32">
        <f>AG112+'A-TRY'!AJ112</f>
        <v/>
      </c>
      <c r="AK112" s="18" t="n"/>
      <c r="AL112" s="33">
        <f>AP112-AO112</f>
        <v/>
      </c>
      <c r="AM112" s="34">
        <f>AP112/AO112-1</f>
        <v/>
      </c>
      <c r="AO112" s="44">
        <f>IF($A$1=$B$1,B112,IF($A$1=$E$1,E112,IF($A$1=$H$1,H112,IF($A$1=$K$1,K112,IF($A$1=$N$1,N112,IF($A$1=$Q$1,Q112,IF($A$1=$T$1,T112,IF($A$1=$W$1,W112,IF($A$1=$Z$1,Z112,IF($A$1=$AC$1,AC112,IF($A$1=$AF$1,AF112,IF($A$1=$AI$1,AI112))))))))))))</f>
        <v/>
      </c>
      <c r="AP112" s="44">
        <f>IF($A$1=$B$1,C112,IF($A$1=$E$1,F112,IF($A$1=$H$1,I112,IF($A$1=$K$1,L112,IF($A$1=$N$1,O112,IF($A$1=$Q$1,R112,IF($A$1=$T$1,U112,IF($A$1=$W$1,X112,IF($A$1=$Z$1,AA112,IF($A$1=$AC$1,AD112,IF($A$1=$AF$1,AG112,IF($A$1=$AI$1,AJ112))))))))))))</f>
        <v/>
      </c>
    </row>
    <row r="113" ht="15.5" customFormat="1" customHeight="1" s="13">
      <c r="A113" s="27" t="n"/>
      <c r="B113" s="30">
        <f>IFERROR((B70/#REF!),"")</f>
        <v/>
      </c>
      <c r="C113" s="30">
        <f>IFERROR((C70/#REF!),"")</f>
        <v/>
      </c>
      <c r="D113" s="41" t="n"/>
      <c r="E113" s="30">
        <f>IFERROR((E70/#REF!),"")</f>
        <v/>
      </c>
      <c r="F113" s="30">
        <f>IFERROR((F70/#REF!),"")</f>
        <v/>
      </c>
      <c r="G113" s="41" t="n"/>
      <c r="H113" s="30">
        <f>IFERROR((H70/#REF!),"")</f>
        <v/>
      </c>
      <c r="I113" s="30">
        <f>IFERROR((I70/#REF!),"")</f>
        <v/>
      </c>
      <c r="J113" s="41" t="n"/>
      <c r="K113" s="30">
        <f>IFERROR((K70/#REF!),"")</f>
        <v/>
      </c>
      <c r="L113" s="30">
        <f>IFERROR((L70/#REF!),"")</f>
        <v/>
      </c>
      <c r="M113" s="41" t="n"/>
      <c r="N113" s="30">
        <f>IFERROR((N70/#REF!),"")</f>
        <v/>
      </c>
      <c r="O113" s="30">
        <f>IFERROR((O70/#REF!),"")</f>
        <v/>
      </c>
      <c r="P113" s="41" t="n"/>
      <c r="Q113" s="30">
        <f>IFERROR((Q70/#REF!),"")</f>
        <v/>
      </c>
      <c r="R113" s="30">
        <f>IFERROR((R70/#REF!),"")</f>
        <v/>
      </c>
      <c r="S113" s="41" t="n"/>
      <c r="T113" s="30">
        <f>IFERROR((T70/#REF!),"")</f>
        <v/>
      </c>
      <c r="U113" s="30">
        <f>IFERROR((U70/#REF!),"")</f>
        <v/>
      </c>
      <c r="V113" s="41" t="n"/>
      <c r="W113" s="30">
        <f>IFERROR((W70/#REF!),"")</f>
        <v/>
      </c>
      <c r="X113" s="30">
        <f>IFERROR((X70/#REF!),"")</f>
        <v/>
      </c>
      <c r="Y113" s="41" t="n"/>
      <c r="Z113" s="30">
        <f>IFERROR((Z70/#REF!),"")</f>
        <v/>
      </c>
      <c r="AA113" s="30">
        <f>IFERROR((AA70/#REF!),"")</f>
        <v/>
      </c>
      <c r="AB113" s="41" t="n"/>
      <c r="AC113" s="30">
        <f>IFERROR((AC70/#REF!),"")</f>
        <v/>
      </c>
      <c r="AD113" s="30">
        <f>IFERROR((AD70/#REF!),"")</f>
        <v/>
      </c>
      <c r="AE113" s="41" t="n"/>
      <c r="AF113" s="30">
        <f>IFERROR((AF70/#REF!),"")</f>
        <v/>
      </c>
      <c r="AG113" s="30">
        <f>IFERROR((AG70/#REF!),"")</f>
        <v/>
      </c>
      <c r="AH113" s="41" t="n"/>
      <c r="AI113" s="30">
        <f>IFERROR((AI70/#REF!),"")</f>
        <v/>
      </c>
      <c r="AJ113" s="30">
        <f>IFERROR((AJ70/#REF!),"")</f>
        <v/>
      </c>
      <c r="AK113" s="41" t="n"/>
      <c r="AL113" s="15" t="n"/>
      <c r="AM113" s="22" t="n"/>
      <c r="AO113" s="44">
        <f>IF($A$1=$B$1,B113,IF($A$1=$E$1,E113,IF($A$1=$H$1,H113,IF($A$1=$K$1,K113,IF($A$1=$N$1,N113,IF($A$1=$Q$1,Q113,IF($A$1=$T$1,T113,IF($A$1=$W$1,W113,IF($A$1=$Z$1,Z113,IF($A$1=$AC$1,AC113,IF($A$1=$AF$1,AF113,IF($A$1=$AI$1,AI113))))))))))))</f>
        <v/>
      </c>
      <c r="AP113" s="44">
        <f>IF($A$1=$B$1,C113,IF($A$1=$E$1,F113,IF($A$1=$H$1,I113,IF($A$1=$K$1,L113,IF($A$1=$N$1,O113,IF($A$1=$Q$1,R113,IF($A$1=$T$1,U113,IF($A$1=$W$1,X113,IF($A$1=$Z$1,AA113,IF($A$1=$AC$1,AD113,IF($A$1=$AF$1,AG113,IF($A$1=$AI$1,AJ113))))))))))))</f>
        <v/>
      </c>
    </row>
    <row r="114" ht="17" customFormat="1" customHeight="1" s="49">
      <c r="A114" s="47" t="inlineStr">
        <is>
          <t>Ebit by channels (100%)</t>
        </is>
      </c>
      <c r="B114" s="413" t="n"/>
      <c r="C114" s="413" t="n"/>
      <c r="D114" s="413" t="n"/>
      <c r="E114" s="413" t="n"/>
      <c r="F114" s="413" t="n"/>
      <c r="G114" s="413" t="n"/>
      <c r="H114" s="413" t="n"/>
      <c r="I114" s="413" t="n"/>
      <c r="J114" s="413" t="n"/>
      <c r="K114" s="413" t="n"/>
      <c r="L114" s="413" t="n"/>
      <c r="M114" s="413" t="n"/>
      <c r="N114" s="413" t="n"/>
      <c r="O114" s="413" t="n"/>
      <c r="P114" s="413" t="n"/>
      <c r="Q114" s="413" t="n"/>
      <c r="R114" s="413" t="n"/>
      <c r="S114" s="413" t="n"/>
      <c r="T114" s="413" t="n"/>
      <c r="U114" s="413" t="n"/>
      <c r="V114" s="413" t="n"/>
      <c r="W114" s="413" t="n"/>
      <c r="X114" s="413" t="n"/>
      <c r="Y114" s="413" t="n"/>
      <c r="Z114" s="413" t="n"/>
      <c r="AA114" s="413" t="n"/>
      <c r="AB114" s="413" t="n"/>
      <c r="AC114" s="413" t="n"/>
      <c r="AD114" s="413" t="n"/>
      <c r="AE114" s="413" t="n"/>
      <c r="AF114" s="413" t="n"/>
      <c r="AG114" s="413" t="n"/>
      <c r="AH114" s="413" t="n"/>
      <c r="AI114" s="413" t="n"/>
      <c r="AJ114" s="413" t="n"/>
      <c r="AK114" s="413" t="n"/>
      <c r="AL114" s="413" t="n"/>
      <c r="AM114" s="48" t="n"/>
    </row>
    <row r="115" ht="15.5" customHeight="1">
      <c r="A115" s="26" t="inlineStr">
        <is>
          <t xml:space="preserve">İnci Holding </t>
        </is>
      </c>
      <c r="B115" s="7">
        <f>'A-TRY'!B115</f>
        <v/>
      </c>
      <c r="C115" s="7">
        <f>'A-TRY'!C115</f>
        <v/>
      </c>
      <c r="D115" s="7" t="n"/>
      <c r="E115" s="7">
        <f>B115+'A-TRY'!E115</f>
        <v/>
      </c>
      <c r="F115" s="7">
        <f>C115+'A-TRY'!F115</f>
        <v/>
      </c>
      <c r="G115" s="7" t="n"/>
      <c r="H115" s="7">
        <f>E115+'A-TRY'!H115</f>
        <v/>
      </c>
      <c r="I115" s="7">
        <f>F115+'A-TRY'!I115</f>
        <v/>
      </c>
      <c r="J115" s="7" t="n"/>
      <c r="K115" s="7">
        <f>H115+'A-TRY'!K115</f>
        <v/>
      </c>
      <c r="L115" s="7">
        <f>I115+'A-TRY'!L115</f>
        <v/>
      </c>
      <c r="M115" s="7" t="n"/>
      <c r="N115" s="7">
        <f>K115+'A-TRY'!N115</f>
        <v/>
      </c>
      <c r="O115" s="7">
        <f>L115+'A-TRY'!O115</f>
        <v/>
      </c>
      <c r="P115" s="7" t="n"/>
      <c r="Q115" s="7">
        <f>N115+'A-TRY'!Q115</f>
        <v/>
      </c>
      <c r="R115" s="7">
        <f>O115+'A-TRY'!R115</f>
        <v/>
      </c>
      <c r="S115" s="7" t="n"/>
      <c r="T115" s="7">
        <f>Q115+'A-TRY'!T115</f>
        <v/>
      </c>
      <c r="U115" s="7">
        <f>R115+'A-TRY'!U115</f>
        <v/>
      </c>
      <c r="V115" s="7" t="n"/>
      <c r="W115" s="7">
        <f>T115+'A-TRY'!W115</f>
        <v/>
      </c>
      <c r="X115" s="7">
        <f>U115+'A-TRY'!X115</f>
        <v/>
      </c>
      <c r="Y115" s="7" t="n"/>
      <c r="Z115" s="7">
        <f>W115+'A-TRY'!Z115</f>
        <v/>
      </c>
      <c r="AA115" s="7">
        <f>X115+'A-TRY'!AA115</f>
        <v/>
      </c>
      <c r="AB115" s="7" t="n"/>
      <c r="AC115" s="7">
        <f>Z115+'A-TRY'!AC115</f>
        <v/>
      </c>
      <c r="AD115" s="7">
        <f>AA115+'A-TRY'!AD115</f>
        <v/>
      </c>
      <c r="AE115" s="7" t="n"/>
      <c r="AF115" s="7">
        <f>AC115+'A-TRY'!AF115</f>
        <v/>
      </c>
      <c r="AG115" s="7">
        <f>AD115+'A-TRY'!AG115</f>
        <v/>
      </c>
      <c r="AH115" s="7" t="n"/>
      <c r="AI115" s="7">
        <f>AF115+'A-TRY'!AI115</f>
        <v/>
      </c>
      <c r="AJ115" s="7">
        <f>AG115+'A-TRY'!AJ115</f>
        <v/>
      </c>
      <c r="AK115" s="7" t="n"/>
      <c r="AL115" s="21">
        <f>AP115-AO115</f>
        <v/>
      </c>
      <c r="AM115" s="22">
        <f>AP115/AO115-1</f>
        <v/>
      </c>
      <c r="AO115" s="44">
        <f>IF($A$1=$B$1,B115,IF($A$1=$E$1,E115,IF($A$1=$H$1,H115,IF($A$1=$K$1,K115,IF($A$1=$N$1,N115,IF($A$1=$Q$1,Q115,IF($A$1=$T$1,T115,IF($A$1=$W$1,W115,IF($A$1=$Z$1,Z115,IF($A$1=$AC$1,AC115,IF($A$1=$AF$1,AF115,IF($A$1=$AI$1,AI115))))))))))))</f>
        <v/>
      </c>
      <c r="AP115" s="44">
        <f>IF($A$1=$B$1,C115,IF($A$1=$E$1,F115,IF($A$1=$H$1,I115,IF($A$1=$K$1,L115,IF($A$1=$N$1,O115,IF($A$1=$Q$1,R115,IF($A$1=$T$1,U115,IF($A$1=$W$1,X115,IF($A$1=$Z$1,AA115,IF($A$1=$AC$1,AD115,IF($A$1=$AF$1,AG115,IF($A$1=$AI$1,AJ115))))))))))))</f>
        <v/>
      </c>
    </row>
    <row r="116" ht="15.5" customHeight="1">
      <c r="A116" s="26" t="inlineStr">
        <is>
          <t xml:space="preserve">ISM </t>
        </is>
      </c>
      <c r="B116" s="7">
        <f>'A-TRY'!B116</f>
        <v/>
      </c>
      <c r="C116" s="7">
        <f>'A-TRY'!C116</f>
        <v/>
      </c>
      <c r="D116" s="7" t="n"/>
      <c r="E116" s="7">
        <f>B116+'A-TRY'!E116</f>
        <v/>
      </c>
      <c r="F116" s="7">
        <f>C116+'A-TRY'!F116</f>
        <v/>
      </c>
      <c r="G116" s="7" t="n"/>
      <c r="H116" s="7">
        <f>E116+'A-TRY'!H116</f>
        <v/>
      </c>
      <c r="I116" s="7">
        <f>F116+'A-TRY'!I116</f>
        <v/>
      </c>
      <c r="J116" s="7" t="n"/>
      <c r="K116" s="7">
        <f>H116+'A-TRY'!K116</f>
        <v/>
      </c>
      <c r="L116" s="7">
        <f>I116+'A-TRY'!L116</f>
        <v/>
      </c>
      <c r="M116" s="7" t="n"/>
      <c r="N116" s="7">
        <f>K116+'A-TRY'!N116</f>
        <v/>
      </c>
      <c r="O116" s="7">
        <f>L116+'A-TRY'!O116</f>
        <v/>
      </c>
      <c r="P116" s="7" t="n"/>
      <c r="Q116" s="7">
        <f>N116+'A-TRY'!Q116</f>
        <v/>
      </c>
      <c r="R116" s="7">
        <f>O116+'A-TRY'!R116</f>
        <v/>
      </c>
      <c r="S116" s="7" t="n"/>
      <c r="T116" s="7">
        <f>Q116+'A-TRY'!T116</f>
        <v/>
      </c>
      <c r="U116" s="7">
        <f>R116+'A-TRY'!U116</f>
        <v/>
      </c>
      <c r="V116" s="7" t="n"/>
      <c r="W116" s="7">
        <f>T116+'A-TRY'!W116</f>
        <v/>
      </c>
      <c r="X116" s="7">
        <f>U116+'A-TRY'!X116</f>
        <v/>
      </c>
      <c r="Y116" s="7" t="n"/>
      <c r="Z116" s="7">
        <f>W116+'A-TRY'!Z116</f>
        <v/>
      </c>
      <c r="AA116" s="7">
        <f>X116+'A-TRY'!AA116</f>
        <v/>
      </c>
      <c r="AB116" s="7" t="n"/>
      <c r="AC116" s="7">
        <f>Z116+'A-TRY'!AC116</f>
        <v/>
      </c>
      <c r="AD116" s="7">
        <f>AA116+'A-TRY'!AD116</f>
        <v/>
      </c>
      <c r="AE116" s="7" t="n"/>
      <c r="AF116" s="7">
        <f>AC116+'A-TRY'!AF116</f>
        <v/>
      </c>
      <c r="AG116" s="7">
        <f>AD116+'A-TRY'!AG116</f>
        <v/>
      </c>
      <c r="AH116" s="7" t="n"/>
      <c r="AI116" s="7">
        <f>AF116+'A-TRY'!AI116</f>
        <v/>
      </c>
      <c r="AJ116" s="7">
        <f>AG116+'A-TRY'!AJ116</f>
        <v/>
      </c>
      <c r="AK116" s="7" t="n"/>
      <c r="AL116" s="21">
        <f>AP116-AO116</f>
        <v/>
      </c>
      <c r="AM116" s="22">
        <f>AP116/AO116-1</f>
        <v/>
      </c>
      <c r="AO116" s="44">
        <f>IF($A$1=$B$1,B116,IF($A$1=$E$1,E116,IF($A$1=$H$1,H116,IF($A$1=$K$1,K116,IF($A$1=$N$1,N116,IF($A$1=$Q$1,Q116,IF($A$1=$T$1,T116,IF($A$1=$W$1,W116,IF($A$1=$Z$1,Z116,IF($A$1=$AC$1,AC116,IF($A$1=$AF$1,AF116,IF($A$1=$AI$1,AI116))))))))))))</f>
        <v/>
      </c>
      <c r="AP116" s="44">
        <f>IF($A$1=$B$1,C116,IF($A$1=$E$1,F116,IF($A$1=$H$1,I116,IF($A$1=$K$1,L116,IF($A$1=$N$1,O116,IF($A$1=$Q$1,R116,IF($A$1=$T$1,U116,IF($A$1=$W$1,X116,IF($A$1=$Z$1,AA116,IF($A$1=$AC$1,AD116,IF($A$1=$AF$1,AG116,IF($A$1=$AI$1,AJ116))))))))))))</f>
        <v/>
      </c>
    </row>
    <row r="117" ht="15.5" customHeight="1">
      <c r="A117" s="26" t="inlineStr">
        <is>
          <t>İncitaş</t>
        </is>
      </c>
      <c r="B117" s="7">
        <f>'A-TRY'!B117</f>
        <v/>
      </c>
      <c r="C117" s="7">
        <f>'A-TRY'!C117</f>
        <v/>
      </c>
      <c r="D117" s="7" t="n"/>
      <c r="E117" s="7">
        <f>B117+'A-TRY'!E117</f>
        <v/>
      </c>
      <c r="F117" s="7">
        <f>C117+'A-TRY'!F117</f>
        <v/>
      </c>
      <c r="G117" s="7" t="n"/>
      <c r="H117" s="7">
        <f>E117+'A-TRY'!H117</f>
        <v/>
      </c>
      <c r="I117" s="7">
        <f>F117+'A-TRY'!I117</f>
        <v/>
      </c>
      <c r="J117" s="7" t="n"/>
      <c r="K117" s="7">
        <f>H117+'A-TRY'!K117</f>
        <v/>
      </c>
      <c r="L117" s="7">
        <f>I117+'A-TRY'!L117</f>
        <v/>
      </c>
      <c r="M117" s="7" t="n"/>
      <c r="N117" s="7">
        <f>K117+'A-TRY'!N117</f>
        <v/>
      </c>
      <c r="O117" s="7">
        <f>L117+'A-TRY'!O117</f>
        <v/>
      </c>
      <c r="P117" s="7" t="n"/>
      <c r="Q117" s="7">
        <f>N117+'A-TRY'!Q117</f>
        <v/>
      </c>
      <c r="R117" s="7">
        <f>O117+'A-TRY'!R117</f>
        <v/>
      </c>
      <c r="S117" s="7" t="n"/>
      <c r="T117" s="7">
        <f>Q117+'A-TRY'!T117</f>
        <v/>
      </c>
      <c r="U117" s="7">
        <f>R117+'A-TRY'!U117</f>
        <v/>
      </c>
      <c r="V117" s="7" t="n"/>
      <c r="W117" s="7">
        <f>T117+'A-TRY'!W117</f>
        <v/>
      </c>
      <c r="X117" s="7">
        <f>U117+'A-TRY'!X117</f>
        <v/>
      </c>
      <c r="Y117" s="7" t="n"/>
      <c r="Z117" s="7">
        <f>W117+'A-TRY'!Z117</f>
        <v/>
      </c>
      <c r="AA117" s="7">
        <f>X117+'A-TRY'!AA117</f>
        <v/>
      </c>
      <c r="AB117" s="7" t="n"/>
      <c r="AC117" s="7">
        <f>Z117+'A-TRY'!AC117</f>
        <v/>
      </c>
      <c r="AD117" s="7">
        <f>AA117+'A-TRY'!AD117</f>
        <v/>
      </c>
      <c r="AE117" s="7" t="n"/>
      <c r="AF117" s="7">
        <f>AC117+'A-TRY'!AF117</f>
        <v/>
      </c>
      <c r="AG117" s="7">
        <f>AD117+'A-TRY'!AG117</f>
        <v/>
      </c>
      <c r="AH117" s="7" t="n"/>
      <c r="AI117" s="7">
        <f>AF117+'A-TRY'!AI117</f>
        <v/>
      </c>
      <c r="AJ117" s="7">
        <f>AG117+'A-TRY'!AJ117</f>
        <v/>
      </c>
      <c r="AK117" s="7" t="n"/>
      <c r="AL117" s="21">
        <f>AP117-AO117</f>
        <v/>
      </c>
      <c r="AM117" s="22">
        <f>AP117/AO117-1</f>
        <v/>
      </c>
      <c r="AO117" s="44">
        <f>IF($A$1=$B$1,B117,IF($A$1=$E$1,E117,IF($A$1=$H$1,H117,IF($A$1=$K$1,K117,IF($A$1=$N$1,N117,IF($A$1=$Q$1,Q117,IF($A$1=$T$1,T117,IF($A$1=$W$1,W117,IF($A$1=$Z$1,Z117,IF($A$1=$AC$1,AC117,IF($A$1=$AF$1,AF117,IF($A$1=$AI$1,AI117))))))))))))</f>
        <v/>
      </c>
      <c r="AP117" s="44">
        <f>IF($A$1=$B$1,C117,IF($A$1=$E$1,F117,IF($A$1=$H$1,I117,IF($A$1=$K$1,L117,IF($A$1=$N$1,O117,IF($A$1=$Q$1,R117,IF($A$1=$T$1,U117,IF($A$1=$W$1,X117,IF($A$1=$Z$1,AA117,IF($A$1=$AC$1,AD117,IF($A$1=$AF$1,AG117,IF($A$1=$AI$1,AJ117))))))))))))</f>
        <v/>
      </c>
    </row>
    <row r="118" ht="15.5" customHeight="1">
      <c r="A118" s="26" t="inlineStr">
        <is>
          <t>İnci GS Yuasa</t>
        </is>
      </c>
      <c r="B118" s="7">
        <f>'A-TRY'!B118</f>
        <v/>
      </c>
      <c r="C118" s="7">
        <f>'A-TRY'!C118</f>
        <v/>
      </c>
      <c r="D118" s="7" t="n"/>
      <c r="E118" s="7">
        <f>B118+'A-TRY'!E118</f>
        <v/>
      </c>
      <c r="F118" s="7">
        <f>C118+'A-TRY'!F118</f>
        <v/>
      </c>
      <c r="G118" s="7" t="n"/>
      <c r="H118" s="7">
        <f>E118+'A-TRY'!H118</f>
        <v/>
      </c>
      <c r="I118" s="7">
        <f>F118+'A-TRY'!I118</f>
        <v/>
      </c>
      <c r="J118" s="7" t="n"/>
      <c r="K118" s="7">
        <f>H118+'A-TRY'!K118</f>
        <v/>
      </c>
      <c r="L118" s="7">
        <f>I118+'A-TRY'!L118</f>
        <v/>
      </c>
      <c r="M118" s="7" t="n"/>
      <c r="N118" s="7">
        <f>K118+'A-TRY'!N118</f>
        <v/>
      </c>
      <c r="O118" s="7">
        <f>L118+'A-TRY'!O118</f>
        <v/>
      </c>
      <c r="P118" s="7" t="n"/>
      <c r="Q118" s="7">
        <f>N118+'A-TRY'!Q118</f>
        <v/>
      </c>
      <c r="R118" s="7">
        <f>O118+'A-TRY'!R118</f>
        <v/>
      </c>
      <c r="S118" s="7" t="n"/>
      <c r="T118" s="7">
        <f>Q118+'A-TRY'!T118</f>
        <v/>
      </c>
      <c r="U118" s="7">
        <f>R118+'A-TRY'!U118</f>
        <v/>
      </c>
      <c r="V118" s="7" t="n"/>
      <c r="W118" s="7">
        <f>T118+'A-TRY'!W118</f>
        <v/>
      </c>
      <c r="X118" s="7">
        <f>U118+'A-TRY'!X118</f>
        <v/>
      </c>
      <c r="Y118" s="7" t="n"/>
      <c r="Z118" s="7">
        <f>W118+'A-TRY'!Z118</f>
        <v/>
      </c>
      <c r="AA118" s="7">
        <f>X118+'A-TRY'!AA118</f>
        <v/>
      </c>
      <c r="AB118" s="7" t="n"/>
      <c r="AC118" s="7">
        <f>Z118+'A-TRY'!AC118</f>
        <v/>
      </c>
      <c r="AD118" s="7">
        <f>AA118+'A-TRY'!AD118</f>
        <v/>
      </c>
      <c r="AE118" s="7" t="n"/>
      <c r="AF118" s="7">
        <f>AC118+'A-TRY'!AF118</f>
        <v/>
      </c>
      <c r="AG118" s="7">
        <f>AD118+'A-TRY'!AG118</f>
        <v/>
      </c>
      <c r="AH118" s="7" t="n"/>
      <c r="AI118" s="7">
        <f>AF118+'A-TRY'!AI118</f>
        <v/>
      </c>
      <c r="AJ118" s="7">
        <f>AG118+'A-TRY'!AJ118</f>
        <v/>
      </c>
      <c r="AK118" s="7" t="n"/>
      <c r="AL118" s="21">
        <f>AP118-AO118</f>
        <v/>
      </c>
      <c r="AM118" s="22">
        <f>AP118/AO118-1</f>
        <v/>
      </c>
      <c r="AO118" s="44">
        <f>IF($A$1=$B$1,B118,IF($A$1=$E$1,E118,IF($A$1=$H$1,H118,IF($A$1=$K$1,K118,IF($A$1=$N$1,N118,IF($A$1=$Q$1,Q118,IF($A$1=$T$1,T118,IF($A$1=$W$1,W118,IF($A$1=$Z$1,Z118,IF($A$1=$AC$1,AC118,IF($A$1=$AF$1,AF118,IF($A$1=$AI$1,AI118))))))))))))</f>
        <v/>
      </c>
      <c r="AP118" s="44">
        <f>IF($A$1=$B$1,C118,IF($A$1=$E$1,F118,IF($A$1=$H$1,I118,IF($A$1=$K$1,L118,IF($A$1=$N$1,O118,IF($A$1=$Q$1,R118,IF($A$1=$T$1,U118,IF($A$1=$W$1,X118,IF($A$1=$Z$1,AA118,IF($A$1=$AC$1,AD118,IF($A$1=$AF$1,AG118,IF($A$1=$AI$1,AJ118))))))))))))</f>
        <v/>
      </c>
    </row>
    <row r="119" ht="15.5" customFormat="1" customHeight="1" s="1">
      <c r="A119" s="26" t="inlineStr">
        <is>
          <t>Yusen İnci Loj.</t>
        </is>
      </c>
      <c r="B119" s="7">
        <f>'A-TRY'!B119</f>
        <v/>
      </c>
      <c r="C119" s="7">
        <f>'A-TRY'!C119</f>
        <v/>
      </c>
      <c r="D119" s="8" t="n"/>
      <c r="E119" s="7">
        <f>B119+'A-TRY'!E119</f>
        <v/>
      </c>
      <c r="F119" s="7">
        <f>C119+'A-TRY'!F119</f>
        <v/>
      </c>
      <c r="G119" s="8" t="n"/>
      <c r="H119" s="7">
        <f>E119+'A-TRY'!H119</f>
        <v/>
      </c>
      <c r="I119" s="7">
        <f>F119+'A-TRY'!I119</f>
        <v/>
      </c>
      <c r="J119" s="8" t="n"/>
      <c r="K119" s="7">
        <f>H119+'A-TRY'!K119</f>
        <v/>
      </c>
      <c r="L119" s="7">
        <f>I119+'A-TRY'!L119</f>
        <v/>
      </c>
      <c r="M119" s="8" t="n"/>
      <c r="N119" s="7">
        <f>K119+'A-TRY'!N119</f>
        <v/>
      </c>
      <c r="O119" s="7">
        <f>L119+'A-TRY'!O119</f>
        <v/>
      </c>
      <c r="P119" s="8" t="n"/>
      <c r="Q119" s="7">
        <f>N119+'A-TRY'!Q119</f>
        <v/>
      </c>
      <c r="R119" s="7">
        <f>O119+'A-TRY'!R119</f>
        <v/>
      </c>
      <c r="S119" s="8" t="n"/>
      <c r="T119" s="7">
        <f>Q119+'A-TRY'!T119</f>
        <v/>
      </c>
      <c r="U119" s="7">
        <f>R119+'A-TRY'!U119</f>
        <v/>
      </c>
      <c r="V119" s="8" t="n"/>
      <c r="W119" s="7">
        <f>T119+'A-TRY'!W119</f>
        <v/>
      </c>
      <c r="X119" s="7">
        <f>U119+'A-TRY'!X119</f>
        <v/>
      </c>
      <c r="Y119" s="8" t="n"/>
      <c r="Z119" s="7">
        <f>W119+'A-TRY'!Z119</f>
        <v/>
      </c>
      <c r="AA119" s="7">
        <f>X119+'A-TRY'!AA119</f>
        <v/>
      </c>
      <c r="AB119" s="8" t="n"/>
      <c r="AC119" s="7">
        <f>Z119+'A-TRY'!AC119</f>
        <v/>
      </c>
      <c r="AD119" s="7">
        <f>AA119+'A-TRY'!AD119</f>
        <v/>
      </c>
      <c r="AE119" s="8" t="n"/>
      <c r="AF119" s="7">
        <f>AC119+'A-TRY'!AF119</f>
        <v/>
      </c>
      <c r="AG119" s="7">
        <f>AD119+'A-TRY'!AG119</f>
        <v/>
      </c>
      <c r="AH119" s="8" t="n"/>
      <c r="AI119" s="7">
        <f>AF119+'A-TRY'!AI119</f>
        <v/>
      </c>
      <c r="AJ119" s="7">
        <f>AG119+'A-TRY'!AJ119</f>
        <v/>
      </c>
      <c r="AK119" s="8" t="n"/>
      <c r="AL119" s="21">
        <f>AP119-AO119</f>
        <v/>
      </c>
      <c r="AM119" s="22">
        <f>AP119/AO119-1</f>
        <v/>
      </c>
      <c r="AO119" s="44">
        <f>IF($A$1=$B$1,B119,IF($A$1=$E$1,E119,IF($A$1=$H$1,H119,IF($A$1=$K$1,K119,IF($A$1=$N$1,N119,IF($A$1=$Q$1,Q119,IF($A$1=$T$1,T119,IF($A$1=$W$1,W119,IF($A$1=$Z$1,Z119,IF($A$1=$AC$1,AC119,IF($A$1=$AF$1,AF119,IF($A$1=$AI$1,AI119))))))))))))</f>
        <v/>
      </c>
      <c r="AP119" s="44">
        <f>IF($A$1=$B$1,C119,IF($A$1=$E$1,F119,IF($A$1=$H$1,I119,IF($A$1=$K$1,L119,IF($A$1=$N$1,O119,IF($A$1=$Q$1,R119,IF($A$1=$T$1,U119,IF($A$1=$W$1,X119,IF($A$1=$Z$1,AA119,IF($A$1=$AC$1,AD119,IF($A$1=$AF$1,AG119,IF($A$1=$AI$1,AJ119))))))))))))</f>
        <v/>
      </c>
    </row>
    <row r="120" ht="15.5" customHeight="1">
      <c r="A120" s="26" t="inlineStr">
        <is>
          <t>Jantaş</t>
        </is>
      </c>
      <c r="B120" s="7">
        <f>'A-TRY'!B120</f>
        <v/>
      </c>
      <c r="C120" s="7">
        <f>'A-TRY'!C120</f>
        <v/>
      </c>
      <c r="D120" s="7" t="n"/>
      <c r="E120" s="7">
        <f>B120+'A-TRY'!E120</f>
        <v/>
      </c>
      <c r="F120" s="7">
        <f>C120+'A-TRY'!F120</f>
        <v/>
      </c>
      <c r="G120" s="7" t="n"/>
      <c r="H120" s="7">
        <f>E120+'A-TRY'!H120</f>
        <v/>
      </c>
      <c r="I120" s="7">
        <f>F120+'A-TRY'!I120</f>
        <v/>
      </c>
      <c r="J120" s="7" t="n"/>
      <c r="K120" s="7">
        <f>H120+'A-TRY'!K120</f>
        <v/>
      </c>
      <c r="L120" s="7">
        <f>I120+'A-TRY'!L120</f>
        <v/>
      </c>
      <c r="M120" s="7" t="n"/>
      <c r="N120" s="7">
        <f>K120+'A-TRY'!N120</f>
        <v/>
      </c>
      <c r="O120" s="7">
        <f>L120+'A-TRY'!O120</f>
        <v/>
      </c>
      <c r="P120" s="7" t="n"/>
      <c r="Q120" s="7">
        <f>N120+'A-TRY'!Q120</f>
        <v/>
      </c>
      <c r="R120" s="7">
        <f>O120+'A-TRY'!R120</f>
        <v/>
      </c>
      <c r="S120" s="7" t="n"/>
      <c r="T120" s="7">
        <f>Q120+'A-TRY'!T120</f>
        <v/>
      </c>
      <c r="U120" s="7">
        <f>R120+'A-TRY'!U120</f>
        <v/>
      </c>
      <c r="V120" s="7" t="n"/>
      <c r="W120" s="7">
        <f>T120+'A-TRY'!W120</f>
        <v/>
      </c>
      <c r="X120" s="7">
        <f>U120+'A-TRY'!X120</f>
        <v/>
      </c>
      <c r="Y120" s="7" t="n"/>
      <c r="Z120" s="7">
        <f>W120+'A-TRY'!Z120</f>
        <v/>
      </c>
      <c r="AA120" s="7">
        <f>X120+'A-TRY'!AA120</f>
        <v/>
      </c>
      <c r="AB120" s="7" t="n"/>
      <c r="AC120" s="7">
        <f>Z120+'A-TRY'!AC120</f>
        <v/>
      </c>
      <c r="AD120" s="7">
        <f>AA120+'A-TRY'!AD120</f>
        <v/>
      </c>
      <c r="AE120" s="7" t="n"/>
      <c r="AF120" s="7">
        <f>AC120+'A-TRY'!AF120</f>
        <v/>
      </c>
      <c r="AG120" s="7">
        <f>AD120+'A-TRY'!AG120</f>
        <v/>
      </c>
      <c r="AH120" s="7" t="n"/>
      <c r="AI120" s="7">
        <f>AF120+'A-TRY'!AI120</f>
        <v/>
      </c>
      <c r="AJ120" s="7">
        <f>AG120+'A-TRY'!AJ120</f>
        <v/>
      </c>
      <c r="AK120" s="7" t="n"/>
      <c r="AL120" s="21">
        <f>AP120-AO120</f>
        <v/>
      </c>
      <c r="AM120" s="22">
        <f>AP120/AO120-1</f>
        <v/>
      </c>
      <c r="AO120" s="44">
        <f>IF($A$1=$B$1,B120,IF($A$1=$E$1,E120,IF($A$1=$H$1,H120,IF($A$1=$K$1,K120,IF($A$1=$N$1,N120,IF($A$1=$Q$1,Q120,IF($A$1=$T$1,T120,IF($A$1=$W$1,W120,IF($A$1=$Z$1,Z120,IF($A$1=$AC$1,AC120,IF($A$1=$AF$1,AF120,IF($A$1=$AI$1,AI120))))))))))))</f>
        <v/>
      </c>
      <c r="AP120" s="44">
        <f>IF($A$1=$B$1,C120,IF($A$1=$E$1,F120,IF($A$1=$H$1,I120,IF($A$1=$K$1,L120,IF($A$1=$N$1,O120,IF($A$1=$Q$1,R120,IF($A$1=$T$1,U120,IF($A$1=$W$1,X120,IF($A$1=$Z$1,AA120,IF($A$1=$AC$1,AD120,IF($A$1=$AF$1,AG120,IF($A$1=$AI$1,AJ120))))))))))))</f>
        <v/>
      </c>
    </row>
    <row r="121" ht="15.5" customHeight="1">
      <c r="A121" s="26" t="inlineStr">
        <is>
          <t>Çelik</t>
        </is>
      </c>
      <c r="B121" s="7">
        <f>'A-TRY'!B121</f>
        <v/>
      </c>
      <c r="C121" s="7">
        <f>'A-TRY'!C121</f>
        <v/>
      </c>
      <c r="D121" s="7" t="n"/>
      <c r="E121" s="7">
        <f>B121+'A-TRY'!E121</f>
        <v/>
      </c>
      <c r="F121" s="7">
        <f>C121+'A-TRY'!F121</f>
        <v/>
      </c>
      <c r="G121" s="7" t="n"/>
      <c r="H121" s="7">
        <f>E121+'A-TRY'!H121</f>
        <v/>
      </c>
      <c r="I121" s="7">
        <f>F121+'A-TRY'!I121</f>
        <v/>
      </c>
      <c r="J121" s="7" t="n"/>
      <c r="K121" s="7">
        <f>H121+'A-TRY'!K121</f>
        <v/>
      </c>
      <c r="L121" s="7">
        <f>I121+'A-TRY'!L121</f>
        <v/>
      </c>
      <c r="M121" s="7" t="n"/>
      <c r="N121" s="7">
        <f>K121+'A-TRY'!N121</f>
        <v/>
      </c>
      <c r="O121" s="7">
        <f>L121+'A-TRY'!O121</f>
        <v/>
      </c>
      <c r="P121" s="7" t="n"/>
      <c r="Q121" s="7">
        <f>N121+'A-TRY'!Q121</f>
        <v/>
      </c>
      <c r="R121" s="7">
        <f>O121+'A-TRY'!R121</f>
        <v/>
      </c>
      <c r="S121" s="7" t="n"/>
      <c r="T121" s="7">
        <f>Q121+'A-TRY'!T121</f>
        <v/>
      </c>
      <c r="U121" s="7">
        <f>R121+'A-TRY'!U121</f>
        <v/>
      </c>
      <c r="V121" s="7" t="n"/>
      <c r="W121" s="7">
        <f>T121+'A-TRY'!W121</f>
        <v/>
      </c>
      <c r="X121" s="7">
        <f>U121+'A-TRY'!X121</f>
        <v/>
      </c>
      <c r="Y121" s="7" t="n"/>
      <c r="Z121" s="7">
        <f>W121+'A-TRY'!Z121</f>
        <v/>
      </c>
      <c r="AA121" s="7">
        <f>X121+'A-TRY'!AA121</f>
        <v/>
      </c>
      <c r="AB121" s="7" t="n"/>
      <c r="AC121" s="7">
        <f>Z121+'A-TRY'!AC121</f>
        <v/>
      </c>
      <c r="AD121" s="7">
        <f>AA121+'A-TRY'!AD121</f>
        <v/>
      </c>
      <c r="AE121" s="7" t="n"/>
      <c r="AF121" s="7">
        <f>AC121+'A-TRY'!AF121</f>
        <v/>
      </c>
      <c r="AG121" s="7">
        <f>AD121+'A-TRY'!AG121</f>
        <v/>
      </c>
      <c r="AH121" s="7" t="n"/>
      <c r="AI121" s="7">
        <f>AF121+'A-TRY'!AI121</f>
        <v/>
      </c>
      <c r="AJ121" s="7">
        <f>AG121+'A-TRY'!AJ121</f>
        <v/>
      </c>
      <c r="AK121" s="7" t="n"/>
      <c r="AL121" s="21">
        <f>AP121-AO121</f>
        <v/>
      </c>
      <c r="AM121" s="22">
        <f>AP121/AO121-1</f>
        <v/>
      </c>
      <c r="AO121" s="44">
        <f>IF($A$1=$B$1,B121,IF($A$1=$E$1,E121,IF($A$1=$H$1,H121,IF($A$1=$K$1,K121,IF($A$1=$N$1,N121,IF($A$1=$Q$1,Q121,IF($A$1=$T$1,T121,IF($A$1=$W$1,W121,IF($A$1=$Z$1,Z121,IF($A$1=$AC$1,AC121,IF($A$1=$AF$1,AF121,IF($A$1=$AI$1,AI121))))))))))))</f>
        <v/>
      </c>
      <c r="AP121" s="44">
        <f>IF($A$1=$B$1,C121,IF($A$1=$E$1,F121,IF($A$1=$H$1,I121,IF($A$1=$K$1,L121,IF($A$1=$N$1,O121,IF($A$1=$Q$1,R121,IF($A$1=$T$1,U121,IF($A$1=$W$1,X121,IF($A$1=$Z$1,AA121,IF($A$1=$AC$1,AD121,IF($A$1=$AF$1,AG121,IF($A$1=$AI$1,AJ121))))))))))))</f>
        <v/>
      </c>
    </row>
    <row r="122" ht="15.5" customHeight="1">
      <c r="A122" s="26" t="inlineStr">
        <is>
          <t>Alüminyum</t>
        </is>
      </c>
      <c r="B122" s="7">
        <f>'A-TRY'!B122</f>
        <v/>
      </c>
      <c r="C122" s="7">
        <f>'A-TRY'!C122</f>
        <v/>
      </c>
      <c r="D122" s="7" t="n"/>
      <c r="E122" s="7">
        <f>B122+'A-TRY'!E122</f>
        <v/>
      </c>
      <c r="F122" s="7">
        <f>C122+'A-TRY'!F122</f>
        <v/>
      </c>
      <c r="G122" s="7" t="n"/>
      <c r="H122" s="7">
        <f>E122+'A-TRY'!H122</f>
        <v/>
      </c>
      <c r="I122" s="7">
        <f>F122+'A-TRY'!I122</f>
        <v/>
      </c>
      <c r="J122" s="7" t="n"/>
      <c r="K122" s="7">
        <f>H122+'A-TRY'!K122</f>
        <v/>
      </c>
      <c r="L122" s="7">
        <f>I122+'A-TRY'!L122</f>
        <v/>
      </c>
      <c r="M122" s="7" t="n"/>
      <c r="N122" s="7">
        <f>K122+'A-TRY'!N122</f>
        <v/>
      </c>
      <c r="O122" s="7">
        <f>L122+'A-TRY'!O122</f>
        <v/>
      </c>
      <c r="P122" s="7" t="n"/>
      <c r="Q122" s="7">
        <f>N122+'A-TRY'!Q122</f>
        <v/>
      </c>
      <c r="R122" s="7">
        <f>O122+'A-TRY'!R122</f>
        <v/>
      </c>
      <c r="S122" s="7" t="n"/>
      <c r="T122" s="7">
        <f>Q122+'A-TRY'!T122</f>
        <v/>
      </c>
      <c r="U122" s="7">
        <f>R122+'A-TRY'!U122</f>
        <v/>
      </c>
      <c r="V122" s="7" t="n"/>
      <c r="W122" s="7">
        <f>T122+'A-TRY'!W122</f>
        <v/>
      </c>
      <c r="X122" s="7">
        <f>U122+'A-TRY'!X122</f>
        <v/>
      </c>
      <c r="Y122" s="7" t="n"/>
      <c r="Z122" s="7">
        <f>W122+'A-TRY'!Z122</f>
        <v/>
      </c>
      <c r="AA122" s="7">
        <f>X122+'A-TRY'!AA122</f>
        <v/>
      </c>
      <c r="AB122" s="7" t="n"/>
      <c r="AC122" s="7">
        <f>Z122+'A-TRY'!AC122</f>
        <v/>
      </c>
      <c r="AD122" s="7">
        <f>AA122+'A-TRY'!AD122</f>
        <v/>
      </c>
      <c r="AE122" s="7" t="n"/>
      <c r="AF122" s="7">
        <f>AC122+'A-TRY'!AF122</f>
        <v/>
      </c>
      <c r="AG122" s="7">
        <f>AD122+'A-TRY'!AG122</f>
        <v/>
      </c>
      <c r="AH122" s="7" t="n"/>
      <c r="AI122" s="7">
        <f>AF122+'A-TRY'!AI122</f>
        <v/>
      </c>
      <c r="AJ122" s="7">
        <f>AG122+'A-TRY'!AJ122</f>
        <v/>
      </c>
      <c r="AK122" s="7" t="n"/>
      <c r="AL122" s="21">
        <f>AP122-AO122</f>
        <v/>
      </c>
      <c r="AM122" s="22">
        <f>AP122/AO122-1</f>
        <v/>
      </c>
      <c r="AO122" s="44">
        <f>IF($A$1=$B$1,B122,IF($A$1=$E$1,E122,IF($A$1=$H$1,H122,IF($A$1=$K$1,K122,IF($A$1=$N$1,N122,IF($A$1=$Q$1,Q122,IF($A$1=$T$1,T122,IF($A$1=$W$1,W122,IF($A$1=$Z$1,Z122,IF($A$1=$AC$1,AC122,IF($A$1=$AF$1,AF122,IF($A$1=$AI$1,AI122))))))))))))</f>
        <v/>
      </c>
      <c r="AP122" s="44">
        <f>IF($A$1=$B$1,C122,IF($A$1=$E$1,F122,IF($A$1=$H$1,I122,IF($A$1=$K$1,L122,IF($A$1=$N$1,O122,IF($A$1=$Q$1,R122,IF($A$1=$T$1,U122,IF($A$1=$W$1,X122,IF($A$1=$Z$1,AA122,IF($A$1=$AC$1,AD122,IF($A$1=$AF$1,AG122,IF($A$1=$AI$1,AJ122))))))))))))</f>
        <v/>
      </c>
    </row>
    <row r="123" ht="15.5" customHeight="1">
      <c r="A123" s="26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21" t="n"/>
      <c r="AM123" s="22" t="n"/>
      <c r="AO123" s="44">
        <f>IF($A$1=$B$1,B123,IF($A$1=$E$1,E123,IF($A$1=$H$1,H123,IF($A$1=$K$1,K123,IF($A$1=$N$1,N123,IF($A$1=$Q$1,Q123,IF($A$1=$T$1,T123,IF($A$1=$W$1,W123,IF($A$1=$Z$1,Z123,IF($A$1=$AC$1,AC123,IF($A$1=$AF$1,AF123,IF($A$1=$AI$1,AI123))))))))))))</f>
        <v/>
      </c>
      <c r="AP123" s="44">
        <f>IF($A$1=$B$1,C123,IF($A$1=$E$1,F123,IF($A$1=$H$1,I123,IF($A$1=$K$1,L123,IF($A$1=$N$1,O123,IF($A$1=$Q$1,R123,IF($A$1=$T$1,U123,IF($A$1=$W$1,X123,IF($A$1=$Z$1,AA123,IF($A$1=$AC$1,AD123,IF($A$1=$AF$1,AG123,IF($A$1=$AI$1,AJ123))))))))))))</f>
        <v/>
      </c>
    </row>
    <row r="124">
      <c r="A124" s="2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5" t="n"/>
    </row>
    <row r="125" ht="17" customFormat="1" customHeight="1" s="49">
      <c r="A125" s="47" t="inlineStr">
        <is>
          <t>Ebit Margin</t>
        </is>
      </c>
      <c r="B125" s="413" t="n"/>
      <c r="C125" s="413" t="n"/>
      <c r="D125" s="413" t="n"/>
      <c r="E125" s="413" t="n"/>
      <c r="F125" s="413" t="n"/>
      <c r="G125" s="413" t="n"/>
      <c r="H125" s="413" t="n"/>
      <c r="I125" s="413" t="n"/>
      <c r="J125" s="413" t="n"/>
      <c r="K125" s="413" t="n"/>
      <c r="L125" s="413" t="n"/>
      <c r="M125" s="413" t="n"/>
      <c r="N125" s="413" t="n"/>
      <c r="O125" s="413" t="n"/>
      <c r="P125" s="413" t="n"/>
      <c r="Q125" s="413" t="n"/>
      <c r="R125" s="413" t="n"/>
      <c r="S125" s="413" t="n"/>
      <c r="T125" s="413" t="n"/>
      <c r="U125" s="413" t="n"/>
      <c r="V125" s="413" t="n"/>
      <c r="W125" s="413" t="n"/>
      <c r="X125" s="413" t="n"/>
      <c r="Y125" s="413" t="n"/>
      <c r="Z125" s="413" t="n"/>
      <c r="AA125" s="413" t="n"/>
      <c r="AB125" s="413" t="n"/>
      <c r="AC125" s="413" t="n"/>
      <c r="AD125" s="413" t="n"/>
      <c r="AE125" s="413" t="n"/>
      <c r="AF125" s="413" t="n"/>
      <c r="AG125" s="413" t="n"/>
      <c r="AH125" s="413" t="n"/>
      <c r="AI125" s="413" t="n"/>
      <c r="AJ125" s="413" t="n"/>
      <c r="AK125" s="413" t="n"/>
      <c r="AL125" s="413" t="n"/>
      <c r="AM125" s="48" t="n"/>
    </row>
    <row r="126" ht="15.5" customFormat="1" customHeight="1" s="13">
      <c r="A126" s="26" t="inlineStr">
        <is>
          <t xml:space="preserve">İnci Holding </t>
        </is>
      </c>
      <c r="B126" s="12">
        <f>B115/B9</f>
        <v/>
      </c>
      <c r="C126" s="12">
        <f>C115/C9</f>
        <v/>
      </c>
      <c r="D126" s="41" t="n"/>
      <c r="E126" s="12">
        <f>E115/E9</f>
        <v/>
      </c>
      <c r="F126" s="12">
        <f>F115/F9</f>
        <v/>
      </c>
      <c r="G126" s="41" t="n"/>
      <c r="H126" s="12">
        <f>H115/H9</f>
        <v/>
      </c>
      <c r="I126" s="12">
        <f>I115/I9</f>
        <v/>
      </c>
      <c r="J126" s="41" t="n"/>
      <c r="K126" s="12">
        <f>K115/K9</f>
        <v/>
      </c>
      <c r="L126" s="12">
        <f>L115/L9</f>
        <v/>
      </c>
      <c r="M126" s="41" t="n"/>
      <c r="N126" s="12">
        <f>N115/N9</f>
        <v/>
      </c>
      <c r="O126" s="12">
        <f>O115/O9</f>
        <v/>
      </c>
      <c r="P126" s="41" t="n"/>
      <c r="Q126" s="12">
        <f>Q115/Q9</f>
        <v/>
      </c>
      <c r="R126" s="12">
        <f>R115/R9</f>
        <v/>
      </c>
      <c r="S126" s="41" t="n"/>
      <c r="T126" s="12">
        <f>T115/T9</f>
        <v/>
      </c>
      <c r="U126" s="12">
        <f>U115/U9</f>
        <v/>
      </c>
      <c r="V126" s="41" t="n"/>
      <c r="W126" s="12">
        <f>W115/W9</f>
        <v/>
      </c>
      <c r="X126" s="12">
        <f>X115/X9</f>
        <v/>
      </c>
      <c r="Y126" s="41" t="n"/>
      <c r="Z126" s="12">
        <f>Z115/Z9</f>
        <v/>
      </c>
      <c r="AA126" s="12">
        <f>AA115/AA9</f>
        <v/>
      </c>
      <c r="AB126" s="41" t="n"/>
      <c r="AC126" s="12">
        <f>AC115/AC9</f>
        <v/>
      </c>
      <c r="AD126" s="12">
        <f>AD115/AD9</f>
        <v/>
      </c>
      <c r="AE126" s="41" t="n"/>
      <c r="AF126" s="12">
        <f>AF115/AF9</f>
        <v/>
      </c>
      <c r="AG126" s="12">
        <f>AG115/AG9</f>
        <v/>
      </c>
      <c r="AH126" s="41" t="n"/>
      <c r="AI126" s="12">
        <f>AI115/AI9</f>
        <v/>
      </c>
      <c r="AJ126" s="12">
        <f>AJ115/AJ9</f>
        <v/>
      </c>
      <c r="AK126" s="41" t="n"/>
      <c r="AL126" s="15" t="n"/>
      <c r="AM126" s="22">
        <f>AP126-AO126</f>
        <v/>
      </c>
      <c r="AO126" s="44">
        <f>IF($A$1=$B$1,B126,IF($A$1=$E$1,E126,IF($A$1=$H$1,H126,IF($A$1=$K$1,K126,IF($A$1=$N$1,N126,IF($A$1=$Q$1,Q126,IF($A$1=$T$1,T126,IF($A$1=$W$1,W126,IF($A$1=$Z$1,Z126,IF($A$1=$AC$1,AC126,IF($A$1=$AF$1,AF126,IF($A$1=$AI$1,AI126))))))))))))</f>
        <v/>
      </c>
      <c r="AP126" s="44">
        <f>IF($A$1=$B$1,C126,IF($A$1=$E$1,F126,IF($A$1=$H$1,I126,IF($A$1=$K$1,L126,IF($A$1=$N$1,O126,IF($A$1=$Q$1,R126,IF($A$1=$T$1,U126,IF($A$1=$W$1,X126,IF($A$1=$Z$1,AA126,IF($A$1=$AC$1,AD126,IF($A$1=$AF$1,AG126,IF($A$1=$AI$1,AJ126))))))))))))</f>
        <v/>
      </c>
    </row>
    <row r="127" ht="15.5" customFormat="1" customHeight="1" s="13">
      <c r="A127" s="26" t="inlineStr">
        <is>
          <t xml:space="preserve">ISM </t>
        </is>
      </c>
      <c r="B127" s="12">
        <f>B116/B10</f>
        <v/>
      </c>
      <c r="C127" s="12">
        <f>C116/C10</f>
        <v/>
      </c>
      <c r="D127" s="41" t="n"/>
      <c r="E127" s="12">
        <f>E116/E10</f>
        <v/>
      </c>
      <c r="F127" s="12">
        <f>F116/F10</f>
        <v/>
      </c>
      <c r="G127" s="41" t="n"/>
      <c r="H127" s="12">
        <f>H116/H10</f>
        <v/>
      </c>
      <c r="I127" s="12">
        <f>I116/I10</f>
        <v/>
      </c>
      <c r="J127" s="41" t="n"/>
      <c r="K127" s="12">
        <f>K116/K10</f>
        <v/>
      </c>
      <c r="L127" s="12">
        <f>L116/L10</f>
        <v/>
      </c>
      <c r="M127" s="41" t="n"/>
      <c r="N127" s="12">
        <f>N116/N10</f>
        <v/>
      </c>
      <c r="O127" s="12">
        <f>O116/O10</f>
        <v/>
      </c>
      <c r="P127" s="41" t="n"/>
      <c r="Q127" s="12">
        <f>Q116/Q10</f>
        <v/>
      </c>
      <c r="R127" s="12">
        <f>R116/R10</f>
        <v/>
      </c>
      <c r="S127" s="41" t="n"/>
      <c r="T127" s="12">
        <f>T116/T10</f>
        <v/>
      </c>
      <c r="U127" s="12">
        <f>U116/U10</f>
        <v/>
      </c>
      <c r="V127" s="41" t="n"/>
      <c r="W127" s="12">
        <f>W116/W10</f>
        <v/>
      </c>
      <c r="X127" s="12">
        <f>X116/X10</f>
        <v/>
      </c>
      <c r="Y127" s="41" t="n"/>
      <c r="Z127" s="12">
        <f>Z116/Z10</f>
        <v/>
      </c>
      <c r="AA127" s="12">
        <f>AA116/AA10</f>
        <v/>
      </c>
      <c r="AB127" s="41" t="n"/>
      <c r="AC127" s="12">
        <f>AC116/AC10</f>
        <v/>
      </c>
      <c r="AD127" s="12">
        <f>AD116/AD10</f>
        <v/>
      </c>
      <c r="AE127" s="41" t="n"/>
      <c r="AF127" s="12">
        <f>AF116/AF10</f>
        <v/>
      </c>
      <c r="AG127" s="12">
        <f>AG116/AG10</f>
        <v/>
      </c>
      <c r="AH127" s="41" t="n"/>
      <c r="AI127" s="12">
        <f>AI116/AI10</f>
        <v/>
      </c>
      <c r="AJ127" s="12">
        <f>AJ116/AJ10</f>
        <v/>
      </c>
      <c r="AK127" s="41" t="n"/>
      <c r="AL127" s="15" t="n"/>
      <c r="AM127" s="22">
        <f>AP127-AO127</f>
        <v/>
      </c>
      <c r="AO127" s="44">
        <f>IF($A$1=$B$1,B127,IF($A$1=$E$1,E127,IF($A$1=$H$1,H127,IF($A$1=$K$1,K127,IF($A$1=$N$1,N127,IF($A$1=$Q$1,Q127,IF($A$1=$T$1,T127,IF($A$1=$W$1,W127,IF($A$1=$Z$1,Z127,IF($A$1=$AC$1,AC127,IF($A$1=$AF$1,AF127,IF($A$1=$AI$1,AI127))))))))))))</f>
        <v/>
      </c>
      <c r="AP127" s="44">
        <f>IF($A$1=$B$1,C127,IF($A$1=$E$1,F127,IF($A$1=$H$1,I127,IF($A$1=$K$1,L127,IF($A$1=$N$1,O127,IF($A$1=$Q$1,R127,IF($A$1=$T$1,U127,IF($A$1=$W$1,X127,IF($A$1=$Z$1,AA127,IF($A$1=$AC$1,AD127,IF($A$1=$AF$1,AG127,IF($A$1=$AI$1,AJ127))))))))))))</f>
        <v/>
      </c>
    </row>
    <row r="128" ht="15.5" customFormat="1" customHeight="1" s="13">
      <c r="A128" s="26" t="inlineStr">
        <is>
          <t>İncitaş</t>
        </is>
      </c>
      <c r="B128" s="12">
        <f>B117/B11</f>
        <v/>
      </c>
      <c r="C128" s="12">
        <f>C117/C11</f>
        <v/>
      </c>
      <c r="D128" s="41" t="n"/>
      <c r="E128" s="12">
        <f>E117/E11</f>
        <v/>
      </c>
      <c r="F128" s="12">
        <f>F117/F11</f>
        <v/>
      </c>
      <c r="G128" s="41" t="n"/>
      <c r="H128" s="12">
        <f>H117/H11</f>
        <v/>
      </c>
      <c r="I128" s="12">
        <f>I117/I11</f>
        <v/>
      </c>
      <c r="J128" s="41" t="n"/>
      <c r="K128" s="12">
        <f>K117/K11</f>
        <v/>
      </c>
      <c r="L128" s="12">
        <f>L117/L11</f>
        <v/>
      </c>
      <c r="M128" s="41" t="n"/>
      <c r="N128" s="12">
        <f>N117/N11</f>
        <v/>
      </c>
      <c r="O128" s="12">
        <f>O117/O11</f>
        <v/>
      </c>
      <c r="P128" s="41" t="n"/>
      <c r="Q128" s="12">
        <f>Q117/Q11</f>
        <v/>
      </c>
      <c r="R128" s="12">
        <f>R117/R11</f>
        <v/>
      </c>
      <c r="S128" s="41" t="n"/>
      <c r="T128" s="12">
        <f>T117/T11</f>
        <v/>
      </c>
      <c r="U128" s="12">
        <f>U117/U11</f>
        <v/>
      </c>
      <c r="V128" s="41" t="n"/>
      <c r="W128" s="12">
        <f>W117/W11</f>
        <v/>
      </c>
      <c r="X128" s="12">
        <f>X117/X11</f>
        <v/>
      </c>
      <c r="Y128" s="41" t="n"/>
      <c r="Z128" s="12">
        <f>Z117/Z11</f>
        <v/>
      </c>
      <c r="AA128" s="12">
        <f>AA117/AA11</f>
        <v/>
      </c>
      <c r="AB128" s="41" t="n"/>
      <c r="AC128" s="12">
        <f>AC117/AC11</f>
        <v/>
      </c>
      <c r="AD128" s="12">
        <f>AD117/AD11</f>
        <v/>
      </c>
      <c r="AE128" s="41" t="n"/>
      <c r="AF128" s="12">
        <f>AF117/AF11</f>
        <v/>
      </c>
      <c r="AG128" s="12">
        <f>AG117/AG11</f>
        <v/>
      </c>
      <c r="AH128" s="41" t="n"/>
      <c r="AI128" s="12">
        <f>AI117/AI11</f>
        <v/>
      </c>
      <c r="AJ128" s="12">
        <f>AJ117/AJ11</f>
        <v/>
      </c>
      <c r="AK128" s="41" t="n"/>
      <c r="AL128" s="15" t="n"/>
      <c r="AM128" s="22">
        <f>AP128-AO128</f>
        <v/>
      </c>
      <c r="AO128" s="44">
        <f>IF($A$1=$B$1,B128,IF($A$1=$E$1,E128,IF($A$1=$H$1,H128,IF($A$1=$K$1,K128,IF($A$1=$N$1,N128,IF($A$1=$Q$1,Q128,IF($A$1=$T$1,T128,IF($A$1=$W$1,W128,IF($A$1=$Z$1,Z128,IF($A$1=$AC$1,AC128,IF($A$1=$AF$1,AF128,IF($A$1=$AI$1,AI128))))))))))))</f>
        <v/>
      </c>
      <c r="AP128" s="44">
        <f>IF($A$1=$B$1,C128,IF($A$1=$E$1,F128,IF($A$1=$H$1,I128,IF($A$1=$K$1,L128,IF($A$1=$N$1,O128,IF($A$1=$Q$1,R128,IF($A$1=$T$1,U128,IF($A$1=$W$1,X128,IF($A$1=$Z$1,AA128,IF($A$1=$AC$1,AD128,IF($A$1=$AF$1,AG128,IF($A$1=$AI$1,AJ128))))))))))))</f>
        <v/>
      </c>
    </row>
    <row r="129" ht="15.5" customFormat="1" customHeight="1" s="13">
      <c r="A129" s="26" t="inlineStr">
        <is>
          <t>İnci GS Yuasa</t>
        </is>
      </c>
      <c r="B129" s="12">
        <f>B118/B12</f>
        <v/>
      </c>
      <c r="C129" s="12">
        <f>C118/C12</f>
        <v/>
      </c>
      <c r="D129" s="41" t="n"/>
      <c r="E129" s="12">
        <f>E118/E12</f>
        <v/>
      </c>
      <c r="F129" s="12">
        <f>F118/F12</f>
        <v/>
      </c>
      <c r="G129" s="41" t="n"/>
      <c r="H129" s="12">
        <f>H118/H12</f>
        <v/>
      </c>
      <c r="I129" s="12">
        <f>I118/I12</f>
        <v/>
      </c>
      <c r="J129" s="41" t="n"/>
      <c r="K129" s="12">
        <f>K118/K12</f>
        <v/>
      </c>
      <c r="L129" s="12">
        <f>L118/L12</f>
        <v/>
      </c>
      <c r="M129" s="41" t="n"/>
      <c r="N129" s="12">
        <f>N118/N12</f>
        <v/>
      </c>
      <c r="O129" s="12">
        <f>O118/O12</f>
        <v/>
      </c>
      <c r="P129" s="41" t="n"/>
      <c r="Q129" s="12">
        <f>Q118/Q12</f>
        <v/>
      </c>
      <c r="R129" s="12">
        <f>R118/R12</f>
        <v/>
      </c>
      <c r="S129" s="41" t="n"/>
      <c r="T129" s="12">
        <f>T118/T12</f>
        <v/>
      </c>
      <c r="U129" s="12">
        <f>U118/U12</f>
        <v/>
      </c>
      <c r="V129" s="41" t="n"/>
      <c r="W129" s="12">
        <f>W118/W12</f>
        <v/>
      </c>
      <c r="X129" s="12">
        <f>X118/X12</f>
        <v/>
      </c>
      <c r="Y129" s="41" t="n"/>
      <c r="Z129" s="12">
        <f>Z118/Z12</f>
        <v/>
      </c>
      <c r="AA129" s="12">
        <f>AA118/AA12</f>
        <v/>
      </c>
      <c r="AB129" s="41" t="n"/>
      <c r="AC129" s="12">
        <f>AC118/AC12</f>
        <v/>
      </c>
      <c r="AD129" s="12">
        <f>AD118/AD12</f>
        <v/>
      </c>
      <c r="AE129" s="41" t="n"/>
      <c r="AF129" s="12">
        <f>AF118/AF12</f>
        <v/>
      </c>
      <c r="AG129" s="12">
        <f>AG118/AG12</f>
        <v/>
      </c>
      <c r="AH129" s="41" t="n"/>
      <c r="AI129" s="12">
        <f>AI118/AI12</f>
        <v/>
      </c>
      <c r="AJ129" s="12">
        <f>AJ118/AJ12</f>
        <v/>
      </c>
      <c r="AK129" s="41" t="n"/>
      <c r="AL129" s="15" t="n"/>
      <c r="AM129" s="22">
        <f>AP129-AO129</f>
        <v/>
      </c>
      <c r="AO129" s="44">
        <f>IF($A$1=$B$1,B129,IF($A$1=$E$1,E129,IF($A$1=$H$1,H129,IF($A$1=$K$1,K129,IF($A$1=$N$1,N129,IF($A$1=$Q$1,Q129,IF($A$1=$T$1,T129,IF($A$1=$W$1,W129,IF($A$1=$Z$1,Z129,IF($A$1=$AC$1,AC129,IF($A$1=$AF$1,AF129,IF($A$1=$AI$1,AI129))))))))))))</f>
        <v/>
      </c>
      <c r="AP129" s="44">
        <f>IF($A$1=$B$1,C129,IF($A$1=$E$1,F129,IF($A$1=$H$1,I129,IF($A$1=$K$1,L129,IF($A$1=$N$1,O129,IF($A$1=$Q$1,R129,IF($A$1=$T$1,U129,IF($A$1=$W$1,X129,IF($A$1=$Z$1,AA129,IF($A$1=$AC$1,AD129,IF($A$1=$AF$1,AG129,IF($A$1=$AI$1,AJ129))))))))))))</f>
        <v/>
      </c>
    </row>
    <row r="130" ht="15.5" customFormat="1" customHeight="1" s="13">
      <c r="A130" s="26" t="inlineStr">
        <is>
          <t>Yusen İnci Loj.</t>
        </is>
      </c>
      <c r="B130" s="12">
        <f>B119/B13</f>
        <v/>
      </c>
      <c r="C130" s="12">
        <f>C119/C13</f>
        <v/>
      </c>
      <c r="D130" s="41" t="n"/>
      <c r="E130" s="12">
        <f>E119/E13</f>
        <v/>
      </c>
      <c r="F130" s="12">
        <f>F119/F13</f>
        <v/>
      </c>
      <c r="G130" s="41" t="n"/>
      <c r="H130" s="12">
        <f>H119/H13</f>
        <v/>
      </c>
      <c r="I130" s="12">
        <f>I119/I13</f>
        <v/>
      </c>
      <c r="J130" s="41" t="n"/>
      <c r="K130" s="12">
        <f>K119/K13</f>
        <v/>
      </c>
      <c r="L130" s="12">
        <f>L119/L13</f>
        <v/>
      </c>
      <c r="M130" s="41" t="n"/>
      <c r="N130" s="12">
        <f>N119/N13</f>
        <v/>
      </c>
      <c r="O130" s="12">
        <f>O119/O13</f>
        <v/>
      </c>
      <c r="P130" s="41" t="n"/>
      <c r="Q130" s="12">
        <f>Q119/Q13</f>
        <v/>
      </c>
      <c r="R130" s="12">
        <f>R119/R13</f>
        <v/>
      </c>
      <c r="S130" s="41" t="n"/>
      <c r="T130" s="12">
        <f>T119/T13</f>
        <v/>
      </c>
      <c r="U130" s="12">
        <f>U119/U13</f>
        <v/>
      </c>
      <c r="V130" s="41" t="n"/>
      <c r="W130" s="12">
        <f>W119/W13</f>
        <v/>
      </c>
      <c r="X130" s="12">
        <f>X119/X13</f>
        <v/>
      </c>
      <c r="Y130" s="41" t="n"/>
      <c r="Z130" s="12">
        <f>Z119/Z13</f>
        <v/>
      </c>
      <c r="AA130" s="12">
        <f>AA119/AA13</f>
        <v/>
      </c>
      <c r="AB130" s="41" t="n"/>
      <c r="AC130" s="12">
        <f>AC119/AC13</f>
        <v/>
      </c>
      <c r="AD130" s="12">
        <f>AD119/AD13</f>
        <v/>
      </c>
      <c r="AE130" s="41" t="n"/>
      <c r="AF130" s="12">
        <f>AF119/AF13</f>
        <v/>
      </c>
      <c r="AG130" s="12">
        <f>AG119/AG13</f>
        <v/>
      </c>
      <c r="AH130" s="41" t="n"/>
      <c r="AI130" s="12">
        <f>AI119/AI13</f>
        <v/>
      </c>
      <c r="AJ130" s="12">
        <f>AJ119/AJ13</f>
        <v/>
      </c>
      <c r="AK130" s="41" t="n"/>
      <c r="AL130" s="15" t="n"/>
      <c r="AM130" s="22">
        <f>AP130-AO130</f>
        <v/>
      </c>
      <c r="AO130" s="44">
        <f>IF($A$1=$B$1,B130,IF($A$1=$E$1,E130,IF($A$1=$H$1,H130,IF($A$1=$K$1,K130,IF($A$1=$N$1,N130,IF($A$1=$Q$1,Q130,IF($A$1=$T$1,T130,IF($A$1=$W$1,W130,IF($A$1=$Z$1,Z130,IF($A$1=$AC$1,AC130,IF($A$1=$AF$1,AF130,IF($A$1=$AI$1,AI130))))))))))))</f>
        <v/>
      </c>
      <c r="AP130" s="44">
        <f>IF($A$1=$B$1,C130,IF($A$1=$E$1,F130,IF($A$1=$H$1,I130,IF($A$1=$K$1,L130,IF($A$1=$N$1,O130,IF($A$1=$Q$1,R130,IF($A$1=$T$1,U130,IF($A$1=$W$1,X130,IF($A$1=$Z$1,AA130,IF($A$1=$AC$1,AD130,IF($A$1=$AF$1,AG130,IF($A$1=$AI$1,AJ130))))))))))))</f>
        <v/>
      </c>
    </row>
    <row r="131" ht="15.5" customFormat="1" customHeight="1" s="13">
      <c r="A131" s="26" t="inlineStr">
        <is>
          <t>Jantaş</t>
        </is>
      </c>
      <c r="B131" s="12">
        <f>B120/B14</f>
        <v/>
      </c>
      <c r="C131" s="12">
        <f>C120/C14</f>
        <v/>
      </c>
      <c r="D131" s="41" t="n"/>
      <c r="E131" s="12">
        <f>E120/E14</f>
        <v/>
      </c>
      <c r="F131" s="12">
        <f>F120/F14</f>
        <v/>
      </c>
      <c r="G131" s="41" t="n"/>
      <c r="H131" s="12">
        <f>H120/H14</f>
        <v/>
      </c>
      <c r="I131" s="12">
        <f>I120/I14</f>
        <v/>
      </c>
      <c r="J131" s="41" t="n"/>
      <c r="K131" s="12">
        <f>K120/K14</f>
        <v/>
      </c>
      <c r="L131" s="12">
        <f>L120/L14</f>
        <v/>
      </c>
      <c r="M131" s="41" t="n"/>
      <c r="N131" s="12">
        <f>N120/N14</f>
        <v/>
      </c>
      <c r="O131" s="12">
        <f>O120/O14</f>
        <v/>
      </c>
      <c r="P131" s="41" t="n"/>
      <c r="Q131" s="12">
        <f>Q120/Q14</f>
        <v/>
      </c>
      <c r="R131" s="12">
        <f>R120/R14</f>
        <v/>
      </c>
      <c r="S131" s="41" t="n"/>
      <c r="T131" s="12">
        <f>T120/T14</f>
        <v/>
      </c>
      <c r="U131" s="12">
        <f>U120/U14</f>
        <v/>
      </c>
      <c r="V131" s="41" t="n"/>
      <c r="W131" s="12">
        <f>W120/W14</f>
        <v/>
      </c>
      <c r="X131" s="12">
        <f>X120/X14</f>
        <v/>
      </c>
      <c r="Y131" s="41" t="n"/>
      <c r="Z131" s="12">
        <f>Z120/Z14</f>
        <v/>
      </c>
      <c r="AA131" s="12">
        <f>AA120/AA14</f>
        <v/>
      </c>
      <c r="AB131" s="41" t="n"/>
      <c r="AC131" s="12">
        <f>AC120/AC14</f>
        <v/>
      </c>
      <c r="AD131" s="12">
        <f>AD120/AD14</f>
        <v/>
      </c>
      <c r="AE131" s="41" t="n"/>
      <c r="AF131" s="12">
        <f>AF120/AF14</f>
        <v/>
      </c>
      <c r="AG131" s="12">
        <f>AG120/AG14</f>
        <v/>
      </c>
      <c r="AH131" s="41" t="n"/>
      <c r="AI131" s="12">
        <f>AI120/AI14</f>
        <v/>
      </c>
      <c r="AJ131" s="12">
        <f>AJ120/AJ14</f>
        <v/>
      </c>
      <c r="AK131" s="41" t="n"/>
      <c r="AL131" s="15" t="n"/>
      <c r="AM131" s="22">
        <f>AP131-AO131</f>
        <v/>
      </c>
      <c r="AO131" s="44">
        <f>IF($A$1=$B$1,B131,IF($A$1=$E$1,E131,IF($A$1=$H$1,H131,IF($A$1=$K$1,K131,IF($A$1=$N$1,N131,IF($A$1=$Q$1,Q131,IF($A$1=$T$1,T131,IF($A$1=$W$1,W131,IF($A$1=$Z$1,Z131,IF($A$1=$AC$1,AC131,IF($A$1=$AF$1,AF131,IF($A$1=$AI$1,AI131))))))))))))</f>
        <v/>
      </c>
      <c r="AP131" s="44">
        <f>IF($A$1=$B$1,C131,IF($A$1=$E$1,F131,IF($A$1=$H$1,I131,IF($A$1=$K$1,L131,IF($A$1=$N$1,O131,IF($A$1=$Q$1,R131,IF($A$1=$T$1,U131,IF($A$1=$W$1,X131,IF($A$1=$Z$1,AA131,IF($A$1=$AC$1,AD131,IF($A$1=$AF$1,AG131,IF($A$1=$AI$1,AJ131))))))))))))</f>
        <v/>
      </c>
    </row>
    <row r="132" ht="15.5" customFormat="1" customHeight="1" s="13">
      <c r="A132" s="26" t="inlineStr">
        <is>
          <t>Çelik</t>
        </is>
      </c>
      <c r="B132" s="12">
        <f>B121/B15</f>
        <v/>
      </c>
      <c r="C132" s="12">
        <f>C121/C15</f>
        <v/>
      </c>
      <c r="D132" s="41" t="n"/>
      <c r="E132" s="12">
        <f>E121/E15</f>
        <v/>
      </c>
      <c r="F132" s="12">
        <f>F121/F15</f>
        <v/>
      </c>
      <c r="G132" s="41" t="n"/>
      <c r="H132" s="12">
        <f>H121/H15</f>
        <v/>
      </c>
      <c r="I132" s="12">
        <f>I121/I15</f>
        <v/>
      </c>
      <c r="J132" s="41" t="n"/>
      <c r="K132" s="12">
        <f>K121/K15</f>
        <v/>
      </c>
      <c r="L132" s="12">
        <f>L121/L15</f>
        <v/>
      </c>
      <c r="M132" s="41" t="n"/>
      <c r="N132" s="12">
        <f>N121/N15</f>
        <v/>
      </c>
      <c r="O132" s="12">
        <f>O121/O15</f>
        <v/>
      </c>
      <c r="P132" s="41" t="n"/>
      <c r="Q132" s="12">
        <f>Q121/Q15</f>
        <v/>
      </c>
      <c r="R132" s="12">
        <f>R121/R15</f>
        <v/>
      </c>
      <c r="S132" s="41" t="n"/>
      <c r="T132" s="12">
        <f>T121/T15</f>
        <v/>
      </c>
      <c r="U132" s="12">
        <f>U121/U15</f>
        <v/>
      </c>
      <c r="V132" s="41" t="n"/>
      <c r="W132" s="12">
        <f>W121/W15</f>
        <v/>
      </c>
      <c r="X132" s="12">
        <f>X121/X15</f>
        <v/>
      </c>
      <c r="Y132" s="41" t="n"/>
      <c r="Z132" s="12">
        <f>Z121/Z15</f>
        <v/>
      </c>
      <c r="AA132" s="12">
        <f>AA121/AA15</f>
        <v/>
      </c>
      <c r="AB132" s="41" t="n"/>
      <c r="AC132" s="12">
        <f>AC121/AC15</f>
        <v/>
      </c>
      <c r="AD132" s="12">
        <f>AD121/AD15</f>
        <v/>
      </c>
      <c r="AE132" s="41" t="n"/>
      <c r="AF132" s="12">
        <f>AF121/AF15</f>
        <v/>
      </c>
      <c r="AG132" s="12">
        <f>AG121/AG15</f>
        <v/>
      </c>
      <c r="AH132" s="41" t="n"/>
      <c r="AI132" s="12">
        <f>AI121/AI15</f>
        <v/>
      </c>
      <c r="AJ132" s="12">
        <f>AJ121/AJ15</f>
        <v/>
      </c>
      <c r="AK132" s="41" t="n"/>
      <c r="AL132" s="15" t="n"/>
      <c r="AM132" s="22">
        <f>AP132-AO132</f>
        <v/>
      </c>
      <c r="AO132" s="44">
        <f>IF($A$1=$B$1,B132,IF($A$1=$E$1,E132,IF($A$1=$H$1,H132,IF($A$1=$K$1,K132,IF($A$1=$N$1,N132,IF($A$1=$Q$1,Q132,IF($A$1=$T$1,T132,IF($A$1=$W$1,W132,IF($A$1=$Z$1,Z132,IF($A$1=$AC$1,AC132,IF($A$1=$AF$1,AF132,IF($A$1=$AI$1,AI132))))))))))))</f>
        <v/>
      </c>
      <c r="AP132" s="44">
        <f>IF($A$1=$B$1,C132,IF($A$1=$E$1,F132,IF($A$1=$H$1,I132,IF($A$1=$K$1,L132,IF($A$1=$N$1,O132,IF($A$1=$Q$1,R132,IF($A$1=$T$1,U132,IF($A$1=$W$1,X132,IF($A$1=$Z$1,AA132,IF($A$1=$AC$1,AD132,IF($A$1=$AF$1,AG132,IF($A$1=$AI$1,AJ132))))))))))))</f>
        <v/>
      </c>
    </row>
    <row r="133" ht="15.5" customFormat="1" customHeight="1" s="13">
      <c r="A133" s="26" t="inlineStr">
        <is>
          <t>Alüminyum</t>
        </is>
      </c>
      <c r="B133" s="12">
        <f>B122/B16</f>
        <v/>
      </c>
      <c r="C133" s="12">
        <f>C122/C16</f>
        <v/>
      </c>
      <c r="D133" s="41" t="n"/>
      <c r="E133" s="12">
        <f>E122/E16</f>
        <v/>
      </c>
      <c r="F133" s="12">
        <f>F122/F16</f>
        <v/>
      </c>
      <c r="G133" s="41" t="n"/>
      <c r="H133" s="12">
        <f>H122/H16</f>
        <v/>
      </c>
      <c r="I133" s="12">
        <f>I122/I16</f>
        <v/>
      </c>
      <c r="J133" s="41" t="n"/>
      <c r="K133" s="12">
        <f>K122/K16</f>
        <v/>
      </c>
      <c r="L133" s="12">
        <f>L122/L16</f>
        <v/>
      </c>
      <c r="M133" s="41" t="n"/>
      <c r="N133" s="12">
        <f>N122/N16</f>
        <v/>
      </c>
      <c r="O133" s="12">
        <f>O122/O16</f>
        <v/>
      </c>
      <c r="P133" s="41" t="n"/>
      <c r="Q133" s="12">
        <f>Q122/Q16</f>
        <v/>
      </c>
      <c r="R133" s="12">
        <f>R122/R16</f>
        <v/>
      </c>
      <c r="S133" s="41" t="n"/>
      <c r="T133" s="12">
        <f>T122/T16</f>
        <v/>
      </c>
      <c r="U133" s="12">
        <f>U122/U16</f>
        <v/>
      </c>
      <c r="V133" s="41" t="n"/>
      <c r="W133" s="12">
        <f>W122/W16</f>
        <v/>
      </c>
      <c r="X133" s="12">
        <f>X122/X16</f>
        <v/>
      </c>
      <c r="Y133" s="41" t="n"/>
      <c r="Z133" s="12">
        <f>Z122/Z16</f>
        <v/>
      </c>
      <c r="AA133" s="12">
        <f>AA122/AA16</f>
        <v/>
      </c>
      <c r="AB133" s="41" t="n"/>
      <c r="AC133" s="12">
        <f>AC122/AC16</f>
        <v/>
      </c>
      <c r="AD133" s="12">
        <f>AD122/AD16</f>
        <v/>
      </c>
      <c r="AE133" s="41" t="n"/>
      <c r="AF133" s="12">
        <f>AF122/AF16</f>
        <v/>
      </c>
      <c r="AG133" s="12">
        <f>AG122/AG16</f>
        <v/>
      </c>
      <c r="AH133" s="41" t="n"/>
      <c r="AI133" s="12">
        <f>AI122/AI16</f>
        <v/>
      </c>
      <c r="AJ133" s="12">
        <f>AJ122/AJ16</f>
        <v/>
      </c>
      <c r="AK133" s="41" t="n"/>
      <c r="AL133" s="15" t="n"/>
      <c r="AM133" s="22">
        <f>AP133-AO133</f>
        <v/>
      </c>
      <c r="AO133" s="44">
        <f>IF($A$1=$B$1,B133,IF($A$1=$E$1,E133,IF($A$1=$H$1,H133,IF($A$1=$K$1,K133,IF($A$1=$N$1,N133,IF($A$1=$Q$1,Q133,IF($A$1=$T$1,T133,IF($A$1=$W$1,W133,IF($A$1=$Z$1,Z133,IF($A$1=$AC$1,AC133,IF($A$1=$AF$1,AF133,IF($A$1=$AI$1,AI133))))))))))))</f>
        <v/>
      </c>
      <c r="AP133" s="44">
        <f>IF($A$1=$B$1,C133,IF($A$1=$E$1,F133,IF($A$1=$H$1,I133,IF($A$1=$K$1,L133,IF($A$1=$N$1,O133,IF($A$1=$Q$1,R133,IF($A$1=$T$1,U133,IF($A$1=$W$1,X133,IF($A$1=$Z$1,AA133,IF($A$1=$AC$1,AD133,IF($A$1=$AF$1,AG133,IF($A$1=$AI$1,AJ133))))))))))))</f>
        <v/>
      </c>
    </row>
    <row r="134" ht="15.5" customFormat="1" customHeight="1" s="13">
      <c r="A134" s="26" t="n"/>
      <c r="B134" s="12" t="n"/>
      <c r="C134" s="30" t="n"/>
      <c r="D134" s="41" t="n"/>
      <c r="E134" s="12" t="n"/>
      <c r="F134" s="30" t="n"/>
      <c r="G134" s="41" t="n"/>
      <c r="H134" s="12" t="n"/>
      <c r="I134" s="30" t="n"/>
      <c r="J134" s="41" t="n"/>
      <c r="K134" s="12" t="n"/>
      <c r="L134" s="30" t="n"/>
      <c r="M134" s="41" t="n"/>
      <c r="N134" s="12" t="n"/>
      <c r="O134" s="30" t="n"/>
      <c r="P134" s="41" t="n"/>
      <c r="Q134" s="12" t="n"/>
      <c r="R134" s="30" t="n"/>
      <c r="S134" s="41" t="n"/>
      <c r="T134" s="12" t="n"/>
      <c r="U134" s="30" t="n"/>
      <c r="V134" s="41" t="n"/>
      <c r="W134" s="12" t="n"/>
      <c r="X134" s="30" t="n"/>
      <c r="Y134" s="41" t="n"/>
      <c r="Z134" s="12" t="n"/>
      <c r="AA134" s="30" t="n"/>
      <c r="AB134" s="41" t="n"/>
      <c r="AC134" s="12" t="n"/>
      <c r="AD134" s="30" t="n"/>
      <c r="AE134" s="41" t="n"/>
      <c r="AF134" s="12" t="n"/>
      <c r="AG134" s="30" t="n"/>
      <c r="AH134" s="41" t="n"/>
      <c r="AI134" s="12" t="n"/>
      <c r="AJ134" s="30" t="n"/>
      <c r="AK134" s="41" t="n"/>
      <c r="AL134" s="15" t="n"/>
      <c r="AM134" s="22" t="n"/>
      <c r="AO134" s="44" t="n"/>
      <c r="AP134" s="44" t="n"/>
    </row>
    <row r="135" ht="15.5" customFormat="1" customHeight="1" s="13">
      <c r="A135" s="26" t="n"/>
      <c r="B135" s="12" t="n"/>
      <c r="C135" s="30" t="n"/>
      <c r="D135" s="41" t="n"/>
      <c r="E135" s="12" t="n"/>
      <c r="F135" s="30" t="n"/>
      <c r="G135" s="41" t="n"/>
      <c r="H135" s="12" t="n"/>
      <c r="I135" s="30" t="n"/>
      <c r="J135" s="41" t="n"/>
      <c r="K135" s="12" t="n"/>
      <c r="L135" s="30" t="n"/>
      <c r="M135" s="41" t="n"/>
      <c r="N135" s="12" t="n"/>
      <c r="O135" s="30" t="n"/>
      <c r="P135" s="41" t="n"/>
      <c r="Q135" s="12" t="n"/>
      <c r="R135" s="30" t="n"/>
      <c r="S135" s="41" t="n"/>
      <c r="T135" s="12" t="n"/>
      <c r="U135" s="30" t="n"/>
      <c r="V135" s="41" t="n"/>
      <c r="W135" s="12" t="n"/>
      <c r="X135" s="30" t="n"/>
      <c r="Y135" s="41" t="n"/>
      <c r="Z135" s="12" t="n"/>
      <c r="AA135" s="30" t="n"/>
      <c r="AB135" s="41" t="n"/>
      <c r="AC135" s="12" t="n"/>
      <c r="AD135" s="30" t="n"/>
      <c r="AE135" s="41" t="n"/>
      <c r="AF135" s="12" t="n"/>
      <c r="AG135" s="30" t="n"/>
      <c r="AH135" s="41" t="n"/>
      <c r="AI135" s="12" t="n"/>
      <c r="AJ135" s="30" t="n"/>
      <c r="AK135" s="41" t="n"/>
      <c r="AL135" s="15" t="n"/>
      <c r="AM135" s="22" t="n"/>
      <c r="AO135" s="44" t="n"/>
      <c r="AP135" s="44" t="n"/>
    </row>
    <row r="136" ht="15.5" customFormat="1" customHeight="1" s="44">
      <c r="A136" s="31" t="inlineStr">
        <is>
          <t>EBİTDA</t>
        </is>
      </c>
      <c r="B136" s="32">
        <f>'A-TRY'!B136</f>
        <v/>
      </c>
      <c r="C136" s="32">
        <f>'A-TRY'!C136</f>
        <v/>
      </c>
      <c r="D136" s="18" t="n"/>
      <c r="E136" s="32">
        <f>B136+'A-TRY'!E136</f>
        <v/>
      </c>
      <c r="F136" s="32">
        <f>C136+'A-TRY'!F136</f>
        <v/>
      </c>
      <c r="G136" s="18" t="n"/>
      <c r="H136" s="32">
        <f>E136+'A-TRY'!H136</f>
        <v/>
      </c>
      <c r="I136" s="32">
        <f>F136+'A-TRY'!I136</f>
        <v/>
      </c>
      <c r="J136" s="18" t="n"/>
      <c r="K136" s="32">
        <f>H136+'A-TRY'!K136</f>
        <v/>
      </c>
      <c r="L136" s="32">
        <f>I136+'A-TRY'!L136</f>
        <v/>
      </c>
      <c r="M136" s="18" t="n"/>
      <c r="N136" s="32">
        <f>K136+'A-TRY'!N136</f>
        <v/>
      </c>
      <c r="O136" s="32">
        <f>L136+'A-TRY'!O136</f>
        <v/>
      </c>
      <c r="P136" s="18" t="n"/>
      <c r="Q136" s="32">
        <f>N136+'A-TRY'!Q136</f>
        <v/>
      </c>
      <c r="R136" s="32">
        <f>O136+'A-TRY'!R136</f>
        <v/>
      </c>
      <c r="S136" s="18" t="n"/>
      <c r="T136" s="32">
        <f>Q136+'A-TRY'!T136</f>
        <v/>
      </c>
      <c r="U136" s="32">
        <f>R136+'A-TRY'!U136</f>
        <v/>
      </c>
      <c r="V136" s="18" t="n"/>
      <c r="W136" s="32">
        <f>T136+'A-TRY'!W136</f>
        <v/>
      </c>
      <c r="X136" s="32">
        <f>U136+'A-TRY'!X136</f>
        <v/>
      </c>
      <c r="Y136" s="18" t="n"/>
      <c r="Z136" s="32">
        <f>W136+'A-TRY'!Z136</f>
        <v/>
      </c>
      <c r="AA136" s="32">
        <f>X136+'A-TRY'!AA136</f>
        <v/>
      </c>
      <c r="AB136" s="18" t="n"/>
      <c r="AC136" s="32">
        <f>Z136+'A-TRY'!AC136</f>
        <v/>
      </c>
      <c r="AD136" s="32">
        <f>AA136+'A-TRY'!AD136</f>
        <v/>
      </c>
      <c r="AE136" s="18" t="n"/>
      <c r="AF136" s="32">
        <f>AC136+'A-TRY'!AF136</f>
        <v/>
      </c>
      <c r="AG136" s="32">
        <f>AD136+'A-TRY'!AG136</f>
        <v/>
      </c>
      <c r="AH136" s="18" t="n"/>
      <c r="AI136" s="32">
        <f>AF136+'A-TRY'!AI136</f>
        <v/>
      </c>
      <c r="AJ136" s="32">
        <f>AG136+'A-TRY'!AJ136</f>
        <v/>
      </c>
      <c r="AK136" s="18" t="n"/>
      <c r="AL136" s="33">
        <f>AP136-AO136</f>
        <v/>
      </c>
      <c r="AM136" s="34">
        <f>AP136/AO136-1</f>
        <v/>
      </c>
      <c r="AO136" s="44">
        <f>IF($A$1=$B$1,B136,IF($A$1=$E$1,E136,IF($A$1=$H$1,H136,IF($A$1=$K$1,K136,IF($A$1=$N$1,N136,IF($A$1=$Q$1,Q136,IF($A$1=$T$1,T136,IF($A$1=$W$1,W136,IF($A$1=$Z$1,Z136,IF($A$1=$AC$1,AC136,IF($A$1=$AF$1,AF136,IF($A$1=$AI$1,AI136))))))))))))</f>
        <v/>
      </c>
      <c r="AP136" s="44">
        <f>IF($A$1=$B$1,C136,IF($A$1=$E$1,F136,IF($A$1=$H$1,I136,IF($A$1=$K$1,L136,IF($A$1=$N$1,O136,IF($A$1=$Q$1,R136,IF($A$1=$T$1,U136,IF($A$1=$W$1,X136,IF($A$1=$Z$1,AA136,IF($A$1=$AC$1,AD136,IF($A$1=$AF$1,AG136,IF($A$1=$AI$1,AJ136))))))))))))</f>
        <v/>
      </c>
    </row>
    <row r="137" ht="15.5" customFormat="1" customHeight="1" s="13">
      <c r="A137" s="27" t="n"/>
      <c r="B137" s="30" t="n"/>
      <c r="C137" s="30">
        <f>IFERROR((C94/#REF!),"")</f>
        <v/>
      </c>
      <c r="D137" s="41" t="n"/>
      <c r="E137" s="30" t="n"/>
      <c r="F137" s="30">
        <f>IFERROR((F94/#REF!),"")</f>
        <v/>
      </c>
      <c r="G137" s="41" t="n"/>
      <c r="H137" s="30" t="n"/>
      <c r="I137" s="30">
        <f>IFERROR((I94/#REF!),"")</f>
        <v/>
      </c>
      <c r="J137" s="41" t="n"/>
      <c r="K137" s="30" t="n"/>
      <c r="L137" s="30">
        <f>IFERROR((L94/#REF!),"")</f>
        <v/>
      </c>
      <c r="M137" s="41" t="n"/>
      <c r="N137" s="30" t="n"/>
      <c r="O137" s="30">
        <f>IFERROR((O94/#REF!),"")</f>
        <v/>
      </c>
      <c r="P137" s="41" t="n"/>
      <c r="Q137" s="30" t="n"/>
      <c r="R137" s="30">
        <f>IFERROR((R94/#REF!),"")</f>
        <v/>
      </c>
      <c r="S137" s="41" t="n"/>
      <c r="T137" s="30" t="n"/>
      <c r="U137" s="30">
        <f>IFERROR((U94/#REF!),"")</f>
        <v/>
      </c>
      <c r="V137" s="41" t="n"/>
      <c r="W137" s="30" t="n"/>
      <c r="X137" s="30">
        <f>IFERROR((X94/#REF!),"")</f>
        <v/>
      </c>
      <c r="Y137" s="41" t="n"/>
      <c r="Z137" s="30" t="n"/>
      <c r="AA137" s="30">
        <f>IFERROR((AA94/#REF!),"")</f>
        <v/>
      </c>
      <c r="AB137" s="41" t="n"/>
      <c r="AC137" s="30" t="n"/>
      <c r="AD137" s="30">
        <f>IFERROR((AD94/#REF!),"")</f>
        <v/>
      </c>
      <c r="AE137" s="41" t="n"/>
      <c r="AF137" s="30" t="n"/>
      <c r="AG137" s="30">
        <f>IFERROR((AG94/#REF!),"")</f>
        <v/>
      </c>
      <c r="AH137" s="41" t="n"/>
      <c r="AI137" s="30" t="n"/>
      <c r="AJ137" s="30">
        <f>IFERROR((AJ94/#REF!),"")</f>
        <v/>
      </c>
      <c r="AK137" s="41" t="n"/>
      <c r="AL137" s="15" t="n"/>
      <c r="AM137" s="22" t="n"/>
      <c r="AO137" s="44">
        <f>IF($A$1=$B$1,B137,IF($A$1=$E$1,E137,IF($A$1=$H$1,H137,IF($A$1=$K$1,K137,IF($A$1=$N$1,N137,IF($A$1=$Q$1,Q137,IF($A$1=$T$1,T137,IF($A$1=$W$1,W137,IF($A$1=$Z$1,Z137,IF($A$1=$AC$1,AC137,IF($A$1=$AF$1,AF137,IF($A$1=$AI$1,AI137))))))))))))</f>
        <v/>
      </c>
      <c r="AP137" s="44">
        <f>IF($A$1=$B$1,C137,IF($A$1=$E$1,F137,IF($A$1=$H$1,I137,IF($A$1=$K$1,L137,IF($A$1=$N$1,O137,IF($A$1=$Q$1,R137,IF($A$1=$T$1,U137,IF($A$1=$W$1,X137,IF($A$1=$Z$1,AA137,IF($A$1=$AC$1,AD137,IF($A$1=$AF$1,AG137,IF($A$1=$AI$1,AJ137))))))))))))</f>
        <v/>
      </c>
    </row>
    <row r="138" ht="17" customFormat="1" customHeight="1" s="49">
      <c r="A138" s="47" t="inlineStr">
        <is>
          <t>Ebitda by channels (100%)</t>
        </is>
      </c>
      <c r="B138" s="413" t="n"/>
      <c r="C138" s="413" t="n"/>
      <c r="D138" s="413" t="n"/>
      <c r="E138" s="413" t="n"/>
      <c r="F138" s="413" t="n"/>
      <c r="G138" s="413" t="n"/>
      <c r="H138" s="413" t="n"/>
      <c r="I138" s="413" t="n"/>
      <c r="J138" s="413" t="n"/>
      <c r="K138" s="413" t="n"/>
      <c r="L138" s="413" t="n"/>
      <c r="M138" s="413" t="n"/>
      <c r="N138" s="413" t="n"/>
      <c r="O138" s="413" t="n"/>
      <c r="P138" s="413" t="n"/>
      <c r="Q138" s="413" t="n"/>
      <c r="R138" s="413" t="n"/>
      <c r="S138" s="413" t="n"/>
      <c r="T138" s="413" t="n"/>
      <c r="U138" s="413" t="n"/>
      <c r="V138" s="413" t="n"/>
      <c r="W138" s="413" t="n"/>
      <c r="X138" s="413" t="n"/>
      <c r="Y138" s="413" t="n"/>
      <c r="Z138" s="413" t="n"/>
      <c r="AA138" s="413" t="n"/>
      <c r="AB138" s="413" t="n"/>
      <c r="AC138" s="413" t="n"/>
      <c r="AD138" s="413" t="n"/>
      <c r="AE138" s="413" t="n"/>
      <c r="AF138" s="413" t="n"/>
      <c r="AG138" s="413" t="n"/>
      <c r="AH138" s="413" t="n"/>
      <c r="AI138" s="413" t="n"/>
      <c r="AJ138" s="413" t="n"/>
      <c r="AK138" s="413" t="n"/>
      <c r="AL138" s="413" t="n"/>
      <c r="AM138" s="48" t="n"/>
    </row>
    <row r="139" ht="15.5" customHeight="1">
      <c r="A139" s="26" t="inlineStr">
        <is>
          <t xml:space="preserve">İnci Holding </t>
        </is>
      </c>
      <c r="B139" s="7">
        <f>'A-TRY'!B139</f>
        <v/>
      </c>
      <c r="C139" s="7">
        <f>'A-TRY'!C139</f>
        <v/>
      </c>
      <c r="D139" s="7" t="n"/>
      <c r="E139" s="7">
        <f>B139+'A-TRY'!E139</f>
        <v/>
      </c>
      <c r="F139" s="7">
        <f>C139+'A-TRY'!F139</f>
        <v/>
      </c>
      <c r="G139" s="7" t="n"/>
      <c r="H139" s="7">
        <f>E139+'A-TRY'!H139</f>
        <v/>
      </c>
      <c r="I139" s="7">
        <f>F139+'A-TRY'!I139</f>
        <v/>
      </c>
      <c r="J139" s="7" t="n"/>
      <c r="K139" s="7">
        <f>H139+'A-TRY'!K139</f>
        <v/>
      </c>
      <c r="L139" s="7">
        <f>I139+'A-TRY'!L139</f>
        <v/>
      </c>
      <c r="M139" s="7" t="n"/>
      <c r="N139" s="7">
        <f>K139+'A-TRY'!N139</f>
        <v/>
      </c>
      <c r="O139" s="7">
        <f>L139+'A-TRY'!O139</f>
        <v/>
      </c>
      <c r="P139" s="7" t="n"/>
      <c r="Q139" s="7">
        <f>N139+'A-TRY'!Q139</f>
        <v/>
      </c>
      <c r="R139" s="7">
        <f>O139+'A-TRY'!R139</f>
        <v/>
      </c>
      <c r="S139" s="7" t="n"/>
      <c r="T139" s="7">
        <f>Q139+'A-TRY'!T139</f>
        <v/>
      </c>
      <c r="U139" s="7">
        <f>R139+'A-TRY'!U139</f>
        <v/>
      </c>
      <c r="V139" s="7" t="n"/>
      <c r="W139" s="7">
        <f>T139+'A-TRY'!W139</f>
        <v/>
      </c>
      <c r="X139" s="7">
        <f>U139+'A-TRY'!X139</f>
        <v/>
      </c>
      <c r="Y139" s="7" t="n"/>
      <c r="Z139" s="7">
        <f>W139+'A-TRY'!Z139</f>
        <v/>
      </c>
      <c r="AA139" s="7">
        <f>X139+'A-TRY'!AA139</f>
        <v/>
      </c>
      <c r="AB139" s="7" t="n"/>
      <c r="AC139" s="7">
        <f>Z139+'A-TRY'!AC139</f>
        <v/>
      </c>
      <c r="AD139" s="7">
        <f>AA139+'A-TRY'!AD139</f>
        <v/>
      </c>
      <c r="AE139" s="7" t="n"/>
      <c r="AF139" s="7">
        <f>AC139+'A-TRY'!AF139</f>
        <v/>
      </c>
      <c r="AG139" s="7">
        <f>AD139+'A-TRY'!AG139</f>
        <v/>
      </c>
      <c r="AH139" s="7" t="n"/>
      <c r="AI139" s="7">
        <f>AF139+'A-TRY'!AI139</f>
        <v/>
      </c>
      <c r="AJ139" s="7">
        <f>AG139+'A-TRY'!AJ139</f>
        <v/>
      </c>
      <c r="AK139" s="7" t="n"/>
      <c r="AL139" s="21">
        <f>AP139-AO139</f>
        <v/>
      </c>
      <c r="AM139" s="22">
        <f>AP139/AO139-1</f>
        <v/>
      </c>
      <c r="AO139" s="44">
        <f>IF($A$1=$B$1,B139,IF($A$1=$E$1,E139,IF($A$1=$H$1,H139,IF($A$1=$K$1,K139,IF($A$1=$N$1,N139,IF($A$1=$Q$1,Q139,IF($A$1=$T$1,T139,IF($A$1=$W$1,W139,IF($A$1=$Z$1,Z139,IF($A$1=$AC$1,AC139,IF($A$1=$AF$1,AF139,IF($A$1=$AI$1,AI139))))))))))))</f>
        <v/>
      </c>
      <c r="AP139" s="44">
        <f>IF($A$1=$B$1,C139,IF($A$1=$E$1,F139,IF($A$1=$H$1,I139,IF($A$1=$K$1,L139,IF($A$1=$N$1,O139,IF($A$1=$Q$1,R139,IF($A$1=$T$1,U139,IF($A$1=$W$1,X139,IF($A$1=$Z$1,AA139,IF($A$1=$AC$1,AD139,IF($A$1=$AF$1,AG139,IF($A$1=$AI$1,AJ139))))))))))))</f>
        <v/>
      </c>
    </row>
    <row r="140" ht="15.5" customHeight="1">
      <c r="A140" s="26" t="inlineStr">
        <is>
          <t xml:space="preserve">ISM </t>
        </is>
      </c>
      <c r="B140" s="7">
        <f>'A-TRY'!B140</f>
        <v/>
      </c>
      <c r="C140" s="7">
        <f>'A-TRY'!C140</f>
        <v/>
      </c>
      <c r="D140" s="7" t="n"/>
      <c r="E140" s="7">
        <f>B140+'A-TRY'!E140</f>
        <v/>
      </c>
      <c r="F140" s="7">
        <f>C140+'A-TRY'!F140</f>
        <v/>
      </c>
      <c r="G140" s="7" t="n"/>
      <c r="H140" s="7">
        <f>E140+'A-TRY'!H140</f>
        <v/>
      </c>
      <c r="I140" s="7">
        <f>F140+'A-TRY'!I140</f>
        <v/>
      </c>
      <c r="J140" s="7" t="n"/>
      <c r="K140" s="7">
        <f>H140+'A-TRY'!K140</f>
        <v/>
      </c>
      <c r="L140" s="7">
        <f>I140+'A-TRY'!L140</f>
        <v/>
      </c>
      <c r="M140" s="7" t="n"/>
      <c r="N140" s="7">
        <f>K140+'A-TRY'!N140</f>
        <v/>
      </c>
      <c r="O140" s="7">
        <f>L140+'A-TRY'!O140</f>
        <v/>
      </c>
      <c r="P140" s="7" t="n"/>
      <c r="Q140" s="7">
        <f>N140+'A-TRY'!Q140</f>
        <v/>
      </c>
      <c r="R140" s="7">
        <f>O140+'A-TRY'!R140</f>
        <v/>
      </c>
      <c r="S140" s="7" t="n"/>
      <c r="T140" s="7">
        <f>Q140+'A-TRY'!T140</f>
        <v/>
      </c>
      <c r="U140" s="7">
        <f>R140+'A-TRY'!U140</f>
        <v/>
      </c>
      <c r="V140" s="7" t="n"/>
      <c r="W140" s="7">
        <f>T140+'A-TRY'!W140</f>
        <v/>
      </c>
      <c r="X140" s="7">
        <f>U140+'A-TRY'!X140</f>
        <v/>
      </c>
      <c r="Y140" s="7" t="n"/>
      <c r="Z140" s="7">
        <f>W140+'A-TRY'!Z140</f>
        <v/>
      </c>
      <c r="AA140" s="7">
        <f>X140+'A-TRY'!AA140</f>
        <v/>
      </c>
      <c r="AB140" s="7" t="n"/>
      <c r="AC140" s="7">
        <f>Z140+'A-TRY'!AC140</f>
        <v/>
      </c>
      <c r="AD140" s="7">
        <f>AA140+'A-TRY'!AD140</f>
        <v/>
      </c>
      <c r="AE140" s="7" t="n"/>
      <c r="AF140" s="7">
        <f>AC140+'A-TRY'!AF140</f>
        <v/>
      </c>
      <c r="AG140" s="7">
        <f>AD140+'A-TRY'!AG140</f>
        <v/>
      </c>
      <c r="AH140" s="7" t="n"/>
      <c r="AI140" s="7">
        <f>AF140+'A-TRY'!AI140</f>
        <v/>
      </c>
      <c r="AJ140" s="7">
        <f>AG140+'A-TRY'!AJ140</f>
        <v/>
      </c>
      <c r="AK140" s="7" t="n"/>
      <c r="AL140" s="21">
        <f>AP140-AO140</f>
        <v/>
      </c>
      <c r="AM140" s="22">
        <f>AP140/AO140-1</f>
        <v/>
      </c>
      <c r="AO140" s="44">
        <f>IF($A$1=$B$1,B140,IF($A$1=$E$1,E140,IF($A$1=$H$1,H140,IF($A$1=$K$1,K140,IF($A$1=$N$1,N140,IF($A$1=$Q$1,Q140,IF($A$1=$T$1,T140,IF($A$1=$W$1,W140,IF($A$1=$Z$1,Z140,IF($A$1=$AC$1,AC140,IF($A$1=$AF$1,AF140,IF($A$1=$AI$1,AI140))))))))))))</f>
        <v/>
      </c>
      <c r="AP140" s="44">
        <f>IF($A$1=$B$1,C140,IF($A$1=$E$1,F140,IF($A$1=$H$1,I140,IF($A$1=$K$1,L140,IF($A$1=$N$1,O140,IF($A$1=$Q$1,R140,IF($A$1=$T$1,U140,IF($A$1=$W$1,X140,IF($A$1=$Z$1,AA140,IF($A$1=$AC$1,AD140,IF($A$1=$AF$1,AG140,IF($A$1=$AI$1,AJ140))))))))))))</f>
        <v/>
      </c>
    </row>
    <row r="141" ht="15.5" customHeight="1">
      <c r="A141" s="26" t="inlineStr">
        <is>
          <t>İncitaş</t>
        </is>
      </c>
      <c r="B141" s="7">
        <f>'A-TRY'!B141</f>
        <v/>
      </c>
      <c r="C141" s="7">
        <f>'A-TRY'!C141</f>
        <v/>
      </c>
      <c r="D141" s="7" t="n"/>
      <c r="E141" s="7">
        <f>B141+'A-TRY'!E141</f>
        <v/>
      </c>
      <c r="F141" s="7">
        <f>C141+'A-TRY'!F141</f>
        <v/>
      </c>
      <c r="G141" s="7" t="n"/>
      <c r="H141" s="7">
        <f>E141+'A-TRY'!H141</f>
        <v/>
      </c>
      <c r="I141" s="7">
        <f>F141+'A-TRY'!I141</f>
        <v/>
      </c>
      <c r="J141" s="7" t="n"/>
      <c r="K141" s="7">
        <f>H141+'A-TRY'!K141</f>
        <v/>
      </c>
      <c r="L141" s="7">
        <f>I141+'A-TRY'!L141</f>
        <v/>
      </c>
      <c r="M141" s="7" t="n"/>
      <c r="N141" s="7">
        <f>K141+'A-TRY'!N141</f>
        <v/>
      </c>
      <c r="O141" s="7">
        <f>L141+'A-TRY'!O141</f>
        <v/>
      </c>
      <c r="P141" s="7" t="n"/>
      <c r="Q141" s="7">
        <f>N141+'A-TRY'!Q141</f>
        <v/>
      </c>
      <c r="R141" s="7">
        <f>O141+'A-TRY'!R141</f>
        <v/>
      </c>
      <c r="S141" s="7" t="n"/>
      <c r="T141" s="7">
        <f>Q141+'A-TRY'!T141</f>
        <v/>
      </c>
      <c r="U141" s="7">
        <f>R141+'A-TRY'!U141</f>
        <v/>
      </c>
      <c r="V141" s="7" t="n"/>
      <c r="W141" s="7">
        <f>T141+'A-TRY'!W141</f>
        <v/>
      </c>
      <c r="X141" s="7">
        <f>U141+'A-TRY'!X141</f>
        <v/>
      </c>
      <c r="Y141" s="7" t="n"/>
      <c r="Z141" s="7">
        <f>W141+'A-TRY'!Z141</f>
        <v/>
      </c>
      <c r="AA141" s="7">
        <f>X141+'A-TRY'!AA141</f>
        <v/>
      </c>
      <c r="AB141" s="7" t="n"/>
      <c r="AC141" s="7">
        <f>Z141+'A-TRY'!AC141</f>
        <v/>
      </c>
      <c r="AD141" s="7">
        <f>AA141+'A-TRY'!AD141</f>
        <v/>
      </c>
      <c r="AE141" s="7" t="n"/>
      <c r="AF141" s="7">
        <f>AC141+'A-TRY'!AF141</f>
        <v/>
      </c>
      <c r="AG141" s="7">
        <f>AD141+'A-TRY'!AG141</f>
        <v/>
      </c>
      <c r="AH141" s="7" t="n"/>
      <c r="AI141" s="7">
        <f>AF141+'A-TRY'!AI141</f>
        <v/>
      </c>
      <c r="AJ141" s="7">
        <f>AG141+'A-TRY'!AJ141</f>
        <v/>
      </c>
      <c r="AK141" s="7" t="n"/>
      <c r="AL141" s="21">
        <f>AP141-AO141</f>
        <v/>
      </c>
      <c r="AM141" s="22">
        <f>AP141/AO141-1</f>
        <v/>
      </c>
      <c r="AO141" s="44">
        <f>IF($A$1=$B$1,B141,IF($A$1=$E$1,E141,IF($A$1=$H$1,H141,IF($A$1=$K$1,K141,IF($A$1=$N$1,N141,IF($A$1=$Q$1,Q141,IF($A$1=$T$1,T141,IF($A$1=$W$1,W141,IF($A$1=$Z$1,Z141,IF($A$1=$AC$1,AC141,IF($A$1=$AF$1,AF141,IF($A$1=$AI$1,AI141))))))))))))</f>
        <v/>
      </c>
      <c r="AP141" s="44">
        <f>IF($A$1=$B$1,C141,IF($A$1=$E$1,F141,IF($A$1=$H$1,I141,IF($A$1=$K$1,L141,IF($A$1=$N$1,O141,IF($A$1=$Q$1,R141,IF($A$1=$T$1,U141,IF($A$1=$W$1,X141,IF($A$1=$Z$1,AA141,IF($A$1=$AC$1,AD141,IF($A$1=$AF$1,AG141,IF($A$1=$AI$1,AJ141))))))))))))</f>
        <v/>
      </c>
    </row>
    <row r="142" ht="15.5" customHeight="1">
      <c r="A142" s="26" t="inlineStr">
        <is>
          <t>İnci GS Yuasa</t>
        </is>
      </c>
      <c r="B142" s="7">
        <f>'A-TRY'!B142</f>
        <v/>
      </c>
      <c r="C142" s="7">
        <f>'A-TRY'!C142</f>
        <v/>
      </c>
      <c r="D142" s="7" t="n"/>
      <c r="E142" s="7">
        <f>B142+'A-TRY'!E142</f>
        <v/>
      </c>
      <c r="F142" s="7">
        <f>C142+'A-TRY'!F142</f>
        <v/>
      </c>
      <c r="G142" s="7" t="n"/>
      <c r="H142" s="7">
        <f>E142+'A-TRY'!H142</f>
        <v/>
      </c>
      <c r="I142" s="7">
        <f>F142+'A-TRY'!I142</f>
        <v/>
      </c>
      <c r="J142" s="7" t="n"/>
      <c r="K142" s="7">
        <f>H142+'A-TRY'!K142</f>
        <v/>
      </c>
      <c r="L142" s="7">
        <f>I142+'A-TRY'!L142</f>
        <v/>
      </c>
      <c r="M142" s="7" t="n"/>
      <c r="N142" s="7">
        <f>K142+'A-TRY'!N142</f>
        <v/>
      </c>
      <c r="O142" s="7">
        <f>L142+'A-TRY'!O142</f>
        <v/>
      </c>
      <c r="P142" s="7" t="n"/>
      <c r="Q142" s="7">
        <f>N142+'A-TRY'!Q142</f>
        <v/>
      </c>
      <c r="R142" s="7">
        <f>O142+'A-TRY'!R142</f>
        <v/>
      </c>
      <c r="S142" s="5">
        <f>R142/Q142</f>
        <v/>
      </c>
      <c r="T142" s="7">
        <f>Q142+'A-TRY'!T142</f>
        <v/>
      </c>
      <c r="U142" s="7">
        <f>R142+'A-TRY'!U142</f>
        <v/>
      </c>
      <c r="V142" s="7" t="n"/>
      <c r="W142" s="7">
        <f>T142+'A-TRY'!W142</f>
        <v/>
      </c>
      <c r="X142" s="7">
        <f>U142+'A-TRY'!X142</f>
        <v/>
      </c>
      <c r="Y142" s="7" t="n"/>
      <c r="Z142" s="7">
        <f>W142+'A-TRY'!Z142</f>
        <v/>
      </c>
      <c r="AA142" s="7">
        <f>X142+'A-TRY'!AA142</f>
        <v/>
      </c>
      <c r="AB142" s="7" t="n"/>
      <c r="AC142" s="7">
        <f>Z142+'A-TRY'!AC142</f>
        <v/>
      </c>
      <c r="AD142" s="7">
        <f>AA142+'A-TRY'!AD142</f>
        <v/>
      </c>
      <c r="AE142" s="7" t="n"/>
      <c r="AF142" s="7">
        <f>AC142+'A-TRY'!AF142</f>
        <v/>
      </c>
      <c r="AG142" s="7">
        <f>AD142+'A-TRY'!AG142</f>
        <v/>
      </c>
      <c r="AH142" s="7" t="n"/>
      <c r="AI142" s="7">
        <f>AF142+'A-TRY'!AI142</f>
        <v/>
      </c>
      <c r="AJ142" s="7">
        <f>AG142+'A-TRY'!AJ142</f>
        <v/>
      </c>
      <c r="AK142" s="7" t="n"/>
      <c r="AL142" s="21">
        <f>AP142-AO142</f>
        <v/>
      </c>
      <c r="AM142" s="22">
        <f>AP142/AO142-1</f>
        <v/>
      </c>
      <c r="AO142" s="44">
        <f>IF($A$1=$B$1,B142,IF($A$1=$E$1,E142,IF($A$1=$H$1,H142,IF($A$1=$K$1,K142,IF($A$1=$N$1,N142,IF($A$1=$Q$1,Q142,IF($A$1=$T$1,T142,IF($A$1=$W$1,W142,IF($A$1=$Z$1,Z142,IF($A$1=$AC$1,AC142,IF($A$1=$AF$1,AF142,IF($A$1=$AI$1,AI142))))))))))))</f>
        <v/>
      </c>
      <c r="AP142" s="44">
        <f>IF($A$1=$B$1,C142,IF($A$1=$E$1,F142,IF($A$1=$H$1,I142,IF($A$1=$K$1,L142,IF($A$1=$N$1,O142,IF($A$1=$Q$1,R142,IF($A$1=$T$1,U142,IF($A$1=$W$1,X142,IF($A$1=$Z$1,AA142,IF($A$1=$AC$1,AD142,IF($A$1=$AF$1,AG142,IF($A$1=$AI$1,AJ142))))))))))))</f>
        <v/>
      </c>
    </row>
    <row r="143" ht="15.5" customFormat="1" customHeight="1" s="1">
      <c r="A143" s="26" t="inlineStr">
        <is>
          <t>Yusen İnci Loj.</t>
        </is>
      </c>
      <c r="B143" s="7">
        <f>'A-TRY'!B143</f>
        <v/>
      </c>
      <c r="C143" s="7">
        <f>'A-TRY'!C143</f>
        <v/>
      </c>
      <c r="D143" s="8" t="n"/>
      <c r="E143" s="7">
        <f>B143+'A-TRY'!E143</f>
        <v/>
      </c>
      <c r="F143" s="7">
        <f>C143+'A-TRY'!F143</f>
        <v/>
      </c>
      <c r="G143" s="8" t="n"/>
      <c r="H143" s="7">
        <f>E143+'A-TRY'!H143</f>
        <v/>
      </c>
      <c r="I143" s="7">
        <f>F143+'A-TRY'!I143</f>
        <v/>
      </c>
      <c r="J143" s="8" t="n"/>
      <c r="K143" s="7">
        <f>H143+'A-TRY'!K143</f>
        <v/>
      </c>
      <c r="L143" s="7">
        <f>I143+'A-TRY'!L143</f>
        <v/>
      </c>
      <c r="M143" s="8" t="n"/>
      <c r="N143" s="7">
        <f>K143+'A-TRY'!N143</f>
        <v/>
      </c>
      <c r="O143" s="7">
        <f>L143+'A-TRY'!O143</f>
        <v/>
      </c>
      <c r="P143" s="8" t="n"/>
      <c r="Q143" s="7">
        <f>N143+'A-TRY'!Q143</f>
        <v/>
      </c>
      <c r="R143" s="7">
        <f>O143+'A-TRY'!R143</f>
        <v/>
      </c>
      <c r="S143" s="8" t="n"/>
      <c r="T143" s="7">
        <f>Q143+'A-TRY'!T143</f>
        <v/>
      </c>
      <c r="U143" s="7">
        <f>R143+'A-TRY'!U143</f>
        <v/>
      </c>
      <c r="V143" s="8" t="n"/>
      <c r="W143" s="7">
        <f>T143+'A-TRY'!W143</f>
        <v/>
      </c>
      <c r="X143" s="7">
        <f>U143+'A-TRY'!X143</f>
        <v/>
      </c>
      <c r="Y143" s="8" t="n"/>
      <c r="Z143" s="7">
        <f>W143+'A-TRY'!Z143</f>
        <v/>
      </c>
      <c r="AA143" s="7">
        <f>X143+'A-TRY'!AA143</f>
        <v/>
      </c>
      <c r="AB143" s="8" t="n"/>
      <c r="AC143" s="7">
        <f>Z143+'A-TRY'!AC143</f>
        <v/>
      </c>
      <c r="AD143" s="7">
        <f>AA143+'A-TRY'!AD143</f>
        <v/>
      </c>
      <c r="AE143" s="8" t="n"/>
      <c r="AF143" s="7">
        <f>AC143+'A-TRY'!AF143</f>
        <v/>
      </c>
      <c r="AG143" s="7">
        <f>AD143+'A-TRY'!AG143</f>
        <v/>
      </c>
      <c r="AH143" s="8" t="n"/>
      <c r="AI143" s="7">
        <f>AF143+'A-TRY'!AI143</f>
        <v/>
      </c>
      <c r="AJ143" s="7">
        <f>AG143+'A-TRY'!AJ143</f>
        <v/>
      </c>
      <c r="AK143" s="8" t="n"/>
      <c r="AL143" s="21">
        <f>AP143-AO143</f>
        <v/>
      </c>
      <c r="AM143" s="22">
        <f>AP143/AO143-1</f>
        <v/>
      </c>
      <c r="AO143" s="44">
        <f>IF($A$1=$B$1,B143,IF($A$1=$E$1,E143,IF($A$1=$H$1,H143,IF($A$1=$K$1,K143,IF($A$1=$N$1,N143,IF($A$1=$Q$1,Q143,IF($A$1=$T$1,T143,IF($A$1=$W$1,W143,IF($A$1=$Z$1,Z143,IF($A$1=$AC$1,AC143,IF($A$1=$AF$1,AF143,IF($A$1=$AI$1,AI143))))))))))))</f>
        <v/>
      </c>
      <c r="AP143" s="44">
        <f>IF($A$1=$B$1,C143,IF($A$1=$E$1,F143,IF($A$1=$H$1,I143,IF($A$1=$K$1,L143,IF($A$1=$N$1,O143,IF($A$1=$Q$1,R143,IF($A$1=$T$1,U143,IF($A$1=$W$1,X143,IF($A$1=$Z$1,AA143,IF($A$1=$AC$1,AD143,IF($A$1=$AF$1,AG143,IF($A$1=$AI$1,AJ143))))))))))))</f>
        <v/>
      </c>
    </row>
    <row r="144" ht="15.5" customHeight="1">
      <c r="A144" s="26" t="inlineStr">
        <is>
          <t>Jantaş</t>
        </is>
      </c>
      <c r="B144" s="7">
        <f>'A-TRY'!B144</f>
        <v/>
      </c>
      <c r="C144" s="7">
        <f>'A-TRY'!C144</f>
        <v/>
      </c>
      <c r="D144" s="7" t="n"/>
      <c r="E144" s="7">
        <f>B144+'A-TRY'!E144</f>
        <v/>
      </c>
      <c r="F144" s="7">
        <f>C144+'A-TRY'!F144</f>
        <v/>
      </c>
      <c r="G144" s="7" t="n"/>
      <c r="H144" s="7">
        <f>E144+'A-TRY'!H144</f>
        <v/>
      </c>
      <c r="I144" s="7">
        <f>F144+'A-TRY'!I144</f>
        <v/>
      </c>
      <c r="J144" s="7" t="n"/>
      <c r="K144" s="7">
        <f>H144+'A-TRY'!K144</f>
        <v/>
      </c>
      <c r="L144" s="7">
        <f>I144+'A-TRY'!L144</f>
        <v/>
      </c>
      <c r="M144" s="7" t="n"/>
      <c r="N144" s="7">
        <f>K144+'A-TRY'!N144</f>
        <v/>
      </c>
      <c r="O144" s="7">
        <f>L144+'A-TRY'!O144</f>
        <v/>
      </c>
      <c r="P144" s="7" t="n"/>
      <c r="Q144" s="7">
        <f>N144+'A-TRY'!Q144</f>
        <v/>
      </c>
      <c r="R144" s="7">
        <f>O144+'A-TRY'!R144</f>
        <v/>
      </c>
      <c r="S144" s="7" t="n"/>
      <c r="T144" s="7">
        <f>Q144+'A-TRY'!T144</f>
        <v/>
      </c>
      <c r="U144" s="7">
        <f>R144+'A-TRY'!U144</f>
        <v/>
      </c>
      <c r="V144" s="7" t="n"/>
      <c r="W144" s="7">
        <f>T144+'A-TRY'!W144</f>
        <v/>
      </c>
      <c r="X144" s="7">
        <f>U144+'A-TRY'!X144</f>
        <v/>
      </c>
      <c r="Y144" s="7" t="n"/>
      <c r="Z144" s="7">
        <f>W144+'A-TRY'!Z144</f>
        <v/>
      </c>
      <c r="AA144" s="7">
        <f>X144+'A-TRY'!AA144</f>
        <v/>
      </c>
      <c r="AB144" s="7" t="n"/>
      <c r="AC144" s="7">
        <f>Z144+'A-TRY'!AC144</f>
        <v/>
      </c>
      <c r="AD144" s="7">
        <f>AA144+'A-TRY'!AD144</f>
        <v/>
      </c>
      <c r="AE144" s="7" t="n"/>
      <c r="AF144" s="7">
        <f>AC144+'A-TRY'!AF144</f>
        <v/>
      </c>
      <c r="AG144" s="7">
        <f>AD144+'A-TRY'!AG144</f>
        <v/>
      </c>
      <c r="AH144" s="7" t="n"/>
      <c r="AI144" s="7">
        <f>AF144+'A-TRY'!AI144</f>
        <v/>
      </c>
      <c r="AJ144" s="7">
        <f>AG144+'A-TRY'!AJ144</f>
        <v/>
      </c>
      <c r="AK144" s="7" t="n"/>
      <c r="AL144" s="21">
        <f>AP144-AO144</f>
        <v/>
      </c>
      <c r="AM144" s="22">
        <f>AP144/AO144-1</f>
        <v/>
      </c>
      <c r="AO144" s="44">
        <f>IF($A$1=$B$1,B144,IF($A$1=$E$1,E144,IF($A$1=$H$1,H144,IF($A$1=$K$1,K144,IF($A$1=$N$1,N144,IF($A$1=$Q$1,Q144,IF($A$1=$T$1,T144,IF($A$1=$W$1,W144,IF($A$1=$Z$1,Z144,IF($A$1=$AC$1,AC144,IF($A$1=$AF$1,AF144,IF($A$1=$AI$1,AI144))))))))))))</f>
        <v/>
      </c>
      <c r="AP144" s="44">
        <f>IF($A$1=$B$1,C144,IF($A$1=$E$1,F144,IF($A$1=$H$1,I144,IF($A$1=$K$1,L144,IF($A$1=$N$1,O144,IF($A$1=$Q$1,R144,IF($A$1=$T$1,U144,IF($A$1=$W$1,X144,IF($A$1=$Z$1,AA144,IF($A$1=$AC$1,AD144,IF($A$1=$AF$1,AG144,IF($A$1=$AI$1,AJ144))))))))))))</f>
        <v/>
      </c>
    </row>
    <row r="145" ht="15.5" customHeight="1">
      <c r="A145" s="26" t="inlineStr">
        <is>
          <t>Çelik</t>
        </is>
      </c>
      <c r="B145" s="7">
        <f>'A-TRY'!B145</f>
        <v/>
      </c>
      <c r="C145" s="7">
        <f>'A-TRY'!C145</f>
        <v/>
      </c>
      <c r="D145" s="7" t="n"/>
      <c r="E145" s="7">
        <f>B145+'A-TRY'!E145</f>
        <v/>
      </c>
      <c r="F145" s="7">
        <f>C145+'A-TRY'!F145</f>
        <v/>
      </c>
      <c r="G145" s="7" t="n"/>
      <c r="H145" s="7">
        <f>E145+'A-TRY'!H145</f>
        <v/>
      </c>
      <c r="I145" s="7">
        <f>F145+'A-TRY'!I145</f>
        <v/>
      </c>
      <c r="J145" s="7" t="n"/>
      <c r="K145" s="7">
        <f>H145+'A-TRY'!K145</f>
        <v/>
      </c>
      <c r="L145" s="7">
        <f>I145+'A-TRY'!L145</f>
        <v/>
      </c>
      <c r="M145" s="7" t="n"/>
      <c r="N145" s="7">
        <f>K145+'A-TRY'!N145</f>
        <v/>
      </c>
      <c r="O145" s="7">
        <f>L145+'A-TRY'!O145</f>
        <v/>
      </c>
      <c r="P145" s="7" t="n"/>
      <c r="Q145" s="7">
        <f>N145+'A-TRY'!Q145</f>
        <v/>
      </c>
      <c r="R145" s="7">
        <f>O145+'A-TRY'!R145</f>
        <v/>
      </c>
      <c r="S145" s="7" t="n"/>
      <c r="T145" s="7">
        <f>Q145+'A-TRY'!T145</f>
        <v/>
      </c>
      <c r="U145" s="7">
        <f>R145+'A-TRY'!U145</f>
        <v/>
      </c>
      <c r="V145" s="7" t="n"/>
      <c r="W145" s="7">
        <f>T145+'A-TRY'!W145</f>
        <v/>
      </c>
      <c r="X145" s="7">
        <f>U145+'A-TRY'!X145</f>
        <v/>
      </c>
      <c r="Y145" s="7" t="n"/>
      <c r="Z145" s="7">
        <f>W145+'A-TRY'!Z145</f>
        <v/>
      </c>
      <c r="AA145" s="7">
        <f>X145+'A-TRY'!AA145</f>
        <v/>
      </c>
      <c r="AB145" s="7" t="n"/>
      <c r="AC145" s="7">
        <f>Z145+'A-TRY'!AC145</f>
        <v/>
      </c>
      <c r="AD145" s="7">
        <f>AA145+'A-TRY'!AD145</f>
        <v/>
      </c>
      <c r="AE145" s="7" t="n"/>
      <c r="AF145" s="7">
        <f>AC145+'A-TRY'!AF145</f>
        <v/>
      </c>
      <c r="AG145" s="7">
        <f>AD145+'A-TRY'!AG145</f>
        <v/>
      </c>
      <c r="AH145" s="7" t="n"/>
      <c r="AI145" s="7">
        <f>AF145+'A-TRY'!AI145</f>
        <v/>
      </c>
      <c r="AJ145" s="7">
        <f>AG145+'A-TRY'!AJ145</f>
        <v/>
      </c>
      <c r="AK145" s="7" t="n"/>
      <c r="AL145" s="21">
        <f>AP145-AO145</f>
        <v/>
      </c>
      <c r="AM145" s="22">
        <f>AP145/AO145-1</f>
        <v/>
      </c>
      <c r="AO145" s="44">
        <f>IF($A$1=$B$1,B145,IF($A$1=$E$1,E145,IF($A$1=$H$1,H145,IF($A$1=$K$1,K145,IF($A$1=$N$1,N145,IF($A$1=$Q$1,Q145,IF($A$1=$T$1,T145,IF($A$1=$W$1,W145,IF($A$1=$Z$1,Z145,IF($A$1=$AC$1,AC145,IF($A$1=$AF$1,AF145,IF($A$1=$AI$1,AI145))))))))))))</f>
        <v/>
      </c>
      <c r="AP145" s="44">
        <f>IF($A$1=$B$1,C145,IF($A$1=$E$1,F145,IF($A$1=$H$1,I145,IF($A$1=$K$1,L145,IF($A$1=$N$1,O145,IF($A$1=$Q$1,R145,IF($A$1=$T$1,U145,IF($A$1=$W$1,X145,IF($A$1=$Z$1,AA145,IF($A$1=$AC$1,AD145,IF($A$1=$AF$1,AG145,IF($A$1=$AI$1,AJ145))))))))))))</f>
        <v/>
      </c>
    </row>
    <row r="146" ht="15.5" customHeight="1">
      <c r="A146" s="26" t="inlineStr">
        <is>
          <t>Alüminyum</t>
        </is>
      </c>
      <c r="B146" s="7">
        <f>'A-TRY'!B146</f>
        <v/>
      </c>
      <c r="C146" s="7">
        <f>'A-TRY'!C146</f>
        <v/>
      </c>
      <c r="D146" s="7" t="n"/>
      <c r="E146" s="7">
        <f>B146+'A-TRY'!E146</f>
        <v/>
      </c>
      <c r="F146" s="7">
        <f>C146+'A-TRY'!F146</f>
        <v/>
      </c>
      <c r="G146" s="7" t="n"/>
      <c r="H146" s="7">
        <f>E146+'A-TRY'!H146</f>
        <v/>
      </c>
      <c r="I146" s="7">
        <f>F146+'A-TRY'!I146</f>
        <v/>
      </c>
      <c r="J146" s="7" t="n"/>
      <c r="K146" s="7">
        <f>H146+'A-TRY'!K146</f>
        <v/>
      </c>
      <c r="L146" s="7">
        <f>I146+'A-TRY'!L146</f>
        <v/>
      </c>
      <c r="M146" s="7" t="n"/>
      <c r="N146" s="7">
        <f>K146+'A-TRY'!N146</f>
        <v/>
      </c>
      <c r="O146" s="7">
        <f>L146+'A-TRY'!O146</f>
        <v/>
      </c>
      <c r="P146" s="7" t="n"/>
      <c r="Q146" s="7">
        <f>N146+'A-TRY'!Q146</f>
        <v/>
      </c>
      <c r="R146" s="7">
        <f>O146+'A-TRY'!R146</f>
        <v/>
      </c>
      <c r="S146" s="7" t="n"/>
      <c r="T146" s="7">
        <f>Q146+'A-TRY'!T146</f>
        <v/>
      </c>
      <c r="U146" s="7">
        <f>R146+'A-TRY'!U146</f>
        <v/>
      </c>
      <c r="V146" s="7" t="n"/>
      <c r="W146" s="7">
        <f>T146+'A-TRY'!W146</f>
        <v/>
      </c>
      <c r="X146" s="7">
        <f>U146+'A-TRY'!X146</f>
        <v/>
      </c>
      <c r="Y146" s="7" t="n"/>
      <c r="Z146" s="7">
        <f>W146+'A-TRY'!Z146</f>
        <v/>
      </c>
      <c r="AA146" s="7">
        <f>X146+'A-TRY'!AA146</f>
        <v/>
      </c>
      <c r="AB146" s="7" t="n"/>
      <c r="AC146" s="7">
        <f>Z146+'A-TRY'!AC146</f>
        <v/>
      </c>
      <c r="AD146" s="7">
        <f>AA146+'A-TRY'!AD146</f>
        <v/>
      </c>
      <c r="AE146" s="7" t="n"/>
      <c r="AF146" s="7">
        <f>AC146+'A-TRY'!AF146</f>
        <v/>
      </c>
      <c r="AG146" s="7">
        <f>AD146+'A-TRY'!AG146</f>
        <v/>
      </c>
      <c r="AH146" s="7" t="n"/>
      <c r="AI146" s="7">
        <f>AF146+'A-TRY'!AI146</f>
        <v/>
      </c>
      <c r="AJ146" s="7">
        <f>AG146+'A-TRY'!AJ146</f>
        <v/>
      </c>
      <c r="AK146" s="7" t="n"/>
      <c r="AL146" s="21">
        <f>AP146-AO146</f>
        <v/>
      </c>
      <c r="AM146" s="22">
        <f>AP146/AO146-1</f>
        <v/>
      </c>
      <c r="AO146" s="44">
        <f>IF($A$1=$B$1,B146,IF($A$1=$E$1,E146,IF($A$1=$H$1,H146,IF($A$1=$K$1,K146,IF($A$1=$N$1,N146,IF($A$1=$Q$1,Q146,IF($A$1=$T$1,T146,IF($A$1=$W$1,W146,IF($A$1=$Z$1,Z146,IF($A$1=$AC$1,AC146,IF($A$1=$AF$1,AF146,IF($A$1=$AI$1,AI146))))))))))))</f>
        <v/>
      </c>
      <c r="AP146" s="44">
        <f>IF($A$1=$B$1,C146,IF($A$1=$E$1,F146,IF($A$1=$H$1,I146,IF($A$1=$K$1,L146,IF($A$1=$N$1,O146,IF($A$1=$Q$1,R146,IF($A$1=$T$1,U146,IF($A$1=$W$1,X146,IF($A$1=$Z$1,AA146,IF($A$1=$AC$1,AD146,IF($A$1=$AF$1,AG146,IF($A$1=$AI$1,AJ146))))))))))))</f>
        <v/>
      </c>
    </row>
    <row r="147" ht="15.5" customHeight="1">
      <c r="A147" s="26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21" t="n"/>
      <c r="AM147" s="22" t="n"/>
      <c r="AO147" s="44">
        <f>IF($A$1=$B$1,B147,IF($A$1=$E$1,E147,IF($A$1=$H$1,H147,IF($A$1=$K$1,K147,IF($A$1=$N$1,N147,IF($A$1=$Q$1,Q147,IF($A$1=$T$1,T147,IF($A$1=$W$1,W147,IF($A$1=$Z$1,Z147,IF($A$1=$AC$1,AC147,IF($A$1=$AF$1,AF147,IF($A$1=$AI$1,AI147))))))))))))</f>
        <v/>
      </c>
      <c r="AP147" s="44">
        <f>IF($A$1=$B$1,C147,IF($A$1=$E$1,F147,IF($A$1=$H$1,I147,IF($A$1=$K$1,L147,IF($A$1=$N$1,O147,IF($A$1=$Q$1,R147,IF($A$1=$T$1,U147,IF($A$1=$W$1,X147,IF($A$1=$Z$1,AA147,IF($A$1=$AC$1,AD147,IF($A$1=$AF$1,AG147,IF($A$1=$AI$1,AJ147))))))))))))</f>
        <v/>
      </c>
    </row>
    <row r="148">
      <c r="A148" s="2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5" t="n"/>
    </row>
    <row r="149" ht="17" customFormat="1" customHeight="1" s="49">
      <c r="A149" s="47" t="inlineStr">
        <is>
          <t>Ebitda Margin</t>
        </is>
      </c>
      <c r="B149" s="413" t="n"/>
      <c r="C149" s="413" t="n"/>
      <c r="D149" s="413" t="n"/>
      <c r="E149" s="413" t="n"/>
      <c r="F149" s="413" t="n"/>
      <c r="G149" s="413" t="n"/>
      <c r="H149" s="413" t="n"/>
      <c r="I149" s="413" t="n"/>
      <c r="J149" s="413" t="n"/>
      <c r="K149" s="413" t="n"/>
      <c r="L149" s="413" t="n"/>
      <c r="M149" s="413" t="n"/>
      <c r="N149" s="413" t="n"/>
      <c r="O149" s="413" t="n"/>
      <c r="P149" s="413" t="n"/>
      <c r="Q149" s="413" t="n"/>
      <c r="R149" s="413" t="n"/>
      <c r="S149" s="413" t="n"/>
      <c r="T149" s="413" t="n"/>
      <c r="U149" s="413" t="n"/>
      <c r="V149" s="413" t="n"/>
      <c r="W149" s="413" t="n"/>
      <c r="X149" s="413" t="n"/>
      <c r="Y149" s="413" t="n"/>
      <c r="Z149" s="413" t="n"/>
      <c r="AA149" s="413" t="n"/>
      <c r="AB149" s="413" t="n"/>
      <c r="AC149" s="413" t="n"/>
      <c r="AD149" s="413" t="n"/>
      <c r="AE149" s="413" t="n"/>
      <c r="AF149" s="413" t="n"/>
      <c r="AG149" s="413" t="n"/>
      <c r="AH149" s="413" t="n"/>
      <c r="AI149" s="413" t="n"/>
      <c r="AJ149" s="413" t="n"/>
      <c r="AK149" s="413" t="n"/>
      <c r="AL149" s="413" t="n"/>
      <c r="AM149" s="48" t="n"/>
    </row>
    <row r="150" ht="15.5" customFormat="1" customHeight="1" s="13">
      <c r="A150" s="26" t="inlineStr">
        <is>
          <t xml:space="preserve">İnci Holding </t>
        </is>
      </c>
      <c r="B150" s="12">
        <f>B139/B9</f>
        <v/>
      </c>
      <c r="C150" s="12">
        <f>C139/C9</f>
        <v/>
      </c>
      <c r="D150" s="41" t="n"/>
      <c r="E150" s="12">
        <f>E139/E9</f>
        <v/>
      </c>
      <c r="F150" s="12">
        <f>F139/F9</f>
        <v/>
      </c>
      <c r="G150" s="41" t="n"/>
      <c r="H150" s="12">
        <f>H139/H9</f>
        <v/>
      </c>
      <c r="I150" s="12">
        <f>I139/I9</f>
        <v/>
      </c>
      <c r="J150" s="41" t="n"/>
      <c r="K150" s="12">
        <f>K139/K9</f>
        <v/>
      </c>
      <c r="L150" s="12">
        <f>L139/L9</f>
        <v/>
      </c>
      <c r="M150" s="41" t="n"/>
      <c r="N150" s="12">
        <f>N139/N9</f>
        <v/>
      </c>
      <c r="O150" s="12">
        <f>O139/O9</f>
        <v/>
      </c>
      <c r="P150" s="41" t="n"/>
      <c r="Q150" s="12">
        <f>Q139/Q9</f>
        <v/>
      </c>
      <c r="R150" s="12">
        <f>R139/R9</f>
        <v/>
      </c>
      <c r="S150" s="41" t="n"/>
      <c r="T150" s="12">
        <f>T139/T9</f>
        <v/>
      </c>
      <c r="U150" s="12">
        <f>U139/U9</f>
        <v/>
      </c>
      <c r="V150" s="41" t="n"/>
      <c r="W150" s="12">
        <f>W139/W9</f>
        <v/>
      </c>
      <c r="X150" s="12">
        <f>X139/X9</f>
        <v/>
      </c>
      <c r="Y150" s="41" t="n"/>
      <c r="Z150" s="12">
        <f>Z139/Z9</f>
        <v/>
      </c>
      <c r="AA150" s="12">
        <f>AA139/AA9</f>
        <v/>
      </c>
      <c r="AB150" s="41" t="n"/>
      <c r="AC150" s="12">
        <f>AC139/AC9</f>
        <v/>
      </c>
      <c r="AD150" s="12">
        <f>AD139/AD9</f>
        <v/>
      </c>
      <c r="AE150" s="41" t="n"/>
      <c r="AF150" s="12">
        <f>AF139/AF9</f>
        <v/>
      </c>
      <c r="AG150" s="12">
        <f>AG139/AG9</f>
        <v/>
      </c>
      <c r="AH150" s="41" t="n"/>
      <c r="AI150" s="12">
        <f>AI139/AI9</f>
        <v/>
      </c>
      <c r="AJ150" s="12">
        <f>AJ139/AJ9</f>
        <v/>
      </c>
      <c r="AK150" s="41" t="n"/>
      <c r="AL150" s="15" t="n"/>
      <c r="AM150" s="22">
        <f>AP150-AO150</f>
        <v/>
      </c>
      <c r="AO150" s="44">
        <f>IF($A$1=$B$1,B150,IF($A$1=$E$1,E150,IF($A$1=$H$1,H150,IF($A$1=$K$1,K150,IF($A$1=$N$1,N150,IF($A$1=$Q$1,Q150,IF($A$1=$T$1,T150,IF($A$1=$W$1,W150,IF($A$1=$Z$1,Z150,IF($A$1=$AC$1,AC150,IF($A$1=$AF$1,AF150,IF($A$1=$AI$1,AI150))))))))))))</f>
        <v/>
      </c>
      <c r="AP150" s="44">
        <f>IF($A$1=$B$1,C150,IF($A$1=$E$1,F150,IF($A$1=$H$1,I150,IF($A$1=$K$1,L150,IF($A$1=$N$1,O150,IF($A$1=$Q$1,R150,IF($A$1=$T$1,U150,IF($A$1=$W$1,X150,IF($A$1=$Z$1,AA150,IF($A$1=$AC$1,AD150,IF($A$1=$AF$1,AG150,IF($A$1=$AI$1,AJ150))))))))))))</f>
        <v/>
      </c>
    </row>
    <row r="151" ht="15.5" customFormat="1" customHeight="1" s="13">
      <c r="A151" s="26" t="inlineStr">
        <is>
          <t xml:space="preserve">ISM </t>
        </is>
      </c>
      <c r="B151" s="12">
        <f>B140/B10</f>
        <v/>
      </c>
      <c r="C151" s="12">
        <f>C140/C10</f>
        <v/>
      </c>
      <c r="D151" s="41" t="n"/>
      <c r="E151" s="12">
        <f>E140/E10</f>
        <v/>
      </c>
      <c r="F151" s="12">
        <f>F140/F10</f>
        <v/>
      </c>
      <c r="G151" s="41" t="n"/>
      <c r="H151" s="12">
        <f>H140/H10</f>
        <v/>
      </c>
      <c r="I151" s="12">
        <f>I140/I10</f>
        <v/>
      </c>
      <c r="J151" s="41" t="n"/>
      <c r="K151" s="12">
        <f>K140/K10</f>
        <v/>
      </c>
      <c r="L151" s="12">
        <f>L140/L10</f>
        <v/>
      </c>
      <c r="M151" s="41" t="n"/>
      <c r="N151" s="12">
        <f>N140/N10</f>
        <v/>
      </c>
      <c r="O151" s="12">
        <f>O140/O10</f>
        <v/>
      </c>
      <c r="P151" s="41" t="n"/>
      <c r="Q151" s="12">
        <f>Q140/Q10</f>
        <v/>
      </c>
      <c r="R151" s="12">
        <f>R140/R10</f>
        <v/>
      </c>
      <c r="S151" s="41" t="n"/>
      <c r="T151" s="12">
        <f>T140/T10</f>
        <v/>
      </c>
      <c r="U151" s="12">
        <f>U140/U10</f>
        <v/>
      </c>
      <c r="V151" s="41" t="n"/>
      <c r="W151" s="12">
        <f>W140/W10</f>
        <v/>
      </c>
      <c r="X151" s="12">
        <f>X140/X10</f>
        <v/>
      </c>
      <c r="Y151" s="41" t="n"/>
      <c r="Z151" s="12">
        <f>Z140/Z10</f>
        <v/>
      </c>
      <c r="AA151" s="12">
        <f>AA140/AA10</f>
        <v/>
      </c>
      <c r="AB151" s="41" t="n"/>
      <c r="AC151" s="12">
        <f>AC140/AC10</f>
        <v/>
      </c>
      <c r="AD151" s="12">
        <f>AD140/AD10</f>
        <v/>
      </c>
      <c r="AE151" s="41" t="n"/>
      <c r="AF151" s="12">
        <f>AF140/AF10</f>
        <v/>
      </c>
      <c r="AG151" s="12">
        <f>AG140/AG10</f>
        <v/>
      </c>
      <c r="AH151" s="41" t="n"/>
      <c r="AI151" s="12">
        <f>AI140/AI10</f>
        <v/>
      </c>
      <c r="AJ151" s="12">
        <f>AJ140/AJ10</f>
        <v/>
      </c>
      <c r="AK151" s="41" t="n"/>
      <c r="AL151" s="15" t="n"/>
      <c r="AM151" s="22">
        <f>AP151-AO151</f>
        <v/>
      </c>
      <c r="AO151" s="44">
        <f>IF($A$1=$B$1,B151,IF($A$1=$E$1,E151,IF($A$1=$H$1,H151,IF($A$1=$K$1,K151,IF($A$1=$N$1,N151,IF($A$1=$Q$1,Q151,IF($A$1=$T$1,T151,IF($A$1=$W$1,W151,IF($A$1=$Z$1,Z151,IF($A$1=$AC$1,AC151,IF($A$1=$AF$1,AF151,IF($A$1=$AI$1,AI151))))))))))))</f>
        <v/>
      </c>
      <c r="AP151" s="44">
        <f>IF($A$1=$B$1,C151,IF($A$1=$E$1,F151,IF($A$1=$H$1,I151,IF($A$1=$K$1,L151,IF($A$1=$N$1,O151,IF($A$1=$Q$1,R151,IF($A$1=$T$1,U151,IF($A$1=$W$1,X151,IF($A$1=$Z$1,AA151,IF($A$1=$AC$1,AD151,IF($A$1=$AF$1,AG151,IF($A$1=$AI$1,AJ151))))))))))))</f>
        <v/>
      </c>
    </row>
    <row r="152" ht="15.5" customFormat="1" customHeight="1" s="13">
      <c r="A152" s="26" t="inlineStr">
        <is>
          <t>İncitaş</t>
        </is>
      </c>
      <c r="B152" s="12">
        <f>B141/B11</f>
        <v/>
      </c>
      <c r="C152" s="12">
        <f>C141/C11</f>
        <v/>
      </c>
      <c r="D152" s="41" t="n"/>
      <c r="E152" s="12">
        <f>E141/E11</f>
        <v/>
      </c>
      <c r="F152" s="12">
        <f>F141/F11</f>
        <v/>
      </c>
      <c r="G152" s="41" t="n"/>
      <c r="H152" s="12">
        <f>H141/H11</f>
        <v/>
      </c>
      <c r="I152" s="12">
        <f>I141/I11</f>
        <v/>
      </c>
      <c r="J152" s="41" t="n"/>
      <c r="K152" s="12">
        <f>K141/K11</f>
        <v/>
      </c>
      <c r="L152" s="12">
        <f>L141/L11</f>
        <v/>
      </c>
      <c r="M152" s="41" t="n"/>
      <c r="N152" s="12">
        <f>N141/N11</f>
        <v/>
      </c>
      <c r="O152" s="12">
        <f>O141/O11</f>
        <v/>
      </c>
      <c r="P152" s="41" t="n"/>
      <c r="Q152" s="12">
        <f>Q141/Q11</f>
        <v/>
      </c>
      <c r="R152" s="12">
        <f>R141/R11</f>
        <v/>
      </c>
      <c r="S152" s="41" t="n"/>
      <c r="T152" s="12">
        <f>T141/T11</f>
        <v/>
      </c>
      <c r="U152" s="12">
        <f>U141/U11</f>
        <v/>
      </c>
      <c r="V152" s="41" t="n"/>
      <c r="W152" s="12">
        <f>W141/W11</f>
        <v/>
      </c>
      <c r="X152" s="12">
        <f>X141/X11</f>
        <v/>
      </c>
      <c r="Y152" s="41" t="n"/>
      <c r="Z152" s="12">
        <f>Z141/Z11</f>
        <v/>
      </c>
      <c r="AA152" s="12">
        <f>AA141/AA11</f>
        <v/>
      </c>
      <c r="AB152" s="41" t="n"/>
      <c r="AC152" s="12">
        <f>AC141/AC11</f>
        <v/>
      </c>
      <c r="AD152" s="12">
        <f>AD141/AD11</f>
        <v/>
      </c>
      <c r="AE152" s="41" t="n"/>
      <c r="AF152" s="12">
        <f>AF141/AF11</f>
        <v/>
      </c>
      <c r="AG152" s="12">
        <f>AG141/AG11</f>
        <v/>
      </c>
      <c r="AH152" s="41" t="n"/>
      <c r="AI152" s="12">
        <f>AI141/AI11</f>
        <v/>
      </c>
      <c r="AJ152" s="12">
        <f>AJ141/AJ11</f>
        <v/>
      </c>
      <c r="AK152" s="41" t="n"/>
      <c r="AL152" s="15" t="n"/>
      <c r="AM152" s="22">
        <f>AP152-AO152</f>
        <v/>
      </c>
      <c r="AO152" s="44">
        <f>IF($A$1=$B$1,B152,IF($A$1=$E$1,E152,IF($A$1=$H$1,H152,IF($A$1=$K$1,K152,IF($A$1=$N$1,N152,IF($A$1=$Q$1,Q152,IF($A$1=$T$1,T152,IF($A$1=$W$1,W152,IF($A$1=$Z$1,Z152,IF($A$1=$AC$1,AC152,IF($A$1=$AF$1,AF152,IF($A$1=$AI$1,AI152))))))))))))</f>
        <v/>
      </c>
      <c r="AP152" s="44">
        <f>IF($A$1=$B$1,C152,IF($A$1=$E$1,F152,IF($A$1=$H$1,I152,IF($A$1=$K$1,L152,IF($A$1=$N$1,O152,IF($A$1=$Q$1,R152,IF($A$1=$T$1,U152,IF($A$1=$W$1,X152,IF($A$1=$Z$1,AA152,IF($A$1=$AC$1,AD152,IF($A$1=$AF$1,AG152,IF($A$1=$AI$1,AJ152))))))))))))</f>
        <v/>
      </c>
    </row>
    <row r="153" ht="15.5" customFormat="1" customHeight="1" s="13">
      <c r="A153" s="26" t="inlineStr">
        <is>
          <t>İnci GS Yuasa</t>
        </is>
      </c>
      <c r="B153" s="12">
        <f>B142/B12</f>
        <v/>
      </c>
      <c r="C153" s="12">
        <f>C142/C12</f>
        <v/>
      </c>
      <c r="D153" s="41" t="n"/>
      <c r="E153" s="12">
        <f>E142/E12</f>
        <v/>
      </c>
      <c r="F153" s="12">
        <f>F142/F12</f>
        <v/>
      </c>
      <c r="G153" s="41" t="n"/>
      <c r="H153" s="12">
        <f>H142/H12</f>
        <v/>
      </c>
      <c r="I153" s="12">
        <f>I142/I12</f>
        <v/>
      </c>
      <c r="J153" s="41" t="n"/>
      <c r="K153" s="12">
        <f>K142/K12</f>
        <v/>
      </c>
      <c r="L153" s="12">
        <f>L142/L12</f>
        <v/>
      </c>
      <c r="M153" s="41" t="n"/>
      <c r="N153" s="12">
        <f>N142/N12</f>
        <v/>
      </c>
      <c r="O153" s="12">
        <f>O142/O12</f>
        <v/>
      </c>
      <c r="P153" s="41" t="n"/>
      <c r="Q153" s="12">
        <f>Q142/Q12</f>
        <v/>
      </c>
      <c r="R153" s="12">
        <f>R142/R12</f>
        <v/>
      </c>
      <c r="S153" s="41" t="n"/>
      <c r="T153" s="12">
        <f>T142/T12</f>
        <v/>
      </c>
      <c r="U153" s="12">
        <f>U142/U12</f>
        <v/>
      </c>
      <c r="V153" s="41" t="n"/>
      <c r="W153" s="12">
        <f>W142/W12</f>
        <v/>
      </c>
      <c r="X153" s="12">
        <f>X142/X12</f>
        <v/>
      </c>
      <c r="Y153" s="41" t="n"/>
      <c r="Z153" s="12">
        <f>Z142/Z12</f>
        <v/>
      </c>
      <c r="AA153" s="12">
        <f>AA142/AA12</f>
        <v/>
      </c>
      <c r="AB153" s="41" t="n"/>
      <c r="AC153" s="12">
        <f>AC142/AC12</f>
        <v/>
      </c>
      <c r="AD153" s="12">
        <f>AD142/AD12</f>
        <v/>
      </c>
      <c r="AE153" s="41" t="n"/>
      <c r="AF153" s="12">
        <f>AF142/AF12</f>
        <v/>
      </c>
      <c r="AG153" s="12">
        <f>AG142/AG12</f>
        <v/>
      </c>
      <c r="AH153" s="41" t="n"/>
      <c r="AI153" s="12">
        <f>AI142/AI12</f>
        <v/>
      </c>
      <c r="AJ153" s="12">
        <f>AJ142/AJ12</f>
        <v/>
      </c>
      <c r="AK153" s="41" t="n"/>
      <c r="AL153" s="15" t="n"/>
      <c r="AM153" s="22">
        <f>AP153-AO153</f>
        <v/>
      </c>
      <c r="AO153" s="44">
        <f>IF($A$1=$B$1,B153,IF($A$1=$E$1,E153,IF($A$1=$H$1,H153,IF($A$1=$K$1,K153,IF($A$1=$N$1,N153,IF($A$1=$Q$1,Q153,IF($A$1=$T$1,T153,IF($A$1=$W$1,W153,IF($A$1=$Z$1,Z153,IF($A$1=$AC$1,AC153,IF($A$1=$AF$1,AF153,IF($A$1=$AI$1,AI153))))))))))))</f>
        <v/>
      </c>
      <c r="AP153" s="44">
        <f>IF($A$1=$B$1,C153,IF($A$1=$E$1,F153,IF($A$1=$H$1,I153,IF($A$1=$K$1,L153,IF($A$1=$N$1,O153,IF($A$1=$Q$1,R153,IF($A$1=$T$1,U153,IF($A$1=$W$1,X153,IF($A$1=$Z$1,AA153,IF($A$1=$AC$1,AD153,IF($A$1=$AF$1,AG153,IF($A$1=$AI$1,AJ153))))))))))))</f>
        <v/>
      </c>
    </row>
    <row r="154" ht="15.5" customFormat="1" customHeight="1" s="13">
      <c r="A154" s="26" t="inlineStr">
        <is>
          <t>Yusen İnci Loj.</t>
        </is>
      </c>
      <c r="B154" s="12">
        <f>B143/B13</f>
        <v/>
      </c>
      <c r="C154" s="12">
        <f>C143/C13</f>
        <v/>
      </c>
      <c r="D154" s="41" t="n"/>
      <c r="E154" s="12">
        <f>E143/E13</f>
        <v/>
      </c>
      <c r="F154" s="12">
        <f>F143/F13</f>
        <v/>
      </c>
      <c r="G154" s="41" t="n"/>
      <c r="H154" s="12">
        <f>H143/H13</f>
        <v/>
      </c>
      <c r="I154" s="12">
        <f>I143/I13</f>
        <v/>
      </c>
      <c r="J154" s="41" t="n"/>
      <c r="K154" s="12">
        <f>K143/K13</f>
        <v/>
      </c>
      <c r="L154" s="12">
        <f>L143/L13</f>
        <v/>
      </c>
      <c r="M154" s="41" t="n"/>
      <c r="N154" s="12">
        <f>N143/N13</f>
        <v/>
      </c>
      <c r="O154" s="12">
        <f>O143/O13</f>
        <v/>
      </c>
      <c r="P154" s="41" t="n"/>
      <c r="Q154" s="12">
        <f>Q143/Q13</f>
        <v/>
      </c>
      <c r="R154" s="12">
        <f>R143/R13</f>
        <v/>
      </c>
      <c r="S154" s="41" t="n"/>
      <c r="T154" s="12">
        <f>T143/T13</f>
        <v/>
      </c>
      <c r="U154" s="12">
        <f>U143/U13</f>
        <v/>
      </c>
      <c r="V154" s="41" t="n"/>
      <c r="W154" s="12">
        <f>W143/W13</f>
        <v/>
      </c>
      <c r="X154" s="12">
        <f>X143/X13</f>
        <v/>
      </c>
      <c r="Y154" s="41" t="n"/>
      <c r="Z154" s="12">
        <f>Z143/Z13</f>
        <v/>
      </c>
      <c r="AA154" s="12">
        <f>AA143/AA13</f>
        <v/>
      </c>
      <c r="AB154" s="41" t="n"/>
      <c r="AC154" s="12">
        <f>AC143/AC13</f>
        <v/>
      </c>
      <c r="AD154" s="12">
        <f>AD143/AD13</f>
        <v/>
      </c>
      <c r="AE154" s="41" t="n"/>
      <c r="AF154" s="12">
        <f>AF143/AF13</f>
        <v/>
      </c>
      <c r="AG154" s="12">
        <f>AG143/AG13</f>
        <v/>
      </c>
      <c r="AH154" s="41" t="n"/>
      <c r="AI154" s="12">
        <f>AI143/AI13</f>
        <v/>
      </c>
      <c r="AJ154" s="12">
        <f>AJ143/AJ13</f>
        <v/>
      </c>
      <c r="AK154" s="41" t="n"/>
      <c r="AL154" s="15" t="n"/>
      <c r="AM154" s="22">
        <f>AP154-AO154</f>
        <v/>
      </c>
      <c r="AO154" s="44">
        <f>IF($A$1=$B$1,B154,IF($A$1=$E$1,E154,IF($A$1=$H$1,H154,IF($A$1=$K$1,K154,IF($A$1=$N$1,N154,IF($A$1=$Q$1,Q154,IF($A$1=$T$1,T154,IF($A$1=$W$1,W154,IF($A$1=$Z$1,Z154,IF($A$1=$AC$1,AC154,IF($A$1=$AF$1,AF154,IF($A$1=$AI$1,AI154))))))))))))</f>
        <v/>
      </c>
      <c r="AP154" s="44">
        <f>IF($A$1=$B$1,C154,IF($A$1=$E$1,F154,IF($A$1=$H$1,I154,IF($A$1=$K$1,L154,IF($A$1=$N$1,O154,IF($A$1=$Q$1,R154,IF($A$1=$T$1,U154,IF($A$1=$W$1,X154,IF($A$1=$Z$1,AA154,IF($A$1=$AC$1,AD154,IF($A$1=$AF$1,AG154,IF($A$1=$AI$1,AJ154))))))))))))</f>
        <v/>
      </c>
    </row>
    <row r="155" ht="15.5" customFormat="1" customHeight="1" s="13">
      <c r="A155" s="26" t="inlineStr">
        <is>
          <t>Jantaş</t>
        </is>
      </c>
      <c r="B155" s="12">
        <f>B144/B14</f>
        <v/>
      </c>
      <c r="C155" s="12">
        <f>C144/C14</f>
        <v/>
      </c>
      <c r="D155" s="41" t="n"/>
      <c r="E155" s="12">
        <f>E144/E14</f>
        <v/>
      </c>
      <c r="F155" s="12">
        <f>F144/F14</f>
        <v/>
      </c>
      <c r="G155" s="41" t="n"/>
      <c r="H155" s="12">
        <f>H144/H14</f>
        <v/>
      </c>
      <c r="I155" s="12">
        <f>I144/I14</f>
        <v/>
      </c>
      <c r="J155" s="41" t="n"/>
      <c r="K155" s="12">
        <f>K144/K14</f>
        <v/>
      </c>
      <c r="L155" s="12">
        <f>L144/L14</f>
        <v/>
      </c>
      <c r="M155" s="41" t="n"/>
      <c r="N155" s="12">
        <f>N144/N14</f>
        <v/>
      </c>
      <c r="O155" s="12">
        <f>O144/O14</f>
        <v/>
      </c>
      <c r="P155" s="41" t="n"/>
      <c r="Q155" s="12">
        <f>Q144/Q14</f>
        <v/>
      </c>
      <c r="R155" s="12">
        <f>R144/R14</f>
        <v/>
      </c>
      <c r="S155" s="41" t="n"/>
      <c r="T155" s="12">
        <f>T144/T14</f>
        <v/>
      </c>
      <c r="U155" s="12">
        <f>U144/U14</f>
        <v/>
      </c>
      <c r="V155" s="41" t="n"/>
      <c r="W155" s="12">
        <f>W144/W14</f>
        <v/>
      </c>
      <c r="X155" s="12">
        <f>X144/X14</f>
        <v/>
      </c>
      <c r="Y155" s="41" t="n"/>
      <c r="Z155" s="12">
        <f>Z144/Z14</f>
        <v/>
      </c>
      <c r="AA155" s="12">
        <f>AA144/AA14</f>
        <v/>
      </c>
      <c r="AB155" s="41" t="n"/>
      <c r="AC155" s="12">
        <f>AC144/AC14</f>
        <v/>
      </c>
      <c r="AD155" s="12">
        <f>AD144/AD14</f>
        <v/>
      </c>
      <c r="AE155" s="41" t="n"/>
      <c r="AF155" s="12">
        <f>AF144/AF14</f>
        <v/>
      </c>
      <c r="AG155" s="12">
        <f>AG144/AG14</f>
        <v/>
      </c>
      <c r="AH155" s="41" t="n"/>
      <c r="AI155" s="12">
        <f>AI144/AI14</f>
        <v/>
      </c>
      <c r="AJ155" s="12">
        <f>AJ144/AJ14</f>
        <v/>
      </c>
      <c r="AK155" s="41" t="n"/>
      <c r="AL155" s="15" t="n"/>
      <c r="AM155" s="22">
        <f>AP155-AO155</f>
        <v/>
      </c>
      <c r="AO155" s="44">
        <f>IF($A$1=$B$1,B155,IF($A$1=$E$1,E155,IF($A$1=$H$1,H155,IF($A$1=$K$1,K155,IF($A$1=$N$1,N155,IF($A$1=$Q$1,Q155,IF($A$1=$T$1,T155,IF($A$1=$W$1,W155,IF($A$1=$Z$1,Z155,IF($A$1=$AC$1,AC155,IF($A$1=$AF$1,AF155,IF($A$1=$AI$1,AI155))))))))))))</f>
        <v/>
      </c>
      <c r="AP155" s="44">
        <f>IF($A$1=$B$1,C155,IF($A$1=$E$1,F155,IF($A$1=$H$1,I155,IF($A$1=$K$1,L155,IF($A$1=$N$1,O155,IF($A$1=$Q$1,R155,IF($A$1=$T$1,U155,IF($A$1=$W$1,X155,IF($A$1=$Z$1,AA155,IF($A$1=$AC$1,AD155,IF($A$1=$AF$1,AG155,IF($A$1=$AI$1,AJ155))))))))))))</f>
        <v/>
      </c>
    </row>
    <row r="156" ht="15.5" customFormat="1" customHeight="1" s="13">
      <c r="A156" s="26" t="inlineStr">
        <is>
          <t>Çelik</t>
        </is>
      </c>
      <c r="B156" s="12">
        <f>B145/B15</f>
        <v/>
      </c>
      <c r="C156" s="12">
        <f>C145/C15</f>
        <v/>
      </c>
      <c r="D156" s="41" t="n"/>
      <c r="E156" s="12">
        <f>E145/E15</f>
        <v/>
      </c>
      <c r="F156" s="12">
        <f>F145/F15</f>
        <v/>
      </c>
      <c r="G156" s="41" t="n"/>
      <c r="H156" s="12">
        <f>H145/H15</f>
        <v/>
      </c>
      <c r="I156" s="12">
        <f>I145/I15</f>
        <v/>
      </c>
      <c r="J156" s="41" t="n"/>
      <c r="K156" s="12">
        <f>K145/K15</f>
        <v/>
      </c>
      <c r="L156" s="12">
        <f>L145/L15</f>
        <v/>
      </c>
      <c r="M156" s="41" t="n"/>
      <c r="N156" s="12">
        <f>N145/N15</f>
        <v/>
      </c>
      <c r="O156" s="12">
        <f>O145/O15</f>
        <v/>
      </c>
      <c r="P156" s="41" t="n"/>
      <c r="Q156" s="12">
        <f>Q145/Q15</f>
        <v/>
      </c>
      <c r="R156" s="12">
        <f>R145/R15</f>
        <v/>
      </c>
      <c r="S156" s="41" t="n"/>
      <c r="T156" s="12">
        <f>T145/T15</f>
        <v/>
      </c>
      <c r="U156" s="12">
        <f>U145/U15</f>
        <v/>
      </c>
      <c r="V156" s="41" t="n"/>
      <c r="W156" s="12">
        <f>W145/W15</f>
        <v/>
      </c>
      <c r="X156" s="12">
        <f>X145/X15</f>
        <v/>
      </c>
      <c r="Y156" s="41" t="n"/>
      <c r="Z156" s="12">
        <f>Z145/Z15</f>
        <v/>
      </c>
      <c r="AA156" s="12">
        <f>AA145/AA15</f>
        <v/>
      </c>
      <c r="AB156" s="41" t="n"/>
      <c r="AC156" s="12">
        <f>AC145/AC15</f>
        <v/>
      </c>
      <c r="AD156" s="12">
        <f>AD145/AD15</f>
        <v/>
      </c>
      <c r="AE156" s="41" t="n"/>
      <c r="AF156" s="12">
        <f>AF145/AF15</f>
        <v/>
      </c>
      <c r="AG156" s="12">
        <f>AG145/AG15</f>
        <v/>
      </c>
      <c r="AH156" s="41" t="n"/>
      <c r="AI156" s="12">
        <f>AI145/AI15</f>
        <v/>
      </c>
      <c r="AJ156" s="12">
        <f>AJ145/AJ15</f>
        <v/>
      </c>
      <c r="AK156" s="41" t="n"/>
      <c r="AL156" s="15" t="n"/>
      <c r="AM156" s="22">
        <f>AP156-AO156</f>
        <v/>
      </c>
      <c r="AO156" s="44">
        <f>IF($A$1=$B$1,B156,IF($A$1=$E$1,E156,IF($A$1=$H$1,H156,IF($A$1=$K$1,K156,IF($A$1=$N$1,N156,IF($A$1=$Q$1,Q156,IF($A$1=$T$1,T156,IF($A$1=$W$1,W156,IF($A$1=$Z$1,Z156,IF($A$1=$AC$1,AC156,IF($A$1=$AF$1,AF156,IF($A$1=$AI$1,AI156))))))))))))</f>
        <v/>
      </c>
      <c r="AP156" s="44">
        <f>IF($A$1=$B$1,C156,IF($A$1=$E$1,F156,IF($A$1=$H$1,I156,IF($A$1=$K$1,L156,IF($A$1=$N$1,O156,IF($A$1=$Q$1,R156,IF($A$1=$T$1,U156,IF($A$1=$W$1,X156,IF($A$1=$Z$1,AA156,IF($A$1=$AC$1,AD156,IF($A$1=$AF$1,AG156,IF($A$1=$AI$1,AJ156))))))))))))</f>
        <v/>
      </c>
    </row>
    <row r="157" ht="15.5" customFormat="1" customHeight="1" s="13">
      <c r="A157" s="26" t="inlineStr">
        <is>
          <t>Alüminyum</t>
        </is>
      </c>
      <c r="B157" s="12">
        <f>B146/B16</f>
        <v/>
      </c>
      <c r="C157" s="12">
        <f>C146/C16</f>
        <v/>
      </c>
      <c r="D157" s="41" t="n"/>
      <c r="E157" s="12">
        <f>E146/E16</f>
        <v/>
      </c>
      <c r="F157" s="12">
        <f>F146/F16</f>
        <v/>
      </c>
      <c r="G157" s="41" t="n"/>
      <c r="H157" s="12">
        <f>H146/H16</f>
        <v/>
      </c>
      <c r="I157" s="12">
        <f>I146/I16</f>
        <v/>
      </c>
      <c r="J157" s="41" t="n"/>
      <c r="K157" s="12">
        <f>K146/K16</f>
        <v/>
      </c>
      <c r="L157" s="12">
        <f>L146/L16</f>
        <v/>
      </c>
      <c r="M157" s="41" t="n"/>
      <c r="N157" s="12">
        <f>N146/N16</f>
        <v/>
      </c>
      <c r="O157" s="12">
        <f>O146/O16</f>
        <v/>
      </c>
      <c r="P157" s="41" t="n"/>
      <c r="Q157" s="12">
        <f>Q146/Q16</f>
        <v/>
      </c>
      <c r="R157" s="12">
        <f>R146/R16</f>
        <v/>
      </c>
      <c r="S157" s="41" t="n"/>
      <c r="T157" s="12">
        <f>T146/T16</f>
        <v/>
      </c>
      <c r="U157" s="12">
        <f>U146/U16</f>
        <v/>
      </c>
      <c r="V157" s="41" t="n"/>
      <c r="W157" s="12">
        <f>W146/W16</f>
        <v/>
      </c>
      <c r="X157" s="12">
        <f>X146/X16</f>
        <v/>
      </c>
      <c r="Y157" s="41" t="n"/>
      <c r="Z157" s="12">
        <f>Z146/Z16</f>
        <v/>
      </c>
      <c r="AA157" s="12">
        <f>AA146/AA16</f>
        <v/>
      </c>
      <c r="AB157" s="41" t="n"/>
      <c r="AC157" s="12">
        <f>AC146/AC16</f>
        <v/>
      </c>
      <c r="AD157" s="12">
        <f>AD146/AD16</f>
        <v/>
      </c>
      <c r="AE157" s="41" t="n"/>
      <c r="AF157" s="12">
        <f>AF146/AF16</f>
        <v/>
      </c>
      <c r="AG157" s="12">
        <f>AG146/AG16</f>
        <v/>
      </c>
      <c r="AH157" s="41" t="n"/>
      <c r="AI157" s="12">
        <f>AI146/AI16</f>
        <v/>
      </c>
      <c r="AJ157" s="12">
        <f>AJ146/AJ16</f>
        <v/>
      </c>
      <c r="AK157" s="41" t="n"/>
      <c r="AL157" s="15" t="n"/>
      <c r="AM157" s="22">
        <f>AP157-AO157</f>
        <v/>
      </c>
      <c r="AO157" s="44">
        <f>IF($A$1=$B$1,B157,IF($A$1=$E$1,E157,IF($A$1=$H$1,H157,IF($A$1=$K$1,K157,IF($A$1=$N$1,N157,IF($A$1=$Q$1,Q157,IF($A$1=$T$1,T157,IF($A$1=$W$1,W157,IF($A$1=$Z$1,Z157,IF($A$1=$AC$1,AC157,IF($A$1=$AF$1,AF157,IF($A$1=$AI$1,AI157))))))))))))</f>
        <v/>
      </c>
      <c r="AP157" s="44">
        <f>IF($A$1=$B$1,C157,IF($A$1=$E$1,F157,IF($A$1=$H$1,I157,IF($A$1=$K$1,L157,IF($A$1=$N$1,O157,IF($A$1=$Q$1,R157,IF($A$1=$T$1,U157,IF($A$1=$W$1,X157,IF($A$1=$Z$1,AA157,IF($A$1=$AC$1,AD157,IF($A$1=$AF$1,AG157,IF($A$1=$AI$1,AJ157))))))))))))</f>
        <v/>
      </c>
    </row>
    <row r="158" ht="15.5" customFormat="1" customHeight="1" s="13">
      <c r="A158" s="26" t="n"/>
      <c r="B158" s="12" t="n"/>
      <c r="C158" s="30" t="n"/>
      <c r="D158" s="41" t="n"/>
      <c r="E158" s="12" t="n"/>
      <c r="F158" s="30" t="n"/>
      <c r="G158" s="41" t="n"/>
      <c r="H158" s="12" t="n"/>
      <c r="I158" s="30" t="n"/>
      <c r="J158" s="41" t="n"/>
      <c r="K158" s="12" t="n"/>
      <c r="L158" s="30" t="n"/>
      <c r="M158" s="41" t="n"/>
      <c r="N158" s="12" t="n"/>
      <c r="O158" s="30" t="n"/>
      <c r="P158" s="41" t="n"/>
      <c r="Q158" s="12" t="n"/>
      <c r="R158" s="30" t="n"/>
      <c r="S158" s="41" t="n"/>
      <c r="T158" s="12" t="n"/>
      <c r="U158" s="30" t="n"/>
      <c r="V158" s="41" t="n"/>
      <c r="W158" s="12" t="n"/>
      <c r="X158" s="30" t="n"/>
      <c r="Y158" s="41" t="n"/>
      <c r="Z158" s="12" t="n"/>
      <c r="AA158" s="30" t="n"/>
      <c r="AB158" s="41" t="n"/>
      <c r="AC158" s="12" t="n"/>
      <c r="AD158" s="30" t="n"/>
      <c r="AE158" s="41" t="n"/>
      <c r="AF158" s="12" t="n"/>
      <c r="AG158" s="30" t="n"/>
      <c r="AH158" s="41" t="n"/>
      <c r="AI158" s="12" t="n"/>
      <c r="AJ158" s="30" t="n"/>
      <c r="AK158" s="41" t="n"/>
      <c r="AL158" s="15" t="n"/>
      <c r="AM158" s="22" t="n"/>
      <c r="AO158" s="44" t="n"/>
      <c r="AP158" s="44" t="n"/>
    </row>
    <row r="159" ht="15.5" customFormat="1" customHeight="1" s="13">
      <c r="A159" s="26" t="n"/>
      <c r="B159" s="12" t="n"/>
      <c r="C159" s="30" t="n"/>
      <c r="D159" s="41" t="n"/>
      <c r="E159" s="12" t="n"/>
      <c r="F159" s="30" t="n"/>
      <c r="G159" s="41" t="n"/>
      <c r="H159" s="12" t="n"/>
      <c r="I159" s="30" t="n"/>
      <c r="J159" s="41" t="n"/>
      <c r="K159" s="12" t="n"/>
      <c r="L159" s="30" t="n"/>
      <c r="M159" s="41" t="n"/>
      <c r="N159" s="12" t="n"/>
      <c r="O159" s="30" t="n"/>
      <c r="P159" s="41" t="n"/>
      <c r="Q159" s="12" t="n"/>
      <c r="R159" s="30" t="n"/>
      <c r="S159" s="41" t="n"/>
      <c r="T159" s="12" t="n"/>
      <c r="U159" s="30" t="n"/>
      <c r="V159" s="41" t="n"/>
      <c r="W159" s="12" t="n"/>
      <c r="X159" s="30" t="n"/>
      <c r="Y159" s="41" t="n"/>
      <c r="Z159" s="12" t="n"/>
      <c r="AA159" s="30" t="n"/>
      <c r="AB159" s="41" t="n"/>
      <c r="AC159" s="12" t="n"/>
      <c r="AD159" s="30" t="n"/>
      <c r="AE159" s="41" t="n"/>
      <c r="AF159" s="12" t="n"/>
      <c r="AG159" s="30" t="n"/>
      <c r="AH159" s="41" t="n"/>
      <c r="AI159" s="12" t="n"/>
      <c r="AJ159" s="30" t="n"/>
      <c r="AK159" s="41" t="n"/>
      <c r="AL159" s="15" t="n"/>
      <c r="AM159" s="22" t="n"/>
      <c r="AO159" s="44" t="n"/>
      <c r="AP159" s="44" t="n"/>
    </row>
    <row r="160" ht="15.5" customFormat="1" customHeight="1" s="44">
      <c r="A160" s="31" t="inlineStr">
        <is>
          <t>Finansman Gelir(Gideri)</t>
        </is>
      </c>
      <c r="B160" s="32">
        <f>'A-TRY'!B160</f>
        <v/>
      </c>
      <c r="C160" s="32">
        <f>'A-TRY'!C160</f>
        <v/>
      </c>
      <c r="D160" s="18" t="n"/>
      <c r="E160" s="32">
        <f>B160+'A-TRY'!E160</f>
        <v/>
      </c>
      <c r="F160" s="32">
        <f>C160+'A-TRY'!F160</f>
        <v/>
      </c>
      <c r="G160" s="18" t="n"/>
      <c r="H160" s="32">
        <f>E160+'A-TRY'!H160</f>
        <v/>
      </c>
      <c r="I160" s="32">
        <f>F160+'A-TRY'!I160</f>
        <v/>
      </c>
      <c r="J160" s="18" t="n"/>
      <c r="K160" s="32">
        <f>H160+'A-TRY'!K160</f>
        <v/>
      </c>
      <c r="L160" s="32">
        <f>I160+'A-TRY'!L160</f>
        <v/>
      </c>
      <c r="M160" s="18" t="n"/>
      <c r="N160" s="32">
        <f>K160+'A-TRY'!N160</f>
        <v/>
      </c>
      <c r="O160" s="32">
        <f>L160+'A-TRY'!O160</f>
        <v/>
      </c>
      <c r="P160" s="18" t="n"/>
      <c r="Q160" s="32">
        <f>N160+'A-TRY'!Q160</f>
        <v/>
      </c>
      <c r="R160" s="32">
        <f>O160+'A-TRY'!R160</f>
        <v/>
      </c>
      <c r="S160" s="18" t="n"/>
      <c r="T160" s="32">
        <f>Q160+'A-TRY'!T160</f>
        <v/>
      </c>
      <c r="U160" s="32">
        <f>R160+'A-TRY'!U160</f>
        <v/>
      </c>
      <c r="V160" s="18" t="n"/>
      <c r="W160" s="32">
        <f>T160+'A-TRY'!W160</f>
        <v/>
      </c>
      <c r="X160" s="32">
        <f>U160+'A-TRY'!X160</f>
        <v/>
      </c>
      <c r="Y160" s="18" t="n"/>
      <c r="Z160" s="32">
        <f>W160+'A-TRY'!Z160</f>
        <v/>
      </c>
      <c r="AA160" s="32">
        <f>X160+'A-TRY'!AA160</f>
        <v/>
      </c>
      <c r="AB160" s="18" t="n"/>
      <c r="AC160" s="32">
        <f>Z160+'A-TRY'!AC160</f>
        <v/>
      </c>
      <c r="AD160" s="32">
        <f>AA160+'A-TRY'!AD160</f>
        <v/>
      </c>
      <c r="AE160" s="18" t="n"/>
      <c r="AF160" s="32">
        <f>AC160+'A-TRY'!AF160</f>
        <v/>
      </c>
      <c r="AG160" s="32">
        <f>AD160+'A-TRY'!AG160</f>
        <v/>
      </c>
      <c r="AH160" s="18" t="n"/>
      <c r="AI160" s="32">
        <f>AF160+'A-TRY'!AI160</f>
        <v/>
      </c>
      <c r="AJ160" s="32">
        <f>AG160+'A-TRY'!AJ160</f>
        <v/>
      </c>
      <c r="AK160" s="18" t="n"/>
      <c r="AL160" s="33">
        <f>AP160-AO160</f>
        <v/>
      </c>
      <c r="AM160" s="34">
        <f>AP160/AO160-1</f>
        <v/>
      </c>
      <c r="AO160" s="44">
        <f>IF($A$1=$B$1,B160,IF($A$1=$E$1,E160,IF($A$1=$H$1,H160,IF($A$1=$K$1,K160,IF($A$1=$N$1,N160,IF($A$1=$Q$1,Q160,IF($A$1=$T$1,T160,IF($A$1=$W$1,W160,IF($A$1=$Z$1,Z160,IF($A$1=$AC$1,AC160,IF($A$1=$AF$1,AF160,IF($A$1=$AI$1,AI160))))))))))))</f>
        <v/>
      </c>
      <c r="AP160" s="44">
        <f>IF($A$1=$B$1,C160,IF($A$1=$E$1,F160,IF($A$1=$H$1,I160,IF($A$1=$K$1,L160,IF($A$1=$N$1,O160,IF($A$1=$Q$1,R160,IF($A$1=$T$1,U160,IF($A$1=$W$1,X160,IF($A$1=$Z$1,AA160,IF($A$1=$AC$1,AD160,IF($A$1=$AF$1,AG160,IF($A$1=$AI$1,AJ160))))))))))))</f>
        <v/>
      </c>
    </row>
    <row r="161" ht="15.5" customFormat="1" customHeight="1" s="13">
      <c r="A161" s="27" t="n"/>
      <c r="B161" s="30" t="n"/>
      <c r="C161" s="30">
        <f>IFERROR((C118/#REF!),"")</f>
        <v/>
      </c>
      <c r="D161" s="41" t="n"/>
      <c r="E161" s="30" t="n"/>
      <c r="F161" s="30">
        <f>IFERROR((F118/#REF!),"")</f>
        <v/>
      </c>
      <c r="G161" s="41" t="n"/>
      <c r="H161" s="30" t="n"/>
      <c r="I161" s="30">
        <f>IFERROR((I118/#REF!),"")</f>
        <v/>
      </c>
      <c r="J161" s="41" t="n"/>
      <c r="K161" s="30" t="n"/>
      <c r="L161" s="30">
        <f>IFERROR((L118/#REF!),"")</f>
        <v/>
      </c>
      <c r="M161" s="41" t="n"/>
      <c r="N161" s="30" t="n"/>
      <c r="O161" s="30">
        <f>IFERROR((O118/#REF!),"")</f>
        <v/>
      </c>
      <c r="P161" s="41" t="n"/>
      <c r="Q161" s="30" t="n"/>
      <c r="R161" s="30">
        <f>IFERROR((R118/#REF!),"")</f>
        <v/>
      </c>
      <c r="S161" s="41" t="n"/>
      <c r="T161" s="30" t="n"/>
      <c r="U161" s="30">
        <f>IFERROR((U118/#REF!),"")</f>
        <v/>
      </c>
      <c r="V161" s="41" t="n"/>
      <c r="W161" s="30" t="n"/>
      <c r="X161" s="30">
        <f>IFERROR((X118/#REF!),"")</f>
        <v/>
      </c>
      <c r="Y161" s="41" t="n"/>
      <c r="Z161" s="30" t="n"/>
      <c r="AA161" s="30">
        <f>IFERROR((AA118/#REF!),"")</f>
        <v/>
      </c>
      <c r="AB161" s="41" t="n"/>
      <c r="AC161" s="30" t="n"/>
      <c r="AD161" s="30">
        <f>IFERROR((AD118/#REF!),"")</f>
        <v/>
      </c>
      <c r="AE161" s="41" t="n"/>
      <c r="AF161" s="30" t="n"/>
      <c r="AG161" s="30">
        <f>IFERROR((AG118/#REF!),"")</f>
        <v/>
      </c>
      <c r="AH161" s="41" t="n"/>
      <c r="AI161" s="30" t="n"/>
      <c r="AJ161" s="30">
        <f>IFERROR((AJ118/#REF!),"")</f>
        <v/>
      </c>
      <c r="AK161" s="41" t="n"/>
      <c r="AL161" s="15" t="n"/>
      <c r="AM161" s="22" t="n"/>
      <c r="AO161" s="44">
        <f>IF($A$1=$B$1,B161,IF($A$1=$E$1,E161,IF($A$1=$H$1,H161,IF($A$1=$K$1,K161,IF($A$1=$N$1,N161,IF($A$1=$Q$1,Q161,IF($A$1=$T$1,T161,IF($A$1=$W$1,W161,IF($A$1=$Z$1,Z161,IF($A$1=$AC$1,AC161,IF($A$1=$AF$1,AF161,IF($A$1=$AI$1,AI161))))))))))))</f>
        <v/>
      </c>
      <c r="AP161" s="44">
        <f>IF($A$1=$B$1,C161,IF($A$1=$E$1,F161,IF($A$1=$H$1,I161,IF($A$1=$K$1,L161,IF($A$1=$N$1,O161,IF($A$1=$Q$1,R161,IF($A$1=$T$1,U161,IF($A$1=$W$1,X161,IF($A$1=$Z$1,AA161,IF($A$1=$AC$1,AD161,IF($A$1=$AF$1,AG161,IF($A$1=$AI$1,AJ161))))))))))))</f>
        <v/>
      </c>
    </row>
    <row r="162" ht="17" customFormat="1" customHeight="1" s="49">
      <c r="A162" s="47" t="inlineStr">
        <is>
          <t>Finansman Gelir(Gideri) (100%)</t>
        </is>
      </c>
      <c r="B162" s="413" t="n"/>
      <c r="C162" s="413" t="n"/>
      <c r="D162" s="413" t="n"/>
      <c r="E162" s="413" t="n"/>
      <c r="F162" s="413" t="n"/>
      <c r="G162" s="413" t="n"/>
      <c r="H162" s="413" t="n"/>
      <c r="I162" s="413" t="n"/>
      <c r="J162" s="413" t="n"/>
      <c r="K162" s="413" t="n"/>
      <c r="L162" s="413" t="n"/>
      <c r="M162" s="413" t="n"/>
      <c r="N162" s="413" t="n"/>
      <c r="O162" s="413" t="n"/>
      <c r="P162" s="413" t="n"/>
      <c r="Q162" s="413" t="n"/>
      <c r="R162" s="413" t="n"/>
      <c r="S162" s="413" t="n"/>
      <c r="T162" s="413" t="n"/>
      <c r="U162" s="413" t="n"/>
      <c r="V162" s="413" t="n"/>
      <c r="W162" s="413" t="n"/>
      <c r="X162" s="413" t="n"/>
      <c r="Y162" s="413" t="n"/>
      <c r="Z162" s="413" t="n"/>
      <c r="AA162" s="413" t="n"/>
      <c r="AB162" s="413" t="n"/>
      <c r="AC162" s="413" t="n"/>
      <c r="AD162" s="413" t="n"/>
      <c r="AE162" s="413" t="n"/>
      <c r="AF162" s="413" t="n"/>
      <c r="AG162" s="413" t="n"/>
      <c r="AH162" s="413" t="n"/>
      <c r="AI162" s="413" t="n"/>
      <c r="AJ162" s="413" t="n"/>
      <c r="AK162" s="413" t="n"/>
      <c r="AL162" s="413" t="n"/>
      <c r="AM162" s="48" t="n"/>
    </row>
    <row r="163" ht="15.5" customHeight="1">
      <c r="A163" s="26" t="inlineStr">
        <is>
          <t xml:space="preserve">İnci Holding </t>
        </is>
      </c>
      <c r="B163" s="7">
        <f>'A-TRY'!B163</f>
        <v/>
      </c>
      <c r="C163" s="7">
        <f>'A-TRY'!C163</f>
        <v/>
      </c>
      <c r="D163" s="7">
        <f>+C163-B163+C176-B176</f>
        <v/>
      </c>
      <c r="E163" s="7">
        <f>B163+'A-TRY'!E163</f>
        <v/>
      </c>
      <c r="F163" s="7">
        <f>C163+'A-TRY'!F163</f>
        <v/>
      </c>
      <c r="G163" s="7" t="n"/>
      <c r="H163" s="7">
        <f>E163+'A-TRY'!H163</f>
        <v/>
      </c>
      <c r="I163" s="7">
        <f>F163+'A-TRY'!I163</f>
        <v/>
      </c>
      <c r="J163" s="7" t="n"/>
      <c r="K163" s="7">
        <f>H163+'A-TRY'!K163</f>
        <v/>
      </c>
      <c r="L163" s="7">
        <f>I163+'A-TRY'!L163</f>
        <v/>
      </c>
      <c r="M163" s="7" t="n"/>
      <c r="N163" s="7">
        <f>K163+'A-TRY'!N163</f>
        <v/>
      </c>
      <c r="O163" s="7">
        <f>L163+'A-TRY'!O163</f>
        <v/>
      </c>
      <c r="P163" s="7" t="n"/>
      <c r="Q163" s="7">
        <f>N163+'A-TRY'!Q163</f>
        <v/>
      </c>
      <c r="R163" s="7">
        <f>O163+'A-TRY'!R163</f>
        <v/>
      </c>
      <c r="S163" s="7" t="n"/>
      <c r="T163" s="7">
        <f>Q163+'A-TRY'!T163</f>
        <v/>
      </c>
      <c r="U163" s="7">
        <f>R163+'A-TRY'!U163</f>
        <v/>
      </c>
      <c r="V163" s="7" t="n"/>
      <c r="W163" s="7">
        <f>T163+'A-TRY'!W163</f>
        <v/>
      </c>
      <c r="X163" s="7">
        <f>U163+'A-TRY'!X163</f>
        <v/>
      </c>
      <c r="Y163" s="7" t="n"/>
      <c r="Z163" s="7">
        <f>W163+'A-TRY'!Z163</f>
        <v/>
      </c>
      <c r="AA163" s="7">
        <f>X163+'A-TRY'!AA163</f>
        <v/>
      </c>
      <c r="AB163" s="7" t="n"/>
      <c r="AC163" s="7">
        <f>Z163+'A-TRY'!AC163</f>
        <v/>
      </c>
      <c r="AD163" s="7">
        <f>AA163+'A-TRY'!AD163</f>
        <v/>
      </c>
      <c r="AE163" s="7" t="n"/>
      <c r="AF163" s="7">
        <f>AC163+'A-TRY'!AF163</f>
        <v/>
      </c>
      <c r="AG163" s="7">
        <f>AD163+'A-TRY'!AG163</f>
        <v/>
      </c>
      <c r="AH163" s="7" t="n"/>
      <c r="AI163" s="7">
        <f>AF163+'A-TRY'!AI163</f>
        <v/>
      </c>
      <c r="AJ163" s="7">
        <f>AG163+'A-TRY'!AJ163</f>
        <v/>
      </c>
      <c r="AK163" s="7" t="n"/>
      <c r="AL163" s="21">
        <f>AP163-AO163</f>
        <v/>
      </c>
      <c r="AM163" s="22">
        <f>AP163/AO163-1</f>
        <v/>
      </c>
      <c r="AO163" s="44">
        <f>IF($A$1=$B$1,B163,IF($A$1=$E$1,E163,IF($A$1=$H$1,H163,IF($A$1=$K$1,K163,IF($A$1=$N$1,N163,IF($A$1=$Q$1,Q163,IF($A$1=$T$1,T163,IF($A$1=$W$1,W163,IF($A$1=$Z$1,Z163,IF($A$1=$AC$1,AC163,IF($A$1=$AF$1,AF163,IF($A$1=$AI$1,AI163))))))))))))</f>
        <v/>
      </c>
      <c r="AP163" s="44">
        <f>IF($A$1=$B$1,C163,IF($A$1=$E$1,F163,IF($A$1=$H$1,I163,IF($A$1=$K$1,L163,IF($A$1=$N$1,O163,IF($A$1=$Q$1,R163,IF($A$1=$T$1,U163,IF($A$1=$W$1,X163,IF($A$1=$Z$1,AA163,IF($A$1=$AC$1,AD163,IF($A$1=$AF$1,AG163,IF($A$1=$AI$1,AJ163))))))))))))</f>
        <v/>
      </c>
    </row>
    <row r="164" ht="15.5" customHeight="1">
      <c r="A164" s="26" t="inlineStr">
        <is>
          <t xml:space="preserve">ISM </t>
        </is>
      </c>
      <c r="B164" s="7">
        <f>'A-TRY'!B164</f>
        <v/>
      </c>
      <c r="C164" s="7">
        <f>'A-TRY'!C164</f>
        <v/>
      </c>
      <c r="D164" s="7">
        <f>+C164-B164+C177-B177</f>
        <v/>
      </c>
      <c r="E164" s="7">
        <f>B164+'A-TRY'!E164</f>
        <v/>
      </c>
      <c r="F164" s="7">
        <f>C164+'A-TRY'!F164</f>
        <v/>
      </c>
      <c r="G164" s="7" t="n"/>
      <c r="H164" s="7">
        <f>E164+'A-TRY'!H164</f>
        <v/>
      </c>
      <c r="I164" s="7">
        <f>F164+'A-TRY'!I164</f>
        <v/>
      </c>
      <c r="J164" s="7" t="n"/>
      <c r="K164" s="7">
        <f>H164+'A-TRY'!K164</f>
        <v/>
      </c>
      <c r="L164" s="7">
        <f>I164+'A-TRY'!L164</f>
        <v/>
      </c>
      <c r="M164" s="7" t="n"/>
      <c r="N164" s="7">
        <f>K164+'A-TRY'!N164</f>
        <v/>
      </c>
      <c r="O164" s="7">
        <f>L164+'A-TRY'!O164</f>
        <v/>
      </c>
      <c r="P164" s="7" t="n"/>
      <c r="Q164" s="7">
        <f>N164+'A-TRY'!Q164</f>
        <v/>
      </c>
      <c r="R164" s="7">
        <f>O164+'A-TRY'!R164</f>
        <v/>
      </c>
      <c r="S164" s="7" t="n"/>
      <c r="T164" s="7">
        <f>Q164+'A-TRY'!T164</f>
        <v/>
      </c>
      <c r="U164" s="7">
        <f>R164+'A-TRY'!U164</f>
        <v/>
      </c>
      <c r="V164" s="7" t="n"/>
      <c r="W164" s="7">
        <f>T164+'A-TRY'!W164</f>
        <v/>
      </c>
      <c r="X164" s="7">
        <f>U164+'A-TRY'!X164</f>
        <v/>
      </c>
      <c r="Y164" s="7" t="n"/>
      <c r="Z164" s="7">
        <f>W164+'A-TRY'!Z164</f>
        <v/>
      </c>
      <c r="AA164" s="7">
        <f>X164+'A-TRY'!AA164</f>
        <v/>
      </c>
      <c r="AB164" s="7" t="n"/>
      <c r="AC164" s="7">
        <f>Z164+'A-TRY'!AC164</f>
        <v/>
      </c>
      <c r="AD164" s="7">
        <f>AA164+'A-TRY'!AD164</f>
        <v/>
      </c>
      <c r="AE164" s="7" t="n"/>
      <c r="AF164" s="7">
        <f>AC164+'A-TRY'!AF164</f>
        <v/>
      </c>
      <c r="AG164" s="7">
        <f>AD164+'A-TRY'!AG164</f>
        <v/>
      </c>
      <c r="AH164" s="7" t="n"/>
      <c r="AI164" s="7">
        <f>AF164+'A-TRY'!AI164</f>
        <v/>
      </c>
      <c r="AJ164" s="7">
        <f>AG164+'A-TRY'!AJ164</f>
        <v/>
      </c>
      <c r="AK164" s="7" t="n"/>
      <c r="AL164" s="21">
        <f>AP164-AO164</f>
        <v/>
      </c>
      <c r="AM164" s="22">
        <f>AP164/AO164-1</f>
        <v/>
      </c>
      <c r="AO164" s="44">
        <f>IF($A$1=$B$1,B164,IF($A$1=$E$1,E164,IF($A$1=$H$1,H164,IF($A$1=$K$1,K164,IF($A$1=$N$1,N164,IF($A$1=$Q$1,Q164,IF($A$1=$T$1,T164,IF($A$1=$W$1,W164,IF($A$1=$Z$1,Z164,IF($A$1=$AC$1,AC164,IF($A$1=$AF$1,AF164,IF($A$1=$AI$1,AI164))))))))))))</f>
        <v/>
      </c>
      <c r="AP164" s="44">
        <f>IF($A$1=$B$1,C164,IF($A$1=$E$1,F164,IF($A$1=$H$1,I164,IF($A$1=$K$1,L164,IF($A$1=$N$1,O164,IF($A$1=$Q$1,R164,IF($A$1=$T$1,U164,IF($A$1=$W$1,X164,IF($A$1=$Z$1,AA164,IF($A$1=$AC$1,AD164,IF($A$1=$AF$1,AG164,IF($A$1=$AI$1,AJ164))))))))))))</f>
        <v/>
      </c>
    </row>
    <row r="165" ht="15.5" customHeight="1">
      <c r="A165" s="26" t="inlineStr">
        <is>
          <t>İncitaş</t>
        </is>
      </c>
      <c r="B165" s="7">
        <f>'A-TRY'!B165</f>
        <v/>
      </c>
      <c r="C165" s="7">
        <f>'A-TRY'!C165</f>
        <v/>
      </c>
      <c r="D165" s="7">
        <f>+C165-B165+C178-B178</f>
        <v/>
      </c>
      <c r="E165" s="7">
        <f>B165+'A-TRY'!E165</f>
        <v/>
      </c>
      <c r="F165" s="7">
        <f>C165+'A-TRY'!F165</f>
        <v/>
      </c>
      <c r="G165" s="7" t="n"/>
      <c r="H165" s="7">
        <f>E165+'A-TRY'!H165</f>
        <v/>
      </c>
      <c r="I165" s="7">
        <f>F165+'A-TRY'!I165</f>
        <v/>
      </c>
      <c r="J165" s="7" t="n"/>
      <c r="K165" s="7">
        <f>H165+'A-TRY'!K165</f>
        <v/>
      </c>
      <c r="L165" s="7">
        <f>I165+'A-TRY'!L165</f>
        <v/>
      </c>
      <c r="M165" s="7" t="n"/>
      <c r="N165" s="7">
        <f>K165+'A-TRY'!N165</f>
        <v/>
      </c>
      <c r="O165" s="7">
        <f>L165+'A-TRY'!O165</f>
        <v/>
      </c>
      <c r="P165" s="7" t="n"/>
      <c r="Q165" s="7">
        <f>N165+'A-TRY'!Q165</f>
        <v/>
      </c>
      <c r="R165" s="7">
        <f>O165+'A-TRY'!R165</f>
        <v/>
      </c>
      <c r="S165" s="7" t="n"/>
      <c r="T165" s="7">
        <f>Q165+'A-TRY'!T165</f>
        <v/>
      </c>
      <c r="U165" s="7">
        <f>R165+'A-TRY'!U165</f>
        <v/>
      </c>
      <c r="V165" s="7" t="n"/>
      <c r="W165" s="7">
        <f>T165+'A-TRY'!W165</f>
        <v/>
      </c>
      <c r="X165" s="7">
        <f>U165+'A-TRY'!X165</f>
        <v/>
      </c>
      <c r="Y165" s="7" t="n"/>
      <c r="Z165" s="7">
        <f>W165+'A-TRY'!Z165</f>
        <v/>
      </c>
      <c r="AA165" s="7">
        <f>X165+'A-TRY'!AA165</f>
        <v/>
      </c>
      <c r="AB165" s="7" t="n"/>
      <c r="AC165" s="7">
        <f>Z165+'A-TRY'!AC165</f>
        <v/>
      </c>
      <c r="AD165" s="7">
        <f>AA165+'A-TRY'!AD165</f>
        <v/>
      </c>
      <c r="AE165" s="7" t="n"/>
      <c r="AF165" s="7">
        <f>AC165+'A-TRY'!AF165</f>
        <v/>
      </c>
      <c r="AG165" s="7">
        <f>AD165+'A-TRY'!AG165</f>
        <v/>
      </c>
      <c r="AH165" s="7" t="n"/>
      <c r="AI165" s="7">
        <f>AF165+'A-TRY'!AI165</f>
        <v/>
      </c>
      <c r="AJ165" s="7">
        <f>AG165+'A-TRY'!AJ165</f>
        <v/>
      </c>
      <c r="AK165" s="7" t="n"/>
      <c r="AL165" s="21">
        <f>AP165-AO165</f>
        <v/>
      </c>
      <c r="AM165" s="22">
        <f>AP165/AO165-1</f>
        <v/>
      </c>
      <c r="AO165" s="44">
        <f>IF($A$1=$B$1,B165,IF($A$1=$E$1,E165,IF($A$1=$H$1,H165,IF($A$1=$K$1,K165,IF($A$1=$N$1,N165,IF($A$1=$Q$1,Q165,IF($A$1=$T$1,T165,IF($A$1=$W$1,W165,IF($A$1=$Z$1,Z165,IF($A$1=$AC$1,AC165,IF($A$1=$AF$1,AF165,IF($A$1=$AI$1,AI165))))))))))))</f>
        <v/>
      </c>
      <c r="AP165" s="44">
        <f>IF($A$1=$B$1,C165,IF($A$1=$E$1,F165,IF($A$1=$H$1,I165,IF($A$1=$K$1,L165,IF($A$1=$N$1,O165,IF($A$1=$Q$1,R165,IF($A$1=$T$1,U165,IF($A$1=$W$1,X165,IF($A$1=$Z$1,AA165,IF($A$1=$AC$1,AD165,IF($A$1=$AF$1,AG165,IF($A$1=$AI$1,AJ165))))))))))))</f>
        <v/>
      </c>
    </row>
    <row r="166" ht="15.5" customHeight="1">
      <c r="A166" s="26" t="inlineStr">
        <is>
          <t>İnci GS Yuasa</t>
        </is>
      </c>
      <c r="B166" s="7">
        <f>'A-TRY'!B166</f>
        <v/>
      </c>
      <c r="C166" s="7">
        <f>'A-TRY'!C166</f>
        <v/>
      </c>
      <c r="D166" s="7">
        <f>+C166-B166+C179-B179</f>
        <v/>
      </c>
      <c r="E166" s="7">
        <f>B166+'A-TRY'!E166</f>
        <v/>
      </c>
      <c r="F166" s="7">
        <f>C166+'A-TRY'!F166</f>
        <v/>
      </c>
      <c r="G166" s="7" t="n"/>
      <c r="H166" s="7">
        <f>E166+'A-TRY'!H166</f>
        <v/>
      </c>
      <c r="I166" s="7">
        <f>F166+'A-TRY'!I166</f>
        <v/>
      </c>
      <c r="J166" s="7" t="n"/>
      <c r="K166" s="7">
        <f>H166+'A-TRY'!K166</f>
        <v/>
      </c>
      <c r="L166" s="7">
        <f>I166+'A-TRY'!L166</f>
        <v/>
      </c>
      <c r="M166" s="7" t="n"/>
      <c r="N166" s="7">
        <f>K166+'A-TRY'!N166</f>
        <v/>
      </c>
      <c r="O166" s="7">
        <f>L166+'A-TRY'!O166</f>
        <v/>
      </c>
      <c r="P166" s="7" t="n"/>
      <c r="Q166" s="7">
        <f>N166+'A-TRY'!Q166</f>
        <v/>
      </c>
      <c r="R166" s="7">
        <f>O166+'A-TRY'!R166</f>
        <v/>
      </c>
      <c r="S166" s="7" t="n"/>
      <c r="T166" s="7">
        <f>Q166+'A-TRY'!T166</f>
        <v/>
      </c>
      <c r="U166" s="7">
        <f>R166+'A-TRY'!U166</f>
        <v/>
      </c>
      <c r="V166" s="7" t="n"/>
      <c r="W166" s="7">
        <f>T166+'A-TRY'!W166</f>
        <v/>
      </c>
      <c r="X166" s="7">
        <f>U166+'A-TRY'!X166</f>
        <v/>
      </c>
      <c r="Y166" s="7" t="n"/>
      <c r="Z166" s="7">
        <f>W166+'A-TRY'!Z166</f>
        <v/>
      </c>
      <c r="AA166" s="7">
        <f>X166+'A-TRY'!AA166</f>
        <v/>
      </c>
      <c r="AB166" s="7" t="n"/>
      <c r="AC166" s="7">
        <f>Z166+'A-TRY'!AC166</f>
        <v/>
      </c>
      <c r="AD166" s="7">
        <f>AA166+'A-TRY'!AD166</f>
        <v/>
      </c>
      <c r="AE166" s="7" t="n"/>
      <c r="AF166" s="7">
        <f>AC166+'A-TRY'!AF166</f>
        <v/>
      </c>
      <c r="AG166" s="7">
        <f>AD166+'A-TRY'!AG166</f>
        <v/>
      </c>
      <c r="AH166" s="7" t="n"/>
      <c r="AI166" s="7">
        <f>AF166+'A-TRY'!AI166</f>
        <v/>
      </c>
      <c r="AJ166" s="7">
        <f>AG166+'A-TRY'!AJ166</f>
        <v/>
      </c>
      <c r="AK166" s="7" t="n"/>
      <c r="AL166" s="21">
        <f>AP166-AO166</f>
        <v/>
      </c>
      <c r="AM166" s="22">
        <f>AP166/AO166-1</f>
        <v/>
      </c>
      <c r="AO166" s="44">
        <f>IF($A$1=$B$1,B166,IF($A$1=$E$1,E166,IF($A$1=$H$1,H166,IF($A$1=$K$1,K166,IF($A$1=$N$1,N166,IF($A$1=$Q$1,Q166,IF($A$1=$T$1,T166,IF($A$1=$W$1,W166,IF($A$1=$Z$1,Z166,IF($A$1=$AC$1,AC166,IF($A$1=$AF$1,AF166,IF($A$1=$AI$1,AI166))))))))))))</f>
        <v/>
      </c>
      <c r="AP166" s="44">
        <f>IF($A$1=$B$1,C166,IF($A$1=$E$1,F166,IF($A$1=$H$1,I166,IF($A$1=$K$1,L166,IF($A$1=$N$1,O166,IF($A$1=$Q$1,R166,IF($A$1=$T$1,U166,IF($A$1=$W$1,X166,IF($A$1=$Z$1,AA166,IF($A$1=$AC$1,AD166,IF($A$1=$AF$1,AG166,IF($A$1=$AI$1,AJ166))))))))))))</f>
        <v/>
      </c>
    </row>
    <row r="167" ht="15.5" customFormat="1" customHeight="1" s="1">
      <c r="A167" s="26" t="inlineStr">
        <is>
          <t>Yusen İnci Loj.</t>
        </is>
      </c>
      <c r="B167" s="7">
        <f>'A-TRY'!B167</f>
        <v/>
      </c>
      <c r="C167" s="7">
        <f>'A-TRY'!C167</f>
        <v/>
      </c>
      <c r="D167" s="7">
        <f>+C167-B167+C180-B180</f>
        <v/>
      </c>
      <c r="E167" s="7">
        <f>B167+'A-TRY'!E167</f>
        <v/>
      </c>
      <c r="F167" s="7">
        <f>C167+'A-TRY'!F167</f>
        <v/>
      </c>
      <c r="G167" s="8" t="n"/>
      <c r="H167" s="7">
        <f>E167+'A-TRY'!H167</f>
        <v/>
      </c>
      <c r="I167" s="7">
        <f>F167+'A-TRY'!I167</f>
        <v/>
      </c>
      <c r="J167" s="8" t="n"/>
      <c r="K167" s="7">
        <f>H167+'A-TRY'!K167</f>
        <v/>
      </c>
      <c r="L167" s="7">
        <f>I167+'A-TRY'!L167</f>
        <v/>
      </c>
      <c r="M167" s="8" t="n"/>
      <c r="N167" s="7">
        <f>K167+'A-TRY'!N167</f>
        <v/>
      </c>
      <c r="O167" s="7">
        <f>L167+'A-TRY'!O167</f>
        <v/>
      </c>
      <c r="P167" s="8" t="n"/>
      <c r="Q167" s="7">
        <f>N167+'A-TRY'!Q167</f>
        <v/>
      </c>
      <c r="R167" s="7">
        <f>O167+'A-TRY'!R167</f>
        <v/>
      </c>
      <c r="S167" s="8" t="n"/>
      <c r="T167" s="7">
        <f>Q167+'A-TRY'!T167</f>
        <v/>
      </c>
      <c r="U167" s="7">
        <f>R167+'A-TRY'!U167</f>
        <v/>
      </c>
      <c r="V167" s="8" t="n"/>
      <c r="W167" s="7">
        <f>T167+'A-TRY'!W167</f>
        <v/>
      </c>
      <c r="X167" s="7">
        <f>U167+'A-TRY'!X167</f>
        <v/>
      </c>
      <c r="Y167" s="8" t="n"/>
      <c r="Z167" s="7">
        <f>W167+'A-TRY'!Z167</f>
        <v/>
      </c>
      <c r="AA167" s="7">
        <f>X167+'A-TRY'!AA167</f>
        <v/>
      </c>
      <c r="AB167" s="8" t="n"/>
      <c r="AC167" s="7">
        <f>Z167+'A-TRY'!AC167</f>
        <v/>
      </c>
      <c r="AD167" s="7">
        <f>AA167+'A-TRY'!AD167</f>
        <v/>
      </c>
      <c r="AE167" s="8" t="n"/>
      <c r="AF167" s="7">
        <f>AC167+'A-TRY'!AF167</f>
        <v/>
      </c>
      <c r="AG167" s="7">
        <f>AD167+'A-TRY'!AG167</f>
        <v/>
      </c>
      <c r="AH167" s="8" t="n"/>
      <c r="AI167" s="7">
        <f>AF167+'A-TRY'!AI167</f>
        <v/>
      </c>
      <c r="AJ167" s="7">
        <f>AG167+'A-TRY'!AJ167</f>
        <v/>
      </c>
      <c r="AK167" s="8" t="n"/>
      <c r="AL167" s="21">
        <f>AP167-AO167</f>
        <v/>
      </c>
      <c r="AM167" s="22">
        <f>AP167/AO167-1</f>
        <v/>
      </c>
      <c r="AO167" s="44">
        <f>IF($A$1=$B$1,B167,IF($A$1=$E$1,E167,IF($A$1=$H$1,H167,IF($A$1=$K$1,K167,IF($A$1=$N$1,N167,IF($A$1=$Q$1,Q167,IF($A$1=$T$1,T167,IF($A$1=$W$1,W167,IF($A$1=$Z$1,Z167,IF($A$1=$AC$1,AC167,IF($A$1=$AF$1,AF167,IF($A$1=$AI$1,AI167))))))))))))</f>
        <v/>
      </c>
      <c r="AP167" s="44">
        <f>IF($A$1=$B$1,C167,IF($A$1=$E$1,F167,IF($A$1=$H$1,I167,IF($A$1=$K$1,L167,IF($A$1=$N$1,O167,IF($A$1=$Q$1,R167,IF($A$1=$T$1,U167,IF($A$1=$W$1,X167,IF($A$1=$Z$1,AA167,IF($A$1=$AC$1,AD167,IF($A$1=$AF$1,AG167,IF($A$1=$AI$1,AJ167))))))))))))</f>
        <v/>
      </c>
    </row>
    <row r="168" ht="15.5" customHeight="1">
      <c r="A168" s="26" t="inlineStr">
        <is>
          <t>Jantaş</t>
        </is>
      </c>
      <c r="B168" s="7">
        <f>'A-TRY'!B168</f>
        <v/>
      </c>
      <c r="C168" s="7">
        <f>'A-TRY'!C168</f>
        <v/>
      </c>
      <c r="D168" s="7">
        <f>+C168-B168+C181-B181</f>
        <v/>
      </c>
      <c r="E168" s="7">
        <f>B168+'A-TRY'!E168</f>
        <v/>
      </c>
      <c r="F168" s="7">
        <f>C168+'A-TRY'!F168</f>
        <v/>
      </c>
      <c r="G168" s="7" t="n"/>
      <c r="H168" s="7">
        <f>E168+'A-TRY'!H168</f>
        <v/>
      </c>
      <c r="I168" s="7">
        <f>F168+'A-TRY'!I168</f>
        <v/>
      </c>
      <c r="J168" s="7" t="n"/>
      <c r="K168" s="7">
        <f>H168+'A-TRY'!K168</f>
        <v/>
      </c>
      <c r="L168" s="7">
        <f>I168+'A-TRY'!L168</f>
        <v/>
      </c>
      <c r="M168" s="7" t="n"/>
      <c r="N168" s="7">
        <f>K168+'A-TRY'!N168</f>
        <v/>
      </c>
      <c r="O168" s="7">
        <f>L168+'A-TRY'!O168</f>
        <v/>
      </c>
      <c r="P168" s="7" t="n"/>
      <c r="Q168" s="7">
        <f>N168+'A-TRY'!Q168</f>
        <v/>
      </c>
      <c r="R168" s="7">
        <f>O168+'A-TRY'!R168</f>
        <v/>
      </c>
      <c r="S168" s="7" t="n"/>
      <c r="T168" s="7">
        <f>Q168+'A-TRY'!T168</f>
        <v/>
      </c>
      <c r="U168" s="7">
        <f>R168+'A-TRY'!U168</f>
        <v/>
      </c>
      <c r="V168" s="7" t="n"/>
      <c r="W168" s="7">
        <f>T168+'A-TRY'!W168</f>
        <v/>
      </c>
      <c r="X168" s="7">
        <f>U168+'A-TRY'!X168</f>
        <v/>
      </c>
      <c r="Y168" s="7" t="n"/>
      <c r="Z168" s="7">
        <f>W168+'A-TRY'!Z168</f>
        <v/>
      </c>
      <c r="AA168" s="7">
        <f>X168+'A-TRY'!AA168</f>
        <v/>
      </c>
      <c r="AB168" s="7" t="n"/>
      <c r="AC168" s="7">
        <f>Z168+'A-TRY'!AC168</f>
        <v/>
      </c>
      <c r="AD168" s="7">
        <f>AA168+'A-TRY'!AD168</f>
        <v/>
      </c>
      <c r="AE168" s="7" t="n"/>
      <c r="AF168" s="7">
        <f>AC168+'A-TRY'!AF168</f>
        <v/>
      </c>
      <c r="AG168" s="7">
        <f>AD168+'A-TRY'!AG168</f>
        <v/>
      </c>
      <c r="AH168" s="7" t="n"/>
      <c r="AI168" s="7">
        <f>AF168+'A-TRY'!AI168</f>
        <v/>
      </c>
      <c r="AJ168" s="7">
        <f>AG168+'A-TRY'!AJ168</f>
        <v/>
      </c>
      <c r="AK168" s="7" t="n"/>
      <c r="AL168" s="21">
        <f>AP168-AO168</f>
        <v/>
      </c>
      <c r="AM168" s="22">
        <f>AP168/AO168-1</f>
        <v/>
      </c>
      <c r="AO168" s="44">
        <f>IF($A$1=$B$1,B168,IF($A$1=$E$1,E168,IF($A$1=$H$1,H168,IF($A$1=$K$1,K168,IF($A$1=$N$1,N168,IF($A$1=$Q$1,Q168,IF($A$1=$T$1,T168,IF($A$1=$W$1,W168,IF($A$1=$Z$1,Z168,IF($A$1=$AC$1,AC168,IF($A$1=$AF$1,AF168,IF($A$1=$AI$1,AI168))))))))))))</f>
        <v/>
      </c>
      <c r="AP168" s="44">
        <f>IF($A$1=$B$1,C168,IF($A$1=$E$1,F168,IF($A$1=$H$1,I168,IF($A$1=$K$1,L168,IF($A$1=$N$1,O168,IF($A$1=$Q$1,R168,IF($A$1=$T$1,U168,IF($A$1=$W$1,X168,IF($A$1=$Z$1,AA168,IF($A$1=$AC$1,AD168,IF($A$1=$AF$1,AG168,IF($A$1=$AI$1,AJ168))))))))))))</f>
        <v/>
      </c>
    </row>
    <row r="169" ht="15.5" customHeight="1">
      <c r="A169" s="26" t="inlineStr">
        <is>
          <t>Çelik</t>
        </is>
      </c>
      <c r="B169" s="7">
        <f>'A-TRY'!B169</f>
        <v/>
      </c>
      <c r="C169" s="7">
        <f>'A-TRY'!C169</f>
        <v/>
      </c>
      <c r="D169" s="7">
        <f>+C169-B169+C182-B182</f>
        <v/>
      </c>
      <c r="E169" s="7">
        <f>B169+'A-TRY'!E169</f>
        <v/>
      </c>
      <c r="F169" s="7">
        <f>C169+'A-TRY'!F169</f>
        <v/>
      </c>
      <c r="G169" s="7" t="n"/>
      <c r="H169" s="7">
        <f>E169+'A-TRY'!H169</f>
        <v/>
      </c>
      <c r="I169" s="7">
        <f>F169+'A-TRY'!I169</f>
        <v/>
      </c>
      <c r="J169" s="7" t="n"/>
      <c r="K169" s="7">
        <f>H169+'A-TRY'!K169</f>
        <v/>
      </c>
      <c r="L169" s="7">
        <f>I169+'A-TRY'!L169</f>
        <v/>
      </c>
      <c r="M169" s="7" t="n"/>
      <c r="N169" s="7">
        <f>K169+'A-TRY'!N169</f>
        <v/>
      </c>
      <c r="O169" s="7">
        <f>L169+'A-TRY'!O169</f>
        <v/>
      </c>
      <c r="P169" s="7" t="n"/>
      <c r="Q169" s="7">
        <f>N169+'A-TRY'!Q169</f>
        <v/>
      </c>
      <c r="R169" s="7">
        <f>O169+'A-TRY'!R169</f>
        <v/>
      </c>
      <c r="S169" s="7" t="n"/>
      <c r="T169" s="7">
        <f>Q169+'A-TRY'!T169</f>
        <v/>
      </c>
      <c r="U169" s="7">
        <f>R169+'A-TRY'!U169</f>
        <v/>
      </c>
      <c r="V169" s="7" t="n"/>
      <c r="W169" s="7">
        <f>T169+'A-TRY'!W169</f>
        <v/>
      </c>
      <c r="X169" s="7">
        <f>U169+'A-TRY'!X169</f>
        <v/>
      </c>
      <c r="Y169" s="7" t="n"/>
      <c r="Z169" s="7">
        <f>W169+'A-TRY'!Z169</f>
        <v/>
      </c>
      <c r="AA169" s="7">
        <f>X169+'A-TRY'!AA169</f>
        <v/>
      </c>
      <c r="AB169" s="7" t="n"/>
      <c r="AC169" s="7">
        <f>Z169+'A-TRY'!AC169</f>
        <v/>
      </c>
      <c r="AD169" s="7">
        <f>AA169+'A-TRY'!AD169</f>
        <v/>
      </c>
      <c r="AE169" s="7" t="n"/>
      <c r="AF169" s="7">
        <f>AC169+'A-TRY'!AF169</f>
        <v/>
      </c>
      <c r="AG169" s="7">
        <f>AD169+'A-TRY'!AG169</f>
        <v/>
      </c>
      <c r="AH169" s="7" t="n"/>
      <c r="AI169" s="7">
        <f>AF169+'A-TRY'!AI169</f>
        <v/>
      </c>
      <c r="AJ169" s="7">
        <f>AG169+'A-TRY'!AJ169</f>
        <v/>
      </c>
      <c r="AK169" s="7" t="n"/>
      <c r="AL169" s="21">
        <f>AP169-AO169</f>
        <v/>
      </c>
      <c r="AM169" s="22">
        <f>AP169/AO169-1</f>
        <v/>
      </c>
      <c r="AO169" s="44">
        <f>IF($A$1=$B$1,B169,IF($A$1=$E$1,E169,IF($A$1=$H$1,H169,IF($A$1=$K$1,K169,IF($A$1=$N$1,N169,IF($A$1=$Q$1,Q169,IF($A$1=$T$1,T169,IF($A$1=$W$1,W169,IF($A$1=$Z$1,Z169,IF($A$1=$AC$1,AC169,IF($A$1=$AF$1,AF169,IF($A$1=$AI$1,AI169))))))))))))</f>
        <v/>
      </c>
      <c r="AP169" s="44">
        <f>IF($A$1=$B$1,C169,IF($A$1=$E$1,F169,IF($A$1=$H$1,I169,IF($A$1=$K$1,L169,IF($A$1=$N$1,O169,IF($A$1=$Q$1,R169,IF($A$1=$T$1,U169,IF($A$1=$W$1,X169,IF($A$1=$Z$1,AA169,IF($A$1=$AC$1,AD169,IF($A$1=$AF$1,AG169,IF($A$1=$AI$1,AJ169))))))))))))</f>
        <v/>
      </c>
    </row>
    <row r="170" ht="15.5" customHeight="1">
      <c r="A170" s="26" t="inlineStr">
        <is>
          <t>Alüminyum</t>
        </is>
      </c>
      <c r="B170" s="7">
        <f>'A-TRY'!B170</f>
        <v/>
      </c>
      <c r="C170" s="7">
        <f>'A-TRY'!C170</f>
        <v/>
      </c>
      <c r="D170" s="7">
        <f>+C170-B170+C183-B183</f>
        <v/>
      </c>
      <c r="E170" s="7">
        <f>B170+'A-TRY'!E170</f>
        <v/>
      </c>
      <c r="F170" s="7">
        <f>C170+'A-TRY'!F170</f>
        <v/>
      </c>
      <c r="G170" s="7" t="n"/>
      <c r="H170" s="7">
        <f>E170+'A-TRY'!H170</f>
        <v/>
      </c>
      <c r="I170" s="7">
        <f>F170+'A-TRY'!I170</f>
        <v/>
      </c>
      <c r="J170" s="7" t="n"/>
      <c r="K170" s="7">
        <f>H170+'A-TRY'!K170</f>
        <v/>
      </c>
      <c r="L170" s="7">
        <f>I170+'A-TRY'!L170</f>
        <v/>
      </c>
      <c r="M170" s="7" t="n"/>
      <c r="N170" s="7">
        <f>K170+'A-TRY'!N170</f>
        <v/>
      </c>
      <c r="O170" s="7">
        <f>L170+'A-TRY'!O170</f>
        <v/>
      </c>
      <c r="P170" s="7" t="n"/>
      <c r="Q170" s="7">
        <f>N170+'A-TRY'!Q170</f>
        <v/>
      </c>
      <c r="R170" s="7">
        <f>O170+'A-TRY'!R170</f>
        <v/>
      </c>
      <c r="S170" s="7" t="n"/>
      <c r="T170" s="7">
        <f>Q170+'A-TRY'!T170</f>
        <v/>
      </c>
      <c r="U170" s="7">
        <f>R170+'A-TRY'!U170</f>
        <v/>
      </c>
      <c r="V170" s="7" t="n"/>
      <c r="W170" s="7">
        <f>T170+'A-TRY'!W170</f>
        <v/>
      </c>
      <c r="X170" s="7">
        <f>U170+'A-TRY'!X170</f>
        <v/>
      </c>
      <c r="Y170" s="7" t="n"/>
      <c r="Z170" s="7">
        <f>W170+'A-TRY'!Z170</f>
        <v/>
      </c>
      <c r="AA170" s="7">
        <f>X170+'A-TRY'!AA170</f>
        <v/>
      </c>
      <c r="AB170" s="7" t="n"/>
      <c r="AC170" s="7">
        <f>Z170+'A-TRY'!AC170</f>
        <v/>
      </c>
      <c r="AD170" s="7">
        <f>AA170+'A-TRY'!AD170</f>
        <v/>
      </c>
      <c r="AE170" s="7" t="n"/>
      <c r="AF170" s="7">
        <f>AC170+'A-TRY'!AF170</f>
        <v/>
      </c>
      <c r="AG170" s="7">
        <f>AD170+'A-TRY'!AG170</f>
        <v/>
      </c>
      <c r="AH170" s="7" t="n"/>
      <c r="AI170" s="7">
        <f>AF170+'A-TRY'!AI170</f>
        <v/>
      </c>
      <c r="AJ170" s="7">
        <f>AG170+'A-TRY'!AJ170</f>
        <v/>
      </c>
      <c r="AK170" s="7" t="n"/>
      <c r="AL170" s="21">
        <f>AP170-AO170</f>
        <v/>
      </c>
      <c r="AM170" s="22">
        <f>AP170/AO170-1</f>
        <v/>
      </c>
      <c r="AO170" s="44">
        <f>IF($A$1=$B$1,B170,IF($A$1=$E$1,E170,IF($A$1=$H$1,H170,IF($A$1=$K$1,K170,IF($A$1=$N$1,N170,IF($A$1=$Q$1,Q170,IF($A$1=$T$1,T170,IF($A$1=$W$1,W170,IF($A$1=$Z$1,Z170,IF($A$1=$AC$1,AC170,IF($A$1=$AF$1,AF170,IF($A$1=$AI$1,AI170))))))))))))</f>
        <v/>
      </c>
      <c r="AP170" s="44">
        <f>IF($A$1=$B$1,C170,IF($A$1=$E$1,F170,IF($A$1=$H$1,I170,IF($A$1=$K$1,L170,IF($A$1=$N$1,O170,IF($A$1=$Q$1,R170,IF($A$1=$T$1,U170,IF($A$1=$W$1,X170,IF($A$1=$Z$1,AA170,IF($A$1=$AC$1,AD170,IF($A$1=$AF$1,AG170,IF($A$1=$AI$1,AJ170))))))))))))</f>
        <v/>
      </c>
    </row>
    <row r="171" ht="15.5" customFormat="1" customHeight="1" s="13">
      <c r="A171" s="26" t="n"/>
      <c r="B171" s="12" t="n"/>
      <c r="C171" s="30" t="n"/>
      <c r="D171" s="41" t="n"/>
      <c r="E171" s="12" t="n"/>
      <c r="F171" s="30" t="n"/>
      <c r="G171" s="41" t="n"/>
      <c r="H171" s="12" t="n"/>
      <c r="I171" s="30" t="n"/>
      <c r="J171" s="41" t="n"/>
      <c r="K171" s="12" t="n"/>
      <c r="L171" s="30" t="n"/>
      <c r="M171" s="41" t="n"/>
      <c r="N171" s="12" t="n"/>
      <c r="O171" s="30" t="n"/>
      <c r="P171" s="41" t="n"/>
      <c r="Q171" s="12" t="n"/>
      <c r="R171" s="30" t="n"/>
      <c r="S171" s="41" t="n"/>
      <c r="T171" s="12" t="n"/>
      <c r="U171" s="30" t="n"/>
      <c r="V171" s="41" t="n"/>
      <c r="W171" s="12" t="n"/>
      <c r="X171" s="30" t="n"/>
      <c r="Y171" s="41" t="n"/>
      <c r="Z171" s="12" t="n"/>
      <c r="AA171" s="30" t="n"/>
      <c r="AB171" s="41" t="n"/>
      <c r="AC171" s="12" t="n"/>
      <c r="AD171" s="30" t="n"/>
      <c r="AE171" s="41" t="n"/>
      <c r="AF171" s="12" t="n"/>
      <c r="AG171" s="30" t="n"/>
      <c r="AH171" s="41" t="n"/>
      <c r="AI171" s="12" t="n"/>
      <c r="AJ171" s="30" t="n"/>
      <c r="AK171" s="41" t="n"/>
      <c r="AL171" s="15" t="n"/>
      <c r="AM171" s="22" t="n"/>
      <c r="AO171" s="44" t="n"/>
      <c r="AP171" s="44" t="n"/>
    </row>
    <row r="172" ht="15.5" customFormat="1" customHeight="1" s="13">
      <c r="A172" s="26" t="n"/>
      <c r="B172" s="12" t="n"/>
      <c r="C172" s="30" t="n"/>
      <c r="D172" s="41" t="n"/>
      <c r="E172" s="12" t="n"/>
      <c r="F172" s="30" t="n"/>
      <c r="G172" s="41" t="n"/>
      <c r="H172" s="12" t="n"/>
      <c r="I172" s="30" t="n"/>
      <c r="J172" s="41" t="n"/>
      <c r="K172" s="12" t="n"/>
      <c r="L172" s="30" t="n"/>
      <c r="M172" s="41" t="n"/>
      <c r="N172" s="12" t="n"/>
      <c r="O172" s="30" t="n"/>
      <c r="P172" s="41" t="n"/>
      <c r="Q172" s="12" t="n"/>
      <c r="R172" s="30" t="n"/>
      <c r="S172" s="41" t="n"/>
      <c r="T172" s="12" t="n"/>
      <c r="U172" s="30" t="n"/>
      <c r="V172" s="41" t="n"/>
      <c r="W172" s="12" t="n"/>
      <c r="X172" s="30" t="n"/>
      <c r="Y172" s="41" t="n"/>
      <c r="Z172" s="12" t="n"/>
      <c r="AA172" s="30" t="n"/>
      <c r="AB172" s="41" t="n"/>
      <c r="AC172" s="12" t="n"/>
      <c r="AD172" s="30" t="n"/>
      <c r="AE172" s="41" t="n"/>
      <c r="AF172" s="12" t="n"/>
      <c r="AG172" s="30" t="n"/>
      <c r="AH172" s="41" t="n"/>
      <c r="AI172" s="12" t="n"/>
      <c r="AJ172" s="30" t="n"/>
      <c r="AK172" s="41" t="n"/>
      <c r="AL172" s="15" t="n"/>
      <c r="AM172" s="22" t="n"/>
      <c r="AO172" s="44" t="n"/>
      <c r="AP172" s="44" t="n"/>
    </row>
    <row r="173" ht="15.5" customFormat="1" customHeight="1" s="44">
      <c r="A173" s="31" t="inlineStr">
        <is>
          <t>Diğer Gelir(Gider)</t>
        </is>
      </c>
      <c r="B173" s="32">
        <f>'A-TRY'!B173</f>
        <v/>
      </c>
      <c r="C173" s="32">
        <f>'A-TRY'!C173</f>
        <v/>
      </c>
      <c r="D173" s="18" t="n"/>
      <c r="E173" s="32">
        <f>B173+'A-TRY'!E173</f>
        <v/>
      </c>
      <c r="F173" s="32">
        <f>C173+'A-TRY'!F173</f>
        <v/>
      </c>
      <c r="G173" s="18" t="n"/>
      <c r="H173" s="32">
        <f>E173+'A-TRY'!H173</f>
        <v/>
      </c>
      <c r="I173" s="32">
        <f>F173+'A-TRY'!I173</f>
        <v/>
      </c>
      <c r="J173" s="18" t="n"/>
      <c r="K173" s="32">
        <f>H173+'A-TRY'!K173</f>
        <v/>
      </c>
      <c r="L173" s="32">
        <f>I173+'A-TRY'!L173</f>
        <v/>
      </c>
      <c r="M173" s="18" t="n"/>
      <c r="N173" s="32">
        <f>K173+'A-TRY'!N173</f>
        <v/>
      </c>
      <c r="O173" s="32">
        <f>L173+'A-TRY'!O173</f>
        <v/>
      </c>
      <c r="P173" s="18" t="n"/>
      <c r="Q173" s="32">
        <f>N173+'A-TRY'!Q173</f>
        <v/>
      </c>
      <c r="R173" s="32">
        <f>O173+'A-TRY'!R173</f>
        <v/>
      </c>
      <c r="S173" s="18" t="n"/>
      <c r="T173" s="32">
        <f>Q173+'A-TRY'!T173</f>
        <v/>
      </c>
      <c r="U173" s="32">
        <f>R173+'A-TRY'!U173</f>
        <v/>
      </c>
      <c r="V173" s="18" t="n"/>
      <c r="W173" s="32">
        <f>T173+'A-TRY'!W173</f>
        <v/>
      </c>
      <c r="X173" s="32">
        <f>U173+'A-TRY'!X173</f>
        <v/>
      </c>
      <c r="Y173" s="18" t="n"/>
      <c r="Z173" s="32">
        <f>W173+'A-TRY'!Z173</f>
        <v/>
      </c>
      <c r="AA173" s="32">
        <f>X173+'A-TRY'!AA173</f>
        <v/>
      </c>
      <c r="AB173" s="18" t="n"/>
      <c r="AC173" s="32">
        <f>Z173+'A-TRY'!AC173</f>
        <v/>
      </c>
      <c r="AD173" s="32">
        <f>AA173+'A-TRY'!AD173</f>
        <v/>
      </c>
      <c r="AE173" s="18" t="n"/>
      <c r="AF173" s="32">
        <f>AC173+'A-TRY'!AF173</f>
        <v/>
      </c>
      <c r="AG173" s="32">
        <f>AD173+'A-TRY'!AG173</f>
        <v/>
      </c>
      <c r="AH173" s="18" t="n"/>
      <c r="AI173" s="32">
        <f>AF173+'A-TRY'!AI173</f>
        <v/>
      </c>
      <c r="AJ173" s="32">
        <f>AG173+'A-TRY'!AJ173</f>
        <v/>
      </c>
      <c r="AK173" s="18" t="n"/>
      <c r="AL173" s="33">
        <f>AP173-AO173</f>
        <v/>
      </c>
      <c r="AM173" s="34">
        <f>AP173/AO173-1</f>
        <v/>
      </c>
      <c r="AO173" s="44">
        <f>IF($A$1=$B$1,B173,IF($A$1=$E$1,E173,IF($A$1=$H$1,H173,IF($A$1=$K$1,K173,IF($A$1=$N$1,N173,IF($A$1=$Q$1,Q173,IF($A$1=$T$1,T173,IF($A$1=$W$1,W173,IF($A$1=$Z$1,Z173,IF($A$1=$AC$1,AC173,IF($A$1=$AF$1,AF173,IF($A$1=$AI$1,AI173))))))))))))</f>
        <v/>
      </c>
      <c r="AP173" s="44">
        <f>IF($A$1=$B$1,C173,IF($A$1=$E$1,F173,IF($A$1=$H$1,I173,IF($A$1=$K$1,L173,IF($A$1=$N$1,O173,IF($A$1=$Q$1,R173,IF($A$1=$T$1,U173,IF($A$1=$W$1,X173,IF($A$1=$Z$1,AA173,IF($A$1=$AC$1,AD173,IF($A$1=$AF$1,AG173,IF($A$1=$AI$1,AJ173))))))))))))</f>
        <v/>
      </c>
    </row>
    <row r="174" ht="15.5" customFormat="1" customHeight="1" s="13">
      <c r="A174" s="27" t="n"/>
      <c r="B174" s="30" t="n"/>
      <c r="C174" s="30">
        <f>IFERROR((C131/#REF!),"")</f>
        <v/>
      </c>
      <c r="D174" s="41" t="n"/>
      <c r="E174" s="30" t="n"/>
      <c r="F174" s="30">
        <f>IFERROR((F131/#REF!),"")</f>
        <v/>
      </c>
      <c r="G174" s="41" t="n"/>
      <c r="H174" s="30" t="n"/>
      <c r="I174" s="30">
        <f>IFERROR((I131/#REF!),"")</f>
        <v/>
      </c>
      <c r="J174" s="41" t="n"/>
      <c r="K174" s="30" t="n"/>
      <c r="L174" s="30">
        <f>IFERROR((L131/#REF!),"")</f>
        <v/>
      </c>
      <c r="M174" s="41" t="n"/>
      <c r="N174" s="30" t="n"/>
      <c r="O174" s="30">
        <f>IFERROR((O131/#REF!),"")</f>
        <v/>
      </c>
      <c r="P174" s="41" t="n"/>
      <c r="Q174" s="30" t="n"/>
      <c r="R174" s="30">
        <f>IFERROR((R131/#REF!),"")</f>
        <v/>
      </c>
      <c r="S174" s="41" t="n"/>
      <c r="T174" s="30" t="n"/>
      <c r="U174" s="30">
        <f>IFERROR((U131/#REF!),"")</f>
        <v/>
      </c>
      <c r="V174" s="41" t="n"/>
      <c r="W174" s="30" t="n"/>
      <c r="X174" s="30">
        <f>IFERROR((X131/#REF!),"")</f>
        <v/>
      </c>
      <c r="Y174" s="41" t="n"/>
      <c r="Z174" s="30" t="n"/>
      <c r="AA174" s="30">
        <f>IFERROR((AA131/#REF!),"")</f>
        <v/>
      </c>
      <c r="AB174" s="41" t="n"/>
      <c r="AC174" s="30" t="n"/>
      <c r="AD174" s="30">
        <f>IFERROR((AD131/#REF!),"")</f>
        <v/>
      </c>
      <c r="AE174" s="41" t="n"/>
      <c r="AF174" s="30" t="n"/>
      <c r="AG174" s="30">
        <f>IFERROR((AG131/#REF!),"")</f>
        <v/>
      </c>
      <c r="AH174" s="41" t="n"/>
      <c r="AI174" s="30" t="n"/>
      <c r="AJ174" s="30">
        <f>IFERROR((AJ131/#REF!),"")</f>
        <v/>
      </c>
      <c r="AK174" s="41" t="n"/>
      <c r="AL174" s="15" t="n"/>
      <c r="AM174" s="22" t="n"/>
      <c r="AO174" s="44">
        <f>IF($A$1=$B$1,B174,IF($A$1=$E$1,E174,IF($A$1=$H$1,H174,IF($A$1=$K$1,K174,IF($A$1=$N$1,N174,IF($A$1=$Q$1,Q174,IF($A$1=$T$1,T174,IF($A$1=$W$1,W174,IF($A$1=$Z$1,Z174,IF($A$1=$AC$1,AC174,IF($A$1=$AF$1,AF174,IF($A$1=$AI$1,AI174))))))))))))</f>
        <v/>
      </c>
      <c r="AP174" s="44">
        <f>IF($A$1=$B$1,C174,IF($A$1=$E$1,F174,IF($A$1=$H$1,I174,IF($A$1=$K$1,L174,IF($A$1=$N$1,O174,IF($A$1=$Q$1,R174,IF($A$1=$T$1,U174,IF($A$1=$W$1,X174,IF($A$1=$Z$1,AA174,IF($A$1=$AC$1,AD174,IF($A$1=$AF$1,AG174,IF($A$1=$AI$1,AJ174))))))))))))</f>
        <v/>
      </c>
    </row>
    <row r="175" ht="17" customFormat="1" customHeight="1" s="49">
      <c r="A175" s="47" t="inlineStr">
        <is>
          <t>Diğer Gelir(Gider) (100%)</t>
        </is>
      </c>
      <c r="B175" s="413" t="n"/>
      <c r="C175" s="413" t="n"/>
      <c r="D175" s="413" t="n"/>
      <c r="E175" s="413" t="n"/>
      <c r="F175" s="413" t="n"/>
      <c r="G175" s="413" t="n"/>
      <c r="H175" s="413" t="n"/>
      <c r="I175" s="413" t="n"/>
      <c r="J175" s="413" t="n"/>
      <c r="K175" s="413" t="n"/>
      <c r="L175" s="413" t="n"/>
      <c r="M175" s="413" t="n"/>
      <c r="N175" s="413" t="n"/>
      <c r="O175" s="413" t="n"/>
      <c r="P175" s="413" t="n"/>
      <c r="Q175" s="413" t="n"/>
      <c r="R175" s="413" t="n"/>
      <c r="S175" s="413" t="n"/>
      <c r="T175" s="413" t="n"/>
      <c r="U175" s="413" t="n"/>
      <c r="V175" s="413" t="n"/>
      <c r="W175" s="413" t="n"/>
      <c r="X175" s="413" t="n"/>
      <c r="Y175" s="413" t="n"/>
      <c r="Z175" s="413" t="n"/>
      <c r="AA175" s="413" t="n"/>
      <c r="AB175" s="413" t="n"/>
      <c r="AC175" s="413" t="n"/>
      <c r="AD175" s="413" t="n"/>
      <c r="AE175" s="413" t="n"/>
      <c r="AF175" s="413" t="n"/>
      <c r="AG175" s="413" t="n"/>
      <c r="AH175" s="413" t="n"/>
      <c r="AI175" s="413" t="n"/>
      <c r="AJ175" s="413" t="n"/>
      <c r="AK175" s="413" t="n"/>
      <c r="AL175" s="413" t="n"/>
      <c r="AM175" s="48" t="n"/>
    </row>
    <row r="176" ht="15.5" customHeight="1">
      <c r="A176" s="26" t="inlineStr">
        <is>
          <t xml:space="preserve">İnci Holding </t>
        </is>
      </c>
      <c r="B176" s="7">
        <f>'A-TRY'!B176</f>
        <v/>
      </c>
      <c r="C176" s="7">
        <f>'A-TRY'!C176</f>
        <v/>
      </c>
      <c r="D176" s="7" t="n"/>
      <c r="E176" s="7">
        <f>B176+'A-TRY'!E176</f>
        <v/>
      </c>
      <c r="F176" s="7">
        <f>C176+'A-TRY'!F176</f>
        <v/>
      </c>
      <c r="G176" s="7" t="n"/>
      <c r="H176" s="7">
        <f>E176+'A-TRY'!H176</f>
        <v/>
      </c>
      <c r="I176" s="7">
        <f>F176+'A-TRY'!I176</f>
        <v/>
      </c>
      <c r="J176" s="7" t="n"/>
      <c r="K176" s="7">
        <f>H176+'A-TRY'!K176</f>
        <v/>
      </c>
      <c r="L176" s="7">
        <f>I176+'A-TRY'!L176</f>
        <v/>
      </c>
      <c r="M176" s="7" t="n"/>
      <c r="N176" s="7">
        <f>K176+'A-TRY'!N176</f>
        <v/>
      </c>
      <c r="O176" s="7">
        <f>L176+'A-TRY'!O176</f>
        <v/>
      </c>
      <c r="P176" s="7" t="n"/>
      <c r="Q176" s="7">
        <f>N176+'A-TRY'!Q176</f>
        <v/>
      </c>
      <c r="R176" s="7">
        <f>O176+'A-TRY'!R176</f>
        <v/>
      </c>
      <c r="S176" s="7" t="n"/>
      <c r="T176" s="7">
        <f>Q176+'A-TRY'!T176</f>
        <v/>
      </c>
      <c r="U176" s="7">
        <f>R176+'A-TRY'!U176</f>
        <v/>
      </c>
      <c r="V176" s="7" t="n"/>
      <c r="W176" s="7">
        <f>T176+'A-TRY'!W176</f>
        <v/>
      </c>
      <c r="X176" s="7">
        <f>U176+'A-TRY'!X176</f>
        <v/>
      </c>
      <c r="Y176" s="7" t="n"/>
      <c r="Z176" s="7">
        <f>W176+'A-TRY'!Z176</f>
        <v/>
      </c>
      <c r="AA176" s="7">
        <f>X176+'A-TRY'!AA176</f>
        <v/>
      </c>
      <c r="AB176" s="7" t="n"/>
      <c r="AC176" s="7">
        <f>Z176+'A-TRY'!AC176</f>
        <v/>
      </c>
      <c r="AD176" s="7">
        <f>AA176+'A-TRY'!AD176</f>
        <v/>
      </c>
      <c r="AE176" s="7" t="n"/>
      <c r="AF176" s="7">
        <f>AC176+'A-TRY'!AF176</f>
        <v/>
      </c>
      <c r="AG176" s="7">
        <f>AD176+'A-TRY'!AG176</f>
        <v/>
      </c>
      <c r="AH176" s="7" t="n"/>
      <c r="AI176" s="7">
        <f>AF176+'A-TRY'!AI176</f>
        <v/>
      </c>
      <c r="AJ176" s="7">
        <f>AG176+'A-TRY'!AJ176</f>
        <v/>
      </c>
      <c r="AK176" s="7" t="n"/>
      <c r="AL176" s="21">
        <f>AP176-AO176</f>
        <v/>
      </c>
      <c r="AM176" s="22">
        <f>AP176/AO176-1</f>
        <v/>
      </c>
      <c r="AO176" s="44">
        <f>IF($A$1=$B$1,B176,IF($A$1=$E$1,E176,IF($A$1=$H$1,H176,IF($A$1=$K$1,K176,IF($A$1=$N$1,N176,IF($A$1=$Q$1,Q176,IF($A$1=$T$1,T176,IF($A$1=$W$1,W176,IF($A$1=$Z$1,Z176,IF($A$1=$AC$1,AC176,IF($A$1=$AF$1,AF176,IF($A$1=$AI$1,AI176))))))))))))</f>
        <v/>
      </c>
      <c r="AP176" s="44">
        <f>IF($A$1=$B$1,C176,IF($A$1=$E$1,F176,IF($A$1=$H$1,I176,IF($A$1=$K$1,L176,IF($A$1=$N$1,O176,IF($A$1=$Q$1,R176,IF($A$1=$T$1,U176,IF($A$1=$W$1,X176,IF($A$1=$Z$1,AA176,IF($A$1=$AC$1,AD176,IF($A$1=$AF$1,AG176,IF($A$1=$AI$1,AJ176))))))))))))</f>
        <v/>
      </c>
    </row>
    <row r="177" ht="15.5" customHeight="1">
      <c r="A177" s="26" t="inlineStr">
        <is>
          <t xml:space="preserve">ISM </t>
        </is>
      </c>
      <c r="B177" s="7">
        <f>'A-TRY'!B177</f>
        <v/>
      </c>
      <c r="C177" s="7">
        <f>'A-TRY'!C177</f>
        <v/>
      </c>
      <c r="D177" s="7" t="n"/>
      <c r="E177" s="7">
        <f>B177+'A-TRY'!E177</f>
        <v/>
      </c>
      <c r="F177" s="7">
        <f>C177+'A-TRY'!F177</f>
        <v/>
      </c>
      <c r="G177" s="7" t="n"/>
      <c r="H177" s="7">
        <f>E177+'A-TRY'!H177</f>
        <v/>
      </c>
      <c r="I177" s="7">
        <f>F177+'A-TRY'!I177</f>
        <v/>
      </c>
      <c r="J177" s="7" t="n"/>
      <c r="K177" s="7">
        <f>H177+'A-TRY'!K177</f>
        <v/>
      </c>
      <c r="L177" s="7">
        <f>I177+'A-TRY'!L177</f>
        <v/>
      </c>
      <c r="M177" s="7" t="n"/>
      <c r="N177" s="7">
        <f>K177+'A-TRY'!N177</f>
        <v/>
      </c>
      <c r="O177" s="7">
        <f>L177+'A-TRY'!O177</f>
        <v/>
      </c>
      <c r="P177" s="7" t="n"/>
      <c r="Q177" s="7">
        <f>N177+'A-TRY'!Q177</f>
        <v/>
      </c>
      <c r="R177" s="7">
        <f>O177+'A-TRY'!R177</f>
        <v/>
      </c>
      <c r="S177" s="7" t="n"/>
      <c r="T177" s="7">
        <f>Q177+'A-TRY'!T177</f>
        <v/>
      </c>
      <c r="U177" s="7">
        <f>R177+'A-TRY'!U177</f>
        <v/>
      </c>
      <c r="V177" s="7" t="n"/>
      <c r="W177" s="7">
        <f>T177+'A-TRY'!W177</f>
        <v/>
      </c>
      <c r="X177" s="7">
        <f>U177+'A-TRY'!X177</f>
        <v/>
      </c>
      <c r="Y177" s="7" t="n"/>
      <c r="Z177" s="7">
        <f>W177+'A-TRY'!Z177</f>
        <v/>
      </c>
      <c r="AA177" s="7">
        <f>X177+'A-TRY'!AA177</f>
        <v/>
      </c>
      <c r="AB177" s="7" t="n"/>
      <c r="AC177" s="7">
        <f>Z177+'A-TRY'!AC177</f>
        <v/>
      </c>
      <c r="AD177" s="7">
        <f>AA177+'A-TRY'!AD177</f>
        <v/>
      </c>
      <c r="AE177" s="7" t="n"/>
      <c r="AF177" s="7">
        <f>AC177+'A-TRY'!AF177</f>
        <v/>
      </c>
      <c r="AG177" s="7">
        <f>AD177+'A-TRY'!AG177</f>
        <v/>
      </c>
      <c r="AH177" s="7" t="n"/>
      <c r="AI177" s="7">
        <f>AF177+'A-TRY'!AI177</f>
        <v/>
      </c>
      <c r="AJ177" s="7">
        <f>AG177+'A-TRY'!AJ177</f>
        <v/>
      </c>
      <c r="AK177" s="7" t="n"/>
      <c r="AL177" s="21">
        <f>AP177-AO177</f>
        <v/>
      </c>
      <c r="AM177" s="22">
        <f>AP177/AO177-1</f>
        <v/>
      </c>
      <c r="AO177" s="44">
        <f>IF($A$1=$B$1,B177,IF($A$1=$E$1,E177,IF($A$1=$H$1,H177,IF($A$1=$K$1,K177,IF($A$1=$N$1,N177,IF($A$1=$Q$1,Q177,IF($A$1=$T$1,T177,IF($A$1=$W$1,W177,IF($A$1=$Z$1,Z177,IF($A$1=$AC$1,AC177,IF($A$1=$AF$1,AF177,IF($A$1=$AI$1,AI177))))))))))))</f>
        <v/>
      </c>
      <c r="AP177" s="44">
        <f>IF($A$1=$B$1,C177,IF($A$1=$E$1,F177,IF($A$1=$H$1,I177,IF($A$1=$K$1,L177,IF($A$1=$N$1,O177,IF($A$1=$Q$1,R177,IF($A$1=$T$1,U177,IF($A$1=$W$1,X177,IF($A$1=$Z$1,AA177,IF($A$1=$AC$1,AD177,IF($A$1=$AF$1,AG177,IF($A$1=$AI$1,AJ177))))))))))))</f>
        <v/>
      </c>
    </row>
    <row r="178" ht="15.5" customHeight="1">
      <c r="A178" s="26" t="inlineStr">
        <is>
          <t>İncitaş</t>
        </is>
      </c>
      <c r="B178" s="7">
        <f>'A-TRY'!B178</f>
        <v/>
      </c>
      <c r="C178" s="7">
        <f>'A-TRY'!C178</f>
        <v/>
      </c>
      <c r="D178" s="7" t="n"/>
      <c r="E178" s="7">
        <f>B178+'A-TRY'!E178</f>
        <v/>
      </c>
      <c r="F178" s="7">
        <f>C178+'A-TRY'!F178</f>
        <v/>
      </c>
      <c r="G178" s="7" t="n"/>
      <c r="H178" s="7">
        <f>E178+'A-TRY'!H178</f>
        <v/>
      </c>
      <c r="I178" s="7">
        <f>F178+'A-TRY'!I178</f>
        <v/>
      </c>
      <c r="J178" s="7" t="n"/>
      <c r="K178" s="7">
        <f>H178+'A-TRY'!K178</f>
        <v/>
      </c>
      <c r="L178" s="7">
        <f>I178+'A-TRY'!L178</f>
        <v/>
      </c>
      <c r="M178" s="7" t="n"/>
      <c r="N178" s="7">
        <f>K178+'A-TRY'!N178</f>
        <v/>
      </c>
      <c r="O178" s="7">
        <f>L178+'A-TRY'!O178</f>
        <v/>
      </c>
      <c r="P178" s="7" t="n"/>
      <c r="Q178" s="7">
        <f>N178+'A-TRY'!Q178</f>
        <v/>
      </c>
      <c r="R178" s="7">
        <f>O178+'A-TRY'!R178</f>
        <v/>
      </c>
      <c r="S178" s="7" t="n"/>
      <c r="T178" s="7">
        <f>Q178+'A-TRY'!T178</f>
        <v/>
      </c>
      <c r="U178" s="7">
        <f>R178+'A-TRY'!U178</f>
        <v/>
      </c>
      <c r="V178" s="7" t="n"/>
      <c r="W178" s="7">
        <f>T178+'A-TRY'!W178</f>
        <v/>
      </c>
      <c r="X178" s="7">
        <f>U178+'A-TRY'!X178</f>
        <v/>
      </c>
      <c r="Y178" s="7" t="n"/>
      <c r="Z178" s="7">
        <f>W178+'A-TRY'!Z178</f>
        <v/>
      </c>
      <c r="AA178" s="7">
        <f>X178+'A-TRY'!AA178</f>
        <v/>
      </c>
      <c r="AB178" s="7" t="n"/>
      <c r="AC178" s="7">
        <f>Z178+'A-TRY'!AC178</f>
        <v/>
      </c>
      <c r="AD178" s="7">
        <f>AA178+'A-TRY'!AD178</f>
        <v/>
      </c>
      <c r="AE178" s="7" t="n"/>
      <c r="AF178" s="7">
        <f>AC178+'A-TRY'!AF178</f>
        <v/>
      </c>
      <c r="AG178" s="7">
        <f>AD178+'A-TRY'!AG178</f>
        <v/>
      </c>
      <c r="AH178" s="7" t="n"/>
      <c r="AI178" s="7">
        <f>AF178+'A-TRY'!AI178</f>
        <v/>
      </c>
      <c r="AJ178" s="7">
        <f>AG178+'A-TRY'!AJ178</f>
        <v/>
      </c>
      <c r="AK178" s="7" t="n"/>
      <c r="AL178" s="21">
        <f>AP178-AO178</f>
        <v/>
      </c>
      <c r="AM178" s="22">
        <f>AP178/AO178-1</f>
        <v/>
      </c>
      <c r="AO178" s="44">
        <f>IF($A$1=$B$1,B178,IF($A$1=$E$1,E178,IF($A$1=$H$1,H178,IF($A$1=$K$1,K178,IF($A$1=$N$1,N178,IF($A$1=$Q$1,Q178,IF($A$1=$T$1,T178,IF($A$1=$W$1,W178,IF($A$1=$Z$1,Z178,IF($A$1=$AC$1,AC178,IF($A$1=$AF$1,AF178,IF($A$1=$AI$1,AI178))))))))))))</f>
        <v/>
      </c>
      <c r="AP178" s="44">
        <f>IF($A$1=$B$1,C178,IF($A$1=$E$1,F178,IF($A$1=$H$1,I178,IF($A$1=$K$1,L178,IF($A$1=$N$1,O178,IF($A$1=$Q$1,R178,IF($A$1=$T$1,U178,IF($A$1=$W$1,X178,IF($A$1=$Z$1,AA178,IF($A$1=$AC$1,AD178,IF($A$1=$AF$1,AG178,IF($A$1=$AI$1,AJ178))))))))))))</f>
        <v/>
      </c>
    </row>
    <row r="179" ht="15.5" customHeight="1">
      <c r="A179" s="26" t="inlineStr">
        <is>
          <t>İnci GS Yuasa</t>
        </is>
      </c>
      <c r="B179" s="7">
        <f>'A-TRY'!B179</f>
        <v/>
      </c>
      <c r="C179" s="7">
        <f>'A-TRY'!C179</f>
        <v/>
      </c>
      <c r="D179" s="7" t="n"/>
      <c r="E179" s="7">
        <f>B179+'A-TRY'!E179</f>
        <v/>
      </c>
      <c r="F179" s="7">
        <f>C179+'A-TRY'!F179</f>
        <v/>
      </c>
      <c r="G179" s="7" t="n"/>
      <c r="H179" s="7">
        <f>E179+'A-TRY'!H179</f>
        <v/>
      </c>
      <c r="I179" s="7">
        <f>F179+'A-TRY'!I179</f>
        <v/>
      </c>
      <c r="J179" s="7" t="n"/>
      <c r="K179" s="7">
        <f>H179+'A-TRY'!K179</f>
        <v/>
      </c>
      <c r="L179" s="7">
        <f>I179+'A-TRY'!L179</f>
        <v/>
      </c>
      <c r="M179" s="7" t="n"/>
      <c r="N179" s="7">
        <f>K179+'A-TRY'!N179</f>
        <v/>
      </c>
      <c r="O179" s="7">
        <f>L179+'A-TRY'!O179</f>
        <v/>
      </c>
      <c r="P179" s="7" t="n"/>
      <c r="Q179" s="7">
        <f>N179+'A-TRY'!Q179</f>
        <v/>
      </c>
      <c r="R179" s="7">
        <f>O179+'A-TRY'!R179</f>
        <v/>
      </c>
      <c r="S179" s="7" t="n"/>
      <c r="T179" s="7">
        <f>Q179+'A-TRY'!T179</f>
        <v/>
      </c>
      <c r="U179" s="7">
        <f>R179+'A-TRY'!U179</f>
        <v/>
      </c>
      <c r="V179" s="7" t="n"/>
      <c r="W179" s="7">
        <f>T179+'A-TRY'!W179</f>
        <v/>
      </c>
      <c r="X179" s="7">
        <f>U179+'A-TRY'!X179</f>
        <v/>
      </c>
      <c r="Y179" s="7" t="n"/>
      <c r="Z179" s="7">
        <f>W179+'A-TRY'!Z179</f>
        <v/>
      </c>
      <c r="AA179" s="7">
        <f>X179+'A-TRY'!AA179</f>
        <v/>
      </c>
      <c r="AB179" s="7" t="n"/>
      <c r="AC179" s="7">
        <f>Z179+'A-TRY'!AC179</f>
        <v/>
      </c>
      <c r="AD179" s="7">
        <f>AA179+'A-TRY'!AD179</f>
        <v/>
      </c>
      <c r="AE179" s="7" t="n"/>
      <c r="AF179" s="7">
        <f>AC179+'A-TRY'!AF179</f>
        <v/>
      </c>
      <c r="AG179" s="7">
        <f>AD179+'A-TRY'!AG179</f>
        <v/>
      </c>
      <c r="AH179" s="7" t="n"/>
      <c r="AI179" s="7">
        <f>AF179+'A-TRY'!AI179</f>
        <v/>
      </c>
      <c r="AJ179" s="7">
        <f>AG179+'A-TRY'!AJ179</f>
        <v/>
      </c>
      <c r="AK179" s="7" t="n"/>
      <c r="AL179" s="21">
        <f>AP179-AO179</f>
        <v/>
      </c>
      <c r="AM179" s="22">
        <f>AP179/AO179-1</f>
        <v/>
      </c>
      <c r="AO179" s="44">
        <f>IF($A$1=$B$1,B179,IF($A$1=$E$1,E179,IF($A$1=$H$1,H179,IF($A$1=$K$1,K179,IF($A$1=$N$1,N179,IF($A$1=$Q$1,Q179,IF($A$1=$T$1,T179,IF($A$1=$W$1,W179,IF($A$1=$Z$1,Z179,IF($A$1=$AC$1,AC179,IF($A$1=$AF$1,AF179,IF($A$1=$AI$1,AI179))))))))))))</f>
        <v/>
      </c>
      <c r="AP179" s="44">
        <f>IF($A$1=$B$1,C179,IF($A$1=$E$1,F179,IF($A$1=$H$1,I179,IF($A$1=$K$1,L179,IF($A$1=$N$1,O179,IF($A$1=$Q$1,R179,IF($A$1=$T$1,U179,IF($A$1=$W$1,X179,IF($A$1=$Z$1,AA179,IF($A$1=$AC$1,AD179,IF($A$1=$AF$1,AG179,IF($A$1=$AI$1,AJ179))))))))))))</f>
        <v/>
      </c>
    </row>
    <row r="180" ht="15.5" customFormat="1" customHeight="1" s="1">
      <c r="A180" s="26" t="inlineStr">
        <is>
          <t>Yusen İnci Loj.</t>
        </is>
      </c>
      <c r="B180" s="7">
        <f>'A-TRY'!B180</f>
        <v/>
      </c>
      <c r="C180" s="7">
        <f>'A-TRY'!C180</f>
        <v/>
      </c>
      <c r="D180" s="8" t="n"/>
      <c r="E180" s="7">
        <f>B180+'A-TRY'!E180</f>
        <v/>
      </c>
      <c r="F180" s="7">
        <f>C180+'A-TRY'!F180</f>
        <v/>
      </c>
      <c r="G180" s="8" t="n"/>
      <c r="H180" s="7">
        <f>E180+'A-TRY'!H180</f>
        <v/>
      </c>
      <c r="I180" s="7">
        <f>F180+'A-TRY'!I180</f>
        <v/>
      </c>
      <c r="J180" s="8" t="n"/>
      <c r="K180" s="7">
        <f>H180+'A-TRY'!K180</f>
        <v/>
      </c>
      <c r="L180" s="7">
        <f>I180+'A-TRY'!L180</f>
        <v/>
      </c>
      <c r="M180" s="8" t="n"/>
      <c r="N180" s="7">
        <f>K180+'A-TRY'!N180</f>
        <v/>
      </c>
      <c r="O180" s="7">
        <f>L180+'A-TRY'!O180</f>
        <v/>
      </c>
      <c r="P180" s="8" t="n"/>
      <c r="Q180" s="7">
        <f>N180+'A-TRY'!Q180</f>
        <v/>
      </c>
      <c r="R180" s="7">
        <f>O180+'A-TRY'!R180</f>
        <v/>
      </c>
      <c r="S180" s="8" t="n"/>
      <c r="T180" s="7">
        <f>Q180+'A-TRY'!T180</f>
        <v/>
      </c>
      <c r="U180" s="7">
        <f>R180+'A-TRY'!U180</f>
        <v/>
      </c>
      <c r="V180" s="8" t="n"/>
      <c r="W180" s="7">
        <f>T180+'A-TRY'!W180</f>
        <v/>
      </c>
      <c r="X180" s="7">
        <f>U180+'A-TRY'!X180</f>
        <v/>
      </c>
      <c r="Y180" s="8" t="n"/>
      <c r="Z180" s="7">
        <f>W180+'A-TRY'!Z180</f>
        <v/>
      </c>
      <c r="AA180" s="7">
        <f>X180+'A-TRY'!AA180</f>
        <v/>
      </c>
      <c r="AB180" s="8" t="n"/>
      <c r="AC180" s="7">
        <f>Z180+'A-TRY'!AC180</f>
        <v/>
      </c>
      <c r="AD180" s="7">
        <f>AA180+'A-TRY'!AD180</f>
        <v/>
      </c>
      <c r="AE180" s="8" t="n"/>
      <c r="AF180" s="7">
        <f>AC180+'A-TRY'!AF180</f>
        <v/>
      </c>
      <c r="AG180" s="7">
        <f>AD180+'A-TRY'!AG180</f>
        <v/>
      </c>
      <c r="AH180" s="8" t="n"/>
      <c r="AI180" s="7">
        <f>AF180+'A-TRY'!AI180</f>
        <v/>
      </c>
      <c r="AJ180" s="7">
        <f>AG180+'A-TRY'!AJ180</f>
        <v/>
      </c>
      <c r="AK180" s="8" t="n"/>
      <c r="AL180" s="21">
        <f>AP180-AO180</f>
        <v/>
      </c>
      <c r="AM180" s="22">
        <f>AP180/AO180-1</f>
        <v/>
      </c>
      <c r="AO180" s="44">
        <f>IF($A$1=$B$1,B180,IF($A$1=$E$1,E180,IF($A$1=$H$1,H180,IF($A$1=$K$1,K180,IF($A$1=$N$1,N180,IF($A$1=$Q$1,Q180,IF($A$1=$T$1,T180,IF($A$1=$W$1,W180,IF($A$1=$Z$1,Z180,IF($A$1=$AC$1,AC180,IF($A$1=$AF$1,AF180,IF($A$1=$AI$1,AI180))))))))))))</f>
        <v/>
      </c>
      <c r="AP180" s="44">
        <f>IF($A$1=$B$1,C180,IF($A$1=$E$1,F180,IF($A$1=$H$1,I180,IF($A$1=$K$1,L180,IF($A$1=$N$1,O180,IF($A$1=$Q$1,R180,IF($A$1=$T$1,U180,IF($A$1=$W$1,X180,IF($A$1=$Z$1,AA180,IF($A$1=$AC$1,AD180,IF($A$1=$AF$1,AG180,IF($A$1=$AI$1,AJ180))))))))))))</f>
        <v/>
      </c>
    </row>
    <row r="181" ht="15.5" customHeight="1">
      <c r="A181" s="26" t="inlineStr">
        <is>
          <t>Jantaş</t>
        </is>
      </c>
      <c r="B181" s="7">
        <f>'A-TRY'!B181</f>
        <v/>
      </c>
      <c r="C181" s="7">
        <f>'A-TRY'!C181</f>
        <v/>
      </c>
      <c r="D181" s="7" t="n"/>
      <c r="E181" s="7">
        <f>B181+'A-TRY'!E181</f>
        <v/>
      </c>
      <c r="F181" s="7">
        <f>C181+'A-TRY'!F181</f>
        <v/>
      </c>
      <c r="G181" s="7" t="n"/>
      <c r="H181" s="7">
        <f>E181+'A-TRY'!H181</f>
        <v/>
      </c>
      <c r="I181" s="7">
        <f>F181+'A-TRY'!I181</f>
        <v/>
      </c>
      <c r="J181" s="7" t="n"/>
      <c r="K181" s="7">
        <f>H181+'A-TRY'!K181</f>
        <v/>
      </c>
      <c r="L181" s="7">
        <f>I181+'A-TRY'!L181</f>
        <v/>
      </c>
      <c r="M181" s="7" t="n"/>
      <c r="N181" s="7">
        <f>K181+'A-TRY'!N181</f>
        <v/>
      </c>
      <c r="O181" s="7">
        <f>L181+'A-TRY'!O181</f>
        <v/>
      </c>
      <c r="P181" s="7" t="n"/>
      <c r="Q181" s="7">
        <f>N181+'A-TRY'!Q181</f>
        <v/>
      </c>
      <c r="R181" s="7">
        <f>O181+'A-TRY'!R181</f>
        <v/>
      </c>
      <c r="S181" s="7" t="n"/>
      <c r="T181" s="7">
        <f>Q181+'A-TRY'!T181</f>
        <v/>
      </c>
      <c r="U181" s="7">
        <f>R181+'A-TRY'!U181</f>
        <v/>
      </c>
      <c r="V181" s="7" t="n"/>
      <c r="W181" s="7">
        <f>T181+'A-TRY'!W181</f>
        <v/>
      </c>
      <c r="X181" s="7">
        <f>U181+'A-TRY'!X181</f>
        <v/>
      </c>
      <c r="Y181" s="7" t="n"/>
      <c r="Z181" s="7">
        <f>W181+'A-TRY'!Z181</f>
        <v/>
      </c>
      <c r="AA181" s="7">
        <f>X181+'A-TRY'!AA181</f>
        <v/>
      </c>
      <c r="AB181" s="7" t="n"/>
      <c r="AC181" s="7">
        <f>Z181+'A-TRY'!AC181</f>
        <v/>
      </c>
      <c r="AD181" s="7">
        <f>AA181+'A-TRY'!AD181</f>
        <v/>
      </c>
      <c r="AE181" s="7" t="n"/>
      <c r="AF181" s="7">
        <f>AC181+'A-TRY'!AF181</f>
        <v/>
      </c>
      <c r="AG181" s="7">
        <f>AD181+'A-TRY'!AG181</f>
        <v/>
      </c>
      <c r="AH181" s="7" t="n"/>
      <c r="AI181" s="7">
        <f>AF181+'A-TRY'!AI181</f>
        <v/>
      </c>
      <c r="AJ181" s="7">
        <f>AG181+'A-TRY'!AJ181</f>
        <v/>
      </c>
      <c r="AK181" s="7" t="n"/>
      <c r="AL181" s="21">
        <f>AP181-AO181</f>
        <v/>
      </c>
      <c r="AM181" s="22">
        <f>AP181/AO181-1</f>
        <v/>
      </c>
      <c r="AO181" s="44">
        <f>IF($A$1=$B$1,B181,IF($A$1=$E$1,E181,IF($A$1=$H$1,H181,IF($A$1=$K$1,K181,IF($A$1=$N$1,N181,IF($A$1=$Q$1,Q181,IF($A$1=$T$1,T181,IF($A$1=$W$1,W181,IF($A$1=$Z$1,Z181,IF($A$1=$AC$1,AC181,IF($A$1=$AF$1,AF181,IF($A$1=$AI$1,AI181))))))))))))</f>
        <v/>
      </c>
      <c r="AP181" s="44">
        <f>IF($A$1=$B$1,C181,IF($A$1=$E$1,F181,IF($A$1=$H$1,I181,IF($A$1=$K$1,L181,IF($A$1=$N$1,O181,IF($A$1=$Q$1,R181,IF($A$1=$T$1,U181,IF($A$1=$W$1,X181,IF($A$1=$Z$1,AA181,IF($A$1=$AC$1,AD181,IF($A$1=$AF$1,AG181,IF($A$1=$AI$1,AJ181))))))))))))</f>
        <v/>
      </c>
    </row>
    <row r="182" ht="15.5" customHeight="1">
      <c r="A182" s="26" t="inlineStr">
        <is>
          <t>Çelik</t>
        </is>
      </c>
      <c r="B182" s="7">
        <f>'A-TRY'!B182</f>
        <v/>
      </c>
      <c r="C182" s="7">
        <f>'A-TRY'!C182</f>
        <v/>
      </c>
      <c r="D182" s="7" t="n"/>
      <c r="E182" s="7">
        <f>B182+'A-TRY'!E182</f>
        <v/>
      </c>
      <c r="F182" s="7">
        <f>C182+'A-TRY'!F182</f>
        <v/>
      </c>
      <c r="G182" s="7" t="n"/>
      <c r="H182" s="7">
        <f>E182+'A-TRY'!H182</f>
        <v/>
      </c>
      <c r="I182" s="7">
        <f>F182+'A-TRY'!I182</f>
        <v/>
      </c>
      <c r="J182" s="7" t="n"/>
      <c r="K182" s="7">
        <f>H182+'A-TRY'!K182</f>
        <v/>
      </c>
      <c r="L182" s="7">
        <f>I182+'A-TRY'!L182</f>
        <v/>
      </c>
      <c r="M182" s="7" t="n"/>
      <c r="N182" s="7">
        <f>K182+'A-TRY'!N182</f>
        <v/>
      </c>
      <c r="O182" s="7">
        <f>L182+'A-TRY'!O182</f>
        <v/>
      </c>
      <c r="P182" s="7" t="n"/>
      <c r="Q182" s="7">
        <f>N182+'A-TRY'!Q182</f>
        <v/>
      </c>
      <c r="R182" s="7">
        <f>O182+'A-TRY'!R182</f>
        <v/>
      </c>
      <c r="S182" s="7" t="n"/>
      <c r="T182" s="7">
        <f>Q182+'A-TRY'!T182</f>
        <v/>
      </c>
      <c r="U182" s="7">
        <f>R182+'A-TRY'!U182</f>
        <v/>
      </c>
      <c r="V182" s="7" t="n"/>
      <c r="W182" s="7">
        <f>T182+'A-TRY'!W182</f>
        <v/>
      </c>
      <c r="X182" s="7">
        <f>U182+'A-TRY'!X182</f>
        <v/>
      </c>
      <c r="Y182" s="7" t="n"/>
      <c r="Z182" s="7">
        <f>W182+'A-TRY'!Z182</f>
        <v/>
      </c>
      <c r="AA182" s="7">
        <f>X182+'A-TRY'!AA182</f>
        <v/>
      </c>
      <c r="AB182" s="7" t="n"/>
      <c r="AC182" s="7">
        <f>Z182+'A-TRY'!AC182</f>
        <v/>
      </c>
      <c r="AD182" s="7">
        <f>AA182+'A-TRY'!AD182</f>
        <v/>
      </c>
      <c r="AE182" s="7" t="n"/>
      <c r="AF182" s="7">
        <f>AC182+'A-TRY'!AF182</f>
        <v/>
      </c>
      <c r="AG182" s="7">
        <f>AD182+'A-TRY'!AG182</f>
        <v/>
      </c>
      <c r="AH182" s="7" t="n"/>
      <c r="AI182" s="7">
        <f>AF182+'A-TRY'!AI182</f>
        <v/>
      </c>
      <c r="AJ182" s="7">
        <f>AG182+'A-TRY'!AJ182</f>
        <v/>
      </c>
      <c r="AK182" s="7" t="n"/>
      <c r="AL182" s="21">
        <f>AP182-AO182</f>
        <v/>
      </c>
      <c r="AM182" s="22">
        <f>AP182/AO182-1</f>
        <v/>
      </c>
      <c r="AO182" s="44">
        <f>IF($A$1=$B$1,B182,IF($A$1=$E$1,E182,IF($A$1=$H$1,H182,IF($A$1=$K$1,K182,IF($A$1=$N$1,N182,IF($A$1=$Q$1,Q182,IF($A$1=$T$1,T182,IF($A$1=$W$1,W182,IF($A$1=$Z$1,Z182,IF($A$1=$AC$1,AC182,IF($A$1=$AF$1,AF182,IF($A$1=$AI$1,AI182))))))))))))</f>
        <v/>
      </c>
      <c r="AP182" s="44">
        <f>IF($A$1=$B$1,C182,IF($A$1=$E$1,F182,IF($A$1=$H$1,I182,IF($A$1=$K$1,L182,IF($A$1=$N$1,O182,IF($A$1=$Q$1,R182,IF($A$1=$T$1,U182,IF($A$1=$W$1,X182,IF($A$1=$Z$1,AA182,IF($A$1=$AC$1,AD182,IF($A$1=$AF$1,AG182,IF($A$1=$AI$1,AJ182))))))))))))</f>
        <v/>
      </c>
    </row>
    <row r="183" ht="15.5" customHeight="1">
      <c r="A183" s="26" t="inlineStr">
        <is>
          <t>Alüminyum</t>
        </is>
      </c>
      <c r="B183" s="7">
        <f>'A-TRY'!B183</f>
        <v/>
      </c>
      <c r="C183" s="7">
        <f>'A-TRY'!C183</f>
        <v/>
      </c>
      <c r="D183" s="7" t="n"/>
      <c r="E183" s="7">
        <f>B183+'A-TRY'!E183</f>
        <v/>
      </c>
      <c r="F183" s="7">
        <f>C183+'A-TRY'!F183</f>
        <v/>
      </c>
      <c r="G183" s="7" t="n"/>
      <c r="H183" s="7">
        <f>E183+'A-TRY'!H183</f>
        <v/>
      </c>
      <c r="I183" s="7">
        <f>F183+'A-TRY'!I183</f>
        <v/>
      </c>
      <c r="J183" s="7" t="n"/>
      <c r="K183" s="7">
        <f>H183+'A-TRY'!K183</f>
        <v/>
      </c>
      <c r="L183" s="7">
        <f>I183+'A-TRY'!L183</f>
        <v/>
      </c>
      <c r="M183" s="7" t="n"/>
      <c r="N183" s="7">
        <f>K183+'A-TRY'!N183</f>
        <v/>
      </c>
      <c r="O183" s="7">
        <f>L183+'A-TRY'!O183</f>
        <v/>
      </c>
      <c r="P183" s="7" t="n"/>
      <c r="Q183" s="7">
        <f>N183+'A-TRY'!Q183</f>
        <v/>
      </c>
      <c r="R183" s="7">
        <f>O183+'A-TRY'!R183</f>
        <v/>
      </c>
      <c r="S183" s="7" t="n"/>
      <c r="T183" s="7">
        <f>Q183+'A-TRY'!T183</f>
        <v/>
      </c>
      <c r="U183" s="7">
        <f>R183+'A-TRY'!U183</f>
        <v/>
      </c>
      <c r="V183" s="7" t="n"/>
      <c r="W183" s="7">
        <f>T183+'A-TRY'!W183</f>
        <v/>
      </c>
      <c r="X183" s="7">
        <f>U183+'A-TRY'!X183</f>
        <v/>
      </c>
      <c r="Y183" s="7" t="n"/>
      <c r="Z183" s="7">
        <f>W183+'A-TRY'!Z183</f>
        <v/>
      </c>
      <c r="AA183" s="7">
        <f>X183+'A-TRY'!AA183</f>
        <v/>
      </c>
      <c r="AB183" s="7" t="n"/>
      <c r="AC183" s="7">
        <f>Z183+'A-TRY'!AC183</f>
        <v/>
      </c>
      <c r="AD183" s="7">
        <f>AA183+'A-TRY'!AD183</f>
        <v/>
      </c>
      <c r="AE183" s="7" t="n"/>
      <c r="AF183" s="7">
        <f>AC183+'A-TRY'!AF183</f>
        <v/>
      </c>
      <c r="AG183" s="7">
        <f>AD183+'A-TRY'!AG183</f>
        <v/>
      </c>
      <c r="AH183" s="7" t="n"/>
      <c r="AI183" s="7">
        <f>AF183+'A-TRY'!AI183</f>
        <v/>
      </c>
      <c r="AJ183" s="7">
        <f>AG183+'A-TRY'!AJ183</f>
        <v/>
      </c>
      <c r="AK183" s="7" t="n"/>
      <c r="AL183" s="21">
        <f>AP183-AO183</f>
        <v/>
      </c>
      <c r="AM183" s="22">
        <f>AP183/AO183-1</f>
        <v/>
      </c>
      <c r="AO183" s="44">
        <f>IF($A$1=$B$1,B183,IF($A$1=$E$1,E183,IF($A$1=$H$1,H183,IF($A$1=$K$1,K183,IF($A$1=$N$1,N183,IF($A$1=$Q$1,Q183,IF($A$1=$T$1,T183,IF($A$1=$W$1,W183,IF($A$1=$Z$1,Z183,IF($A$1=$AC$1,AC183,IF($A$1=$AF$1,AF183,IF($A$1=$AI$1,AI183))))))))))))</f>
        <v/>
      </c>
      <c r="AP183" s="44">
        <f>IF($A$1=$B$1,C183,IF($A$1=$E$1,F183,IF($A$1=$H$1,I183,IF($A$1=$K$1,L183,IF($A$1=$N$1,O183,IF($A$1=$Q$1,R183,IF($A$1=$T$1,U183,IF($A$1=$W$1,X183,IF($A$1=$Z$1,AA183,IF($A$1=$AC$1,AD183,IF($A$1=$AF$1,AG183,IF($A$1=$AI$1,AJ183))))))))))))</f>
        <v/>
      </c>
    </row>
    <row r="184" ht="15.5" customFormat="1" customHeight="1" s="13">
      <c r="A184" s="26" t="n"/>
      <c r="B184" s="12" t="n"/>
      <c r="C184" s="30" t="n"/>
      <c r="D184" s="41" t="n"/>
      <c r="E184" s="12" t="n"/>
      <c r="F184" s="30" t="n"/>
      <c r="G184" s="41" t="n"/>
      <c r="H184" s="12" t="n"/>
      <c r="I184" s="30" t="n"/>
      <c r="J184" s="41" t="n"/>
      <c r="K184" s="12" t="n"/>
      <c r="L184" s="30" t="n"/>
      <c r="M184" s="41" t="n"/>
      <c r="N184" s="12" t="n"/>
      <c r="O184" s="30" t="n"/>
      <c r="P184" s="41" t="n"/>
      <c r="Q184" s="12" t="n"/>
      <c r="R184" s="30" t="n"/>
      <c r="S184" s="41" t="n"/>
      <c r="T184" s="12" t="n"/>
      <c r="U184" s="30" t="n"/>
      <c r="V184" s="41" t="n"/>
      <c r="W184" s="12" t="n"/>
      <c r="X184" s="30" t="n"/>
      <c r="Y184" s="41" t="n"/>
      <c r="Z184" s="12" t="n"/>
      <c r="AA184" s="30" t="n"/>
      <c r="AB184" s="41" t="n"/>
      <c r="AC184" s="12" t="n"/>
      <c r="AD184" s="30" t="n"/>
      <c r="AE184" s="41" t="n"/>
      <c r="AF184" s="12" t="n"/>
      <c r="AG184" s="30" t="n"/>
      <c r="AH184" s="41" t="n"/>
      <c r="AI184" s="12" t="n"/>
      <c r="AJ184" s="30" t="n"/>
      <c r="AK184" s="41" t="n"/>
      <c r="AL184" s="15" t="n"/>
      <c r="AM184" s="22" t="n"/>
      <c r="AO184" s="44" t="n"/>
      <c r="AP184" s="44" t="n"/>
    </row>
    <row r="185" ht="15.5" customFormat="1" customHeight="1" s="13">
      <c r="A185" s="26" t="n"/>
      <c r="B185" s="12" t="n"/>
      <c r="C185" s="30" t="n"/>
      <c r="D185" s="41" t="n"/>
      <c r="E185" s="12" t="n"/>
      <c r="F185" s="30" t="n"/>
      <c r="G185" s="41" t="n"/>
      <c r="H185" s="12" t="n"/>
      <c r="I185" s="30" t="n"/>
      <c r="J185" s="41" t="n"/>
      <c r="K185" s="12" t="n"/>
      <c r="L185" s="30" t="n"/>
      <c r="M185" s="41" t="n"/>
      <c r="N185" s="12" t="n"/>
      <c r="O185" s="30" t="n"/>
      <c r="P185" s="41" t="n"/>
      <c r="Q185" s="12" t="n"/>
      <c r="R185" s="30" t="n"/>
      <c r="S185" s="41" t="n"/>
      <c r="T185" s="12" t="n"/>
      <c r="U185" s="30" t="n"/>
      <c r="V185" s="41" t="n"/>
      <c r="W185" s="12" t="n"/>
      <c r="X185" s="30" t="n"/>
      <c r="Y185" s="41" t="n"/>
      <c r="Z185" s="12" t="n"/>
      <c r="AA185" s="30" t="n"/>
      <c r="AB185" s="41" t="n"/>
      <c r="AC185" s="12" t="n"/>
      <c r="AD185" s="30" t="n"/>
      <c r="AE185" s="41" t="n"/>
      <c r="AF185" s="12" t="n"/>
      <c r="AG185" s="30" t="n"/>
      <c r="AH185" s="41" t="n"/>
      <c r="AI185" s="12" t="n"/>
      <c r="AJ185" s="30" t="n"/>
      <c r="AK185" s="41" t="n"/>
      <c r="AL185" s="15" t="n"/>
      <c r="AM185" s="22" t="n"/>
      <c r="AO185" s="44" t="n"/>
      <c r="AP185" s="44" t="n"/>
    </row>
    <row r="186" ht="15.5" customFormat="1" customHeight="1" s="44">
      <c r="A186" s="31" t="inlineStr">
        <is>
          <t>VÖK</t>
        </is>
      </c>
      <c r="B186" s="32">
        <f>'A-TRY'!B186</f>
        <v/>
      </c>
      <c r="C186" s="32">
        <f>'A-TRY'!C186</f>
        <v/>
      </c>
      <c r="D186" s="18" t="n"/>
      <c r="E186" s="32">
        <f>B186+'A-TRY'!E186</f>
        <v/>
      </c>
      <c r="F186" s="32">
        <f>C186+'A-TRY'!F186</f>
        <v/>
      </c>
      <c r="G186" s="18" t="n"/>
      <c r="H186" s="32">
        <f>E186+'A-TRY'!H186</f>
        <v/>
      </c>
      <c r="I186" s="32">
        <f>F186+'A-TRY'!I186</f>
        <v/>
      </c>
      <c r="J186" s="18" t="n"/>
      <c r="K186" s="32">
        <f>H186+'A-TRY'!K186</f>
        <v/>
      </c>
      <c r="L186" s="32">
        <f>I186+'A-TRY'!L186</f>
        <v/>
      </c>
      <c r="M186" s="18" t="n"/>
      <c r="N186" s="32">
        <f>K186+'A-TRY'!N186</f>
        <v/>
      </c>
      <c r="O186" s="32">
        <f>L186+'A-TRY'!O186</f>
        <v/>
      </c>
      <c r="P186" s="18" t="n"/>
      <c r="Q186" s="32">
        <f>N186+'A-TRY'!Q186</f>
        <v/>
      </c>
      <c r="R186" s="32">
        <f>O186+'A-TRY'!R186</f>
        <v/>
      </c>
      <c r="S186" s="18" t="n"/>
      <c r="T186" s="32">
        <f>Q186+'A-TRY'!T186</f>
        <v/>
      </c>
      <c r="U186" s="32">
        <f>R186+'A-TRY'!U186</f>
        <v/>
      </c>
      <c r="V186" s="18" t="n"/>
      <c r="W186" s="32">
        <f>T186+'A-TRY'!W186</f>
        <v/>
      </c>
      <c r="X186" s="32">
        <f>U186+'A-TRY'!X186</f>
        <v/>
      </c>
      <c r="Y186" s="18" t="n"/>
      <c r="Z186" s="32">
        <f>W186+'A-TRY'!Z186</f>
        <v/>
      </c>
      <c r="AA186" s="32">
        <f>X186+'A-TRY'!AA186</f>
        <v/>
      </c>
      <c r="AB186" s="18" t="n"/>
      <c r="AC186" s="32">
        <f>Z186+'A-TRY'!AC186</f>
        <v/>
      </c>
      <c r="AD186" s="32">
        <f>AA186+'A-TRY'!AD186</f>
        <v/>
      </c>
      <c r="AE186" s="18" t="n"/>
      <c r="AF186" s="32">
        <f>AC186+'A-TRY'!AF186</f>
        <v/>
      </c>
      <c r="AG186" s="32">
        <f>AD186+'A-TRY'!AG186</f>
        <v/>
      </c>
      <c r="AH186" s="18" t="n"/>
      <c r="AI186" s="32">
        <f>AF186+'A-TRY'!AI186</f>
        <v/>
      </c>
      <c r="AJ186" s="32">
        <f>AG186+'A-TRY'!AJ186</f>
        <v/>
      </c>
      <c r="AK186" s="18" t="n"/>
      <c r="AL186" s="33">
        <f>AP186-AO186</f>
        <v/>
      </c>
      <c r="AM186" s="34">
        <f>AP186/AO186-1</f>
        <v/>
      </c>
      <c r="AO186" s="44">
        <f>IF($A$1=$B$1,B186,IF($A$1=$E$1,E186,IF($A$1=$H$1,H186,IF($A$1=$K$1,K186,IF($A$1=$N$1,N186,IF($A$1=$Q$1,Q186,IF($A$1=$T$1,T186,IF($A$1=$W$1,W186,IF($A$1=$Z$1,Z186,IF($A$1=$AC$1,AC186,IF($A$1=$AF$1,AF186,IF($A$1=$AI$1,AI186))))))))))))</f>
        <v/>
      </c>
      <c r="AP186" s="44">
        <f>IF($A$1=$B$1,C186,IF($A$1=$E$1,F186,IF($A$1=$H$1,I186,IF($A$1=$K$1,L186,IF($A$1=$N$1,O186,IF($A$1=$Q$1,R186,IF($A$1=$T$1,U186,IF($A$1=$W$1,X186,IF($A$1=$Z$1,AA186,IF($A$1=$AC$1,AD186,IF($A$1=$AF$1,AG186,IF($A$1=$AI$1,AJ186))))))))))))</f>
        <v/>
      </c>
    </row>
    <row r="187" ht="15.5" customFormat="1" customHeight="1" s="13">
      <c r="A187" s="27" t="n"/>
      <c r="B187" s="30" t="n"/>
      <c r="C187" s="30">
        <f>IFERROR((C144/#REF!),"")</f>
        <v/>
      </c>
      <c r="D187" s="41" t="n"/>
      <c r="E187" s="30" t="n"/>
      <c r="F187" s="30">
        <f>IFERROR((F144/#REF!),"")</f>
        <v/>
      </c>
      <c r="G187" s="41" t="n"/>
      <c r="H187" s="30" t="n"/>
      <c r="I187" s="30">
        <f>IFERROR((I144/#REF!),"")</f>
        <v/>
      </c>
      <c r="J187" s="41" t="n"/>
      <c r="K187" s="30" t="n"/>
      <c r="L187" s="30">
        <f>IFERROR((L144/#REF!),"")</f>
        <v/>
      </c>
      <c r="M187" s="41" t="n"/>
      <c r="N187" s="30" t="n"/>
      <c r="O187" s="30">
        <f>IFERROR((O144/#REF!),"")</f>
        <v/>
      </c>
      <c r="P187" s="41" t="n"/>
      <c r="Q187" s="30" t="n"/>
      <c r="R187" s="30">
        <f>IFERROR((R144/#REF!),"")</f>
        <v/>
      </c>
      <c r="S187" s="41" t="n"/>
      <c r="T187" s="30" t="n"/>
      <c r="U187" s="30">
        <f>IFERROR((U144/#REF!),"")</f>
        <v/>
      </c>
      <c r="V187" s="41" t="n"/>
      <c r="W187" s="30" t="n"/>
      <c r="X187" s="30">
        <f>IFERROR((X144/#REF!),"")</f>
        <v/>
      </c>
      <c r="Y187" s="41" t="n"/>
      <c r="Z187" s="30" t="n"/>
      <c r="AA187" s="30">
        <f>IFERROR((AA144/#REF!),"")</f>
        <v/>
      </c>
      <c r="AB187" s="41" t="n"/>
      <c r="AC187" s="30" t="n"/>
      <c r="AD187" s="30">
        <f>IFERROR((AD144/#REF!),"")</f>
        <v/>
      </c>
      <c r="AE187" s="41" t="n"/>
      <c r="AF187" s="30" t="n"/>
      <c r="AG187" s="30">
        <f>IFERROR((AG144/#REF!),"")</f>
        <v/>
      </c>
      <c r="AH187" s="41" t="n"/>
      <c r="AI187" s="30" t="n"/>
      <c r="AJ187" s="30">
        <f>IFERROR((AJ144/#REF!),"")</f>
        <v/>
      </c>
      <c r="AK187" s="41" t="n"/>
      <c r="AL187" s="15" t="n"/>
      <c r="AM187" s="22" t="n"/>
      <c r="AO187" s="44">
        <f>IF($A$1=$B$1,B187,IF($A$1=$E$1,E187,IF($A$1=$H$1,H187,IF($A$1=$K$1,K187,IF($A$1=$N$1,N187,IF($A$1=$Q$1,Q187,IF($A$1=$T$1,T187,IF($A$1=$W$1,W187,IF($A$1=$Z$1,Z187,IF($A$1=$AC$1,AC187,IF($A$1=$AF$1,AF187,IF($A$1=$AI$1,AI187))))))))))))</f>
        <v/>
      </c>
      <c r="AP187" s="44">
        <f>IF($A$1=$B$1,C187,IF($A$1=$E$1,F187,IF($A$1=$H$1,I187,IF($A$1=$K$1,L187,IF($A$1=$N$1,O187,IF($A$1=$Q$1,R187,IF($A$1=$T$1,U187,IF($A$1=$W$1,X187,IF($A$1=$Z$1,AA187,IF($A$1=$AC$1,AD187,IF($A$1=$AF$1,AG187,IF($A$1=$AI$1,AJ187))))))))))))</f>
        <v/>
      </c>
    </row>
    <row r="188" ht="17" customFormat="1" customHeight="1" s="49">
      <c r="A188" s="47" t="inlineStr">
        <is>
          <t>VÖK (100%)</t>
        </is>
      </c>
      <c r="B188" s="413" t="n"/>
      <c r="C188" s="413" t="n"/>
      <c r="D188" s="413" t="n"/>
      <c r="E188" s="413" t="n"/>
      <c r="F188" s="413" t="n"/>
      <c r="G188" s="413" t="n"/>
      <c r="H188" s="413" t="n"/>
      <c r="I188" s="413" t="n"/>
      <c r="J188" s="413" t="n"/>
      <c r="K188" s="413" t="n"/>
      <c r="L188" s="413" t="n"/>
      <c r="M188" s="413" t="n"/>
      <c r="N188" s="413" t="n"/>
      <c r="O188" s="413" t="n"/>
      <c r="P188" s="413" t="n"/>
      <c r="Q188" s="413" t="n"/>
      <c r="R188" s="413" t="n"/>
      <c r="S188" s="413" t="n"/>
      <c r="T188" s="413" t="n"/>
      <c r="U188" s="413" t="n"/>
      <c r="V188" s="413" t="n"/>
      <c r="W188" s="413" t="n"/>
      <c r="X188" s="413" t="n"/>
      <c r="Y188" s="413" t="n"/>
      <c r="Z188" s="413" t="n"/>
      <c r="AA188" s="413" t="n"/>
      <c r="AB188" s="413" t="n"/>
      <c r="AC188" s="413" t="n"/>
      <c r="AD188" s="413" t="n"/>
      <c r="AE188" s="413" t="n"/>
      <c r="AF188" s="413" t="n"/>
      <c r="AG188" s="413" t="n"/>
      <c r="AH188" s="413" t="n"/>
      <c r="AI188" s="413" t="n"/>
      <c r="AJ188" s="413" t="n"/>
      <c r="AK188" s="413" t="n"/>
      <c r="AL188" s="413" t="n"/>
      <c r="AM188" s="48" t="n"/>
    </row>
    <row r="189" ht="15.5" customHeight="1">
      <c r="A189" s="26" t="inlineStr">
        <is>
          <t xml:space="preserve">İnci Holding </t>
        </is>
      </c>
      <c r="B189" s="7">
        <f>'A-TRY'!B189</f>
        <v/>
      </c>
      <c r="C189" s="7">
        <f>'A-TRY'!C189</f>
        <v/>
      </c>
      <c r="D189" s="7" t="n"/>
      <c r="E189" s="7">
        <f>B189+'A-TRY'!E189</f>
        <v/>
      </c>
      <c r="F189" s="7">
        <f>C189+'A-TRY'!F189</f>
        <v/>
      </c>
      <c r="G189" s="7" t="n"/>
      <c r="H189" s="7">
        <f>E189+'A-TRY'!H189</f>
        <v/>
      </c>
      <c r="I189" s="7">
        <f>F189+'A-TRY'!I189</f>
        <v/>
      </c>
      <c r="J189" s="7" t="n"/>
      <c r="K189" s="7">
        <f>H189+'A-TRY'!K189</f>
        <v/>
      </c>
      <c r="L189" s="7">
        <f>I189+'A-TRY'!L189</f>
        <v/>
      </c>
      <c r="M189" s="7" t="n"/>
      <c r="N189" s="7">
        <f>K189+'A-TRY'!N189</f>
        <v/>
      </c>
      <c r="O189" s="7">
        <f>L189+'A-TRY'!O189</f>
        <v/>
      </c>
      <c r="P189" s="7" t="n"/>
      <c r="Q189" s="7">
        <f>N189+'A-TRY'!Q189</f>
        <v/>
      </c>
      <c r="R189" s="7">
        <f>O189+'A-TRY'!R189</f>
        <v/>
      </c>
      <c r="S189" s="7" t="n"/>
      <c r="T189" s="7">
        <f>Q189+'A-TRY'!T189</f>
        <v/>
      </c>
      <c r="U189" s="7">
        <f>R189+'A-TRY'!U189</f>
        <v/>
      </c>
      <c r="V189" s="7" t="n"/>
      <c r="W189" s="7">
        <f>T189+'A-TRY'!W189</f>
        <v/>
      </c>
      <c r="X189" s="7">
        <f>U189+'A-TRY'!X189</f>
        <v/>
      </c>
      <c r="Y189" s="7" t="n"/>
      <c r="Z189" s="7">
        <f>W189+'A-TRY'!Z189</f>
        <v/>
      </c>
      <c r="AA189" s="7">
        <f>X189+'A-TRY'!AA189</f>
        <v/>
      </c>
      <c r="AB189" s="7" t="n"/>
      <c r="AC189" s="7">
        <f>Z189+'A-TRY'!AC189</f>
        <v/>
      </c>
      <c r="AD189" s="7">
        <f>AA189+'A-TRY'!AD189</f>
        <v/>
      </c>
      <c r="AE189" s="7" t="n"/>
      <c r="AF189" s="7">
        <f>AC189+'A-TRY'!AF189</f>
        <v/>
      </c>
      <c r="AG189" s="7">
        <f>AD189+'A-TRY'!AG189</f>
        <v/>
      </c>
      <c r="AH189" s="7" t="n"/>
      <c r="AI189" s="7">
        <f>AF189+'A-TRY'!AI189</f>
        <v/>
      </c>
      <c r="AJ189" s="7">
        <f>AG189+'A-TRY'!AJ189</f>
        <v/>
      </c>
      <c r="AK189" s="7" t="n"/>
      <c r="AL189" s="21">
        <f>AP189-AO189</f>
        <v/>
      </c>
      <c r="AM189" s="22">
        <f>AP189/AO189-1</f>
        <v/>
      </c>
      <c r="AO189" s="44">
        <f>IF($A$1=$B$1,B189,IF($A$1=$E$1,E189,IF($A$1=$H$1,H189,IF($A$1=$K$1,K189,IF($A$1=$N$1,N189,IF($A$1=$Q$1,Q189,IF($A$1=$T$1,T189,IF($A$1=$W$1,W189,IF($A$1=$Z$1,Z189,IF($A$1=$AC$1,AC189,IF($A$1=$AF$1,AF189,IF($A$1=$AI$1,AI189))))))))))))</f>
        <v/>
      </c>
      <c r="AP189" s="44">
        <f>IF($A$1=$B$1,C189,IF($A$1=$E$1,F189,IF($A$1=$H$1,I189,IF($A$1=$K$1,L189,IF($A$1=$N$1,O189,IF($A$1=$Q$1,R189,IF($A$1=$T$1,U189,IF($A$1=$W$1,X189,IF($A$1=$Z$1,AA189,IF($A$1=$AC$1,AD189,IF($A$1=$AF$1,AG189,IF($A$1=$AI$1,AJ189))))))))))))</f>
        <v/>
      </c>
    </row>
    <row r="190" ht="15.5" customHeight="1">
      <c r="A190" s="26" t="inlineStr">
        <is>
          <t xml:space="preserve">ISM </t>
        </is>
      </c>
      <c r="B190" s="7">
        <f>'A-TRY'!B190</f>
        <v/>
      </c>
      <c r="C190" s="7">
        <f>'A-TRY'!C190</f>
        <v/>
      </c>
      <c r="D190" s="7" t="n"/>
      <c r="E190" s="7">
        <f>B190+'A-TRY'!E190</f>
        <v/>
      </c>
      <c r="F190" s="7">
        <f>C190+'A-TRY'!F190</f>
        <v/>
      </c>
      <c r="G190" s="7" t="n"/>
      <c r="H190" s="7">
        <f>E190+'A-TRY'!H190</f>
        <v/>
      </c>
      <c r="I190" s="7">
        <f>F190+'A-TRY'!I190</f>
        <v/>
      </c>
      <c r="J190" s="7" t="n"/>
      <c r="K190" s="7">
        <f>H190+'A-TRY'!K190</f>
        <v/>
      </c>
      <c r="L190" s="7">
        <f>I190+'A-TRY'!L190</f>
        <v/>
      </c>
      <c r="M190" s="7" t="n"/>
      <c r="N190" s="7">
        <f>K190+'A-TRY'!N190</f>
        <v/>
      </c>
      <c r="O190" s="7">
        <f>L190+'A-TRY'!O190</f>
        <v/>
      </c>
      <c r="P190" s="7" t="n"/>
      <c r="Q190" s="7">
        <f>N190+'A-TRY'!Q190</f>
        <v/>
      </c>
      <c r="R190" s="7">
        <f>O190+'A-TRY'!R190</f>
        <v/>
      </c>
      <c r="S190" s="7" t="n"/>
      <c r="T190" s="7">
        <f>Q190+'A-TRY'!T190</f>
        <v/>
      </c>
      <c r="U190" s="7">
        <f>R190+'A-TRY'!U190</f>
        <v/>
      </c>
      <c r="V190" s="7" t="n"/>
      <c r="W190" s="7">
        <f>T190+'A-TRY'!W190</f>
        <v/>
      </c>
      <c r="X190" s="7">
        <f>U190+'A-TRY'!X190</f>
        <v/>
      </c>
      <c r="Y190" s="7" t="n"/>
      <c r="Z190" s="7">
        <f>W190+'A-TRY'!Z190</f>
        <v/>
      </c>
      <c r="AA190" s="7">
        <f>X190+'A-TRY'!AA190</f>
        <v/>
      </c>
      <c r="AB190" s="7" t="n"/>
      <c r="AC190" s="7">
        <f>Z190+'A-TRY'!AC190</f>
        <v/>
      </c>
      <c r="AD190" s="7">
        <f>AA190+'A-TRY'!AD190</f>
        <v/>
      </c>
      <c r="AE190" s="7" t="n"/>
      <c r="AF190" s="7">
        <f>AC190+'A-TRY'!AF190</f>
        <v/>
      </c>
      <c r="AG190" s="7">
        <f>AD190+'A-TRY'!AG190</f>
        <v/>
      </c>
      <c r="AH190" s="7" t="n"/>
      <c r="AI190" s="7">
        <f>AF190+'A-TRY'!AI190</f>
        <v/>
      </c>
      <c r="AJ190" s="7">
        <f>AG190+'A-TRY'!AJ190</f>
        <v/>
      </c>
      <c r="AK190" s="7" t="n"/>
      <c r="AL190" s="21">
        <f>AP190-AO190</f>
        <v/>
      </c>
      <c r="AM190" s="22">
        <f>AP190/AO190-1</f>
        <v/>
      </c>
      <c r="AO190" s="44">
        <f>IF($A$1=$B$1,B190,IF($A$1=$E$1,E190,IF($A$1=$H$1,H190,IF($A$1=$K$1,K190,IF($A$1=$N$1,N190,IF($A$1=$Q$1,Q190,IF($A$1=$T$1,T190,IF($A$1=$W$1,W190,IF($A$1=$Z$1,Z190,IF($A$1=$AC$1,AC190,IF($A$1=$AF$1,AF190,IF($A$1=$AI$1,AI190))))))))))))</f>
        <v/>
      </c>
      <c r="AP190" s="44">
        <f>IF($A$1=$B$1,C190,IF($A$1=$E$1,F190,IF($A$1=$H$1,I190,IF($A$1=$K$1,L190,IF($A$1=$N$1,O190,IF($A$1=$Q$1,R190,IF($A$1=$T$1,U190,IF($A$1=$W$1,X190,IF($A$1=$Z$1,AA190,IF($A$1=$AC$1,AD190,IF($A$1=$AF$1,AG190,IF($A$1=$AI$1,AJ190))))))))))))</f>
        <v/>
      </c>
    </row>
    <row r="191" ht="15.5" customHeight="1">
      <c r="A191" s="26" t="inlineStr">
        <is>
          <t>İncitaş</t>
        </is>
      </c>
      <c r="B191" s="7">
        <f>'A-TRY'!B191</f>
        <v/>
      </c>
      <c r="C191" s="7">
        <f>'A-TRY'!C191</f>
        <v/>
      </c>
      <c r="D191" s="7" t="n"/>
      <c r="E191" s="7">
        <f>B191+'A-TRY'!E191</f>
        <v/>
      </c>
      <c r="F191" s="7">
        <f>C191+'A-TRY'!F191</f>
        <v/>
      </c>
      <c r="G191" s="7" t="n"/>
      <c r="H191" s="7">
        <f>E191+'A-TRY'!H191</f>
        <v/>
      </c>
      <c r="I191" s="7">
        <f>F191+'A-TRY'!I191</f>
        <v/>
      </c>
      <c r="J191" s="7" t="n"/>
      <c r="K191" s="7">
        <f>H191+'A-TRY'!K191</f>
        <v/>
      </c>
      <c r="L191" s="7">
        <f>I191+'A-TRY'!L191</f>
        <v/>
      </c>
      <c r="M191" s="7" t="n"/>
      <c r="N191" s="7">
        <f>K191+'A-TRY'!N191</f>
        <v/>
      </c>
      <c r="O191" s="7">
        <f>L191+'A-TRY'!O191</f>
        <v/>
      </c>
      <c r="P191" s="7" t="n"/>
      <c r="Q191" s="7">
        <f>N191+'A-TRY'!Q191</f>
        <v/>
      </c>
      <c r="R191" s="7">
        <f>O191+'A-TRY'!R191</f>
        <v/>
      </c>
      <c r="S191" s="7" t="n"/>
      <c r="T191" s="7">
        <f>Q191+'A-TRY'!T191</f>
        <v/>
      </c>
      <c r="U191" s="7">
        <f>R191+'A-TRY'!U191</f>
        <v/>
      </c>
      <c r="V191" s="7" t="n"/>
      <c r="W191" s="7">
        <f>T191+'A-TRY'!W191</f>
        <v/>
      </c>
      <c r="X191" s="7">
        <f>U191+'A-TRY'!X191</f>
        <v/>
      </c>
      <c r="Y191" s="7" t="n"/>
      <c r="Z191" s="7">
        <f>W191+'A-TRY'!Z191</f>
        <v/>
      </c>
      <c r="AA191" s="7">
        <f>X191+'A-TRY'!AA191</f>
        <v/>
      </c>
      <c r="AB191" s="7" t="n"/>
      <c r="AC191" s="7">
        <f>Z191+'A-TRY'!AC191</f>
        <v/>
      </c>
      <c r="AD191" s="7">
        <f>AA191+'A-TRY'!AD191</f>
        <v/>
      </c>
      <c r="AE191" s="7" t="n"/>
      <c r="AF191" s="7">
        <f>AC191+'A-TRY'!AF191</f>
        <v/>
      </c>
      <c r="AG191" s="7">
        <f>AD191+'A-TRY'!AG191</f>
        <v/>
      </c>
      <c r="AH191" s="7" t="n"/>
      <c r="AI191" s="7">
        <f>AF191+'A-TRY'!AI191</f>
        <v/>
      </c>
      <c r="AJ191" s="7">
        <f>AG191+'A-TRY'!AJ191</f>
        <v/>
      </c>
      <c r="AK191" s="7" t="n"/>
      <c r="AL191" s="21">
        <f>AP191-AO191</f>
        <v/>
      </c>
      <c r="AM191" s="22">
        <f>AP191/AO191-1</f>
        <v/>
      </c>
      <c r="AO191" s="44">
        <f>IF($A$1=$B$1,B191,IF($A$1=$E$1,E191,IF($A$1=$H$1,H191,IF($A$1=$K$1,K191,IF($A$1=$N$1,N191,IF($A$1=$Q$1,Q191,IF($A$1=$T$1,T191,IF($A$1=$W$1,W191,IF($A$1=$Z$1,Z191,IF($A$1=$AC$1,AC191,IF($A$1=$AF$1,AF191,IF($A$1=$AI$1,AI191))))))))))))</f>
        <v/>
      </c>
      <c r="AP191" s="44">
        <f>IF($A$1=$B$1,C191,IF($A$1=$E$1,F191,IF($A$1=$H$1,I191,IF($A$1=$K$1,L191,IF($A$1=$N$1,O191,IF($A$1=$Q$1,R191,IF($A$1=$T$1,U191,IF($A$1=$W$1,X191,IF($A$1=$Z$1,AA191,IF($A$1=$AC$1,AD191,IF($A$1=$AF$1,AG191,IF($A$1=$AI$1,AJ191))))))))))))</f>
        <v/>
      </c>
    </row>
    <row r="192" ht="15.5" customHeight="1">
      <c r="A192" s="26" t="inlineStr">
        <is>
          <t>İnci GS Yuasa</t>
        </is>
      </c>
      <c r="B192" s="7">
        <f>'A-TRY'!B192</f>
        <v/>
      </c>
      <c r="C192" s="7">
        <f>'A-TRY'!C192</f>
        <v/>
      </c>
      <c r="D192" s="7" t="n"/>
      <c r="E192" s="7">
        <f>B192+'A-TRY'!E192</f>
        <v/>
      </c>
      <c r="F192" s="7">
        <f>C192+'A-TRY'!F192</f>
        <v/>
      </c>
      <c r="G192" s="7" t="n"/>
      <c r="H192" s="7">
        <f>E192+'A-TRY'!H192</f>
        <v/>
      </c>
      <c r="I192" s="7">
        <f>F192+'A-TRY'!I192</f>
        <v/>
      </c>
      <c r="J192" s="7" t="n"/>
      <c r="K192" s="7">
        <f>H192+'A-TRY'!K192</f>
        <v/>
      </c>
      <c r="L192" s="7">
        <f>I192+'A-TRY'!L192</f>
        <v/>
      </c>
      <c r="M192" s="7" t="n"/>
      <c r="N192" s="7">
        <f>K192+'A-TRY'!N192</f>
        <v/>
      </c>
      <c r="O192" s="7">
        <f>L192+'A-TRY'!O192</f>
        <v/>
      </c>
      <c r="P192" s="7" t="n"/>
      <c r="Q192" s="7">
        <f>N192+'A-TRY'!Q192</f>
        <v/>
      </c>
      <c r="R192" s="7">
        <f>O192+'A-TRY'!R192</f>
        <v/>
      </c>
      <c r="S192" s="5">
        <f>R192/Q192</f>
        <v/>
      </c>
      <c r="T192" s="7">
        <f>Q192+'A-TRY'!T192</f>
        <v/>
      </c>
      <c r="U192" s="7">
        <f>R192+'A-TRY'!U192</f>
        <v/>
      </c>
      <c r="V192" s="7" t="n"/>
      <c r="W192" s="7">
        <f>T192+'A-TRY'!W192</f>
        <v/>
      </c>
      <c r="X192" s="7">
        <f>U192+'A-TRY'!X192</f>
        <v/>
      </c>
      <c r="Y192" s="7" t="n"/>
      <c r="Z192" s="7">
        <f>W192+'A-TRY'!Z192</f>
        <v/>
      </c>
      <c r="AA192" s="7">
        <f>X192+'A-TRY'!AA192</f>
        <v/>
      </c>
      <c r="AB192" s="7" t="n"/>
      <c r="AC192" s="7">
        <f>Z192+'A-TRY'!AC192</f>
        <v/>
      </c>
      <c r="AD192" s="7">
        <f>AA192+'A-TRY'!AD192</f>
        <v/>
      </c>
      <c r="AE192" s="7" t="n"/>
      <c r="AF192" s="7">
        <f>AC192+'A-TRY'!AF192</f>
        <v/>
      </c>
      <c r="AG192" s="7">
        <f>AD192+'A-TRY'!AG192</f>
        <v/>
      </c>
      <c r="AH192" s="7" t="n"/>
      <c r="AI192" s="7">
        <f>AF192+'A-TRY'!AI192</f>
        <v/>
      </c>
      <c r="AJ192" s="7">
        <f>AG192+'A-TRY'!AJ192</f>
        <v/>
      </c>
      <c r="AK192" s="7" t="n"/>
      <c r="AL192" s="21">
        <f>AP192-AO192</f>
        <v/>
      </c>
      <c r="AM192" s="22">
        <f>AP192/AO192-1</f>
        <v/>
      </c>
      <c r="AO192" s="44">
        <f>IF($A$1=$B$1,B192,IF($A$1=$E$1,E192,IF($A$1=$H$1,H192,IF($A$1=$K$1,K192,IF($A$1=$N$1,N192,IF($A$1=$Q$1,Q192,IF($A$1=$T$1,T192,IF($A$1=$W$1,W192,IF($A$1=$Z$1,Z192,IF($A$1=$AC$1,AC192,IF($A$1=$AF$1,AF192,IF($A$1=$AI$1,AI192))))))))))))</f>
        <v/>
      </c>
      <c r="AP192" s="44">
        <f>IF($A$1=$B$1,C192,IF($A$1=$E$1,F192,IF($A$1=$H$1,I192,IF($A$1=$K$1,L192,IF($A$1=$N$1,O192,IF($A$1=$Q$1,R192,IF($A$1=$T$1,U192,IF($A$1=$W$1,X192,IF($A$1=$Z$1,AA192,IF($A$1=$AC$1,AD192,IF($A$1=$AF$1,AG192,IF($A$1=$AI$1,AJ192))))))))))))</f>
        <v/>
      </c>
    </row>
    <row r="193" ht="15.5" customFormat="1" customHeight="1" s="1">
      <c r="A193" s="26" t="inlineStr">
        <is>
          <t>Yusen İnci Loj.</t>
        </is>
      </c>
      <c r="B193" s="7">
        <f>'A-TRY'!B193</f>
        <v/>
      </c>
      <c r="C193" s="7">
        <f>'A-TRY'!C193</f>
        <v/>
      </c>
      <c r="D193" s="8" t="n"/>
      <c r="E193" s="7">
        <f>B193+'A-TRY'!E193</f>
        <v/>
      </c>
      <c r="F193" s="7">
        <f>C193+'A-TRY'!F193</f>
        <v/>
      </c>
      <c r="G193" s="8" t="n"/>
      <c r="H193" s="7">
        <f>E193+'A-TRY'!H193</f>
        <v/>
      </c>
      <c r="I193" s="7">
        <f>F193+'A-TRY'!I193</f>
        <v/>
      </c>
      <c r="J193" s="8" t="n"/>
      <c r="K193" s="7">
        <f>H193+'A-TRY'!K193</f>
        <v/>
      </c>
      <c r="L193" s="7">
        <f>I193+'A-TRY'!L193</f>
        <v/>
      </c>
      <c r="M193" s="8" t="n"/>
      <c r="N193" s="7">
        <f>K193+'A-TRY'!N193</f>
        <v/>
      </c>
      <c r="O193" s="7">
        <f>L193+'A-TRY'!O193</f>
        <v/>
      </c>
      <c r="P193" s="8" t="n"/>
      <c r="Q193" s="7">
        <f>N193+'A-TRY'!Q193</f>
        <v/>
      </c>
      <c r="R193" s="7">
        <f>O193+'A-TRY'!R193</f>
        <v/>
      </c>
      <c r="S193" s="8" t="n"/>
      <c r="T193" s="7">
        <f>Q193+'A-TRY'!T193</f>
        <v/>
      </c>
      <c r="U193" s="7">
        <f>R193+'A-TRY'!U193</f>
        <v/>
      </c>
      <c r="V193" s="8" t="n"/>
      <c r="W193" s="7">
        <f>T193+'A-TRY'!W193</f>
        <v/>
      </c>
      <c r="X193" s="7">
        <f>U193+'A-TRY'!X193</f>
        <v/>
      </c>
      <c r="Y193" s="8" t="n"/>
      <c r="Z193" s="7">
        <f>W193+'A-TRY'!Z193</f>
        <v/>
      </c>
      <c r="AA193" s="7">
        <f>X193+'A-TRY'!AA193</f>
        <v/>
      </c>
      <c r="AB193" s="8" t="n"/>
      <c r="AC193" s="7">
        <f>Z193+'A-TRY'!AC193</f>
        <v/>
      </c>
      <c r="AD193" s="7">
        <f>AA193+'A-TRY'!AD193</f>
        <v/>
      </c>
      <c r="AE193" s="8" t="n"/>
      <c r="AF193" s="7">
        <f>AC193+'A-TRY'!AF193</f>
        <v/>
      </c>
      <c r="AG193" s="7">
        <f>AD193+'A-TRY'!AG193</f>
        <v/>
      </c>
      <c r="AH193" s="8" t="n"/>
      <c r="AI193" s="7">
        <f>AF193+'A-TRY'!AI193</f>
        <v/>
      </c>
      <c r="AJ193" s="7">
        <f>AG193+'A-TRY'!AJ193</f>
        <v/>
      </c>
      <c r="AK193" s="8" t="n"/>
      <c r="AL193" s="21">
        <f>AP193-AO193</f>
        <v/>
      </c>
      <c r="AM193" s="22">
        <f>AP193/AO193-1</f>
        <v/>
      </c>
      <c r="AO193" s="44">
        <f>IF($A$1=$B$1,B193,IF($A$1=$E$1,E193,IF($A$1=$H$1,H193,IF($A$1=$K$1,K193,IF($A$1=$N$1,N193,IF($A$1=$Q$1,Q193,IF($A$1=$T$1,T193,IF($A$1=$W$1,W193,IF($A$1=$Z$1,Z193,IF($A$1=$AC$1,AC193,IF($A$1=$AF$1,AF193,IF($A$1=$AI$1,AI193))))))))))))</f>
        <v/>
      </c>
      <c r="AP193" s="44">
        <f>IF($A$1=$B$1,C193,IF($A$1=$E$1,F193,IF($A$1=$H$1,I193,IF($A$1=$K$1,L193,IF($A$1=$N$1,O193,IF($A$1=$Q$1,R193,IF($A$1=$T$1,U193,IF($A$1=$W$1,X193,IF($A$1=$Z$1,AA193,IF($A$1=$AC$1,AD193,IF($A$1=$AF$1,AG193,IF($A$1=$AI$1,AJ193))))))))))))</f>
        <v/>
      </c>
    </row>
    <row r="194" ht="15.5" customHeight="1">
      <c r="A194" s="26" t="inlineStr">
        <is>
          <t>Jantaş</t>
        </is>
      </c>
      <c r="B194" s="7">
        <f>'A-TRY'!B194</f>
        <v/>
      </c>
      <c r="C194" s="7">
        <f>'A-TRY'!C194</f>
        <v/>
      </c>
      <c r="D194" s="7" t="n"/>
      <c r="E194" s="7">
        <f>B194+'A-TRY'!E194</f>
        <v/>
      </c>
      <c r="F194" s="7">
        <f>C194+'A-TRY'!F194</f>
        <v/>
      </c>
      <c r="G194" s="7" t="n"/>
      <c r="H194" s="7">
        <f>E194+'A-TRY'!H194</f>
        <v/>
      </c>
      <c r="I194" s="7">
        <f>F194+'A-TRY'!I194</f>
        <v/>
      </c>
      <c r="J194" s="7" t="n"/>
      <c r="K194" s="7">
        <f>H194+'A-TRY'!K194</f>
        <v/>
      </c>
      <c r="L194" s="7">
        <f>I194+'A-TRY'!L194</f>
        <v/>
      </c>
      <c r="M194" s="7" t="n"/>
      <c r="N194" s="7">
        <f>K194+'A-TRY'!N194</f>
        <v/>
      </c>
      <c r="O194" s="7">
        <f>L194+'A-TRY'!O194</f>
        <v/>
      </c>
      <c r="P194" s="7" t="n"/>
      <c r="Q194" s="7">
        <f>N194+'A-TRY'!Q194</f>
        <v/>
      </c>
      <c r="R194" s="7">
        <f>O194+'A-TRY'!R194</f>
        <v/>
      </c>
      <c r="S194" s="7" t="n"/>
      <c r="T194" s="7">
        <f>Q194+'A-TRY'!T194</f>
        <v/>
      </c>
      <c r="U194" s="7">
        <f>R194+'A-TRY'!U194</f>
        <v/>
      </c>
      <c r="V194" s="7" t="n"/>
      <c r="W194" s="7">
        <f>T194+'A-TRY'!W194</f>
        <v/>
      </c>
      <c r="X194" s="7">
        <f>U194+'A-TRY'!X194</f>
        <v/>
      </c>
      <c r="Y194" s="7" t="n"/>
      <c r="Z194" s="7">
        <f>W194+'A-TRY'!Z194</f>
        <v/>
      </c>
      <c r="AA194" s="7">
        <f>X194+'A-TRY'!AA194</f>
        <v/>
      </c>
      <c r="AB194" s="7" t="n"/>
      <c r="AC194" s="7">
        <f>Z194+'A-TRY'!AC194</f>
        <v/>
      </c>
      <c r="AD194" s="7">
        <f>AA194+'A-TRY'!AD194</f>
        <v/>
      </c>
      <c r="AE194" s="7" t="n"/>
      <c r="AF194" s="7">
        <f>AC194+'A-TRY'!AF194</f>
        <v/>
      </c>
      <c r="AG194" s="7">
        <f>AD194+'A-TRY'!AG194</f>
        <v/>
      </c>
      <c r="AH194" s="7" t="n"/>
      <c r="AI194" s="7">
        <f>AF194+'A-TRY'!AI194</f>
        <v/>
      </c>
      <c r="AJ194" s="7">
        <f>AG194+'A-TRY'!AJ194</f>
        <v/>
      </c>
      <c r="AK194" s="7" t="n"/>
      <c r="AL194" s="21">
        <f>AP194-AO194</f>
        <v/>
      </c>
      <c r="AM194" s="22">
        <f>AP194/AO194-1</f>
        <v/>
      </c>
      <c r="AO194" s="44">
        <f>IF($A$1=$B$1,B194,IF($A$1=$E$1,E194,IF($A$1=$H$1,H194,IF($A$1=$K$1,K194,IF($A$1=$N$1,N194,IF($A$1=$Q$1,Q194,IF($A$1=$T$1,T194,IF($A$1=$W$1,W194,IF($A$1=$Z$1,Z194,IF($A$1=$AC$1,AC194,IF($A$1=$AF$1,AF194,IF($A$1=$AI$1,AI194))))))))))))</f>
        <v/>
      </c>
      <c r="AP194" s="44">
        <f>IF($A$1=$B$1,C194,IF($A$1=$E$1,F194,IF($A$1=$H$1,I194,IF($A$1=$K$1,L194,IF($A$1=$N$1,O194,IF($A$1=$Q$1,R194,IF($A$1=$T$1,U194,IF($A$1=$W$1,X194,IF($A$1=$Z$1,AA194,IF($A$1=$AC$1,AD194,IF($A$1=$AF$1,AG194,IF($A$1=$AI$1,AJ194))))))))))))</f>
        <v/>
      </c>
    </row>
    <row r="195" ht="15.5" customFormat="1" customHeight="1" s="1">
      <c r="A195" s="26" t="inlineStr">
        <is>
          <t>Çelik</t>
        </is>
      </c>
      <c r="B195" s="7">
        <f>'A-TRY'!B195</f>
        <v/>
      </c>
      <c r="C195" s="7">
        <f>'A-TRY'!C195</f>
        <v/>
      </c>
      <c r="D195" s="8" t="n"/>
      <c r="E195" s="7">
        <f>B195+'A-TRY'!E195</f>
        <v/>
      </c>
      <c r="F195" s="7">
        <f>C195+'A-TRY'!F195</f>
        <v/>
      </c>
      <c r="G195" s="8" t="n"/>
      <c r="H195" s="7">
        <f>E195+'A-TRY'!H195</f>
        <v/>
      </c>
      <c r="I195" s="7">
        <f>F195+'A-TRY'!I195</f>
        <v/>
      </c>
      <c r="J195" s="8" t="n"/>
      <c r="K195" s="7">
        <f>H195+'A-TRY'!K195</f>
        <v/>
      </c>
      <c r="L195" s="7">
        <f>I195+'A-TRY'!L195</f>
        <v/>
      </c>
      <c r="M195" s="8" t="n"/>
      <c r="N195" s="7">
        <f>K195+'A-TRY'!N195</f>
        <v/>
      </c>
      <c r="O195" s="7">
        <f>L195+'A-TRY'!O195</f>
        <v/>
      </c>
      <c r="P195" s="8" t="n"/>
      <c r="Q195" s="7">
        <f>N195+'A-TRY'!Q195</f>
        <v/>
      </c>
      <c r="R195" s="7">
        <f>O195+'A-TRY'!R195</f>
        <v/>
      </c>
      <c r="S195" s="8" t="n"/>
      <c r="T195" s="7">
        <f>Q195+'A-TRY'!T195</f>
        <v/>
      </c>
      <c r="U195" s="7">
        <f>R195+'A-TRY'!U195</f>
        <v/>
      </c>
      <c r="V195" s="8" t="n"/>
      <c r="W195" s="7">
        <f>T195+'A-TRY'!W195</f>
        <v/>
      </c>
      <c r="X195" s="7">
        <f>U195+'A-TRY'!X195</f>
        <v/>
      </c>
      <c r="Y195" s="8" t="n"/>
      <c r="Z195" s="7">
        <f>W195+'A-TRY'!Z195</f>
        <v/>
      </c>
      <c r="AA195" s="7">
        <f>X195+'A-TRY'!AA195</f>
        <v/>
      </c>
      <c r="AB195" s="8" t="n"/>
      <c r="AC195" s="7">
        <f>Z195+'A-TRY'!AC195</f>
        <v/>
      </c>
      <c r="AD195" s="7">
        <f>AA195+'A-TRY'!AD195</f>
        <v/>
      </c>
      <c r="AE195" s="8" t="n"/>
      <c r="AF195" s="7">
        <f>AC195+'A-TRY'!AF195</f>
        <v/>
      </c>
      <c r="AG195" s="7">
        <f>AD195+'A-TRY'!AG195</f>
        <v/>
      </c>
      <c r="AH195" s="8" t="n"/>
      <c r="AI195" s="7">
        <f>AF195+'A-TRY'!AI195</f>
        <v/>
      </c>
      <c r="AJ195" s="7">
        <f>AG195+'A-TRY'!AJ195</f>
        <v/>
      </c>
      <c r="AK195" s="8" t="n"/>
      <c r="AL195" s="21">
        <f>AP195-AO195</f>
        <v/>
      </c>
      <c r="AM195" s="22">
        <f>AP195/AO195-1</f>
        <v/>
      </c>
      <c r="AO195" s="44">
        <f>IF($A$1=$B$1,B195,IF($A$1=$E$1,E195,IF($A$1=$H$1,H195,IF($A$1=$K$1,K195,IF($A$1=$N$1,N195,IF($A$1=$Q$1,Q195,IF($A$1=$T$1,T195,IF($A$1=$W$1,W195,IF($A$1=$Z$1,Z195,IF($A$1=$AC$1,AC195,IF($A$1=$AF$1,AF195,IF($A$1=$AI$1,AI195))))))))))))</f>
        <v/>
      </c>
      <c r="AP195" s="44">
        <f>IF($A$1=$B$1,C195,IF($A$1=$E$1,F195,IF($A$1=$H$1,I195,IF($A$1=$K$1,L195,IF($A$1=$N$1,O195,IF($A$1=$Q$1,R195,IF($A$1=$T$1,U195,IF($A$1=$W$1,X195,IF($A$1=$Z$1,AA195,IF($A$1=$AC$1,AD195,IF($A$1=$AF$1,AG195,IF($A$1=$AI$1,AJ195))))))))))))</f>
        <v/>
      </c>
    </row>
    <row r="196" ht="15.5" customFormat="1" customHeight="1" s="1">
      <c r="A196" s="26" t="inlineStr">
        <is>
          <t>Alüminyum</t>
        </is>
      </c>
      <c r="B196" s="7">
        <f>'A-TRY'!B196</f>
        <v/>
      </c>
      <c r="C196" s="7">
        <f>'A-TRY'!C196</f>
        <v/>
      </c>
      <c r="D196" s="8" t="n"/>
      <c r="E196" s="7">
        <f>B196+'A-TRY'!E196</f>
        <v/>
      </c>
      <c r="F196" s="7">
        <f>C196+'A-TRY'!F196</f>
        <v/>
      </c>
      <c r="G196" s="8" t="n"/>
      <c r="H196" s="7">
        <f>E196+'A-TRY'!H196</f>
        <v/>
      </c>
      <c r="I196" s="7">
        <f>F196+'A-TRY'!I196</f>
        <v/>
      </c>
      <c r="J196" s="8" t="n"/>
      <c r="K196" s="7">
        <f>H196+'A-TRY'!K196</f>
        <v/>
      </c>
      <c r="L196" s="7">
        <f>I196+'A-TRY'!L196</f>
        <v/>
      </c>
      <c r="M196" s="8" t="n"/>
      <c r="N196" s="7">
        <f>K196+'A-TRY'!N196</f>
        <v/>
      </c>
      <c r="O196" s="7">
        <f>L196+'A-TRY'!O196</f>
        <v/>
      </c>
      <c r="P196" s="8" t="n"/>
      <c r="Q196" s="7">
        <f>N196+'A-TRY'!Q196</f>
        <v/>
      </c>
      <c r="R196" s="7">
        <f>O196+'A-TRY'!R196</f>
        <v/>
      </c>
      <c r="S196" s="8" t="n"/>
      <c r="T196" s="7">
        <f>Q196+'A-TRY'!T196</f>
        <v/>
      </c>
      <c r="U196" s="7">
        <f>R196+'A-TRY'!U196</f>
        <v/>
      </c>
      <c r="V196" s="8" t="n"/>
      <c r="W196" s="7">
        <f>T196+'A-TRY'!W196</f>
        <v/>
      </c>
      <c r="X196" s="7">
        <f>U196+'A-TRY'!X196</f>
        <v/>
      </c>
      <c r="Y196" s="8" t="n"/>
      <c r="Z196" s="7">
        <f>W196+'A-TRY'!Z196</f>
        <v/>
      </c>
      <c r="AA196" s="7">
        <f>X196+'A-TRY'!AA196</f>
        <v/>
      </c>
      <c r="AB196" s="8" t="n"/>
      <c r="AC196" s="7">
        <f>Z196+'A-TRY'!AC196</f>
        <v/>
      </c>
      <c r="AD196" s="7">
        <f>AA196+'A-TRY'!AD196</f>
        <v/>
      </c>
      <c r="AE196" s="8" t="n"/>
      <c r="AF196" s="7">
        <f>AC196+'A-TRY'!AF196</f>
        <v/>
      </c>
      <c r="AG196" s="7">
        <f>AD196+'A-TRY'!AG196</f>
        <v/>
      </c>
      <c r="AH196" s="8" t="n"/>
      <c r="AI196" s="7">
        <f>AF196+'A-TRY'!AI196</f>
        <v/>
      </c>
      <c r="AJ196" s="7">
        <f>AG196+'A-TRY'!AJ196</f>
        <v/>
      </c>
      <c r="AK196" s="8" t="n"/>
      <c r="AL196" s="21">
        <f>AP196-AO196</f>
        <v/>
      </c>
      <c r="AM196" s="22">
        <f>AP196/AO196-1</f>
        <v/>
      </c>
      <c r="AO196" s="44">
        <f>IF($A$1=$B$1,B196,IF($A$1=$E$1,E196,IF($A$1=$H$1,H196,IF($A$1=$K$1,K196,IF($A$1=$N$1,N196,IF($A$1=$Q$1,Q196,IF($A$1=$T$1,T196,IF($A$1=$W$1,W196,IF($A$1=$Z$1,Z196,IF($A$1=$AC$1,AC196,IF($A$1=$AF$1,AF196,IF($A$1=$AI$1,AI196))))))))))))</f>
        <v/>
      </c>
      <c r="AP196" s="44">
        <f>IF($A$1=$B$1,C196,IF($A$1=$E$1,F196,IF($A$1=$H$1,I196,IF($A$1=$K$1,L196,IF($A$1=$N$1,O196,IF($A$1=$Q$1,R196,IF($A$1=$T$1,U196,IF($A$1=$W$1,X196,IF($A$1=$Z$1,AA196,IF($A$1=$AC$1,AD196,IF($A$1=$AF$1,AG196,IF($A$1=$AI$1,AJ196))))))))))))</f>
        <v/>
      </c>
    </row>
    <row r="197" ht="15.5" customFormat="1" customHeight="1" s="1">
      <c r="A197" s="26" t="n"/>
      <c r="B197" s="7" t="n"/>
      <c r="C197" s="8" t="n"/>
      <c r="D197" s="8" t="n"/>
      <c r="E197" s="7" t="n"/>
      <c r="F197" s="8" t="n"/>
      <c r="G197" s="8" t="n"/>
      <c r="H197" s="7" t="n"/>
      <c r="I197" s="8" t="n"/>
      <c r="J197" s="8" t="n"/>
      <c r="K197" s="7" t="n"/>
      <c r="L197" s="8" t="n"/>
      <c r="M197" s="8" t="n"/>
      <c r="N197" s="7" t="n"/>
      <c r="O197" s="8" t="n"/>
      <c r="P197" s="8" t="n"/>
      <c r="Q197" s="7" t="n"/>
      <c r="R197" s="8" t="n"/>
      <c r="S197" s="8" t="n"/>
      <c r="T197" s="7" t="n"/>
      <c r="U197" s="8" t="n"/>
      <c r="V197" s="8" t="n"/>
      <c r="W197" s="7" t="n"/>
      <c r="X197" s="8" t="n"/>
      <c r="Y197" s="8" t="n"/>
      <c r="Z197" s="7" t="n"/>
      <c r="AA197" s="8" t="n"/>
      <c r="AB197" s="8" t="n"/>
      <c r="AC197" s="7" t="n"/>
      <c r="AD197" s="8" t="n"/>
      <c r="AE197" s="8" t="n"/>
      <c r="AF197" s="7" t="n"/>
      <c r="AG197" s="8" t="n"/>
      <c r="AH197" s="8" t="n"/>
      <c r="AI197" s="7" t="n"/>
      <c r="AJ197" s="8" t="n"/>
      <c r="AK197" s="8" t="n"/>
      <c r="AL197" s="15" t="n"/>
      <c r="AM197" s="16" t="n"/>
      <c r="AO197" s="44" t="n"/>
      <c r="AP197" s="44" t="n"/>
    </row>
    <row r="198" ht="15.5" customFormat="1" customHeight="1" s="1">
      <c r="A198" s="26" t="n"/>
      <c r="B198" s="7" t="n"/>
      <c r="C198" s="8" t="n"/>
      <c r="D198" s="8" t="n"/>
      <c r="E198" s="7" t="n"/>
      <c r="F198" s="8" t="n"/>
      <c r="G198" s="8" t="n"/>
      <c r="H198" s="7" t="n"/>
      <c r="I198" s="8" t="n"/>
      <c r="J198" s="8" t="n"/>
      <c r="K198" s="7" t="n"/>
      <c r="L198" s="8" t="n"/>
      <c r="M198" s="8" t="n"/>
      <c r="N198" s="7" t="n"/>
      <c r="O198" s="8" t="n"/>
      <c r="P198" s="8" t="n"/>
      <c r="Q198" s="7" t="n"/>
      <c r="R198" s="8" t="n"/>
      <c r="S198" s="8" t="n"/>
      <c r="T198" s="7" t="n"/>
      <c r="U198" s="8" t="n"/>
      <c r="V198" s="8" t="n"/>
      <c r="W198" s="7" t="n"/>
      <c r="X198" s="8" t="n"/>
      <c r="Y198" s="8" t="n"/>
      <c r="Z198" s="7" t="n"/>
      <c r="AA198" s="8" t="n"/>
      <c r="AB198" s="8" t="n"/>
      <c r="AC198" s="7" t="n"/>
      <c r="AD198" s="8" t="n"/>
      <c r="AE198" s="8" t="n"/>
      <c r="AF198" s="7" t="n"/>
      <c r="AG198" s="8" t="n"/>
      <c r="AH198" s="8" t="n"/>
      <c r="AI198" s="7" t="n"/>
      <c r="AJ198" s="8" t="n"/>
      <c r="AK198" s="8" t="n"/>
      <c r="AL198" s="15" t="n"/>
      <c r="AM198" s="16" t="n"/>
      <c r="AO198" s="44" t="n"/>
      <c r="AP198" s="44" t="n"/>
    </row>
    <row r="199" ht="15.5" customFormat="1" customHeight="1" s="44">
      <c r="A199" s="31" t="inlineStr">
        <is>
          <t>Vergi</t>
        </is>
      </c>
      <c r="B199" s="32">
        <f>'A-TRY'!B199</f>
        <v/>
      </c>
      <c r="C199" s="32">
        <f>'A-TRY'!C199</f>
        <v/>
      </c>
      <c r="D199" s="18" t="n"/>
      <c r="E199" s="32">
        <f>B199+'A-TRY'!E199</f>
        <v/>
      </c>
      <c r="F199" s="32">
        <f>C199+'A-TRY'!F199</f>
        <v/>
      </c>
      <c r="G199" s="18" t="n"/>
      <c r="H199" s="32">
        <f>E199+'A-TRY'!H199</f>
        <v/>
      </c>
      <c r="I199" s="32">
        <f>F199+'A-TRY'!I199</f>
        <v/>
      </c>
      <c r="J199" s="18" t="n"/>
      <c r="K199" s="32">
        <f>H199+'A-TRY'!K199</f>
        <v/>
      </c>
      <c r="L199" s="32">
        <f>I199+'A-TRY'!L199</f>
        <v/>
      </c>
      <c r="M199" s="18" t="n"/>
      <c r="N199" s="32">
        <f>K199+'A-TRY'!N199</f>
        <v/>
      </c>
      <c r="O199" s="32">
        <f>L199+'A-TRY'!O199</f>
        <v/>
      </c>
      <c r="P199" s="18" t="n"/>
      <c r="Q199" s="32">
        <f>N199+'A-TRY'!Q199</f>
        <v/>
      </c>
      <c r="R199" s="32">
        <f>O199+'A-TRY'!R199</f>
        <v/>
      </c>
      <c r="S199" s="18" t="n"/>
      <c r="T199" s="32">
        <f>Q199+'A-TRY'!T199</f>
        <v/>
      </c>
      <c r="U199" s="32">
        <f>R199+'A-TRY'!U199</f>
        <v/>
      </c>
      <c r="V199" s="18" t="n"/>
      <c r="W199" s="32">
        <f>T199+'A-TRY'!W199</f>
        <v/>
      </c>
      <c r="X199" s="32">
        <f>U199+'A-TRY'!X199</f>
        <v/>
      </c>
      <c r="Y199" s="18" t="n"/>
      <c r="Z199" s="32">
        <f>W199+'A-TRY'!Z199</f>
        <v/>
      </c>
      <c r="AA199" s="32">
        <f>X199+'A-TRY'!AA199</f>
        <v/>
      </c>
      <c r="AB199" s="18" t="n"/>
      <c r="AC199" s="32">
        <f>Z199+'A-TRY'!AC199</f>
        <v/>
      </c>
      <c r="AD199" s="32">
        <f>AA199+'A-TRY'!AD199</f>
        <v/>
      </c>
      <c r="AE199" s="18" t="n"/>
      <c r="AF199" s="32">
        <f>AC199+'A-TRY'!AF199</f>
        <v/>
      </c>
      <c r="AG199" s="32">
        <f>AD199+'A-TRY'!AG199</f>
        <v/>
      </c>
      <c r="AH199" s="18" t="n"/>
      <c r="AI199" s="32">
        <f>AF199+'A-TRY'!AI199</f>
        <v/>
      </c>
      <c r="AJ199" s="32">
        <f>AG199+'A-TRY'!AJ199</f>
        <v/>
      </c>
      <c r="AK199" s="18" t="n"/>
      <c r="AL199" s="33">
        <f>AP199-AO199</f>
        <v/>
      </c>
      <c r="AM199" s="34">
        <f>AP199/AO199-1</f>
        <v/>
      </c>
      <c r="AO199" s="44">
        <f>IF($A$1=$B$1,B199,IF($A$1=$E$1,E199,IF($A$1=$H$1,H199,IF($A$1=$K$1,K199,IF($A$1=$N$1,N199,IF($A$1=$Q$1,Q199,IF($A$1=$T$1,T199,IF($A$1=$W$1,W199,IF($A$1=$Z$1,Z199,IF($A$1=$AC$1,AC199,IF($A$1=$AF$1,AF199,IF($A$1=$AI$1,AI199))))))))))))</f>
        <v/>
      </c>
      <c r="AP199" s="44">
        <f>IF($A$1=$B$1,C199,IF($A$1=$E$1,F199,IF($A$1=$H$1,I199,IF($A$1=$K$1,L199,IF($A$1=$N$1,O199,IF($A$1=$Q$1,R199,IF($A$1=$T$1,U199,IF($A$1=$W$1,X199,IF($A$1=$Z$1,AA199,IF($A$1=$AC$1,AD199,IF($A$1=$AF$1,AG199,IF($A$1=$AI$1,AJ199))))))))))))</f>
        <v/>
      </c>
    </row>
    <row r="200" ht="15.5" customFormat="1" customHeight="1" s="13">
      <c r="A200" s="27" t="n"/>
      <c r="B200" s="30" t="n"/>
      <c r="C200" s="30">
        <f>IFERROR((C157/#REF!),"")</f>
        <v/>
      </c>
      <c r="D200" s="41" t="n"/>
      <c r="E200" s="30" t="n"/>
      <c r="F200" s="30">
        <f>IFERROR((F157/#REF!),"")</f>
        <v/>
      </c>
      <c r="G200" s="41" t="n"/>
      <c r="H200" s="30" t="n"/>
      <c r="I200" s="30">
        <f>IFERROR((I157/#REF!),"")</f>
        <v/>
      </c>
      <c r="J200" s="41" t="n"/>
      <c r="K200" s="30" t="n"/>
      <c r="L200" s="30">
        <f>IFERROR((L157/#REF!),"")</f>
        <v/>
      </c>
      <c r="M200" s="41" t="n"/>
      <c r="N200" s="30" t="n"/>
      <c r="O200" s="30">
        <f>IFERROR((O157/#REF!),"")</f>
        <v/>
      </c>
      <c r="P200" s="41" t="n"/>
      <c r="Q200" s="30" t="n"/>
      <c r="R200" s="30">
        <f>IFERROR((R157/#REF!),"")</f>
        <v/>
      </c>
      <c r="S200" s="41" t="n"/>
      <c r="T200" s="30" t="n"/>
      <c r="U200" s="30">
        <f>IFERROR((U157/#REF!),"")</f>
        <v/>
      </c>
      <c r="V200" s="41" t="n"/>
      <c r="W200" s="30" t="n"/>
      <c r="X200" s="30">
        <f>IFERROR((X157/#REF!),"")</f>
        <v/>
      </c>
      <c r="Y200" s="41" t="n"/>
      <c r="Z200" s="30" t="n"/>
      <c r="AA200" s="30">
        <f>IFERROR((AA157/#REF!),"")</f>
        <v/>
      </c>
      <c r="AB200" s="41" t="n"/>
      <c r="AC200" s="30" t="n"/>
      <c r="AD200" s="30">
        <f>IFERROR((AD157/#REF!),"")</f>
        <v/>
      </c>
      <c r="AE200" s="41" t="n"/>
      <c r="AF200" s="30" t="n"/>
      <c r="AG200" s="30">
        <f>IFERROR((AG157/#REF!),"")</f>
        <v/>
      </c>
      <c r="AH200" s="41" t="n"/>
      <c r="AI200" s="30" t="n"/>
      <c r="AJ200" s="30">
        <f>IFERROR((AJ157/#REF!),"")</f>
        <v/>
      </c>
      <c r="AK200" s="41" t="n"/>
      <c r="AL200" s="15" t="n"/>
      <c r="AM200" s="22" t="n"/>
      <c r="AO200" s="44">
        <f>IF($A$1=$B$1,B200,IF($A$1=$E$1,E200,IF($A$1=$H$1,H200,IF($A$1=$K$1,K200,IF($A$1=$N$1,N200,IF($A$1=$Q$1,Q200,IF($A$1=$T$1,T200,IF($A$1=$W$1,W200,IF($A$1=$Z$1,Z200,IF($A$1=$AC$1,AC200,IF($A$1=$AF$1,AF200,IF($A$1=$AI$1,AI200))))))))))))</f>
        <v/>
      </c>
      <c r="AP200" s="44">
        <f>IF($A$1=$B$1,C200,IF($A$1=$E$1,F200,IF($A$1=$H$1,I200,IF($A$1=$K$1,L200,IF($A$1=$N$1,O200,IF($A$1=$Q$1,R200,IF($A$1=$T$1,U200,IF($A$1=$W$1,X200,IF($A$1=$Z$1,AA200,IF($A$1=$AC$1,AD200,IF($A$1=$AF$1,AG200,IF($A$1=$AI$1,AJ200))))))))))))</f>
        <v/>
      </c>
    </row>
    <row r="201" ht="17" customFormat="1" customHeight="1" s="49">
      <c r="A201" s="47" t="inlineStr">
        <is>
          <t>Vergi (100%)</t>
        </is>
      </c>
      <c r="B201" s="413" t="n"/>
      <c r="C201" s="413" t="n"/>
      <c r="D201" s="413" t="n"/>
      <c r="E201" s="413" t="n"/>
      <c r="F201" s="413" t="n"/>
      <c r="G201" s="413" t="n"/>
      <c r="H201" s="413" t="n"/>
      <c r="I201" s="413" t="n"/>
      <c r="J201" s="413" t="n"/>
      <c r="K201" s="413" t="n"/>
      <c r="L201" s="413" t="n"/>
      <c r="M201" s="413" t="n"/>
      <c r="N201" s="413" t="n"/>
      <c r="O201" s="413" t="n"/>
      <c r="P201" s="413" t="n"/>
      <c r="Q201" s="413" t="n"/>
      <c r="R201" s="413" t="n"/>
      <c r="S201" s="413" t="n"/>
      <c r="T201" s="413" t="n"/>
      <c r="U201" s="413" t="n"/>
      <c r="V201" s="413" t="n"/>
      <c r="W201" s="413" t="n"/>
      <c r="X201" s="413" t="n"/>
      <c r="Y201" s="413" t="n"/>
      <c r="Z201" s="413" t="n"/>
      <c r="AA201" s="413" t="n"/>
      <c r="AB201" s="413" t="n"/>
      <c r="AC201" s="413" t="n"/>
      <c r="AD201" s="413" t="n"/>
      <c r="AE201" s="413" t="n"/>
      <c r="AF201" s="413" t="n"/>
      <c r="AG201" s="413" t="n"/>
      <c r="AH201" s="413" t="n"/>
      <c r="AI201" s="413" t="n"/>
      <c r="AJ201" s="413" t="n"/>
      <c r="AK201" s="413" t="n"/>
      <c r="AL201" s="413" t="n"/>
      <c r="AM201" s="48" t="n"/>
    </row>
    <row r="202" ht="15.5" customHeight="1">
      <c r="A202" s="26" t="inlineStr">
        <is>
          <t xml:space="preserve">İnci Holding </t>
        </is>
      </c>
      <c r="B202" s="7">
        <f>'A-TRY'!B202</f>
        <v/>
      </c>
      <c r="C202" s="7">
        <f>'A-TRY'!C202</f>
        <v/>
      </c>
      <c r="D202" s="7" t="n"/>
      <c r="E202" s="7">
        <f>B202+'A-TRY'!E202</f>
        <v/>
      </c>
      <c r="F202" s="7">
        <f>C202+'A-TRY'!F202</f>
        <v/>
      </c>
      <c r="G202" s="7" t="n"/>
      <c r="H202" s="7">
        <f>E202+'A-TRY'!H202</f>
        <v/>
      </c>
      <c r="I202" s="7">
        <f>F202+'A-TRY'!I202</f>
        <v/>
      </c>
      <c r="J202" s="7" t="n"/>
      <c r="K202" s="7">
        <f>H202+'A-TRY'!K202</f>
        <v/>
      </c>
      <c r="L202" s="7">
        <f>I202+'A-TRY'!L202</f>
        <v/>
      </c>
      <c r="M202" s="7" t="n"/>
      <c r="N202" s="7">
        <f>K202+'A-TRY'!N202</f>
        <v/>
      </c>
      <c r="O202" s="7">
        <f>L202+'A-TRY'!O202</f>
        <v/>
      </c>
      <c r="P202" s="7" t="n"/>
      <c r="Q202" s="7">
        <f>N202+'A-TRY'!Q202</f>
        <v/>
      </c>
      <c r="R202" s="7">
        <f>O202+'A-TRY'!R202</f>
        <v/>
      </c>
      <c r="S202" s="7" t="n"/>
      <c r="T202" s="7">
        <f>Q202+'A-TRY'!T202</f>
        <v/>
      </c>
      <c r="U202" s="7">
        <f>R202+'A-TRY'!U202</f>
        <v/>
      </c>
      <c r="V202" s="7" t="n"/>
      <c r="W202" s="7">
        <f>T202+'A-TRY'!W202</f>
        <v/>
      </c>
      <c r="X202" s="7">
        <f>U202+'A-TRY'!X202</f>
        <v/>
      </c>
      <c r="Y202" s="7" t="n"/>
      <c r="Z202" s="7">
        <f>W202+'A-TRY'!Z202</f>
        <v/>
      </c>
      <c r="AA202" s="7">
        <f>X202+'A-TRY'!AA202</f>
        <v/>
      </c>
      <c r="AB202" s="7" t="n"/>
      <c r="AC202" s="7">
        <f>Z202+'A-TRY'!AC202</f>
        <v/>
      </c>
      <c r="AD202" s="7">
        <f>AA202+'A-TRY'!AD202</f>
        <v/>
      </c>
      <c r="AE202" s="7" t="n"/>
      <c r="AF202" s="7">
        <f>AC202+'A-TRY'!AF202</f>
        <v/>
      </c>
      <c r="AG202" s="7">
        <f>AD202+'A-TRY'!AG202</f>
        <v/>
      </c>
      <c r="AH202" s="7" t="n"/>
      <c r="AI202" s="7">
        <f>AF202+'A-TRY'!AI202</f>
        <v/>
      </c>
      <c r="AJ202" s="7">
        <f>AG202+'A-TRY'!AJ202</f>
        <v/>
      </c>
      <c r="AK202" s="7" t="n"/>
      <c r="AL202" s="21">
        <f>AP202-AO202</f>
        <v/>
      </c>
      <c r="AM202" s="22">
        <f>AP202/AO202-1</f>
        <v/>
      </c>
      <c r="AO202" s="44">
        <f>IF($A$1=$B$1,B202,IF($A$1=$E$1,E202,IF($A$1=$H$1,H202,IF($A$1=$K$1,K202,IF($A$1=$N$1,N202,IF($A$1=$Q$1,Q202,IF($A$1=$T$1,T202,IF($A$1=$W$1,W202,IF($A$1=$Z$1,Z202,IF($A$1=$AC$1,AC202,IF($A$1=$AF$1,AF202,IF($A$1=$AI$1,AI202))))))))))))</f>
        <v/>
      </c>
      <c r="AP202" s="44">
        <f>IF($A$1=$B$1,C202,IF($A$1=$E$1,F202,IF($A$1=$H$1,I202,IF($A$1=$K$1,L202,IF($A$1=$N$1,O202,IF($A$1=$Q$1,R202,IF($A$1=$T$1,U202,IF($A$1=$W$1,X202,IF($A$1=$Z$1,AA202,IF($A$1=$AC$1,AD202,IF($A$1=$AF$1,AG202,IF($A$1=$AI$1,AJ202))))))))))))</f>
        <v/>
      </c>
    </row>
    <row r="203" ht="15.5" customHeight="1">
      <c r="A203" s="26" t="inlineStr">
        <is>
          <t xml:space="preserve">ISM </t>
        </is>
      </c>
      <c r="B203" s="7">
        <f>'A-TRY'!B203</f>
        <v/>
      </c>
      <c r="C203" s="7">
        <f>'A-TRY'!C203</f>
        <v/>
      </c>
      <c r="D203" s="7" t="n"/>
      <c r="E203" s="7">
        <f>B203+'A-TRY'!E203</f>
        <v/>
      </c>
      <c r="F203" s="7">
        <f>C203+'A-TRY'!F203</f>
        <v/>
      </c>
      <c r="G203" s="7" t="n"/>
      <c r="H203" s="7">
        <f>E203+'A-TRY'!H203</f>
        <v/>
      </c>
      <c r="I203" s="7">
        <f>F203+'A-TRY'!I203</f>
        <v/>
      </c>
      <c r="J203" s="7" t="n"/>
      <c r="K203" s="7">
        <f>H203+'A-TRY'!K203</f>
        <v/>
      </c>
      <c r="L203" s="7">
        <f>I203+'A-TRY'!L203</f>
        <v/>
      </c>
      <c r="M203" s="7" t="n"/>
      <c r="N203" s="7">
        <f>K203+'A-TRY'!N203</f>
        <v/>
      </c>
      <c r="O203" s="7">
        <f>L203+'A-TRY'!O203</f>
        <v/>
      </c>
      <c r="P203" s="7" t="n"/>
      <c r="Q203" s="7">
        <f>N203+'A-TRY'!Q203</f>
        <v/>
      </c>
      <c r="R203" s="7">
        <f>O203+'A-TRY'!R203</f>
        <v/>
      </c>
      <c r="S203" s="7" t="n"/>
      <c r="T203" s="7">
        <f>Q203+'A-TRY'!T203</f>
        <v/>
      </c>
      <c r="U203" s="7">
        <f>R203+'A-TRY'!U203</f>
        <v/>
      </c>
      <c r="V203" s="7" t="n"/>
      <c r="W203" s="7">
        <f>T203+'A-TRY'!W203</f>
        <v/>
      </c>
      <c r="X203" s="7">
        <f>U203+'A-TRY'!X203</f>
        <v/>
      </c>
      <c r="Y203" s="7" t="n"/>
      <c r="Z203" s="7">
        <f>W203+'A-TRY'!Z203</f>
        <v/>
      </c>
      <c r="AA203" s="7">
        <f>X203+'A-TRY'!AA203</f>
        <v/>
      </c>
      <c r="AB203" s="7" t="n"/>
      <c r="AC203" s="7">
        <f>Z203+'A-TRY'!AC203</f>
        <v/>
      </c>
      <c r="AD203" s="7">
        <f>AA203+'A-TRY'!AD203</f>
        <v/>
      </c>
      <c r="AE203" s="7" t="n"/>
      <c r="AF203" s="7">
        <f>AC203+'A-TRY'!AF203</f>
        <v/>
      </c>
      <c r="AG203" s="7">
        <f>AD203+'A-TRY'!AG203</f>
        <v/>
      </c>
      <c r="AH203" s="7" t="n"/>
      <c r="AI203" s="7">
        <f>AF203+'A-TRY'!AI203</f>
        <v/>
      </c>
      <c r="AJ203" s="7">
        <f>AG203+'A-TRY'!AJ203</f>
        <v/>
      </c>
      <c r="AK203" s="7" t="n"/>
      <c r="AL203" s="21">
        <f>AP203-AO203</f>
        <v/>
      </c>
      <c r="AM203" s="22">
        <f>AP203/AO203-1</f>
        <v/>
      </c>
      <c r="AO203" s="44">
        <f>IF($A$1=$B$1,B203,IF($A$1=$E$1,E203,IF($A$1=$H$1,H203,IF($A$1=$K$1,K203,IF($A$1=$N$1,N203,IF($A$1=$Q$1,Q203,IF($A$1=$T$1,T203,IF($A$1=$W$1,W203,IF($A$1=$Z$1,Z203,IF($A$1=$AC$1,AC203,IF($A$1=$AF$1,AF203,IF($A$1=$AI$1,AI203))))))))))))</f>
        <v/>
      </c>
      <c r="AP203" s="44">
        <f>IF($A$1=$B$1,C203,IF($A$1=$E$1,F203,IF($A$1=$H$1,I203,IF($A$1=$K$1,L203,IF($A$1=$N$1,O203,IF($A$1=$Q$1,R203,IF($A$1=$T$1,U203,IF($A$1=$W$1,X203,IF($A$1=$Z$1,AA203,IF($A$1=$AC$1,AD203,IF($A$1=$AF$1,AG203,IF($A$1=$AI$1,AJ203))))))))))))</f>
        <v/>
      </c>
    </row>
    <row r="204" ht="15.5" customHeight="1">
      <c r="A204" s="26" t="inlineStr">
        <is>
          <t>İncitaş</t>
        </is>
      </c>
      <c r="B204" s="7">
        <f>'A-TRY'!B204</f>
        <v/>
      </c>
      <c r="C204" s="7">
        <f>'A-TRY'!C204</f>
        <v/>
      </c>
      <c r="D204" s="7" t="n"/>
      <c r="E204" s="7">
        <f>B204+'A-TRY'!E204</f>
        <v/>
      </c>
      <c r="F204" s="7">
        <f>C204+'A-TRY'!F204</f>
        <v/>
      </c>
      <c r="G204" s="7" t="n"/>
      <c r="H204" s="7">
        <f>E204+'A-TRY'!H204</f>
        <v/>
      </c>
      <c r="I204" s="7">
        <f>F204+'A-TRY'!I204</f>
        <v/>
      </c>
      <c r="J204" s="7" t="n"/>
      <c r="K204" s="7">
        <f>H204+'A-TRY'!K204</f>
        <v/>
      </c>
      <c r="L204" s="7">
        <f>I204+'A-TRY'!L204</f>
        <v/>
      </c>
      <c r="M204" s="7" t="n"/>
      <c r="N204" s="7">
        <f>K204+'A-TRY'!N204</f>
        <v/>
      </c>
      <c r="O204" s="7">
        <f>L204+'A-TRY'!O204</f>
        <v/>
      </c>
      <c r="P204" s="7" t="n"/>
      <c r="Q204" s="7">
        <f>N204+'A-TRY'!Q204</f>
        <v/>
      </c>
      <c r="R204" s="7">
        <f>O204+'A-TRY'!R204</f>
        <v/>
      </c>
      <c r="S204" s="7" t="n"/>
      <c r="T204" s="7">
        <f>Q204+'A-TRY'!T204</f>
        <v/>
      </c>
      <c r="U204" s="7">
        <f>R204+'A-TRY'!U204</f>
        <v/>
      </c>
      <c r="V204" s="7" t="n"/>
      <c r="W204" s="7">
        <f>T204+'A-TRY'!W204</f>
        <v/>
      </c>
      <c r="X204" s="7">
        <f>U204+'A-TRY'!X204</f>
        <v/>
      </c>
      <c r="Y204" s="7" t="n"/>
      <c r="Z204" s="7">
        <f>W204+'A-TRY'!Z204</f>
        <v/>
      </c>
      <c r="AA204" s="7">
        <f>X204+'A-TRY'!AA204</f>
        <v/>
      </c>
      <c r="AB204" s="7" t="n"/>
      <c r="AC204" s="7">
        <f>Z204+'A-TRY'!AC204</f>
        <v/>
      </c>
      <c r="AD204" s="7">
        <f>AA204+'A-TRY'!AD204</f>
        <v/>
      </c>
      <c r="AE204" s="7" t="n"/>
      <c r="AF204" s="7">
        <f>AC204+'A-TRY'!AF204</f>
        <v/>
      </c>
      <c r="AG204" s="7">
        <f>AD204+'A-TRY'!AG204</f>
        <v/>
      </c>
      <c r="AH204" s="7" t="n"/>
      <c r="AI204" s="7">
        <f>AF204+'A-TRY'!AI204</f>
        <v/>
      </c>
      <c r="AJ204" s="7">
        <f>AG204+'A-TRY'!AJ204</f>
        <v/>
      </c>
      <c r="AK204" s="7" t="n"/>
      <c r="AL204" s="21">
        <f>AP204-AO204</f>
        <v/>
      </c>
      <c r="AM204" s="22">
        <f>AP204/AO204-1</f>
        <v/>
      </c>
      <c r="AO204" s="44">
        <f>IF($A$1=$B$1,B204,IF($A$1=$E$1,E204,IF($A$1=$H$1,H204,IF($A$1=$K$1,K204,IF($A$1=$N$1,N204,IF($A$1=$Q$1,Q204,IF($A$1=$T$1,T204,IF($A$1=$W$1,W204,IF($A$1=$Z$1,Z204,IF($A$1=$AC$1,AC204,IF($A$1=$AF$1,AF204,IF($A$1=$AI$1,AI204))))))))))))</f>
        <v/>
      </c>
      <c r="AP204" s="44">
        <f>IF($A$1=$B$1,C204,IF($A$1=$E$1,F204,IF($A$1=$H$1,I204,IF($A$1=$K$1,L204,IF($A$1=$N$1,O204,IF($A$1=$Q$1,R204,IF($A$1=$T$1,U204,IF($A$1=$W$1,X204,IF($A$1=$Z$1,AA204,IF($A$1=$AC$1,AD204,IF($A$1=$AF$1,AG204,IF($A$1=$AI$1,AJ204))))))))))))</f>
        <v/>
      </c>
    </row>
    <row r="205" ht="15.5" customHeight="1">
      <c r="A205" s="26" t="inlineStr">
        <is>
          <t>İnci GS Yuasa</t>
        </is>
      </c>
      <c r="B205" s="7">
        <f>'A-TRY'!B205</f>
        <v/>
      </c>
      <c r="C205" s="7">
        <f>'A-TRY'!C205</f>
        <v/>
      </c>
      <c r="D205" s="7" t="n"/>
      <c r="E205" s="7">
        <f>B205+'A-TRY'!E205</f>
        <v/>
      </c>
      <c r="F205" s="7">
        <f>C205+'A-TRY'!F205</f>
        <v/>
      </c>
      <c r="G205" s="7" t="n"/>
      <c r="H205" s="7">
        <f>E205+'A-TRY'!H205</f>
        <v/>
      </c>
      <c r="I205" s="7">
        <f>F205+'A-TRY'!I205</f>
        <v/>
      </c>
      <c r="J205" s="7" t="n"/>
      <c r="K205" s="7">
        <f>H205+'A-TRY'!K205</f>
        <v/>
      </c>
      <c r="L205" s="7">
        <f>I205+'A-TRY'!L205</f>
        <v/>
      </c>
      <c r="M205" s="7" t="n"/>
      <c r="N205" s="7">
        <f>K205+'A-TRY'!N205</f>
        <v/>
      </c>
      <c r="O205" s="7">
        <f>L205+'A-TRY'!O205</f>
        <v/>
      </c>
      <c r="P205" s="7" t="n"/>
      <c r="Q205" s="7">
        <f>N205+'A-TRY'!Q205</f>
        <v/>
      </c>
      <c r="R205" s="7">
        <f>O205+'A-TRY'!R205</f>
        <v/>
      </c>
      <c r="S205" s="7" t="n"/>
      <c r="T205" s="7">
        <f>Q205+'A-TRY'!T205</f>
        <v/>
      </c>
      <c r="U205" s="7">
        <f>R205+'A-TRY'!U205</f>
        <v/>
      </c>
      <c r="V205" s="7" t="n"/>
      <c r="W205" s="7">
        <f>T205+'A-TRY'!W205</f>
        <v/>
      </c>
      <c r="X205" s="7">
        <f>U205+'A-TRY'!X205</f>
        <v/>
      </c>
      <c r="Y205" s="7" t="n"/>
      <c r="Z205" s="7">
        <f>W205+'A-TRY'!Z205</f>
        <v/>
      </c>
      <c r="AA205" s="7">
        <f>X205+'A-TRY'!AA205</f>
        <v/>
      </c>
      <c r="AB205" s="7" t="n"/>
      <c r="AC205" s="7">
        <f>Z205+'A-TRY'!AC205</f>
        <v/>
      </c>
      <c r="AD205" s="7">
        <f>AA205+'A-TRY'!AD205</f>
        <v/>
      </c>
      <c r="AE205" s="7" t="n"/>
      <c r="AF205" s="7">
        <f>AC205+'A-TRY'!AF205</f>
        <v/>
      </c>
      <c r="AG205" s="7">
        <f>AD205+'A-TRY'!AG205</f>
        <v/>
      </c>
      <c r="AH205" s="7" t="n"/>
      <c r="AI205" s="7">
        <f>AF205+'A-TRY'!AI205</f>
        <v/>
      </c>
      <c r="AJ205" s="7">
        <f>AG205+'A-TRY'!AJ205</f>
        <v/>
      </c>
      <c r="AK205" s="7" t="n"/>
      <c r="AL205" s="21">
        <f>AP205-AO205</f>
        <v/>
      </c>
      <c r="AM205" s="22">
        <f>AP205/AO205-1</f>
        <v/>
      </c>
      <c r="AO205" s="44">
        <f>IF($A$1=$B$1,B205,IF($A$1=$E$1,E205,IF($A$1=$H$1,H205,IF($A$1=$K$1,K205,IF($A$1=$N$1,N205,IF($A$1=$Q$1,Q205,IF($A$1=$T$1,T205,IF($A$1=$W$1,W205,IF($A$1=$Z$1,Z205,IF($A$1=$AC$1,AC205,IF($A$1=$AF$1,AF205,IF($A$1=$AI$1,AI205))))))))))))</f>
        <v/>
      </c>
      <c r="AP205" s="44">
        <f>IF($A$1=$B$1,C205,IF($A$1=$E$1,F205,IF($A$1=$H$1,I205,IF($A$1=$K$1,L205,IF($A$1=$N$1,O205,IF($A$1=$Q$1,R205,IF($A$1=$T$1,U205,IF($A$1=$W$1,X205,IF($A$1=$Z$1,AA205,IF($A$1=$AC$1,AD205,IF($A$1=$AF$1,AG205,IF($A$1=$AI$1,AJ205))))))))))))</f>
        <v/>
      </c>
    </row>
    <row r="206" ht="15.5" customFormat="1" customHeight="1" s="1">
      <c r="A206" s="26" t="inlineStr">
        <is>
          <t>Yusen İnci Loj.</t>
        </is>
      </c>
      <c r="B206" s="7">
        <f>'A-TRY'!B206</f>
        <v/>
      </c>
      <c r="C206" s="7">
        <f>'A-TRY'!C206</f>
        <v/>
      </c>
      <c r="D206" s="8" t="n"/>
      <c r="E206" s="7">
        <f>B206+'A-TRY'!E206</f>
        <v/>
      </c>
      <c r="F206" s="7">
        <f>C206+'A-TRY'!F206</f>
        <v/>
      </c>
      <c r="G206" s="8" t="n"/>
      <c r="H206" s="7">
        <f>E206+'A-TRY'!H206</f>
        <v/>
      </c>
      <c r="I206" s="7">
        <f>F206+'A-TRY'!I206</f>
        <v/>
      </c>
      <c r="J206" s="8" t="n"/>
      <c r="K206" s="7">
        <f>H206+'A-TRY'!K206</f>
        <v/>
      </c>
      <c r="L206" s="7">
        <f>I206+'A-TRY'!L206</f>
        <v/>
      </c>
      <c r="M206" s="8" t="n"/>
      <c r="N206" s="7">
        <f>K206+'A-TRY'!N206</f>
        <v/>
      </c>
      <c r="O206" s="7">
        <f>L206+'A-TRY'!O206</f>
        <v/>
      </c>
      <c r="P206" s="8" t="n"/>
      <c r="Q206" s="7">
        <f>N206+'A-TRY'!Q206</f>
        <v/>
      </c>
      <c r="R206" s="7">
        <f>O206+'A-TRY'!R206</f>
        <v/>
      </c>
      <c r="S206" s="8" t="n"/>
      <c r="T206" s="7">
        <f>Q206+'A-TRY'!T206</f>
        <v/>
      </c>
      <c r="U206" s="7">
        <f>R206+'A-TRY'!U206</f>
        <v/>
      </c>
      <c r="V206" s="8" t="n"/>
      <c r="W206" s="7">
        <f>T206+'A-TRY'!W206</f>
        <v/>
      </c>
      <c r="X206" s="7">
        <f>U206+'A-TRY'!X206</f>
        <v/>
      </c>
      <c r="Y206" s="8" t="n"/>
      <c r="Z206" s="7">
        <f>W206+'A-TRY'!Z206</f>
        <v/>
      </c>
      <c r="AA206" s="7">
        <f>X206+'A-TRY'!AA206</f>
        <v/>
      </c>
      <c r="AB206" s="8" t="n"/>
      <c r="AC206" s="7">
        <f>Z206+'A-TRY'!AC206</f>
        <v/>
      </c>
      <c r="AD206" s="7">
        <f>AA206+'A-TRY'!AD206</f>
        <v/>
      </c>
      <c r="AE206" s="8" t="n"/>
      <c r="AF206" s="7">
        <f>AC206+'A-TRY'!AF206</f>
        <v/>
      </c>
      <c r="AG206" s="7">
        <f>AD206+'A-TRY'!AG206</f>
        <v/>
      </c>
      <c r="AH206" s="8" t="n"/>
      <c r="AI206" s="7">
        <f>AF206+'A-TRY'!AI206</f>
        <v/>
      </c>
      <c r="AJ206" s="7">
        <f>AG206+'A-TRY'!AJ206</f>
        <v/>
      </c>
      <c r="AK206" s="8" t="n"/>
      <c r="AL206" s="21">
        <f>AP206-AO206</f>
        <v/>
      </c>
      <c r="AM206" s="22">
        <f>AP206/AO206-1</f>
        <v/>
      </c>
      <c r="AO206" s="44">
        <f>IF($A$1=$B$1,B206,IF($A$1=$E$1,E206,IF($A$1=$H$1,H206,IF($A$1=$K$1,K206,IF($A$1=$N$1,N206,IF($A$1=$Q$1,Q206,IF($A$1=$T$1,T206,IF($A$1=$W$1,W206,IF($A$1=$Z$1,Z206,IF($A$1=$AC$1,AC206,IF($A$1=$AF$1,AF206,IF($A$1=$AI$1,AI206))))))))))))</f>
        <v/>
      </c>
      <c r="AP206" s="44">
        <f>IF($A$1=$B$1,C206,IF($A$1=$E$1,F206,IF($A$1=$H$1,I206,IF($A$1=$K$1,L206,IF($A$1=$N$1,O206,IF($A$1=$Q$1,R206,IF($A$1=$T$1,U206,IF($A$1=$W$1,X206,IF($A$1=$Z$1,AA206,IF($A$1=$AC$1,AD206,IF($A$1=$AF$1,AG206,IF($A$1=$AI$1,AJ206))))))))))))</f>
        <v/>
      </c>
    </row>
    <row r="207" ht="15.5" customHeight="1">
      <c r="A207" s="26" t="inlineStr">
        <is>
          <t>Jantaş</t>
        </is>
      </c>
      <c r="B207" s="7">
        <f>'A-TRY'!B207</f>
        <v/>
      </c>
      <c r="C207" s="7">
        <f>'A-TRY'!C207</f>
        <v/>
      </c>
      <c r="D207" s="7" t="n"/>
      <c r="E207" s="7">
        <f>B207+'A-TRY'!E207</f>
        <v/>
      </c>
      <c r="F207" s="7">
        <f>C207+'A-TRY'!F207</f>
        <v/>
      </c>
      <c r="G207" s="7" t="n"/>
      <c r="H207" s="7">
        <f>E207+'A-TRY'!H207</f>
        <v/>
      </c>
      <c r="I207" s="7">
        <f>F207+'A-TRY'!I207</f>
        <v/>
      </c>
      <c r="J207" s="7" t="n"/>
      <c r="K207" s="7">
        <f>H207+'A-TRY'!K207</f>
        <v/>
      </c>
      <c r="L207" s="7">
        <f>I207+'A-TRY'!L207</f>
        <v/>
      </c>
      <c r="M207" s="7" t="n"/>
      <c r="N207" s="7">
        <f>K207+'A-TRY'!N207</f>
        <v/>
      </c>
      <c r="O207" s="7">
        <f>L207+'A-TRY'!O207</f>
        <v/>
      </c>
      <c r="P207" s="7" t="n"/>
      <c r="Q207" s="7">
        <f>N207+'A-TRY'!Q207</f>
        <v/>
      </c>
      <c r="R207" s="7">
        <f>O207+'A-TRY'!R207</f>
        <v/>
      </c>
      <c r="S207" s="7" t="n"/>
      <c r="T207" s="7">
        <f>Q207+'A-TRY'!T207</f>
        <v/>
      </c>
      <c r="U207" s="7">
        <f>R207+'A-TRY'!U207</f>
        <v/>
      </c>
      <c r="V207" s="7" t="n"/>
      <c r="W207" s="7">
        <f>T207+'A-TRY'!W207</f>
        <v/>
      </c>
      <c r="X207" s="7">
        <f>U207+'A-TRY'!X207</f>
        <v/>
      </c>
      <c r="Y207" s="7" t="n"/>
      <c r="Z207" s="7">
        <f>W207+'A-TRY'!Z207</f>
        <v/>
      </c>
      <c r="AA207" s="7">
        <f>X207+'A-TRY'!AA207</f>
        <v/>
      </c>
      <c r="AB207" s="7" t="n"/>
      <c r="AC207" s="7">
        <f>Z207+'A-TRY'!AC207</f>
        <v/>
      </c>
      <c r="AD207" s="7">
        <f>AA207+'A-TRY'!AD207</f>
        <v/>
      </c>
      <c r="AE207" s="7" t="n"/>
      <c r="AF207" s="7">
        <f>AC207+'A-TRY'!AF207</f>
        <v/>
      </c>
      <c r="AG207" s="7">
        <f>AD207+'A-TRY'!AG207</f>
        <v/>
      </c>
      <c r="AH207" s="7" t="n"/>
      <c r="AI207" s="7">
        <f>AF207+'A-TRY'!AI207</f>
        <v/>
      </c>
      <c r="AJ207" s="7">
        <f>AG207+'A-TRY'!AJ207</f>
        <v/>
      </c>
      <c r="AK207" s="7" t="n"/>
      <c r="AL207" s="21">
        <f>AP207-AO207</f>
        <v/>
      </c>
      <c r="AM207" s="22">
        <f>AP207/AO207-1</f>
        <v/>
      </c>
      <c r="AO207" s="44">
        <f>IF($A$1=$B$1,B207,IF($A$1=$E$1,E207,IF($A$1=$H$1,H207,IF($A$1=$K$1,K207,IF($A$1=$N$1,N207,IF($A$1=$Q$1,Q207,IF($A$1=$T$1,T207,IF($A$1=$W$1,W207,IF($A$1=$Z$1,Z207,IF($A$1=$AC$1,AC207,IF($A$1=$AF$1,AF207,IF($A$1=$AI$1,AI207))))))))))))</f>
        <v/>
      </c>
      <c r="AP207" s="44">
        <f>IF($A$1=$B$1,C207,IF($A$1=$E$1,F207,IF($A$1=$H$1,I207,IF($A$1=$K$1,L207,IF($A$1=$N$1,O207,IF($A$1=$Q$1,R207,IF($A$1=$T$1,U207,IF($A$1=$W$1,X207,IF($A$1=$Z$1,AA207,IF($A$1=$AC$1,AD207,IF($A$1=$AF$1,AG207,IF($A$1=$AI$1,AJ207))))))))))))</f>
        <v/>
      </c>
    </row>
    <row r="208" ht="15.5" customFormat="1" customHeight="1" s="1">
      <c r="A208" s="26" t="inlineStr">
        <is>
          <t>Çelik</t>
        </is>
      </c>
      <c r="B208" s="7">
        <f>'A-TRY'!B208</f>
        <v/>
      </c>
      <c r="C208" s="7">
        <f>'A-TRY'!C208</f>
        <v/>
      </c>
      <c r="D208" s="8" t="n"/>
      <c r="E208" s="7">
        <f>B208+'A-TRY'!E208</f>
        <v/>
      </c>
      <c r="F208" s="7">
        <f>C208+'A-TRY'!F208</f>
        <v/>
      </c>
      <c r="G208" s="8" t="n"/>
      <c r="H208" s="7">
        <f>E208+'A-TRY'!H208</f>
        <v/>
      </c>
      <c r="I208" s="7">
        <f>F208+'A-TRY'!I208</f>
        <v/>
      </c>
      <c r="J208" s="8" t="n"/>
      <c r="K208" s="7">
        <f>H208+'A-TRY'!K208</f>
        <v/>
      </c>
      <c r="L208" s="7">
        <f>I208+'A-TRY'!L208</f>
        <v/>
      </c>
      <c r="M208" s="8" t="n"/>
      <c r="N208" s="7">
        <f>K208+'A-TRY'!N208</f>
        <v/>
      </c>
      <c r="O208" s="7">
        <f>L208+'A-TRY'!O208</f>
        <v/>
      </c>
      <c r="P208" s="8" t="n"/>
      <c r="Q208" s="7">
        <f>N208+'A-TRY'!Q208</f>
        <v/>
      </c>
      <c r="R208" s="7">
        <f>O208+'A-TRY'!R208</f>
        <v/>
      </c>
      <c r="S208" s="8" t="n"/>
      <c r="T208" s="7">
        <f>Q208+'A-TRY'!T208</f>
        <v/>
      </c>
      <c r="U208" s="7">
        <f>R208+'A-TRY'!U208</f>
        <v/>
      </c>
      <c r="V208" s="8" t="n"/>
      <c r="W208" s="7">
        <f>T208+'A-TRY'!W208</f>
        <v/>
      </c>
      <c r="X208" s="7">
        <f>U208+'A-TRY'!X208</f>
        <v/>
      </c>
      <c r="Y208" s="8" t="n"/>
      <c r="Z208" s="7">
        <f>W208+'A-TRY'!Z208</f>
        <v/>
      </c>
      <c r="AA208" s="7">
        <f>X208+'A-TRY'!AA208</f>
        <v/>
      </c>
      <c r="AB208" s="8" t="n"/>
      <c r="AC208" s="7">
        <f>Z208+'A-TRY'!AC208</f>
        <v/>
      </c>
      <c r="AD208" s="7">
        <f>AA208+'A-TRY'!AD208</f>
        <v/>
      </c>
      <c r="AE208" s="8" t="n"/>
      <c r="AF208" s="7">
        <f>AC208+'A-TRY'!AF208</f>
        <v/>
      </c>
      <c r="AG208" s="7">
        <f>AD208+'A-TRY'!AG208</f>
        <v/>
      </c>
      <c r="AH208" s="8" t="n"/>
      <c r="AI208" s="7">
        <f>AF208+'A-TRY'!AI208</f>
        <v/>
      </c>
      <c r="AJ208" s="7">
        <f>AG208+'A-TRY'!AJ208</f>
        <v/>
      </c>
      <c r="AK208" s="8" t="n"/>
      <c r="AL208" s="21">
        <f>AP208-AO208</f>
        <v/>
      </c>
      <c r="AM208" s="22">
        <f>AP208/AO208-1</f>
        <v/>
      </c>
      <c r="AO208" s="44">
        <f>IF($A$1=$B$1,B208,IF($A$1=$E$1,E208,IF($A$1=$H$1,H208,IF($A$1=$K$1,K208,IF($A$1=$N$1,N208,IF($A$1=$Q$1,Q208,IF($A$1=$T$1,T208,IF($A$1=$W$1,W208,IF($A$1=$Z$1,Z208,IF($A$1=$AC$1,AC208,IF($A$1=$AF$1,AF208,IF($A$1=$AI$1,AI208))))))))))))</f>
        <v/>
      </c>
      <c r="AP208" s="44">
        <f>IF($A$1=$B$1,C208,IF($A$1=$E$1,F208,IF($A$1=$H$1,I208,IF($A$1=$K$1,L208,IF($A$1=$N$1,O208,IF($A$1=$Q$1,R208,IF($A$1=$T$1,U208,IF($A$1=$W$1,X208,IF($A$1=$Z$1,AA208,IF($A$1=$AC$1,AD208,IF($A$1=$AF$1,AG208,IF($A$1=$AI$1,AJ208))))))))))))</f>
        <v/>
      </c>
    </row>
    <row r="209" ht="15.5" customFormat="1" customHeight="1" s="1">
      <c r="A209" s="26" t="inlineStr">
        <is>
          <t>Alüminyum</t>
        </is>
      </c>
      <c r="B209" s="7">
        <f>'A-TRY'!B209</f>
        <v/>
      </c>
      <c r="C209" s="7">
        <f>'A-TRY'!C209</f>
        <v/>
      </c>
      <c r="D209" s="8" t="n"/>
      <c r="E209" s="7">
        <f>B209+'A-TRY'!E209</f>
        <v/>
      </c>
      <c r="F209" s="7">
        <f>C209+'A-TRY'!F209</f>
        <v/>
      </c>
      <c r="G209" s="8" t="n"/>
      <c r="H209" s="7">
        <f>E209+'A-TRY'!H209</f>
        <v/>
      </c>
      <c r="I209" s="7">
        <f>F209+'A-TRY'!I209</f>
        <v/>
      </c>
      <c r="J209" s="8" t="n"/>
      <c r="K209" s="7">
        <f>H209+'A-TRY'!K209</f>
        <v/>
      </c>
      <c r="L209" s="7">
        <f>I209+'A-TRY'!L209</f>
        <v/>
      </c>
      <c r="M209" s="8" t="n"/>
      <c r="N209" s="7">
        <f>K209+'A-TRY'!N209</f>
        <v/>
      </c>
      <c r="O209" s="7">
        <f>L209+'A-TRY'!O209</f>
        <v/>
      </c>
      <c r="P209" s="8" t="n"/>
      <c r="Q209" s="7">
        <f>N209+'A-TRY'!Q209</f>
        <v/>
      </c>
      <c r="R209" s="7">
        <f>O209+'A-TRY'!R209</f>
        <v/>
      </c>
      <c r="S209" s="8" t="n"/>
      <c r="T209" s="7">
        <f>Q209+'A-TRY'!T209</f>
        <v/>
      </c>
      <c r="U209" s="7">
        <f>R209+'A-TRY'!U209</f>
        <v/>
      </c>
      <c r="V209" s="8" t="n"/>
      <c r="W209" s="7">
        <f>T209+'A-TRY'!W209</f>
        <v/>
      </c>
      <c r="X209" s="7">
        <f>U209+'A-TRY'!X209</f>
        <v/>
      </c>
      <c r="Y209" s="8" t="n"/>
      <c r="Z209" s="7">
        <f>W209+'A-TRY'!Z209</f>
        <v/>
      </c>
      <c r="AA209" s="7">
        <f>X209+'A-TRY'!AA209</f>
        <v/>
      </c>
      <c r="AB209" s="8" t="n"/>
      <c r="AC209" s="7">
        <f>Z209+'A-TRY'!AC209</f>
        <v/>
      </c>
      <c r="AD209" s="7">
        <f>AA209+'A-TRY'!AD209</f>
        <v/>
      </c>
      <c r="AE209" s="8" t="n"/>
      <c r="AF209" s="7">
        <f>AC209+'A-TRY'!AF209</f>
        <v/>
      </c>
      <c r="AG209" s="7">
        <f>AD209+'A-TRY'!AG209</f>
        <v/>
      </c>
      <c r="AH209" s="8" t="n"/>
      <c r="AI209" s="7">
        <f>AF209+'A-TRY'!AI209</f>
        <v/>
      </c>
      <c r="AJ209" s="7">
        <f>AG209+'A-TRY'!AJ209</f>
        <v/>
      </c>
      <c r="AK209" s="8" t="n"/>
      <c r="AL209" s="21">
        <f>AP209-AO209</f>
        <v/>
      </c>
      <c r="AM209" s="22">
        <f>AP209/AO209-1</f>
        <v/>
      </c>
      <c r="AO209" s="44">
        <f>IF($A$1=$B$1,B209,IF($A$1=$E$1,E209,IF($A$1=$H$1,H209,IF($A$1=$K$1,K209,IF($A$1=$N$1,N209,IF($A$1=$Q$1,Q209,IF($A$1=$T$1,T209,IF($A$1=$W$1,W209,IF($A$1=$Z$1,Z209,IF($A$1=$AC$1,AC209,IF($A$1=$AF$1,AF209,IF($A$1=$AI$1,AI209))))))))))))</f>
        <v/>
      </c>
      <c r="AP209" s="44">
        <f>IF($A$1=$B$1,C209,IF($A$1=$E$1,F209,IF($A$1=$H$1,I209,IF($A$1=$K$1,L209,IF($A$1=$N$1,O209,IF($A$1=$Q$1,R209,IF($A$1=$T$1,U209,IF($A$1=$W$1,X209,IF($A$1=$Z$1,AA209,IF($A$1=$AC$1,AD209,IF($A$1=$AF$1,AG209,IF($A$1=$AI$1,AJ209))))))))))))</f>
        <v/>
      </c>
    </row>
    <row r="210" ht="15.5" customFormat="1" customHeight="1" s="1">
      <c r="A210" s="26" t="n"/>
      <c r="B210" s="7" t="n"/>
      <c r="C210" s="8" t="n"/>
      <c r="D210" s="8" t="n"/>
      <c r="E210" s="7" t="n"/>
      <c r="F210" s="8" t="n"/>
      <c r="G210" s="8" t="n"/>
      <c r="H210" s="7" t="n"/>
      <c r="I210" s="8" t="n"/>
      <c r="J210" s="8" t="n"/>
      <c r="K210" s="7" t="n"/>
      <c r="L210" s="8" t="n"/>
      <c r="M210" s="8" t="n"/>
      <c r="N210" s="7" t="n"/>
      <c r="O210" s="8" t="n"/>
      <c r="P210" s="8" t="n"/>
      <c r="Q210" s="7" t="n"/>
      <c r="R210" s="8" t="n"/>
      <c r="S210" s="8" t="n"/>
      <c r="T210" s="7" t="n"/>
      <c r="U210" s="8" t="n"/>
      <c r="V210" s="8" t="n"/>
      <c r="W210" s="7" t="n"/>
      <c r="X210" s="8" t="n"/>
      <c r="Y210" s="8" t="n"/>
      <c r="Z210" s="7" t="n"/>
      <c r="AA210" s="8" t="n"/>
      <c r="AB210" s="8" t="n"/>
      <c r="AC210" s="7" t="n"/>
      <c r="AD210" s="8" t="n"/>
      <c r="AE210" s="8" t="n"/>
      <c r="AF210" s="7" t="n"/>
      <c r="AG210" s="8" t="n"/>
      <c r="AH210" s="8" t="n"/>
      <c r="AI210" s="7" t="n"/>
      <c r="AJ210" s="8" t="n"/>
      <c r="AK210" s="8" t="n"/>
      <c r="AL210" s="15" t="n"/>
      <c r="AM210" s="16" t="n"/>
      <c r="AO210" s="44" t="n"/>
      <c r="AP210" s="44" t="n"/>
    </row>
    <row r="211" ht="15.5" customFormat="1" customHeight="1" s="1">
      <c r="A211" s="26" t="n"/>
      <c r="B211" s="7" t="n"/>
      <c r="C211" s="8" t="n"/>
      <c r="D211" s="8" t="n"/>
      <c r="E211" s="7" t="n"/>
      <c r="F211" s="8" t="n"/>
      <c r="G211" s="8" t="n"/>
      <c r="H211" s="7" t="n"/>
      <c r="I211" s="8" t="n"/>
      <c r="J211" s="8" t="n"/>
      <c r="K211" s="7" t="n"/>
      <c r="L211" s="8" t="n"/>
      <c r="M211" s="8" t="n"/>
      <c r="N211" s="7" t="n"/>
      <c r="O211" s="8" t="n"/>
      <c r="P211" s="8" t="n"/>
      <c r="Q211" s="7" t="n"/>
      <c r="R211" s="8" t="n"/>
      <c r="S211" s="8" t="n"/>
      <c r="T211" s="7" t="n"/>
      <c r="U211" s="8" t="n"/>
      <c r="V211" s="8" t="n"/>
      <c r="W211" s="7" t="n"/>
      <c r="X211" s="8" t="n"/>
      <c r="Y211" s="8" t="n"/>
      <c r="Z211" s="7" t="n"/>
      <c r="AA211" s="8" t="n"/>
      <c r="AB211" s="8" t="n"/>
      <c r="AC211" s="7" t="n"/>
      <c r="AD211" s="8" t="n"/>
      <c r="AE211" s="8" t="n"/>
      <c r="AF211" s="7" t="n"/>
      <c r="AG211" s="8" t="n"/>
      <c r="AH211" s="8" t="n"/>
      <c r="AI211" s="7" t="n"/>
      <c r="AJ211" s="8" t="n"/>
      <c r="AK211" s="8" t="n"/>
      <c r="AL211" s="15" t="n"/>
      <c r="AM211" s="16" t="n"/>
      <c r="AO211" s="44" t="n"/>
      <c r="AP211" s="44" t="n"/>
    </row>
    <row r="212" ht="15.5" customFormat="1" customHeight="1" s="44">
      <c r="A212" s="31" t="inlineStr">
        <is>
          <t>Net Kar</t>
        </is>
      </c>
      <c r="B212" s="32">
        <f>'A-TRY'!B212</f>
        <v/>
      </c>
      <c r="C212" s="32">
        <f>'A-TRY'!C212</f>
        <v/>
      </c>
      <c r="D212" s="18">
        <f>+C212-B212</f>
        <v/>
      </c>
      <c r="E212" s="32">
        <f>B212+'A-TRY'!E212</f>
        <v/>
      </c>
      <c r="F212" s="32">
        <f>C212+'A-TRY'!F212</f>
        <v/>
      </c>
      <c r="G212" s="18" t="n"/>
      <c r="H212" s="32">
        <f>E212+'A-TRY'!H212</f>
        <v/>
      </c>
      <c r="I212" s="32">
        <f>F212+'A-TRY'!I212</f>
        <v/>
      </c>
      <c r="J212" s="18" t="n"/>
      <c r="K212" s="32">
        <f>H212+'A-TRY'!K212</f>
        <v/>
      </c>
      <c r="L212" s="32">
        <f>I212+'A-TRY'!L212</f>
        <v/>
      </c>
      <c r="M212" s="18" t="n"/>
      <c r="N212" s="32">
        <f>K212+'A-TRY'!N212</f>
        <v/>
      </c>
      <c r="O212" s="32">
        <f>L212+'A-TRY'!O212</f>
        <v/>
      </c>
      <c r="P212" s="18" t="n"/>
      <c r="Q212" s="32">
        <f>N212+'A-TRY'!Q212</f>
        <v/>
      </c>
      <c r="R212" s="32">
        <f>O212+'A-TRY'!R212</f>
        <v/>
      </c>
      <c r="S212" s="18" t="n"/>
      <c r="T212" s="32">
        <f>Q212+'A-TRY'!T212</f>
        <v/>
      </c>
      <c r="U212" s="32">
        <f>R212+'A-TRY'!U212</f>
        <v/>
      </c>
      <c r="V212" s="18" t="n"/>
      <c r="W212" s="32">
        <f>T212+'A-TRY'!W212</f>
        <v/>
      </c>
      <c r="X212" s="32">
        <f>U212+'A-TRY'!X212</f>
        <v/>
      </c>
      <c r="Y212" s="18" t="n"/>
      <c r="Z212" s="32">
        <f>W212+'A-TRY'!Z212</f>
        <v/>
      </c>
      <c r="AA212" s="32">
        <f>X212+'A-TRY'!AA212</f>
        <v/>
      </c>
      <c r="AB212" s="18" t="n"/>
      <c r="AC212" s="32">
        <f>Z212+'A-TRY'!AC212</f>
        <v/>
      </c>
      <c r="AD212" s="32">
        <f>AA212+'A-TRY'!AD212</f>
        <v/>
      </c>
      <c r="AE212" s="18" t="n"/>
      <c r="AF212" s="32">
        <f>AC212+'A-TRY'!AF212</f>
        <v/>
      </c>
      <c r="AG212" s="32">
        <f>AD212+'A-TRY'!AG212</f>
        <v/>
      </c>
      <c r="AH212" s="18" t="n"/>
      <c r="AI212" s="32">
        <f>AF212+'A-TRY'!AI212</f>
        <v/>
      </c>
      <c r="AJ212" s="32">
        <f>AG212+'A-TRY'!AJ212</f>
        <v/>
      </c>
      <c r="AK212" s="18" t="n"/>
      <c r="AL212" s="33">
        <f>AP212-AO212</f>
        <v/>
      </c>
      <c r="AM212" s="34">
        <f>AP212/AO212-1</f>
        <v/>
      </c>
      <c r="AO212" s="44">
        <f>IF($A$1=$B$1,B212,IF($A$1=$E$1,E212,IF($A$1=$H$1,H212,IF($A$1=$K$1,K212,IF($A$1=$N$1,N212,IF($A$1=$Q$1,Q212,IF($A$1=$T$1,T212,IF($A$1=$W$1,W212,IF($A$1=$Z$1,Z212,IF($A$1=$AC$1,AC212,IF($A$1=$AF$1,AF212,IF($A$1=$AI$1,AI212))))))))))))</f>
        <v/>
      </c>
      <c r="AP212" s="44">
        <f>IF($A$1=$B$1,C212,IF($A$1=$E$1,F212,IF($A$1=$H$1,I212,IF($A$1=$K$1,L212,IF($A$1=$N$1,O212,IF($A$1=$Q$1,R212,IF($A$1=$T$1,U212,IF($A$1=$W$1,X212,IF($A$1=$Z$1,AA212,IF($A$1=$AC$1,AD212,IF($A$1=$AF$1,AG212,IF($A$1=$AI$1,AJ212))))))))))))</f>
        <v/>
      </c>
    </row>
    <row r="213" ht="15.5" customFormat="1" customHeight="1" s="13">
      <c r="A213" s="27" t="n"/>
      <c r="B213" s="30" t="n"/>
      <c r="C213" s="30">
        <f>IFERROR((C170/#REF!),"")</f>
        <v/>
      </c>
      <c r="D213" s="41" t="n"/>
      <c r="E213" s="30" t="n"/>
      <c r="F213" s="30">
        <f>IFERROR((F170/#REF!),"")</f>
        <v/>
      </c>
      <c r="G213" s="41" t="n"/>
      <c r="H213" s="109">
        <f>H212/H6</f>
        <v/>
      </c>
      <c r="I213" s="109">
        <f>I212/I6</f>
        <v/>
      </c>
      <c r="J213" s="41" t="n"/>
      <c r="K213" s="30" t="n"/>
      <c r="L213" s="30">
        <f>IFERROR((L170/#REF!),"")</f>
        <v/>
      </c>
      <c r="M213" s="41" t="n"/>
      <c r="N213" s="30" t="n"/>
      <c r="O213" s="30">
        <f>IFERROR((O170/#REF!),"")</f>
        <v/>
      </c>
      <c r="P213" s="41" t="n"/>
      <c r="Q213" s="30" t="n"/>
      <c r="R213" s="30">
        <f>IFERROR((R170/#REF!),"")</f>
        <v/>
      </c>
      <c r="S213" s="41" t="n"/>
      <c r="T213" s="30" t="n"/>
      <c r="U213" s="30">
        <f>IFERROR((U170/#REF!),"")</f>
        <v/>
      </c>
      <c r="V213" s="41" t="n"/>
      <c r="W213" s="30" t="n"/>
      <c r="X213" s="30">
        <f>IFERROR((X170/#REF!),"")</f>
        <v/>
      </c>
      <c r="Y213" s="41" t="n"/>
      <c r="Z213" s="30" t="n"/>
      <c r="AA213" s="30">
        <f>IFERROR((AA170/#REF!),"")</f>
        <v/>
      </c>
      <c r="AB213" s="41" t="n"/>
      <c r="AC213" s="30" t="n"/>
      <c r="AD213" s="30">
        <f>IFERROR((AD170/#REF!),"")</f>
        <v/>
      </c>
      <c r="AE213" s="41" t="n"/>
      <c r="AF213" s="30" t="n"/>
      <c r="AG213" s="30">
        <f>IFERROR((AG170/#REF!),"")</f>
        <v/>
      </c>
      <c r="AH213" s="41" t="n"/>
      <c r="AI213" s="30" t="n"/>
      <c r="AJ213" s="30">
        <f>IFERROR((AJ170/#REF!),"")</f>
        <v/>
      </c>
      <c r="AK213" s="41" t="n"/>
      <c r="AL213" s="15" t="n"/>
      <c r="AM213" s="22" t="n"/>
      <c r="AO213" s="44">
        <f>IF($A$1=$B$1,B213,IF($A$1=$E$1,E213,IF($A$1=$H$1,H213,IF($A$1=$K$1,K213,IF($A$1=$N$1,N213,IF($A$1=$Q$1,Q213,IF($A$1=$T$1,T213,IF($A$1=$W$1,W213,IF($A$1=$Z$1,Z213,IF($A$1=$AC$1,AC213,IF($A$1=$AF$1,AF213,IF($A$1=$AI$1,AI213))))))))))))</f>
        <v/>
      </c>
      <c r="AP213" s="44">
        <f>IF($A$1=$B$1,C213,IF($A$1=$E$1,F213,IF($A$1=$H$1,I213,IF($A$1=$K$1,L213,IF($A$1=$N$1,O213,IF($A$1=$Q$1,R213,IF($A$1=$T$1,U213,IF($A$1=$W$1,X213,IF($A$1=$Z$1,AA213,IF($A$1=$AC$1,AD213,IF($A$1=$AF$1,AG213,IF($A$1=$AI$1,AJ213))))))))))))</f>
        <v/>
      </c>
    </row>
    <row r="214" ht="17" customFormat="1" customHeight="1" s="49">
      <c r="A214" s="47" t="inlineStr">
        <is>
          <t>Net Kar (100%)</t>
        </is>
      </c>
      <c r="B214" s="413" t="n"/>
      <c r="C214" s="413" t="n"/>
      <c r="D214" s="413" t="n"/>
      <c r="E214" s="413" t="n"/>
      <c r="F214" s="413" t="n"/>
      <c r="G214" s="413" t="n"/>
      <c r="H214" s="413" t="n"/>
      <c r="I214" s="413" t="n"/>
      <c r="J214" s="413" t="n"/>
      <c r="K214" s="413" t="n"/>
      <c r="L214" s="413" t="n"/>
      <c r="M214" s="413" t="n"/>
      <c r="N214" s="413" t="n"/>
      <c r="O214" s="413" t="n"/>
      <c r="P214" s="413" t="n"/>
      <c r="Q214" s="413" t="n"/>
      <c r="R214" s="413" t="n"/>
      <c r="S214" s="413" t="n"/>
      <c r="T214" s="413" t="n"/>
      <c r="U214" s="413" t="n"/>
      <c r="V214" s="413" t="n"/>
      <c r="W214" s="413" t="n"/>
      <c r="X214" s="413" t="n"/>
      <c r="Y214" s="413" t="n"/>
      <c r="Z214" s="413" t="n"/>
      <c r="AA214" s="413" t="n"/>
      <c r="AB214" s="413" t="n"/>
      <c r="AC214" s="413" t="n"/>
      <c r="AD214" s="413" t="n"/>
      <c r="AE214" s="413" t="n"/>
      <c r="AF214" s="413" t="n"/>
      <c r="AG214" s="413" t="n"/>
      <c r="AH214" s="413" t="n"/>
      <c r="AI214" s="413" t="n"/>
      <c r="AJ214" s="413" t="n"/>
      <c r="AK214" s="413" t="n"/>
      <c r="AL214" s="413" t="n"/>
      <c r="AM214" s="48" t="n"/>
    </row>
    <row r="215" ht="15.5" customHeight="1">
      <c r="A215" s="26" t="inlineStr">
        <is>
          <t xml:space="preserve">İnci Holding </t>
        </is>
      </c>
      <c r="B215" s="7">
        <f>'A-TRY'!B215</f>
        <v/>
      </c>
      <c r="C215" s="7">
        <f>'A-TRY'!C215</f>
        <v/>
      </c>
      <c r="D215" s="7" t="n"/>
      <c r="E215" s="7">
        <f>B215+'A-TRY'!E215</f>
        <v/>
      </c>
      <c r="F215" s="7">
        <f>C215+'A-TRY'!F215</f>
        <v/>
      </c>
      <c r="G215" s="7" t="n"/>
      <c r="H215" s="7">
        <f>E215+'A-TRY'!H215</f>
        <v/>
      </c>
      <c r="I215" s="7">
        <f>F215+'A-TRY'!I215</f>
        <v/>
      </c>
      <c r="J215" s="7" t="n"/>
      <c r="K215" s="7">
        <f>H215+'A-TRY'!K215</f>
        <v/>
      </c>
      <c r="L215" s="7">
        <f>I215+'A-TRY'!L215</f>
        <v/>
      </c>
      <c r="M215" s="7" t="n"/>
      <c r="N215" s="7">
        <f>K215+'A-TRY'!N215</f>
        <v/>
      </c>
      <c r="O215" s="7">
        <f>L215+'A-TRY'!O215</f>
        <v/>
      </c>
      <c r="P215" s="7" t="n"/>
      <c r="Q215" s="7">
        <f>N215+'A-TRY'!Q215</f>
        <v/>
      </c>
      <c r="R215" s="7">
        <f>O215+'A-TRY'!R215</f>
        <v/>
      </c>
      <c r="S215" s="7" t="n"/>
      <c r="T215" s="7">
        <f>Q215+'A-TRY'!T215</f>
        <v/>
      </c>
      <c r="U215" s="7">
        <f>R215+'A-TRY'!U215</f>
        <v/>
      </c>
      <c r="V215" s="7" t="n"/>
      <c r="W215" s="7">
        <f>T215+'A-TRY'!W215</f>
        <v/>
      </c>
      <c r="X215" s="7">
        <f>U215+'A-TRY'!X215</f>
        <v/>
      </c>
      <c r="Y215" s="7" t="n"/>
      <c r="Z215" s="7">
        <f>W215+'A-TRY'!Z215</f>
        <v/>
      </c>
      <c r="AA215" s="7">
        <f>X215+'A-TRY'!AA215</f>
        <v/>
      </c>
      <c r="AB215" s="7" t="n"/>
      <c r="AC215" s="7">
        <f>Z215+'A-TRY'!AC215</f>
        <v/>
      </c>
      <c r="AD215" s="7">
        <f>AA215+'A-TRY'!AD215</f>
        <v/>
      </c>
      <c r="AE215" s="7" t="n"/>
      <c r="AF215" s="7">
        <f>AC215+'A-TRY'!AF215</f>
        <v/>
      </c>
      <c r="AG215" s="7">
        <f>AD215+'A-TRY'!AG215</f>
        <v/>
      </c>
      <c r="AH215" s="7" t="n"/>
      <c r="AI215" s="7">
        <f>AF215+'A-TRY'!AI215</f>
        <v/>
      </c>
      <c r="AJ215" s="7">
        <f>AG215+'A-TRY'!AJ215</f>
        <v/>
      </c>
      <c r="AK215" s="7" t="n"/>
      <c r="AL215" s="21">
        <f>AP215-AO215</f>
        <v/>
      </c>
      <c r="AM215" s="22">
        <f>AP215/AO215-1</f>
        <v/>
      </c>
      <c r="AO215" s="44">
        <f>IF($A$1=$B$1,B215,IF($A$1=$E$1,E215,IF($A$1=$H$1,H215,IF($A$1=$K$1,K215,IF($A$1=$N$1,N215,IF($A$1=$Q$1,Q215,IF($A$1=$T$1,T215,IF($A$1=$W$1,W215,IF($A$1=$Z$1,Z215,IF($A$1=$AC$1,AC215,IF($A$1=$AF$1,AF215,IF($A$1=$AI$1,AI215))))))))))))</f>
        <v/>
      </c>
      <c r="AP215" s="44">
        <f>IF($A$1=$B$1,C215,IF($A$1=$E$1,F215,IF($A$1=$H$1,I215,IF($A$1=$K$1,L215,IF($A$1=$N$1,O215,IF($A$1=$Q$1,R215,IF($A$1=$T$1,U215,IF($A$1=$W$1,X215,IF($A$1=$Z$1,AA215,IF($A$1=$AC$1,AD215,IF($A$1=$AF$1,AG215,IF($A$1=$AI$1,AJ215))))))))))))</f>
        <v/>
      </c>
    </row>
    <row r="216" ht="15.5" customHeight="1">
      <c r="A216" s="26" t="inlineStr">
        <is>
          <t xml:space="preserve">ISM </t>
        </is>
      </c>
      <c r="B216" s="7">
        <f>'A-TRY'!B216</f>
        <v/>
      </c>
      <c r="C216" s="7">
        <f>'A-TRY'!C216</f>
        <v/>
      </c>
      <c r="D216" s="7" t="n"/>
      <c r="E216" s="7">
        <f>B216+'A-TRY'!E216</f>
        <v/>
      </c>
      <c r="F216" s="7">
        <f>C216+'A-TRY'!F216</f>
        <v/>
      </c>
      <c r="G216" s="7" t="n"/>
      <c r="H216" s="7">
        <f>E216+'A-TRY'!H216</f>
        <v/>
      </c>
      <c r="I216" s="7">
        <f>F216+'A-TRY'!I216</f>
        <v/>
      </c>
      <c r="J216" s="7" t="n"/>
      <c r="K216" s="7">
        <f>H216+'A-TRY'!K216</f>
        <v/>
      </c>
      <c r="L216" s="7">
        <f>I216+'A-TRY'!L216</f>
        <v/>
      </c>
      <c r="M216" s="7" t="n"/>
      <c r="N216" s="7">
        <f>K216+'A-TRY'!N216</f>
        <v/>
      </c>
      <c r="O216" s="7">
        <f>L216+'A-TRY'!O216</f>
        <v/>
      </c>
      <c r="P216" s="7" t="n"/>
      <c r="Q216" s="7">
        <f>N216+'A-TRY'!Q216</f>
        <v/>
      </c>
      <c r="R216" s="7">
        <f>O216+'A-TRY'!R216</f>
        <v/>
      </c>
      <c r="S216" s="7" t="n"/>
      <c r="T216" s="7">
        <f>Q216+'A-TRY'!T216</f>
        <v/>
      </c>
      <c r="U216" s="7">
        <f>R216+'A-TRY'!U216</f>
        <v/>
      </c>
      <c r="V216" s="7" t="n"/>
      <c r="W216" s="7">
        <f>T216+'A-TRY'!W216</f>
        <v/>
      </c>
      <c r="X216" s="7">
        <f>U216+'A-TRY'!X216</f>
        <v/>
      </c>
      <c r="Y216" s="7" t="n"/>
      <c r="Z216" s="7">
        <f>W216+'A-TRY'!Z216</f>
        <v/>
      </c>
      <c r="AA216" s="7">
        <f>X216+'A-TRY'!AA216</f>
        <v/>
      </c>
      <c r="AB216" s="7" t="n"/>
      <c r="AC216" s="7">
        <f>Z216+'A-TRY'!AC216</f>
        <v/>
      </c>
      <c r="AD216" s="7">
        <f>AA216+'A-TRY'!AD216</f>
        <v/>
      </c>
      <c r="AE216" s="7" t="n"/>
      <c r="AF216" s="7">
        <f>AC216+'A-TRY'!AF216</f>
        <v/>
      </c>
      <c r="AG216" s="7">
        <f>AD216+'A-TRY'!AG216</f>
        <v/>
      </c>
      <c r="AH216" s="7" t="n"/>
      <c r="AI216" s="7">
        <f>AF216+'A-TRY'!AI216</f>
        <v/>
      </c>
      <c r="AJ216" s="7">
        <f>AG216+'A-TRY'!AJ216</f>
        <v/>
      </c>
      <c r="AK216" s="7" t="n"/>
      <c r="AL216" s="21">
        <f>AP216-AO216</f>
        <v/>
      </c>
      <c r="AM216" s="22">
        <f>AP216/AO216-1</f>
        <v/>
      </c>
      <c r="AO216" s="44">
        <f>IF($A$1=$B$1,B216,IF($A$1=$E$1,E216,IF($A$1=$H$1,H216,IF($A$1=$K$1,K216,IF($A$1=$N$1,N216,IF($A$1=$Q$1,Q216,IF($A$1=$T$1,T216,IF($A$1=$W$1,W216,IF($A$1=$Z$1,Z216,IF($A$1=$AC$1,AC216,IF($A$1=$AF$1,AF216,IF($A$1=$AI$1,AI216))))))))))))</f>
        <v/>
      </c>
      <c r="AP216" s="44">
        <f>IF($A$1=$B$1,C216,IF($A$1=$E$1,F216,IF($A$1=$H$1,I216,IF($A$1=$K$1,L216,IF($A$1=$N$1,O216,IF($A$1=$Q$1,R216,IF($A$1=$T$1,U216,IF($A$1=$W$1,X216,IF($A$1=$Z$1,AA216,IF($A$1=$AC$1,AD216,IF($A$1=$AF$1,AG216,IF($A$1=$AI$1,AJ216))))))))))))</f>
        <v/>
      </c>
    </row>
    <row r="217" ht="15.5" customHeight="1">
      <c r="A217" s="26" t="inlineStr">
        <is>
          <t>İncitaş</t>
        </is>
      </c>
      <c r="B217" s="7">
        <f>'A-TRY'!B217</f>
        <v/>
      </c>
      <c r="C217" s="7">
        <f>'A-TRY'!C217</f>
        <v/>
      </c>
      <c r="D217" s="7" t="n"/>
      <c r="E217" s="7">
        <f>B217+'A-TRY'!E217</f>
        <v/>
      </c>
      <c r="F217" s="7">
        <f>C217+'A-TRY'!F217</f>
        <v/>
      </c>
      <c r="G217" s="7" t="n"/>
      <c r="H217" s="7">
        <f>E217+'A-TRY'!H217</f>
        <v/>
      </c>
      <c r="I217" s="7">
        <f>F217+'A-TRY'!I217</f>
        <v/>
      </c>
      <c r="J217" s="7" t="n"/>
      <c r="K217" s="7">
        <f>H217+'A-TRY'!K217</f>
        <v/>
      </c>
      <c r="L217" s="7">
        <f>I217+'A-TRY'!L217</f>
        <v/>
      </c>
      <c r="M217" s="7" t="n"/>
      <c r="N217" s="7">
        <f>K217+'A-TRY'!N217</f>
        <v/>
      </c>
      <c r="O217" s="7">
        <f>L217+'A-TRY'!O217</f>
        <v/>
      </c>
      <c r="P217" s="7" t="n"/>
      <c r="Q217" s="7">
        <f>N217+'A-TRY'!Q217</f>
        <v/>
      </c>
      <c r="R217" s="7">
        <f>O217+'A-TRY'!R217</f>
        <v/>
      </c>
      <c r="S217" s="7" t="n"/>
      <c r="T217" s="7">
        <f>Q217+'A-TRY'!T217</f>
        <v/>
      </c>
      <c r="U217" s="7">
        <f>R217+'A-TRY'!U217</f>
        <v/>
      </c>
      <c r="V217" s="7" t="n"/>
      <c r="W217" s="7">
        <f>T217+'A-TRY'!W217</f>
        <v/>
      </c>
      <c r="X217" s="7">
        <f>U217+'A-TRY'!X217</f>
        <v/>
      </c>
      <c r="Y217" s="7" t="n"/>
      <c r="Z217" s="7">
        <f>W217+'A-TRY'!Z217</f>
        <v/>
      </c>
      <c r="AA217" s="7">
        <f>X217+'A-TRY'!AA217</f>
        <v/>
      </c>
      <c r="AB217" s="7" t="n"/>
      <c r="AC217" s="7">
        <f>Z217+'A-TRY'!AC217</f>
        <v/>
      </c>
      <c r="AD217" s="7">
        <f>AA217+'A-TRY'!AD217</f>
        <v/>
      </c>
      <c r="AE217" s="7" t="n"/>
      <c r="AF217" s="7">
        <f>AC217+'A-TRY'!AF217</f>
        <v/>
      </c>
      <c r="AG217" s="7">
        <f>AD217+'A-TRY'!AG217</f>
        <v/>
      </c>
      <c r="AH217" s="7" t="n"/>
      <c r="AI217" s="7">
        <f>AF217+'A-TRY'!AI217</f>
        <v/>
      </c>
      <c r="AJ217" s="7">
        <f>AG217+'A-TRY'!AJ217</f>
        <v/>
      </c>
      <c r="AK217" s="7" t="n"/>
      <c r="AL217" s="21">
        <f>AP217-AO217</f>
        <v/>
      </c>
      <c r="AM217" s="22">
        <f>AP217/AO217-1</f>
        <v/>
      </c>
      <c r="AO217" s="44">
        <f>IF($A$1=$B$1,B217,IF($A$1=$E$1,E217,IF($A$1=$H$1,H217,IF($A$1=$K$1,K217,IF($A$1=$N$1,N217,IF($A$1=$Q$1,Q217,IF($A$1=$T$1,T217,IF($A$1=$W$1,W217,IF($A$1=$Z$1,Z217,IF($A$1=$AC$1,AC217,IF($A$1=$AF$1,AF217,IF($A$1=$AI$1,AI217))))))))))))</f>
        <v/>
      </c>
      <c r="AP217" s="44">
        <f>IF($A$1=$B$1,C217,IF($A$1=$E$1,F217,IF($A$1=$H$1,I217,IF($A$1=$K$1,L217,IF($A$1=$N$1,O217,IF($A$1=$Q$1,R217,IF($A$1=$T$1,U217,IF($A$1=$W$1,X217,IF($A$1=$Z$1,AA217,IF($A$1=$AC$1,AD217,IF($A$1=$AF$1,AG217,IF($A$1=$AI$1,AJ217))))))))))))</f>
        <v/>
      </c>
    </row>
    <row r="218" ht="15.5" customHeight="1">
      <c r="A218" s="26" t="inlineStr">
        <is>
          <t>İnci GS Yuasa</t>
        </is>
      </c>
      <c r="B218" s="7">
        <f>'A-TRY'!B218</f>
        <v/>
      </c>
      <c r="C218" s="7">
        <f>'A-TRY'!C218</f>
        <v/>
      </c>
      <c r="D218" s="7" t="n"/>
      <c r="E218" s="7">
        <f>B218+'A-TRY'!E218</f>
        <v/>
      </c>
      <c r="F218" s="7">
        <f>C218+'A-TRY'!F218</f>
        <v/>
      </c>
      <c r="G218" s="7" t="n"/>
      <c r="H218" s="7">
        <f>E218+'A-TRY'!H218</f>
        <v/>
      </c>
      <c r="I218" s="7">
        <f>F218+'A-TRY'!I218</f>
        <v/>
      </c>
      <c r="J218" s="7" t="n"/>
      <c r="K218" s="7">
        <f>H218+'A-TRY'!K218</f>
        <v/>
      </c>
      <c r="L218" s="7">
        <f>I218+'A-TRY'!L218</f>
        <v/>
      </c>
      <c r="M218" s="7" t="n"/>
      <c r="N218" s="7">
        <f>K218+'A-TRY'!N218</f>
        <v/>
      </c>
      <c r="O218" s="7">
        <f>L218+'A-TRY'!O218</f>
        <v/>
      </c>
      <c r="P218" s="7" t="n"/>
      <c r="Q218" s="7">
        <f>N218+'A-TRY'!Q218</f>
        <v/>
      </c>
      <c r="R218" s="7">
        <f>O218+'A-TRY'!R218</f>
        <v/>
      </c>
      <c r="S218" s="7" t="n"/>
      <c r="T218" s="7">
        <f>Q218+'A-TRY'!T218</f>
        <v/>
      </c>
      <c r="U218" s="7">
        <f>R218+'A-TRY'!U218</f>
        <v/>
      </c>
      <c r="V218" s="7" t="n"/>
      <c r="W218" s="7">
        <f>T218+'A-TRY'!W218</f>
        <v/>
      </c>
      <c r="X218" s="7">
        <f>U218+'A-TRY'!X218</f>
        <v/>
      </c>
      <c r="Y218" s="7" t="n"/>
      <c r="Z218" s="7">
        <f>W218+'A-TRY'!Z218</f>
        <v/>
      </c>
      <c r="AA218" s="7">
        <f>X218+'A-TRY'!AA218</f>
        <v/>
      </c>
      <c r="AB218" s="7" t="n"/>
      <c r="AC218" s="7">
        <f>Z218+'A-TRY'!AC218</f>
        <v/>
      </c>
      <c r="AD218" s="7">
        <f>AA218+'A-TRY'!AD218</f>
        <v/>
      </c>
      <c r="AE218" s="7" t="n"/>
      <c r="AF218" s="7">
        <f>AC218+'A-TRY'!AF218</f>
        <v/>
      </c>
      <c r="AG218" s="7">
        <f>AD218+'A-TRY'!AG218</f>
        <v/>
      </c>
      <c r="AH218" s="7" t="n"/>
      <c r="AI218" s="7">
        <f>AF218+'A-TRY'!AI218</f>
        <v/>
      </c>
      <c r="AJ218" s="7">
        <f>AG218+'A-TRY'!AJ218</f>
        <v/>
      </c>
      <c r="AK218" s="7" t="n"/>
      <c r="AL218" s="21">
        <f>AP218-AO218</f>
        <v/>
      </c>
      <c r="AM218" s="22">
        <f>AP218/AO218-1</f>
        <v/>
      </c>
      <c r="AO218" s="44">
        <f>IF($A$1=$B$1,B218,IF($A$1=$E$1,E218,IF($A$1=$H$1,H218,IF($A$1=$K$1,K218,IF($A$1=$N$1,N218,IF($A$1=$Q$1,Q218,IF($A$1=$T$1,T218,IF($A$1=$W$1,W218,IF($A$1=$Z$1,Z218,IF($A$1=$AC$1,AC218,IF($A$1=$AF$1,AF218,IF($A$1=$AI$1,AI218))))))))))))</f>
        <v/>
      </c>
      <c r="AP218" s="44">
        <f>IF($A$1=$B$1,C218,IF($A$1=$E$1,F218,IF($A$1=$H$1,I218,IF($A$1=$K$1,L218,IF($A$1=$N$1,O218,IF($A$1=$Q$1,R218,IF($A$1=$T$1,U218,IF($A$1=$W$1,X218,IF($A$1=$Z$1,AA218,IF($A$1=$AC$1,AD218,IF($A$1=$AF$1,AG218,IF($A$1=$AI$1,AJ218))))))))))))</f>
        <v/>
      </c>
    </row>
    <row r="219" ht="15.5" customFormat="1" customHeight="1" s="1">
      <c r="A219" s="26" t="inlineStr">
        <is>
          <t>Yusen İnci Loj.</t>
        </is>
      </c>
      <c r="B219" s="7">
        <f>'A-TRY'!B219</f>
        <v/>
      </c>
      <c r="C219" s="7">
        <f>'A-TRY'!C219</f>
        <v/>
      </c>
      <c r="D219" s="8" t="n"/>
      <c r="E219" s="7">
        <f>B219+'A-TRY'!E219</f>
        <v/>
      </c>
      <c r="F219" s="7">
        <f>C219+'A-TRY'!F219</f>
        <v/>
      </c>
      <c r="G219" s="8" t="n"/>
      <c r="H219" s="7">
        <f>E219+'A-TRY'!H219</f>
        <v/>
      </c>
      <c r="I219" s="7">
        <f>F219+'A-TRY'!I219</f>
        <v/>
      </c>
      <c r="J219" s="8" t="n"/>
      <c r="K219" s="7">
        <f>H219+'A-TRY'!K219</f>
        <v/>
      </c>
      <c r="L219" s="7">
        <f>I219+'A-TRY'!L219</f>
        <v/>
      </c>
      <c r="M219" s="8" t="n"/>
      <c r="N219" s="7">
        <f>K219+'A-TRY'!N219</f>
        <v/>
      </c>
      <c r="O219" s="7">
        <f>L219+'A-TRY'!O219</f>
        <v/>
      </c>
      <c r="P219" s="8" t="n"/>
      <c r="Q219" s="7">
        <f>N219+'A-TRY'!Q219</f>
        <v/>
      </c>
      <c r="R219" s="7">
        <f>O219+'A-TRY'!R219</f>
        <v/>
      </c>
      <c r="S219" s="8" t="n"/>
      <c r="T219" s="7">
        <f>Q219+'A-TRY'!T219</f>
        <v/>
      </c>
      <c r="U219" s="7">
        <f>R219+'A-TRY'!U219</f>
        <v/>
      </c>
      <c r="V219" s="8" t="n"/>
      <c r="W219" s="7">
        <f>T219+'A-TRY'!W219</f>
        <v/>
      </c>
      <c r="X219" s="7">
        <f>U219+'A-TRY'!X219</f>
        <v/>
      </c>
      <c r="Y219" s="8" t="n"/>
      <c r="Z219" s="7">
        <f>W219+'A-TRY'!Z219</f>
        <v/>
      </c>
      <c r="AA219" s="7">
        <f>X219+'A-TRY'!AA219</f>
        <v/>
      </c>
      <c r="AB219" s="8" t="n"/>
      <c r="AC219" s="7">
        <f>Z219+'A-TRY'!AC219</f>
        <v/>
      </c>
      <c r="AD219" s="7">
        <f>AA219+'A-TRY'!AD219</f>
        <v/>
      </c>
      <c r="AE219" s="8" t="n"/>
      <c r="AF219" s="7">
        <f>AC219+'A-TRY'!AF219</f>
        <v/>
      </c>
      <c r="AG219" s="7">
        <f>AD219+'A-TRY'!AG219</f>
        <v/>
      </c>
      <c r="AH219" s="8" t="n"/>
      <c r="AI219" s="7">
        <f>AF219+'A-TRY'!AI219</f>
        <v/>
      </c>
      <c r="AJ219" s="7">
        <f>AG219+'A-TRY'!AJ219</f>
        <v/>
      </c>
      <c r="AK219" s="8" t="n"/>
      <c r="AL219" s="21">
        <f>AP219-AO219</f>
        <v/>
      </c>
      <c r="AM219" s="22">
        <f>AP219/AO219-1</f>
        <v/>
      </c>
      <c r="AO219" s="44">
        <f>IF($A$1=$B$1,B219,IF($A$1=$E$1,E219,IF($A$1=$H$1,H219,IF($A$1=$K$1,K219,IF($A$1=$N$1,N219,IF($A$1=$Q$1,Q219,IF($A$1=$T$1,T219,IF($A$1=$W$1,W219,IF($A$1=$Z$1,Z219,IF($A$1=$AC$1,AC219,IF($A$1=$AF$1,AF219,IF($A$1=$AI$1,AI219))))))))))))</f>
        <v/>
      </c>
      <c r="AP219" s="44">
        <f>IF($A$1=$B$1,C219,IF($A$1=$E$1,F219,IF($A$1=$H$1,I219,IF($A$1=$K$1,L219,IF($A$1=$N$1,O219,IF($A$1=$Q$1,R219,IF($A$1=$T$1,U219,IF($A$1=$W$1,X219,IF($A$1=$Z$1,AA219,IF($A$1=$AC$1,AD219,IF($A$1=$AF$1,AG219,IF($A$1=$AI$1,AJ219))))))))))))</f>
        <v/>
      </c>
    </row>
    <row r="220" ht="15.5" customHeight="1">
      <c r="A220" s="26" t="inlineStr">
        <is>
          <t>Jantaş</t>
        </is>
      </c>
      <c r="B220" s="7">
        <f>'A-TRY'!B220</f>
        <v/>
      </c>
      <c r="C220" s="7">
        <f>'A-TRY'!C220</f>
        <v/>
      </c>
      <c r="D220" s="7" t="n"/>
      <c r="E220" s="7">
        <f>B220+'A-TRY'!E220</f>
        <v/>
      </c>
      <c r="F220" s="7">
        <f>C220+'A-TRY'!F220</f>
        <v/>
      </c>
      <c r="G220" s="7" t="n"/>
      <c r="H220" s="7">
        <f>E220+'A-TRY'!H220</f>
        <v/>
      </c>
      <c r="I220" s="7">
        <f>F220+'A-TRY'!I220</f>
        <v/>
      </c>
      <c r="J220" s="7" t="n"/>
      <c r="K220" s="7">
        <f>H220+'A-TRY'!K220</f>
        <v/>
      </c>
      <c r="L220" s="7">
        <f>I220+'A-TRY'!L220</f>
        <v/>
      </c>
      <c r="M220" s="7" t="n"/>
      <c r="N220" s="7">
        <f>K220+'A-TRY'!N220</f>
        <v/>
      </c>
      <c r="O220" s="7">
        <f>L220+'A-TRY'!O220</f>
        <v/>
      </c>
      <c r="P220" s="7" t="n"/>
      <c r="Q220" s="7">
        <f>N220+'A-TRY'!Q220</f>
        <v/>
      </c>
      <c r="R220" s="7">
        <f>O220+'A-TRY'!R220</f>
        <v/>
      </c>
      <c r="S220" s="7" t="n"/>
      <c r="T220" s="7">
        <f>Q220+'A-TRY'!T220</f>
        <v/>
      </c>
      <c r="U220" s="7">
        <f>R220+'A-TRY'!U220</f>
        <v/>
      </c>
      <c r="V220" s="7" t="n"/>
      <c r="W220" s="7">
        <f>T220+'A-TRY'!W220</f>
        <v/>
      </c>
      <c r="X220" s="7">
        <f>U220+'A-TRY'!X220</f>
        <v/>
      </c>
      <c r="Y220" s="7" t="n"/>
      <c r="Z220" s="7">
        <f>W220+'A-TRY'!Z220</f>
        <v/>
      </c>
      <c r="AA220" s="7">
        <f>X220+'A-TRY'!AA220</f>
        <v/>
      </c>
      <c r="AB220" s="7" t="n"/>
      <c r="AC220" s="7">
        <f>Z220+'A-TRY'!AC220</f>
        <v/>
      </c>
      <c r="AD220" s="7">
        <f>AA220+'A-TRY'!AD220</f>
        <v/>
      </c>
      <c r="AE220" s="7" t="n"/>
      <c r="AF220" s="7">
        <f>AC220+'A-TRY'!AF220</f>
        <v/>
      </c>
      <c r="AG220" s="7">
        <f>AD220+'A-TRY'!AG220</f>
        <v/>
      </c>
      <c r="AH220" s="7" t="n"/>
      <c r="AI220" s="7">
        <f>AF220+'A-TRY'!AI220</f>
        <v/>
      </c>
      <c r="AJ220" s="7">
        <f>AG220+'A-TRY'!AJ220</f>
        <v/>
      </c>
      <c r="AK220" s="7" t="n"/>
      <c r="AL220" s="21">
        <f>AP220-AO220</f>
        <v/>
      </c>
      <c r="AM220" s="22">
        <f>AP220/AO220-1</f>
        <v/>
      </c>
      <c r="AO220" s="44">
        <f>IF($A$1=$B$1,B220,IF($A$1=$E$1,E220,IF($A$1=$H$1,H220,IF($A$1=$K$1,K220,IF($A$1=$N$1,N220,IF($A$1=$Q$1,Q220,IF($A$1=$T$1,T220,IF($A$1=$W$1,W220,IF($A$1=$Z$1,Z220,IF($A$1=$AC$1,AC220,IF($A$1=$AF$1,AF220,IF($A$1=$AI$1,AI220))))))))))))</f>
        <v/>
      </c>
      <c r="AP220" s="44">
        <f>IF($A$1=$B$1,C220,IF($A$1=$E$1,F220,IF($A$1=$H$1,I220,IF($A$1=$K$1,L220,IF($A$1=$N$1,O220,IF($A$1=$Q$1,R220,IF($A$1=$T$1,U220,IF($A$1=$W$1,X220,IF($A$1=$Z$1,AA220,IF($A$1=$AC$1,AD220,IF($A$1=$AF$1,AG220,IF($A$1=$AI$1,AJ220))))))))))))</f>
        <v/>
      </c>
    </row>
    <row r="221" ht="15.5" customFormat="1" customHeight="1" s="1">
      <c r="A221" s="26" t="inlineStr">
        <is>
          <t>Çelik</t>
        </is>
      </c>
      <c r="B221" s="7">
        <f>'A-TRY'!B221</f>
        <v/>
      </c>
      <c r="C221" s="7">
        <f>'A-TRY'!C221</f>
        <v/>
      </c>
      <c r="D221" s="8" t="n"/>
      <c r="E221" s="7">
        <f>B221+'A-TRY'!E221</f>
        <v/>
      </c>
      <c r="F221" s="7">
        <f>C221+'A-TRY'!F221</f>
        <v/>
      </c>
      <c r="G221" s="8" t="n"/>
      <c r="H221" s="7">
        <f>E221+'A-TRY'!H221</f>
        <v/>
      </c>
      <c r="I221" s="7">
        <f>F221+'A-TRY'!I221</f>
        <v/>
      </c>
      <c r="J221" s="8" t="n"/>
      <c r="K221" s="7">
        <f>H221+'A-TRY'!K221</f>
        <v/>
      </c>
      <c r="L221" s="7">
        <f>I221+'A-TRY'!L221</f>
        <v/>
      </c>
      <c r="M221" s="8" t="n"/>
      <c r="N221" s="7">
        <f>K221+'A-TRY'!N221</f>
        <v/>
      </c>
      <c r="O221" s="7">
        <f>L221+'A-TRY'!O221</f>
        <v/>
      </c>
      <c r="P221" s="8" t="n"/>
      <c r="Q221" s="7">
        <f>N221+'A-TRY'!Q221</f>
        <v/>
      </c>
      <c r="R221" s="7">
        <f>O221+'A-TRY'!R221</f>
        <v/>
      </c>
      <c r="S221" s="8" t="n"/>
      <c r="T221" s="7">
        <f>Q221+'A-TRY'!T221</f>
        <v/>
      </c>
      <c r="U221" s="7">
        <f>R221+'A-TRY'!U221</f>
        <v/>
      </c>
      <c r="V221" s="8" t="n"/>
      <c r="W221" s="7">
        <f>T221+'A-TRY'!W221</f>
        <v/>
      </c>
      <c r="X221" s="7">
        <f>U221+'A-TRY'!X221</f>
        <v/>
      </c>
      <c r="Y221" s="8" t="n"/>
      <c r="Z221" s="7">
        <f>W221+'A-TRY'!Z221</f>
        <v/>
      </c>
      <c r="AA221" s="7">
        <f>X221+'A-TRY'!AA221</f>
        <v/>
      </c>
      <c r="AB221" s="8" t="n"/>
      <c r="AC221" s="7">
        <f>Z221+'A-TRY'!AC221</f>
        <v/>
      </c>
      <c r="AD221" s="7">
        <f>AA221+'A-TRY'!AD221</f>
        <v/>
      </c>
      <c r="AE221" s="8" t="n"/>
      <c r="AF221" s="7">
        <f>AC221+'A-TRY'!AF221</f>
        <v/>
      </c>
      <c r="AG221" s="7">
        <f>AD221+'A-TRY'!AG221</f>
        <v/>
      </c>
      <c r="AH221" s="8" t="n"/>
      <c r="AI221" s="7">
        <f>AF221+'A-TRY'!AI221</f>
        <v/>
      </c>
      <c r="AJ221" s="7">
        <f>AG221+'A-TRY'!AJ221</f>
        <v/>
      </c>
      <c r="AK221" s="8" t="n"/>
      <c r="AL221" s="21">
        <f>AP221-AO221</f>
        <v/>
      </c>
      <c r="AM221" s="22">
        <f>AP221/AO221-1</f>
        <v/>
      </c>
      <c r="AO221" s="44">
        <f>IF($A$1=$B$1,B221,IF($A$1=$E$1,E221,IF($A$1=$H$1,H221,IF($A$1=$K$1,K221,IF($A$1=$N$1,N221,IF($A$1=$Q$1,Q221,IF($A$1=$T$1,T221,IF($A$1=$W$1,W221,IF($A$1=$Z$1,Z221,IF($A$1=$AC$1,AC221,IF($A$1=$AF$1,AF221,IF($A$1=$AI$1,AI221))))))))))))</f>
        <v/>
      </c>
      <c r="AP221" s="44">
        <f>IF($A$1=$B$1,C221,IF($A$1=$E$1,F221,IF($A$1=$H$1,I221,IF($A$1=$K$1,L221,IF($A$1=$N$1,O221,IF($A$1=$Q$1,R221,IF($A$1=$T$1,U221,IF($A$1=$W$1,X221,IF($A$1=$Z$1,AA221,IF($A$1=$AC$1,AD221,IF($A$1=$AF$1,AG221,IF($A$1=$AI$1,AJ221))))))))))))</f>
        <v/>
      </c>
    </row>
    <row r="222" ht="15.5" customFormat="1" customHeight="1" s="1">
      <c r="A222" s="26" t="inlineStr">
        <is>
          <t>Alüminyum</t>
        </is>
      </c>
      <c r="B222" s="7">
        <f>'A-TRY'!B222</f>
        <v/>
      </c>
      <c r="C222" s="7">
        <f>'A-TRY'!C222</f>
        <v/>
      </c>
      <c r="D222" s="8" t="n"/>
      <c r="E222" s="7">
        <f>B222+'A-TRY'!E222</f>
        <v/>
      </c>
      <c r="F222" s="7">
        <f>C222+'A-TRY'!F222</f>
        <v/>
      </c>
      <c r="G222" s="8" t="n"/>
      <c r="H222" s="7">
        <f>E222+'A-TRY'!H222</f>
        <v/>
      </c>
      <c r="I222" s="7">
        <f>F222+'A-TRY'!I222</f>
        <v/>
      </c>
      <c r="J222" s="8" t="n"/>
      <c r="K222" s="7">
        <f>H222+'A-TRY'!K222</f>
        <v/>
      </c>
      <c r="L222" s="7">
        <f>I222+'A-TRY'!L222</f>
        <v/>
      </c>
      <c r="M222" s="8" t="n"/>
      <c r="N222" s="7">
        <f>K222+'A-TRY'!N222</f>
        <v/>
      </c>
      <c r="O222" s="7">
        <f>L222+'A-TRY'!O222</f>
        <v/>
      </c>
      <c r="P222" s="8" t="n"/>
      <c r="Q222" s="7">
        <f>N222+'A-TRY'!Q222</f>
        <v/>
      </c>
      <c r="R222" s="7">
        <f>O222+'A-TRY'!R222</f>
        <v/>
      </c>
      <c r="S222" s="8" t="n"/>
      <c r="T222" s="7">
        <f>Q222+'A-TRY'!T222</f>
        <v/>
      </c>
      <c r="U222" s="7">
        <f>R222+'A-TRY'!U222</f>
        <v/>
      </c>
      <c r="V222" s="8" t="n"/>
      <c r="W222" s="7">
        <f>T222+'A-TRY'!W222</f>
        <v/>
      </c>
      <c r="X222" s="7">
        <f>U222+'A-TRY'!X222</f>
        <v/>
      </c>
      <c r="Y222" s="8" t="n"/>
      <c r="Z222" s="7">
        <f>W222+'A-TRY'!Z222</f>
        <v/>
      </c>
      <c r="AA222" s="7">
        <f>X222+'A-TRY'!AA222</f>
        <v/>
      </c>
      <c r="AB222" s="8" t="n"/>
      <c r="AC222" s="7">
        <f>Z222+'A-TRY'!AC222</f>
        <v/>
      </c>
      <c r="AD222" s="7">
        <f>AA222+'A-TRY'!AD222</f>
        <v/>
      </c>
      <c r="AE222" s="8" t="n"/>
      <c r="AF222" s="7">
        <f>AC222+'A-TRY'!AF222</f>
        <v/>
      </c>
      <c r="AG222" s="7">
        <f>AD222+'A-TRY'!AG222</f>
        <v/>
      </c>
      <c r="AH222" s="8" t="n"/>
      <c r="AI222" s="7">
        <f>AF222+'A-TRY'!AI222</f>
        <v/>
      </c>
      <c r="AJ222" s="7">
        <f>AG222+'A-TRY'!AJ222</f>
        <v/>
      </c>
      <c r="AK222" s="8" t="n"/>
      <c r="AL222" s="21">
        <f>AP222-AO222</f>
        <v/>
      </c>
      <c r="AM222" s="22">
        <f>AP222/AO222-1</f>
        <v/>
      </c>
      <c r="AO222" s="44">
        <f>IF($A$1=$B$1,B222,IF($A$1=$E$1,E222,IF($A$1=$H$1,H222,IF($A$1=$K$1,K222,IF($A$1=$N$1,N222,IF($A$1=$Q$1,Q222,IF($A$1=$T$1,T222,IF($A$1=$W$1,W222,IF($A$1=$Z$1,Z222,IF($A$1=$AC$1,AC222,IF($A$1=$AF$1,AF222,IF($A$1=$AI$1,AI222))))))))))))</f>
        <v/>
      </c>
      <c r="AP222" s="44">
        <f>IF($A$1=$B$1,C222,IF($A$1=$E$1,F222,IF($A$1=$H$1,I222,IF($A$1=$K$1,L222,IF($A$1=$N$1,O222,IF($A$1=$Q$1,R222,IF($A$1=$T$1,U222,IF($A$1=$W$1,X222,IF($A$1=$Z$1,AA222,IF($A$1=$AC$1,AD222,IF($A$1=$AF$1,AG222,IF($A$1=$AI$1,AJ222))))))))))))</f>
        <v/>
      </c>
    </row>
    <row r="223" ht="15.5" customFormat="1" customHeight="1" s="1">
      <c r="A223" s="26" t="n"/>
      <c r="B223" s="7" t="n"/>
      <c r="C223" s="8" t="n"/>
      <c r="D223" s="8" t="n"/>
      <c r="E223" s="7" t="n"/>
      <c r="F223" s="8" t="n"/>
      <c r="G223" s="8" t="n"/>
      <c r="H223" s="7" t="n"/>
      <c r="I223" s="8" t="n"/>
      <c r="J223" s="8" t="n"/>
      <c r="K223" s="7" t="n"/>
      <c r="L223" s="8" t="n"/>
      <c r="M223" s="8" t="n"/>
      <c r="N223" s="7" t="n"/>
      <c r="O223" s="8" t="n"/>
      <c r="P223" s="8" t="n"/>
      <c r="Q223" s="7" t="n"/>
      <c r="R223" s="8" t="n"/>
      <c r="S223" s="8" t="n"/>
      <c r="T223" s="7" t="n"/>
      <c r="U223" s="8" t="n"/>
      <c r="V223" s="8" t="n"/>
      <c r="W223" s="7" t="n"/>
      <c r="X223" s="8" t="n"/>
      <c r="Y223" s="8" t="n"/>
      <c r="Z223" s="7" t="n"/>
      <c r="AA223" s="8" t="n"/>
      <c r="AB223" s="8" t="n"/>
      <c r="AC223" s="7" t="n"/>
      <c r="AD223" s="8" t="n"/>
      <c r="AE223" s="8" t="n"/>
      <c r="AF223" s="7" t="n"/>
      <c r="AG223" s="8" t="n"/>
      <c r="AH223" s="8" t="n"/>
      <c r="AI223" s="7" t="n"/>
      <c r="AJ223" s="8" t="n"/>
      <c r="AK223" s="8" t="n"/>
      <c r="AL223" s="15" t="n"/>
      <c r="AM223" s="16" t="n"/>
      <c r="AO223" s="44" t="n"/>
      <c r="AP223" s="44" t="n"/>
    </row>
    <row r="224" ht="15.5" customFormat="1" customHeight="1" s="1">
      <c r="A224" s="26" t="n"/>
      <c r="B224" s="7" t="n"/>
      <c r="C224" s="8" t="n"/>
      <c r="D224" s="8" t="n"/>
      <c r="E224" s="7" t="n"/>
      <c r="F224" s="8" t="n"/>
      <c r="G224" s="8" t="n"/>
      <c r="H224" s="7" t="n"/>
      <c r="I224" s="8" t="n"/>
      <c r="J224" s="8" t="n"/>
      <c r="K224" s="7" t="n"/>
      <c r="L224" s="8" t="n"/>
      <c r="M224" s="8" t="n"/>
      <c r="N224" s="7" t="n"/>
      <c r="O224" s="8" t="n"/>
      <c r="P224" s="8" t="n"/>
      <c r="Q224" s="7" t="n"/>
      <c r="R224" s="8" t="n"/>
      <c r="S224" s="8" t="n"/>
      <c r="T224" s="7" t="n"/>
      <c r="U224" s="8" t="n"/>
      <c r="V224" s="8" t="n"/>
      <c r="W224" s="7" t="n"/>
      <c r="X224" s="8" t="n"/>
      <c r="Y224" s="8" t="n"/>
      <c r="Z224" s="7" t="n"/>
      <c r="AA224" s="8" t="n"/>
      <c r="AB224" s="8" t="n"/>
      <c r="AC224" s="7" t="n"/>
      <c r="AD224" s="8" t="n"/>
      <c r="AE224" s="8" t="n"/>
      <c r="AF224" s="7" t="n"/>
      <c r="AG224" s="8" t="n"/>
      <c r="AH224" s="8" t="n"/>
      <c r="AI224" s="7" t="n"/>
      <c r="AJ224" s="8" t="n"/>
      <c r="AK224" s="8" t="n"/>
      <c r="AL224" s="15" t="n"/>
      <c r="AM224" s="16" t="n"/>
      <c r="AO224" s="44" t="n"/>
      <c r="AP224" s="44" t="n"/>
    </row>
    <row r="225" ht="17" customFormat="1" customHeight="1" s="49">
      <c r="A225" s="47" t="inlineStr">
        <is>
          <t>Net Kar Marjı</t>
        </is>
      </c>
      <c r="B225" s="413" t="n"/>
      <c r="C225" s="413" t="n"/>
      <c r="D225" s="413" t="n"/>
      <c r="E225" s="413" t="n"/>
      <c r="F225" s="413" t="n"/>
      <c r="G225" s="413" t="n"/>
      <c r="H225" s="413" t="n"/>
      <c r="I225" s="413" t="n"/>
      <c r="J225" s="413" t="n"/>
      <c r="K225" s="413" t="n"/>
      <c r="L225" s="413" t="n"/>
      <c r="M225" s="413" t="n"/>
      <c r="N225" s="413" t="n"/>
      <c r="O225" s="413" t="n"/>
      <c r="P225" s="413" t="n"/>
      <c r="Q225" s="413" t="n"/>
      <c r="R225" s="413" t="n"/>
      <c r="S225" s="413" t="n"/>
      <c r="T225" s="413" t="n"/>
      <c r="U225" s="413" t="n"/>
      <c r="V225" s="413" t="n"/>
      <c r="W225" s="413" t="n"/>
      <c r="X225" s="413" t="n"/>
      <c r="Y225" s="413" t="n"/>
      <c r="Z225" s="413" t="n"/>
      <c r="AA225" s="413" t="n"/>
      <c r="AB225" s="413" t="n"/>
      <c r="AC225" s="413" t="n"/>
      <c r="AD225" s="413" t="n"/>
      <c r="AE225" s="413" t="n"/>
      <c r="AF225" s="413" t="n"/>
      <c r="AG225" s="413" t="n"/>
      <c r="AH225" s="413" t="n"/>
      <c r="AI225" s="413" t="n"/>
      <c r="AJ225" s="413" t="n"/>
      <c r="AK225" s="413" t="n"/>
      <c r="AL225" s="413" t="n"/>
      <c r="AM225" s="48" t="n"/>
    </row>
    <row r="226" ht="15.5" customHeight="1">
      <c r="A226" s="26" t="inlineStr">
        <is>
          <t xml:space="preserve">İnci Holding </t>
        </is>
      </c>
      <c r="B226" s="5">
        <f>B215/B9</f>
        <v/>
      </c>
      <c r="C226" s="5">
        <f>C215/C9</f>
        <v/>
      </c>
      <c r="D226" s="7" t="n"/>
      <c r="E226" s="5">
        <f>E215/E9</f>
        <v/>
      </c>
      <c r="F226" s="5">
        <f>F215/F9</f>
        <v/>
      </c>
      <c r="G226" s="7" t="n"/>
      <c r="H226" s="5">
        <f>H215/H9</f>
        <v/>
      </c>
      <c r="I226" s="5">
        <f>I215/I9</f>
        <v/>
      </c>
      <c r="J226" s="7" t="n"/>
      <c r="K226" s="5">
        <f>K215/K9</f>
        <v/>
      </c>
      <c r="L226" s="5">
        <f>L215/L9</f>
        <v/>
      </c>
      <c r="M226" s="7" t="n"/>
      <c r="N226" s="5">
        <f>N215/N9</f>
        <v/>
      </c>
      <c r="O226" s="5">
        <f>O215/O9</f>
        <v/>
      </c>
      <c r="P226" s="7" t="n"/>
      <c r="Q226" s="5">
        <f>Q215/Q9</f>
        <v/>
      </c>
      <c r="R226" s="5">
        <f>R215/R9</f>
        <v/>
      </c>
      <c r="S226" s="7" t="n"/>
      <c r="T226" s="5">
        <f>T215/T9</f>
        <v/>
      </c>
      <c r="U226" s="5">
        <f>U215/U9</f>
        <v/>
      </c>
      <c r="V226" s="7" t="n"/>
      <c r="W226" s="5">
        <f>W215/W9</f>
        <v/>
      </c>
      <c r="X226" s="5">
        <f>X215/X9</f>
        <v/>
      </c>
      <c r="Y226" s="7" t="n"/>
      <c r="Z226" s="5">
        <f>Z215/Z9</f>
        <v/>
      </c>
      <c r="AA226" s="5">
        <f>AA215/AA9</f>
        <v/>
      </c>
      <c r="AB226" s="7" t="n"/>
      <c r="AC226" s="5">
        <f>AC215/AC9</f>
        <v/>
      </c>
      <c r="AD226" s="5">
        <f>AD215/AD9</f>
        <v/>
      </c>
      <c r="AE226" s="7" t="n"/>
      <c r="AF226" s="5">
        <f>AF215/AF9</f>
        <v/>
      </c>
      <c r="AG226" s="5">
        <f>AG215/AG9</f>
        <v/>
      </c>
      <c r="AH226" s="7" t="n"/>
      <c r="AI226" s="5">
        <f>AI215/AI9</f>
        <v/>
      </c>
      <c r="AJ226" s="5">
        <f>AJ215/AJ9</f>
        <v/>
      </c>
      <c r="AK226" s="7" t="n"/>
      <c r="AL226" s="21" t="n"/>
      <c r="AM226" s="22">
        <f>AP226-AO226</f>
        <v/>
      </c>
      <c r="AO226" s="44">
        <f>IF($A$1=$B$1,B226,IF($A$1=$E$1,E226,IF($A$1=$H$1,H226,IF($A$1=$K$1,K226,IF($A$1=$N$1,N226,IF($A$1=$Q$1,Q226,IF($A$1=$T$1,T226,IF($A$1=$W$1,W226,IF($A$1=$Z$1,Z226,IF($A$1=$AC$1,AC226,IF($A$1=$AF$1,AF226,IF($A$1=$AI$1,AI226))))))))))))</f>
        <v/>
      </c>
      <c r="AP226" s="44">
        <f>IF($A$1=$B$1,C226,IF($A$1=$E$1,F226,IF($A$1=$H$1,I226,IF($A$1=$K$1,L226,IF($A$1=$N$1,O226,IF($A$1=$Q$1,R226,IF($A$1=$T$1,U226,IF($A$1=$W$1,X226,IF($A$1=$Z$1,AA226,IF($A$1=$AC$1,AD226,IF($A$1=$AF$1,AG226,IF($A$1=$AI$1,AJ226))))))))))))</f>
        <v/>
      </c>
    </row>
    <row r="227" ht="15.5" customHeight="1">
      <c r="A227" s="26" t="inlineStr">
        <is>
          <t xml:space="preserve">ISM </t>
        </is>
      </c>
      <c r="B227" s="5">
        <f>B216/B10</f>
        <v/>
      </c>
      <c r="C227" s="5">
        <f>C216/C10</f>
        <v/>
      </c>
      <c r="D227" s="7" t="n"/>
      <c r="E227" s="5">
        <f>E216/E10</f>
        <v/>
      </c>
      <c r="F227" s="5">
        <f>F216/F10</f>
        <v/>
      </c>
      <c r="G227" s="7" t="n"/>
      <c r="H227" s="5">
        <f>H216/H10</f>
        <v/>
      </c>
      <c r="I227" s="5">
        <f>I216/I10</f>
        <v/>
      </c>
      <c r="J227" s="7" t="n"/>
      <c r="K227" s="5">
        <f>K216/K10</f>
        <v/>
      </c>
      <c r="L227" s="5">
        <f>L216/L10</f>
        <v/>
      </c>
      <c r="M227" s="7" t="n"/>
      <c r="N227" s="5">
        <f>N216/N10</f>
        <v/>
      </c>
      <c r="O227" s="5">
        <f>O216/O10</f>
        <v/>
      </c>
      <c r="P227" s="7" t="n"/>
      <c r="Q227" s="5">
        <f>Q216/Q10</f>
        <v/>
      </c>
      <c r="R227" s="5">
        <f>R216/R10</f>
        <v/>
      </c>
      <c r="S227" s="7" t="n"/>
      <c r="T227" s="5">
        <f>T216/T10</f>
        <v/>
      </c>
      <c r="U227" s="5">
        <f>U216/U10</f>
        <v/>
      </c>
      <c r="V227" s="7" t="n"/>
      <c r="W227" s="5">
        <f>W216/W10</f>
        <v/>
      </c>
      <c r="X227" s="5">
        <f>X216/X10</f>
        <v/>
      </c>
      <c r="Y227" s="7" t="n"/>
      <c r="Z227" s="5">
        <f>Z216/Z10</f>
        <v/>
      </c>
      <c r="AA227" s="5">
        <f>AA216/AA10</f>
        <v/>
      </c>
      <c r="AB227" s="7" t="n"/>
      <c r="AC227" s="5">
        <f>AC216/AC10</f>
        <v/>
      </c>
      <c r="AD227" s="5">
        <f>AD216/AD10</f>
        <v/>
      </c>
      <c r="AE227" s="7" t="n"/>
      <c r="AF227" s="5">
        <f>AF216/AF10</f>
        <v/>
      </c>
      <c r="AG227" s="5">
        <f>AG216/AG10</f>
        <v/>
      </c>
      <c r="AH227" s="7" t="n"/>
      <c r="AI227" s="5">
        <f>AI216/AI10</f>
        <v/>
      </c>
      <c r="AJ227" s="5">
        <f>AJ216/AJ10</f>
        <v/>
      </c>
      <c r="AK227" s="7" t="n"/>
      <c r="AL227" s="21" t="n"/>
      <c r="AM227" s="22">
        <f>AP227-AO227</f>
        <v/>
      </c>
      <c r="AO227" s="44">
        <f>IF($A$1=$B$1,B227,IF($A$1=$E$1,E227,IF($A$1=$H$1,H227,IF($A$1=$K$1,K227,IF($A$1=$N$1,N227,IF($A$1=$Q$1,Q227,IF($A$1=$T$1,T227,IF($A$1=$W$1,W227,IF($A$1=$Z$1,Z227,IF($A$1=$AC$1,AC227,IF($A$1=$AF$1,AF227,IF($A$1=$AI$1,AI227))))))))))))</f>
        <v/>
      </c>
      <c r="AP227" s="44">
        <f>IF($A$1=$B$1,C227,IF($A$1=$E$1,F227,IF($A$1=$H$1,I227,IF($A$1=$K$1,L227,IF($A$1=$N$1,O227,IF($A$1=$Q$1,R227,IF($A$1=$T$1,U227,IF($A$1=$W$1,X227,IF($A$1=$Z$1,AA227,IF($A$1=$AC$1,AD227,IF($A$1=$AF$1,AG227,IF($A$1=$AI$1,AJ227))))))))))))</f>
        <v/>
      </c>
    </row>
    <row r="228" ht="15.5" customHeight="1">
      <c r="A228" s="26" t="inlineStr">
        <is>
          <t>İncitaş</t>
        </is>
      </c>
      <c r="B228" s="5">
        <f>B217/B11</f>
        <v/>
      </c>
      <c r="C228" s="5">
        <f>C217/C11</f>
        <v/>
      </c>
      <c r="D228" s="7" t="n"/>
      <c r="E228" s="5">
        <f>E217/E11</f>
        <v/>
      </c>
      <c r="F228" s="5">
        <f>F217/F11</f>
        <v/>
      </c>
      <c r="G228" s="7" t="n"/>
      <c r="H228" s="5">
        <f>H217/H11</f>
        <v/>
      </c>
      <c r="I228" s="5">
        <f>I217/I11</f>
        <v/>
      </c>
      <c r="J228" s="7" t="n"/>
      <c r="K228" s="5">
        <f>K217/K11</f>
        <v/>
      </c>
      <c r="L228" s="5">
        <f>L217/L11</f>
        <v/>
      </c>
      <c r="M228" s="7" t="n"/>
      <c r="N228" s="5">
        <f>N217/N11</f>
        <v/>
      </c>
      <c r="O228" s="5">
        <f>O217/O11</f>
        <v/>
      </c>
      <c r="P228" s="7" t="n"/>
      <c r="Q228" s="5">
        <f>Q217/Q11</f>
        <v/>
      </c>
      <c r="R228" s="5">
        <f>R217/R11</f>
        <v/>
      </c>
      <c r="S228" s="7" t="n"/>
      <c r="T228" s="5">
        <f>T217/T11</f>
        <v/>
      </c>
      <c r="U228" s="5">
        <f>U217/U11</f>
        <v/>
      </c>
      <c r="V228" s="7" t="n"/>
      <c r="W228" s="5">
        <f>W217/W11</f>
        <v/>
      </c>
      <c r="X228" s="5">
        <f>X217/X11</f>
        <v/>
      </c>
      <c r="Y228" s="7" t="n"/>
      <c r="Z228" s="5">
        <f>Z217/Z11</f>
        <v/>
      </c>
      <c r="AA228" s="5">
        <f>AA217/AA11</f>
        <v/>
      </c>
      <c r="AB228" s="7" t="n"/>
      <c r="AC228" s="5">
        <f>AC217/AC11</f>
        <v/>
      </c>
      <c r="AD228" s="5">
        <f>AD217/AD11</f>
        <v/>
      </c>
      <c r="AE228" s="7" t="n"/>
      <c r="AF228" s="5">
        <f>AF217/AF11</f>
        <v/>
      </c>
      <c r="AG228" s="5">
        <f>AG217/AG11</f>
        <v/>
      </c>
      <c r="AH228" s="7" t="n"/>
      <c r="AI228" s="5">
        <f>AI217/AI11</f>
        <v/>
      </c>
      <c r="AJ228" s="5">
        <f>AJ217/AJ11</f>
        <v/>
      </c>
      <c r="AK228" s="7" t="n"/>
      <c r="AL228" s="21" t="n"/>
      <c r="AM228" s="22">
        <f>AP228-AO228</f>
        <v/>
      </c>
      <c r="AO228" s="44">
        <f>IF($A$1=$B$1,B228,IF($A$1=$E$1,E228,IF($A$1=$H$1,H228,IF($A$1=$K$1,K228,IF($A$1=$N$1,N228,IF($A$1=$Q$1,Q228,IF($A$1=$T$1,T228,IF($A$1=$W$1,W228,IF($A$1=$Z$1,Z228,IF($A$1=$AC$1,AC228,IF($A$1=$AF$1,AF228,IF($A$1=$AI$1,AI228))))))))))))</f>
        <v/>
      </c>
      <c r="AP228" s="44">
        <f>IF($A$1=$B$1,C228,IF($A$1=$E$1,F228,IF($A$1=$H$1,I228,IF($A$1=$K$1,L228,IF($A$1=$N$1,O228,IF($A$1=$Q$1,R228,IF($A$1=$T$1,U228,IF($A$1=$W$1,X228,IF($A$1=$Z$1,AA228,IF($A$1=$AC$1,AD228,IF($A$1=$AF$1,AG228,IF($A$1=$AI$1,AJ228))))))))))))</f>
        <v/>
      </c>
    </row>
    <row r="229" ht="15.5" customHeight="1">
      <c r="A229" s="26" t="inlineStr">
        <is>
          <t>İnci GS Yuasa</t>
        </is>
      </c>
      <c r="B229" s="5">
        <f>B218/B12</f>
        <v/>
      </c>
      <c r="C229" s="5">
        <f>C218/C12</f>
        <v/>
      </c>
      <c r="D229" s="7" t="n"/>
      <c r="E229" s="5">
        <f>E218/E12</f>
        <v/>
      </c>
      <c r="F229" s="5">
        <f>F218/F12</f>
        <v/>
      </c>
      <c r="G229" s="7" t="n"/>
      <c r="H229" s="5">
        <f>H218/H12</f>
        <v/>
      </c>
      <c r="I229" s="5">
        <f>I218/I12</f>
        <v/>
      </c>
      <c r="J229" s="7" t="n"/>
      <c r="K229" s="5">
        <f>K218/K12</f>
        <v/>
      </c>
      <c r="L229" s="5">
        <f>L218/L12</f>
        <v/>
      </c>
      <c r="M229" s="7" t="n"/>
      <c r="N229" s="5">
        <f>N218/N12</f>
        <v/>
      </c>
      <c r="O229" s="5">
        <f>O218/O12</f>
        <v/>
      </c>
      <c r="P229" s="7" t="n"/>
      <c r="Q229" s="5">
        <f>Q218/Q12</f>
        <v/>
      </c>
      <c r="R229" s="5">
        <f>R218/R12</f>
        <v/>
      </c>
      <c r="S229" s="7" t="n"/>
      <c r="T229" s="5">
        <f>T218/T12</f>
        <v/>
      </c>
      <c r="U229" s="5">
        <f>U218/U12</f>
        <v/>
      </c>
      <c r="V229" s="7" t="n"/>
      <c r="W229" s="5">
        <f>W218/W12</f>
        <v/>
      </c>
      <c r="X229" s="5">
        <f>X218/X12</f>
        <v/>
      </c>
      <c r="Y229" s="7" t="n"/>
      <c r="Z229" s="5">
        <f>Z218/Z12</f>
        <v/>
      </c>
      <c r="AA229" s="5">
        <f>AA218/AA12</f>
        <v/>
      </c>
      <c r="AB229" s="7" t="n"/>
      <c r="AC229" s="5">
        <f>AC218/AC12</f>
        <v/>
      </c>
      <c r="AD229" s="5">
        <f>AD218/AD12</f>
        <v/>
      </c>
      <c r="AE229" s="7" t="n"/>
      <c r="AF229" s="5">
        <f>AF218/AF12</f>
        <v/>
      </c>
      <c r="AG229" s="5">
        <f>AG218/AG12</f>
        <v/>
      </c>
      <c r="AH229" s="7" t="n"/>
      <c r="AI229" s="5">
        <f>AI218/AI12</f>
        <v/>
      </c>
      <c r="AJ229" s="5">
        <f>AJ218/AJ12</f>
        <v/>
      </c>
      <c r="AK229" s="7" t="n"/>
      <c r="AL229" s="21" t="n"/>
      <c r="AM229" s="22">
        <f>AP229-AO229</f>
        <v/>
      </c>
      <c r="AO229" s="44">
        <f>IF($A$1=$B$1,B229,IF($A$1=$E$1,E229,IF($A$1=$H$1,H229,IF($A$1=$K$1,K229,IF($A$1=$N$1,N229,IF($A$1=$Q$1,Q229,IF($A$1=$T$1,T229,IF($A$1=$W$1,W229,IF($A$1=$Z$1,Z229,IF($A$1=$AC$1,AC229,IF($A$1=$AF$1,AF229,IF($A$1=$AI$1,AI229))))))))))))</f>
        <v/>
      </c>
      <c r="AP229" s="44">
        <f>IF($A$1=$B$1,C229,IF($A$1=$E$1,F229,IF($A$1=$H$1,I229,IF($A$1=$K$1,L229,IF($A$1=$N$1,O229,IF($A$1=$Q$1,R229,IF($A$1=$T$1,U229,IF($A$1=$W$1,X229,IF($A$1=$Z$1,AA229,IF($A$1=$AC$1,AD229,IF($A$1=$AF$1,AG229,IF($A$1=$AI$1,AJ229))))))))))))</f>
        <v/>
      </c>
    </row>
    <row r="230" ht="15.5" customFormat="1" customHeight="1" s="1">
      <c r="A230" s="26" t="inlineStr">
        <is>
          <t>Yusen İnci Loj.</t>
        </is>
      </c>
      <c r="B230" s="5">
        <f>B219/B13</f>
        <v/>
      </c>
      <c r="C230" s="5">
        <f>C219/C13</f>
        <v/>
      </c>
      <c r="D230" s="8" t="n"/>
      <c r="E230" s="5">
        <f>E219/E13</f>
        <v/>
      </c>
      <c r="F230" s="5">
        <f>F219/F13</f>
        <v/>
      </c>
      <c r="G230" s="8" t="n"/>
      <c r="H230" s="5">
        <f>H219/H13</f>
        <v/>
      </c>
      <c r="I230" s="5">
        <f>I219/I13</f>
        <v/>
      </c>
      <c r="J230" s="8" t="n"/>
      <c r="K230" s="5">
        <f>K219/K13</f>
        <v/>
      </c>
      <c r="L230" s="5">
        <f>L219/L13</f>
        <v/>
      </c>
      <c r="M230" s="8" t="n"/>
      <c r="N230" s="5">
        <f>N219/N13</f>
        <v/>
      </c>
      <c r="O230" s="5">
        <f>O219/O13</f>
        <v/>
      </c>
      <c r="P230" s="8" t="n"/>
      <c r="Q230" s="5">
        <f>Q219/Q13</f>
        <v/>
      </c>
      <c r="R230" s="5">
        <f>R219/R13</f>
        <v/>
      </c>
      <c r="S230" s="8" t="n"/>
      <c r="T230" s="5">
        <f>T219/T13</f>
        <v/>
      </c>
      <c r="U230" s="5">
        <f>U219/U13</f>
        <v/>
      </c>
      <c r="V230" s="8" t="n"/>
      <c r="W230" s="5">
        <f>W219/W13</f>
        <v/>
      </c>
      <c r="X230" s="5">
        <f>X219/X13</f>
        <v/>
      </c>
      <c r="Y230" s="8" t="n"/>
      <c r="Z230" s="5">
        <f>Z219/Z13</f>
        <v/>
      </c>
      <c r="AA230" s="5">
        <f>AA219/AA13</f>
        <v/>
      </c>
      <c r="AB230" s="8" t="n"/>
      <c r="AC230" s="5">
        <f>AC219/AC13</f>
        <v/>
      </c>
      <c r="AD230" s="5">
        <f>AD219/AD13</f>
        <v/>
      </c>
      <c r="AE230" s="8" t="n"/>
      <c r="AF230" s="5">
        <f>AF219/AF13</f>
        <v/>
      </c>
      <c r="AG230" s="5">
        <f>AG219/AG13</f>
        <v/>
      </c>
      <c r="AH230" s="8" t="n"/>
      <c r="AI230" s="5">
        <f>AI219/AI13</f>
        <v/>
      </c>
      <c r="AJ230" s="5">
        <f>AJ219/AJ13</f>
        <v/>
      </c>
      <c r="AK230" s="8" t="n"/>
      <c r="AL230" s="15" t="n"/>
      <c r="AM230" s="22">
        <f>AP230-AO230</f>
        <v/>
      </c>
      <c r="AO230" s="44">
        <f>IF($A$1=$B$1,B230,IF($A$1=$E$1,E230,IF($A$1=$H$1,H230,IF($A$1=$K$1,K230,IF($A$1=$N$1,N230,IF($A$1=$Q$1,Q230,IF($A$1=$T$1,T230,IF($A$1=$W$1,W230,IF($A$1=$Z$1,Z230,IF($A$1=$AC$1,AC230,IF($A$1=$AF$1,AF230,IF($A$1=$AI$1,AI230))))))))))))</f>
        <v/>
      </c>
      <c r="AP230" s="44">
        <f>IF($A$1=$B$1,C230,IF($A$1=$E$1,F230,IF($A$1=$H$1,I230,IF($A$1=$K$1,L230,IF($A$1=$N$1,O230,IF($A$1=$Q$1,R230,IF($A$1=$T$1,U230,IF($A$1=$W$1,X230,IF($A$1=$Z$1,AA230,IF($A$1=$AC$1,AD230,IF($A$1=$AF$1,AG230,IF($A$1=$AI$1,AJ230))))))))))))</f>
        <v/>
      </c>
    </row>
    <row r="231" ht="15.5" customHeight="1">
      <c r="A231" s="26" t="inlineStr">
        <is>
          <t>Jantaş</t>
        </is>
      </c>
      <c r="B231" s="5">
        <f>B220/B14</f>
        <v/>
      </c>
      <c r="C231" s="5">
        <f>C220/C14</f>
        <v/>
      </c>
      <c r="D231" s="7" t="n"/>
      <c r="E231" s="5">
        <f>E220/E14</f>
        <v/>
      </c>
      <c r="F231" s="5">
        <f>F220/F14</f>
        <v/>
      </c>
      <c r="G231" s="7" t="n"/>
      <c r="H231" s="5">
        <f>H220/H14</f>
        <v/>
      </c>
      <c r="I231" s="5">
        <f>I220/I14</f>
        <v/>
      </c>
      <c r="J231" s="7" t="n"/>
      <c r="K231" s="5">
        <f>K220/K14</f>
        <v/>
      </c>
      <c r="L231" s="5">
        <f>L220/L14</f>
        <v/>
      </c>
      <c r="M231" s="7" t="n"/>
      <c r="N231" s="5">
        <f>N220/N14</f>
        <v/>
      </c>
      <c r="O231" s="5">
        <f>O220/O14</f>
        <v/>
      </c>
      <c r="P231" s="7" t="n"/>
      <c r="Q231" s="5">
        <f>Q220/Q14</f>
        <v/>
      </c>
      <c r="R231" s="5">
        <f>R220/R14</f>
        <v/>
      </c>
      <c r="S231" s="7" t="n"/>
      <c r="T231" s="5">
        <f>T220/T14</f>
        <v/>
      </c>
      <c r="U231" s="5">
        <f>U220/U14</f>
        <v/>
      </c>
      <c r="V231" s="7" t="n"/>
      <c r="W231" s="5">
        <f>W220/W14</f>
        <v/>
      </c>
      <c r="X231" s="5">
        <f>X220/X14</f>
        <v/>
      </c>
      <c r="Y231" s="7" t="n"/>
      <c r="Z231" s="5">
        <f>Z220/Z14</f>
        <v/>
      </c>
      <c r="AA231" s="5">
        <f>AA220/AA14</f>
        <v/>
      </c>
      <c r="AB231" s="7" t="n"/>
      <c r="AC231" s="5">
        <f>AC220/AC14</f>
        <v/>
      </c>
      <c r="AD231" s="5">
        <f>AD220/AD14</f>
        <v/>
      </c>
      <c r="AE231" s="7" t="n"/>
      <c r="AF231" s="5">
        <f>AF220/AF14</f>
        <v/>
      </c>
      <c r="AG231" s="5">
        <f>AG220/AG14</f>
        <v/>
      </c>
      <c r="AH231" s="7" t="n"/>
      <c r="AI231" s="5">
        <f>AI220/AI14</f>
        <v/>
      </c>
      <c r="AJ231" s="5">
        <f>AJ220/AJ14</f>
        <v/>
      </c>
      <c r="AK231" s="7" t="n"/>
      <c r="AL231" s="21" t="n"/>
      <c r="AM231" s="22">
        <f>AP231-AO231</f>
        <v/>
      </c>
      <c r="AO231" s="44">
        <f>IF($A$1=$B$1,B231,IF($A$1=$E$1,E231,IF($A$1=$H$1,H231,IF($A$1=$K$1,K231,IF($A$1=$N$1,N231,IF($A$1=$Q$1,Q231,IF($A$1=$T$1,T231,IF($A$1=$W$1,W231,IF($A$1=$Z$1,Z231,IF($A$1=$AC$1,AC231,IF($A$1=$AF$1,AF231,IF($A$1=$AI$1,AI231))))))))))))</f>
        <v/>
      </c>
      <c r="AP231" s="44">
        <f>IF($A$1=$B$1,C231,IF($A$1=$E$1,F231,IF($A$1=$H$1,I231,IF($A$1=$K$1,L231,IF($A$1=$N$1,O231,IF($A$1=$Q$1,R231,IF($A$1=$T$1,U231,IF($A$1=$W$1,X231,IF($A$1=$Z$1,AA231,IF($A$1=$AC$1,AD231,IF($A$1=$AF$1,AG231,IF($A$1=$AI$1,AJ231))))))))))))</f>
        <v/>
      </c>
    </row>
    <row r="232" ht="15.5" customFormat="1" customHeight="1" s="1">
      <c r="A232" s="26" t="inlineStr">
        <is>
          <t>Çelik</t>
        </is>
      </c>
      <c r="B232" s="5">
        <f>B221/B15</f>
        <v/>
      </c>
      <c r="C232" s="5">
        <f>C221/C15</f>
        <v/>
      </c>
      <c r="D232" s="8" t="n"/>
      <c r="E232" s="5">
        <f>E221/E15</f>
        <v/>
      </c>
      <c r="F232" s="5">
        <f>F221/F15</f>
        <v/>
      </c>
      <c r="G232" s="8" t="n"/>
      <c r="H232" s="5">
        <f>H221/H15</f>
        <v/>
      </c>
      <c r="I232" s="5">
        <f>I221/I15</f>
        <v/>
      </c>
      <c r="J232" s="8" t="n"/>
      <c r="K232" s="5">
        <f>K221/K15</f>
        <v/>
      </c>
      <c r="L232" s="5">
        <f>L221/L15</f>
        <v/>
      </c>
      <c r="M232" s="8" t="n"/>
      <c r="N232" s="5">
        <f>N221/N15</f>
        <v/>
      </c>
      <c r="O232" s="5">
        <f>O221/O15</f>
        <v/>
      </c>
      <c r="P232" s="8" t="n"/>
      <c r="Q232" s="5">
        <f>Q221/Q15</f>
        <v/>
      </c>
      <c r="R232" s="5">
        <f>R221/R15</f>
        <v/>
      </c>
      <c r="S232" s="8" t="n"/>
      <c r="T232" s="5">
        <f>T221/T15</f>
        <v/>
      </c>
      <c r="U232" s="5">
        <f>U221/U15</f>
        <v/>
      </c>
      <c r="V232" s="8" t="n"/>
      <c r="W232" s="5">
        <f>W221/W15</f>
        <v/>
      </c>
      <c r="X232" s="5">
        <f>X221/X15</f>
        <v/>
      </c>
      <c r="Y232" s="8" t="n"/>
      <c r="Z232" s="5">
        <f>Z221/Z15</f>
        <v/>
      </c>
      <c r="AA232" s="5">
        <f>AA221/AA15</f>
        <v/>
      </c>
      <c r="AB232" s="8" t="n"/>
      <c r="AC232" s="5">
        <f>AC221/AC15</f>
        <v/>
      </c>
      <c r="AD232" s="5">
        <f>AD221/AD15</f>
        <v/>
      </c>
      <c r="AE232" s="8" t="n"/>
      <c r="AF232" s="5">
        <f>AF221/AF15</f>
        <v/>
      </c>
      <c r="AG232" s="5">
        <f>AG221/AG15</f>
        <v/>
      </c>
      <c r="AH232" s="8" t="n"/>
      <c r="AI232" s="5">
        <f>AI221/AI15</f>
        <v/>
      </c>
      <c r="AJ232" s="5">
        <f>AJ221/AJ15</f>
        <v/>
      </c>
      <c r="AK232" s="8" t="n"/>
      <c r="AL232" s="15" t="n"/>
      <c r="AM232" s="22">
        <f>AP232-AO232</f>
        <v/>
      </c>
      <c r="AO232" s="44">
        <f>IF($A$1=$B$1,B232,IF($A$1=$E$1,E232,IF($A$1=$H$1,H232,IF($A$1=$K$1,K232,IF($A$1=$N$1,N232,IF($A$1=$Q$1,Q232,IF($A$1=$T$1,T232,IF($A$1=$W$1,W232,IF($A$1=$Z$1,Z232,IF($A$1=$AC$1,AC232,IF($A$1=$AF$1,AF232,IF($A$1=$AI$1,AI232))))))))))))</f>
        <v/>
      </c>
      <c r="AP232" s="44">
        <f>IF($A$1=$B$1,C232,IF($A$1=$E$1,F232,IF($A$1=$H$1,I232,IF($A$1=$K$1,L232,IF($A$1=$N$1,O232,IF($A$1=$Q$1,R232,IF($A$1=$T$1,U232,IF($A$1=$W$1,X232,IF($A$1=$Z$1,AA232,IF($A$1=$AC$1,AD232,IF($A$1=$AF$1,AG232,IF($A$1=$AI$1,AJ232))))))))))))</f>
        <v/>
      </c>
    </row>
    <row r="233" ht="15.5" customFormat="1" customHeight="1" s="1">
      <c r="A233" s="26" t="inlineStr">
        <is>
          <t>Alüminyum</t>
        </is>
      </c>
      <c r="B233" s="5">
        <f>B222/B16</f>
        <v/>
      </c>
      <c r="C233" s="5">
        <f>C222/C16</f>
        <v/>
      </c>
      <c r="D233" s="8" t="n"/>
      <c r="E233" s="5">
        <f>E222/E16</f>
        <v/>
      </c>
      <c r="F233" s="5">
        <f>F222/F16</f>
        <v/>
      </c>
      <c r="G233" s="8" t="n"/>
      <c r="H233" s="5">
        <f>H222/H16</f>
        <v/>
      </c>
      <c r="I233" s="5">
        <f>I222/I16</f>
        <v/>
      </c>
      <c r="J233" s="8" t="n"/>
      <c r="K233" s="5">
        <f>K222/K16</f>
        <v/>
      </c>
      <c r="L233" s="5">
        <f>L222/L16</f>
        <v/>
      </c>
      <c r="M233" s="8" t="n"/>
      <c r="N233" s="5">
        <f>N222/N16</f>
        <v/>
      </c>
      <c r="O233" s="5">
        <f>O222/O16</f>
        <v/>
      </c>
      <c r="P233" s="8" t="n"/>
      <c r="Q233" s="5">
        <f>Q222/Q16</f>
        <v/>
      </c>
      <c r="R233" s="5">
        <f>R222/R16</f>
        <v/>
      </c>
      <c r="S233" s="8" t="n"/>
      <c r="T233" s="5">
        <f>T222/T16</f>
        <v/>
      </c>
      <c r="U233" s="5">
        <f>U222/U16</f>
        <v/>
      </c>
      <c r="V233" s="8" t="n"/>
      <c r="W233" s="5">
        <f>W222/W16</f>
        <v/>
      </c>
      <c r="X233" s="5">
        <f>X222/X16</f>
        <v/>
      </c>
      <c r="Y233" s="8" t="n"/>
      <c r="Z233" s="5">
        <f>Z222/Z16</f>
        <v/>
      </c>
      <c r="AA233" s="5">
        <f>AA222/AA16</f>
        <v/>
      </c>
      <c r="AB233" s="8" t="n"/>
      <c r="AC233" s="5">
        <f>AC222/AC16</f>
        <v/>
      </c>
      <c r="AD233" s="5">
        <f>AD222/AD16</f>
        <v/>
      </c>
      <c r="AE233" s="8" t="n"/>
      <c r="AF233" s="5">
        <f>AF222/AF16</f>
        <v/>
      </c>
      <c r="AG233" s="5">
        <f>AG222/AG16</f>
        <v/>
      </c>
      <c r="AH233" s="8" t="n"/>
      <c r="AI233" s="5">
        <f>AI222/AI16</f>
        <v/>
      </c>
      <c r="AJ233" s="5">
        <f>AJ222/AJ16</f>
        <v/>
      </c>
      <c r="AK233" s="8" t="n"/>
      <c r="AL233" s="15" t="n"/>
      <c r="AM233" s="22">
        <f>AP233-AO233</f>
        <v/>
      </c>
      <c r="AO233" s="44">
        <f>IF($A$1=$B$1,B233,IF($A$1=$E$1,E233,IF($A$1=$H$1,H233,IF($A$1=$K$1,K233,IF($A$1=$N$1,N233,IF($A$1=$Q$1,Q233,IF($A$1=$T$1,T233,IF($A$1=$W$1,W233,IF($A$1=$Z$1,Z233,IF($A$1=$AC$1,AC233,IF($A$1=$AF$1,AF233,IF($A$1=$AI$1,AI233))))))))))))</f>
        <v/>
      </c>
      <c r="AP233" s="44">
        <f>IF($A$1=$B$1,C233,IF($A$1=$E$1,F233,IF($A$1=$H$1,I233,IF($A$1=$K$1,L233,IF($A$1=$N$1,O233,IF($A$1=$Q$1,R233,IF($A$1=$T$1,U233,IF($A$1=$W$1,X233,IF($A$1=$Z$1,AA233,IF($A$1=$AC$1,AD233,IF($A$1=$AF$1,AG233,IF($A$1=$AI$1,AJ233))))))))))))</f>
        <v/>
      </c>
    </row>
    <row r="234" ht="15.5" customFormat="1" customHeight="1" s="1">
      <c r="A234" s="26" t="n"/>
      <c r="B234" s="7" t="n"/>
      <c r="C234" s="8" t="n"/>
      <c r="D234" s="8" t="n"/>
      <c r="E234" s="7" t="n"/>
      <c r="F234" s="8" t="n"/>
      <c r="G234" s="8" t="n"/>
      <c r="H234" s="7" t="n"/>
      <c r="I234" s="8" t="n"/>
      <c r="J234" s="8" t="n"/>
      <c r="K234" s="7" t="n"/>
      <c r="L234" s="8" t="n"/>
      <c r="M234" s="8" t="n"/>
      <c r="N234" s="7" t="n"/>
      <c r="O234" s="8" t="n"/>
      <c r="P234" s="8" t="n"/>
      <c r="Q234" s="7" t="n"/>
      <c r="R234" s="8" t="n"/>
      <c r="S234" s="8" t="n"/>
      <c r="T234" s="7" t="n"/>
      <c r="U234" s="8" t="n"/>
      <c r="V234" s="8" t="n"/>
      <c r="W234" s="7" t="n"/>
      <c r="X234" s="8" t="n"/>
      <c r="Y234" s="8" t="n"/>
      <c r="Z234" s="7" t="n"/>
      <c r="AA234" s="8" t="n"/>
      <c r="AB234" s="8" t="n"/>
      <c r="AC234" s="7" t="n"/>
      <c r="AD234" s="8" t="n"/>
      <c r="AE234" s="8" t="n"/>
      <c r="AF234" s="7" t="n"/>
      <c r="AG234" s="8" t="n"/>
      <c r="AH234" s="8" t="n"/>
      <c r="AI234" s="7" t="n"/>
      <c r="AJ234" s="8" t="n"/>
      <c r="AK234" s="8" t="n"/>
      <c r="AL234" s="15" t="n"/>
      <c r="AM234" s="16" t="n"/>
      <c r="AO234" s="44" t="n"/>
      <c r="AP234" s="44" t="n"/>
    </row>
    <row r="235" ht="15.5" customFormat="1" customHeight="1" s="1">
      <c r="A235" s="26" t="n"/>
      <c r="B235" s="7" t="n"/>
      <c r="C235" s="8" t="n"/>
      <c r="D235" s="8" t="n"/>
      <c r="E235" s="7" t="n"/>
      <c r="F235" s="8" t="n"/>
      <c r="G235" s="8" t="n"/>
      <c r="H235" s="7" t="n"/>
      <c r="I235" s="8" t="n"/>
      <c r="J235" s="8" t="n"/>
      <c r="K235" s="7" t="n"/>
      <c r="L235" s="8" t="n"/>
      <c r="M235" s="8" t="n"/>
      <c r="N235" s="7" t="n"/>
      <c r="O235" s="8" t="n"/>
      <c r="P235" s="8" t="n"/>
      <c r="Q235" s="7" t="n"/>
      <c r="R235" s="8" t="n"/>
      <c r="S235" s="8" t="n"/>
      <c r="T235" s="7" t="n"/>
      <c r="U235" s="8" t="n"/>
      <c r="V235" s="8" t="n"/>
      <c r="W235" s="7" t="n"/>
      <c r="X235" s="8" t="n"/>
      <c r="Y235" s="8" t="n"/>
      <c r="Z235" s="7" t="n"/>
      <c r="AA235" s="8" t="n"/>
      <c r="AB235" s="8" t="n"/>
      <c r="AC235" s="7" t="n"/>
      <c r="AD235" s="8" t="n"/>
      <c r="AE235" s="8" t="n"/>
      <c r="AF235" s="7" t="n"/>
      <c r="AG235" s="8" t="n"/>
      <c r="AH235" s="8" t="n"/>
      <c r="AI235" s="7" t="n"/>
      <c r="AJ235" s="8" t="n"/>
      <c r="AK235" s="8" t="n"/>
      <c r="AL235" s="15" t="n"/>
      <c r="AM235" s="16" t="n"/>
      <c r="AO235" s="44" t="n"/>
      <c r="AP235" s="44" t="n"/>
    </row>
    <row r="236" ht="15.5" customFormat="1" customHeight="1" s="44">
      <c r="A236" s="31" t="inlineStr">
        <is>
          <t>Kredi</t>
        </is>
      </c>
      <c r="B236" s="32">
        <f>'A-TRY'!B236</f>
        <v/>
      </c>
      <c r="C236" s="32">
        <f>'A-TRY'!C236</f>
        <v/>
      </c>
      <c r="D236" s="18" t="n"/>
      <c r="E236" s="32">
        <f>'A-TRY'!E236</f>
        <v/>
      </c>
      <c r="F236" s="32">
        <f>'A-TRY'!F236</f>
        <v/>
      </c>
      <c r="G236" s="18" t="n"/>
      <c r="H236" s="32">
        <f>'A-TRY'!H236</f>
        <v/>
      </c>
      <c r="I236" s="32">
        <f>'A-TRY'!I236</f>
        <v/>
      </c>
      <c r="J236" s="18" t="n"/>
      <c r="K236" s="32">
        <f>'A-TRY'!K236</f>
        <v/>
      </c>
      <c r="L236" s="32">
        <f>'A-TRY'!L236</f>
        <v/>
      </c>
      <c r="M236" s="18" t="n"/>
      <c r="N236" s="32">
        <f>'A-TRY'!N236</f>
        <v/>
      </c>
      <c r="O236" s="32">
        <f>'A-TRY'!O236</f>
        <v/>
      </c>
      <c r="P236" s="18" t="n"/>
      <c r="Q236" s="32">
        <f>'A-TRY'!Q236</f>
        <v/>
      </c>
      <c r="R236" s="32">
        <f>'A-TRY'!R236</f>
        <v/>
      </c>
      <c r="S236" s="18" t="n"/>
      <c r="T236" s="32">
        <f>'A-TRY'!T236</f>
        <v/>
      </c>
      <c r="U236" s="32">
        <f>'A-TRY'!U236</f>
        <v/>
      </c>
      <c r="V236" s="18" t="n"/>
      <c r="W236" s="32">
        <f>'A-TRY'!W236</f>
        <v/>
      </c>
      <c r="X236" s="32">
        <f>'A-TRY'!X236</f>
        <v/>
      </c>
      <c r="Y236" s="18" t="n"/>
      <c r="Z236" s="32">
        <f>'A-TRY'!Z236</f>
        <v/>
      </c>
      <c r="AA236" s="32">
        <f>'A-TRY'!AA236</f>
        <v/>
      </c>
      <c r="AB236" s="18" t="n"/>
      <c r="AC236" s="32">
        <f>'A-TRY'!AC236</f>
        <v/>
      </c>
      <c r="AD236" s="32">
        <f>'A-TRY'!AD236</f>
        <v/>
      </c>
      <c r="AE236" s="18" t="n"/>
      <c r="AF236" s="32">
        <f>'A-TRY'!AF236</f>
        <v/>
      </c>
      <c r="AG236" s="32">
        <f>'A-TRY'!AG236</f>
        <v/>
      </c>
      <c r="AH236" s="18" t="n"/>
      <c r="AI236" s="32">
        <f>'A-TRY'!AI236</f>
        <v/>
      </c>
      <c r="AJ236" s="32">
        <f>'A-TRY'!AJ236</f>
        <v/>
      </c>
      <c r="AK236" s="18" t="n"/>
      <c r="AL236" s="33">
        <f>AP236-AO236</f>
        <v/>
      </c>
      <c r="AM236" s="34">
        <f>AP236/AO236-1</f>
        <v/>
      </c>
      <c r="AO236" s="44">
        <f>IF($A$1=$B$1,B236,IF($A$1=$E$1,E236,IF($A$1=$H$1,H236,IF($A$1=$K$1,K236,IF($A$1=$N$1,N236,IF($A$1=$Q$1,Q236,IF($A$1=$T$1,T236,IF($A$1=$W$1,W236,IF($A$1=$Z$1,Z236,IF($A$1=$AC$1,AC236,IF($A$1=$AF$1,AF236,IF($A$1=$AI$1,AI236))))))))))))</f>
        <v/>
      </c>
      <c r="AP236" s="44">
        <f>IF($A$1=$B$1,C236,IF($A$1=$E$1,F236,IF($A$1=$H$1,I236,IF($A$1=$K$1,L236,IF($A$1=$N$1,O236,IF($A$1=$Q$1,R236,IF($A$1=$T$1,U236,IF($A$1=$W$1,X236,IF($A$1=$Z$1,AA236,IF($A$1=$AC$1,AD236,IF($A$1=$AF$1,AG236,IF($A$1=$AI$1,AJ236))))))))))))</f>
        <v/>
      </c>
    </row>
    <row r="237" ht="15.5" customFormat="1" customHeight="1" s="13">
      <c r="A237" s="27" t="n"/>
      <c r="B237" s="30" t="n"/>
      <c r="C237" s="30">
        <f>IFERROR((C194/#REF!),"")</f>
        <v/>
      </c>
      <c r="D237" s="41" t="n"/>
      <c r="E237" s="30" t="n"/>
      <c r="F237" s="30">
        <f>IFERROR((F194/#REF!),"")</f>
        <v/>
      </c>
      <c r="G237" s="41" t="n"/>
      <c r="H237" s="30" t="n"/>
      <c r="I237" s="30">
        <f>IFERROR((I194/#REF!),"")</f>
        <v/>
      </c>
      <c r="J237" s="41" t="n"/>
      <c r="K237" s="30" t="n"/>
      <c r="L237" s="30">
        <f>IFERROR((L194/#REF!),"")</f>
        <v/>
      </c>
      <c r="M237" s="41" t="n"/>
      <c r="N237" s="30" t="n"/>
      <c r="O237" s="30">
        <f>IFERROR((O194/#REF!),"")</f>
        <v/>
      </c>
      <c r="P237" s="41" t="n"/>
      <c r="Q237" s="30" t="n"/>
      <c r="R237" s="30">
        <f>IFERROR((R194/#REF!),"")</f>
        <v/>
      </c>
      <c r="S237" s="41" t="n"/>
      <c r="T237" s="30" t="n"/>
      <c r="U237" s="30">
        <f>IFERROR((U194/#REF!),"")</f>
        <v/>
      </c>
      <c r="V237" s="41" t="n"/>
      <c r="W237" s="30" t="n"/>
      <c r="X237" s="30">
        <f>IFERROR((X194/#REF!),"")</f>
        <v/>
      </c>
      <c r="Y237" s="41" t="n"/>
      <c r="Z237" s="30" t="n"/>
      <c r="AA237" s="30">
        <f>IFERROR((AA194/#REF!),"")</f>
        <v/>
      </c>
      <c r="AB237" s="41" t="n"/>
      <c r="AC237" s="30" t="n"/>
      <c r="AD237" s="30">
        <f>IFERROR((AD194/#REF!),"")</f>
        <v/>
      </c>
      <c r="AE237" s="41" t="n"/>
      <c r="AF237" s="30" t="n"/>
      <c r="AG237" s="30">
        <f>IFERROR((AG194/#REF!),"")</f>
        <v/>
      </c>
      <c r="AH237" s="41" t="n"/>
      <c r="AI237" s="30" t="n"/>
      <c r="AJ237" s="30">
        <f>IFERROR((AJ194/#REF!),"")</f>
        <v/>
      </c>
      <c r="AK237" s="41" t="n"/>
      <c r="AL237" s="15" t="n"/>
      <c r="AM237" s="22" t="n"/>
      <c r="AO237" s="44">
        <f>IF($A$1=$B$1,B237,IF($A$1=$E$1,E237,IF($A$1=$H$1,H237,IF($A$1=$K$1,K237,IF($A$1=$N$1,N237,IF($A$1=$Q$1,Q237,IF($A$1=$T$1,T237,IF($A$1=$W$1,W237,IF($A$1=$Z$1,Z237,IF($A$1=$AC$1,AC237,IF($A$1=$AF$1,AF237,IF($A$1=$AI$1,AI237))))))))))))</f>
        <v/>
      </c>
      <c r="AP237" s="44">
        <f>IF($A$1=$B$1,C237,IF($A$1=$E$1,F237,IF($A$1=$H$1,I237,IF($A$1=$K$1,L237,IF($A$1=$N$1,O237,IF($A$1=$Q$1,R237,IF($A$1=$T$1,U237,IF($A$1=$W$1,X237,IF($A$1=$Z$1,AA237,IF($A$1=$AC$1,AD237,IF($A$1=$AF$1,AG237,IF($A$1=$AI$1,AJ237))))))))))))</f>
        <v/>
      </c>
    </row>
    <row r="238" ht="17" customFormat="1" customHeight="1" s="49">
      <c r="A238" s="47" t="inlineStr">
        <is>
          <t>Kredi (100%)</t>
        </is>
      </c>
      <c r="B238" s="413" t="n"/>
      <c r="C238" s="413" t="n"/>
      <c r="D238" s="413" t="n"/>
      <c r="E238" s="413" t="n"/>
      <c r="F238" s="413" t="n"/>
      <c r="G238" s="413" t="n"/>
      <c r="H238" s="413" t="n"/>
      <c r="I238" s="413" t="n"/>
      <c r="J238" s="413" t="n"/>
      <c r="K238" s="413" t="n"/>
      <c r="L238" s="413" t="n"/>
      <c r="M238" s="413" t="n"/>
      <c r="N238" s="413" t="n"/>
      <c r="O238" s="413" t="n"/>
      <c r="P238" s="413" t="n"/>
      <c r="Q238" s="413" t="n"/>
      <c r="R238" s="413" t="n"/>
      <c r="S238" s="413" t="n"/>
      <c r="T238" s="413" t="n"/>
      <c r="U238" s="413" t="n"/>
      <c r="V238" s="413" t="n"/>
      <c r="W238" s="413" t="n"/>
      <c r="X238" s="413" t="n"/>
      <c r="Y238" s="413" t="n"/>
      <c r="Z238" s="413" t="n"/>
      <c r="AA238" s="413" t="n"/>
      <c r="AB238" s="413" t="n"/>
      <c r="AC238" s="413" t="n"/>
      <c r="AD238" s="413" t="n"/>
      <c r="AE238" s="413" t="n"/>
      <c r="AF238" s="413" t="n"/>
      <c r="AG238" s="413" t="n"/>
      <c r="AH238" s="413" t="n"/>
      <c r="AI238" s="413" t="n"/>
      <c r="AJ238" s="413" t="n"/>
      <c r="AK238" s="413" t="n"/>
      <c r="AL238" s="413" t="n"/>
      <c r="AM238" s="48" t="n"/>
    </row>
    <row r="239" ht="15.5" customHeight="1">
      <c r="A239" s="26" t="inlineStr">
        <is>
          <t xml:space="preserve">İnci Holding </t>
        </is>
      </c>
      <c r="B239" s="7">
        <f>'Bütçe aylık-TL'!$B$148</f>
        <v/>
      </c>
      <c r="C239" s="7">
        <f>'gerç aylık-tl'!$B$147</f>
        <v/>
      </c>
      <c r="D239" s="7" t="n"/>
      <c r="E239" s="7">
        <f>'Bütçe aylık-TL'!$C$148</f>
        <v/>
      </c>
      <c r="F239" s="7">
        <f>'gerç aylık-tl'!$C$147</f>
        <v/>
      </c>
      <c r="G239" s="7" t="n"/>
      <c r="H239" s="7">
        <f>'Bütçe aylık-TL'!$D$148</f>
        <v/>
      </c>
      <c r="I239" s="7">
        <f>'gerç aylık-tl'!$D$147</f>
        <v/>
      </c>
      <c r="J239" s="7" t="n"/>
      <c r="K239" s="7">
        <f>'Bütçe aylık-TL'!$E$148</f>
        <v/>
      </c>
      <c r="L239" s="7">
        <f>'gerç aylık-tl'!$E$147</f>
        <v/>
      </c>
      <c r="M239" s="7" t="n"/>
      <c r="N239" s="7">
        <f>'Bütçe aylık-TL'!$F$148</f>
        <v/>
      </c>
      <c r="O239" s="7">
        <f>'gerç aylık-tl'!$F$147</f>
        <v/>
      </c>
      <c r="P239" s="7" t="n"/>
      <c r="Q239" s="7">
        <f>'Bütçe aylık-TL'!$G$148</f>
        <v/>
      </c>
      <c r="R239" s="7">
        <f>'gerç aylık-tl'!$G$147</f>
        <v/>
      </c>
      <c r="S239" s="7" t="n"/>
      <c r="T239" s="7">
        <f>'Bütçe aylık-TL'!$H$148</f>
        <v/>
      </c>
      <c r="U239" s="7">
        <f>'gerç aylık-tl'!$H$147</f>
        <v/>
      </c>
      <c r="V239" s="7" t="n"/>
      <c r="W239" s="7">
        <f>'Bütçe aylık-TL'!$I$148</f>
        <v/>
      </c>
      <c r="X239" s="7">
        <f>'gerç aylık-tl'!$I$147</f>
        <v/>
      </c>
      <c r="Y239" s="7" t="n"/>
      <c r="Z239" s="7">
        <f>'Bütçe aylık-TL'!$J$148</f>
        <v/>
      </c>
      <c r="AA239" s="7">
        <f>'gerç aylık-tl'!$J$147</f>
        <v/>
      </c>
      <c r="AB239" s="7" t="n"/>
      <c r="AC239" s="7">
        <f>'Bütçe aylık-TL'!$K$148</f>
        <v/>
      </c>
      <c r="AD239" s="7">
        <f>'gerç aylık-tl'!$K$147</f>
        <v/>
      </c>
      <c r="AE239" s="7" t="n"/>
      <c r="AF239" s="7">
        <f>'Bütçe aylık-TL'!$L$148</f>
        <v/>
      </c>
      <c r="AG239" s="7">
        <f>'gerç aylık-tl'!$L$147</f>
        <v/>
      </c>
      <c r="AH239" s="7" t="n"/>
      <c r="AI239" s="7">
        <f>'Bütçe aylık-TL'!$M$148</f>
        <v/>
      </c>
      <c r="AJ239" s="7">
        <f>'gerç aylık-tl'!$M$147</f>
        <v/>
      </c>
      <c r="AK239" s="7" t="n"/>
      <c r="AL239" s="21">
        <f>AP239-AO239</f>
        <v/>
      </c>
      <c r="AM239" s="22">
        <f>AP239/AO239-1</f>
        <v/>
      </c>
      <c r="AO239" s="44">
        <f>IF($A$1=$B$1,B239,IF($A$1=$E$1,E239,IF($A$1=$H$1,H239,IF($A$1=$K$1,K239,IF($A$1=$N$1,N239,IF($A$1=$Q$1,Q239,IF($A$1=$T$1,T239,IF($A$1=$W$1,W239,IF($A$1=$Z$1,Z239,IF($A$1=$AC$1,AC239,IF($A$1=$AF$1,AF239,IF($A$1=$AI$1,AI239))))))))))))</f>
        <v/>
      </c>
      <c r="AP239" s="44">
        <f>IF($A$1=$B$1,C239,IF($A$1=$E$1,F239,IF($A$1=$H$1,I239,IF($A$1=$K$1,L239,IF($A$1=$N$1,O239,IF($A$1=$Q$1,R239,IF($A$1=$T$1,U239,IF($A$1=$W$1,X239,IF($A$1=$Z$1,AA239,IF($A$1=$AC$1,AD239,IF($A$1=$AF$1,AG239,IF($A$1=$AI$1,AJ239))))))))))))</f>
        <v/>
      </c>
    </row>
    <row r="240" ht="15.5" customHeight="1">
      <c r="A240" s="26" t="inlineStr">
        <is>
          <t xml:space="preserve">ISM </t>
        </is>
      </c>
      <c r="B240" s="7">
        <f>'Bütçe aylık-TL'!$B$149</f>
        <v/>
      </c>
      <c r="C240" s="7">
        <f>'gerç aylık-tl'!$B$148</f>
        <v/>
      </c>
      <c r="D240" s="7" t="n"/>
      <c r="E240" s="7">
        <f>'Bütçe aylık-TL'!$C$149</f>
        <v/>
      </c>
      <c r="F240" s="7">
        <f>'gerç aylık-tl'!$C$148</f>
        <v/>
      </c>
      <c r="G240" s="7" t="n"/>
      <c r="H240" s="7">
        <f>'Bütçe aylık-TL'!$D$149</f>
        <v/>
      </c>
      <c r="I240" s="7">
        <f>'gerç aylık-tl'!$D$148</f>
        <v/>
      </c>
      <c r="J240" s="7" t="n"/>
      <c r="K240" s="7">
        <f>'Bütçe aylık-TL'!$E$149</f>
        <v/>
      </c>
      <c r="L240" s="7">
        <f>'gerç aylık-tl'!$E$148</f>
        <v/>
      </c>
      <c r="M240" s="7" t="n"/>
      <c r="N240" s="7">
        <f>'Bütçe aylık-TL'!$F$149</f>
        <v/>
      </c>
      <c r="O240" s="7">
        <f>'gerç aylık-tl'!$F$148</f>
        <v/>
      </c>
      <c r="P240" s="7" t="n"/>
      <c r="Q240" s="7">
        <f>'Bütçe aylık-TL'!$G$149</f>
        <v/>
      </c>
      <c r="R240" s="7">
        <f>'gerç aylık-tl'!$G$148</f>
        <v/>
      </c>
      <c r="S240" s="7" t="n"/>
      <c r="T240" s="7">
        <f>'Bütçe aylık-TL'!$H$149</f>
        <v/>
      </c>
      <c r="U240" s="7">
        <f>'gerç aylık-tl'!$H$148</f>
        <v/>
      </c>
      <c r="V240" s="7" t="n"/>
      <c r="W240" s="7">
        <f>'Bütçe aylık-TL'!$I$149</f>
        <v/>
      </c>
      <c r="X240" s="7">
        <f>'gerç aylık-tl'!$I$148</f>
        <v/>
      </c>
      <c r="Y240" s="7" t="n"/>
      <c r="Z240" s="7">
        <f>'Bütçe aylık-TL'!$J$149</f>
        <v/>
      </c>
      <c r="AA240" s="7">
        <f>'gerç aylık-tl'!$J$148</f>
        <v/>
      </c>
      <c r="AB240" s="7" t="n"/>
      <c r="AC240" s="7">
        <f>'Bütçe aylık-TL'!$K$149</f>
        <v/>
      </c>
      <c r="AD240" s="7">
        <f>'gerç aylık-tl'!$K$148</f>
        <v/>
      </c>
      <c r="AE240" s="7" t="n"/>
      <c r="AF240" s="7">
        <f>'Bütçe aylık-TL'!$L$149</f>
        <v/>
      </c>
      <c r="AG240" s="7">
        <f>'gerç aylık-tl'!$L$148</f>
        <v/>
      </c>
      <c r="AH240" s="7" t="n"/>
      <c r="AI240" s="7">
        <f>'Bütçe aylık-TL'!$M$149</f>
        <v/>
      </c>
      <c r="AJ240" s="7">
        <f>'gerç aylık-tl'!$M$148</f>
        <v/>
      </c>
      <c r="AK240" s="7" t="n"/>
      <c r="AL240" s="21">
        <f>AP240-AO240</f>
        <v/>
      </c>
      <c r="AM240" s="22">
        <f>AP240/AO240-1</f>
        <v/>
      </c>
      <c r="AO240" s="44">
        <f>IF($A$1=$B$1,B240,IF($A$1=$E$1,E240,IF($A$1=$H$1,H240,IF($A$1=$K$1,K240,IF($A$1=$N$1,N240,IF($A$1=$Q$1,Q240,IF($A$1=$T$1,T240,IF($A$1=$W$1,W240,IF($A$1=$Z$1,Z240,IF($A$1=$AC$1,AC240,IF($A$1=$AF$1,AF240,IF($A$1=$AI$1,AI240))))))))))))</f>
        <v/>
      </c>
      <c r="AP240" s="44">
        <f>IF($A$1=$B$1,C240,IF($A$1=$E$1,F240,IF($A$1=$H$1,I240,IF($A$1=$K$1,L240,IF($A$1=$N$1,O240,IF($A$1=$Q$1,R240,IF($A$1=$T$1,U240,IF($A$1=$W$1,X240,IF($A$1=$Z$1,AA240,IF($A$1=$AC$1,AD240,IF($A$1=$AF$1,AG240,IF($A$1=$AI$1,AJ240))))))))))))</f>
        <v/>
      </c>
    </row>
    <row r="241" ht="15.5" customHeight="1">
      <c r="A241" s="26" t="inlineStr">
        <is>
          <t>İncitaş</t>
        </is>
      </c>
      <c r="B241" s="7">
        <f>'Bütçe aylık-TL'!$B$150</f>
        <v/>
      </c>
      <c r="C241" s="7">
        <f>'gerç aylık-tl'!$B$149</f>
        <v/>
      </c>
      <c r="D241" s="7" t="n"/>
      <c r="E241" s="7">
        <f>'Bütçe aylık-TL'!$C$150</f>
        <v/>
      </c>
      <c r="F241" s="7">
        <f>'gerç aylık-tl'!$C$149</f>
        <v/>
      </c>
      <c r="G241" s="7" t="n"/>
      <c r="H241" s="7">
        <f>'Bütçe aylık-TL'!$D$150</f>
        <v/>
      </c>
      <c r="I241" s="7">
        <f>'gerç aylık-tl'!$D$149</f>
        <v/>
      </c>
      <c r="J241" s="7" t="n"/>
      <c r="K241" s="7">
        <f>'Bütçe aylık-TL'!$E$150</f>
        <v/>
      </c>
      <c r="L241" s="7">
        <f>'gerç aylık-tl'!$E$149</f>
        <v/>
      </c>
      <c r="M241" s="7" t="n"/>
      <c r="N241" s="7">
        <f>'Bütçe aylık-TL'!$F$150</f>
        <v/>
      </c>
      <c r="O241" s="7">
        <f>'gerç aylık-tl'!$F$149</f>
        <v/>
      </c>
      <c r="P241" s="7" t="n"/>
      <c r="Q241" s="7">
        <f>'Bütçe aylık-TL'!$G$150</f>
        <v/>
      </c>
      <c r="R241" s="7">
        <f>'gerç aylık-tl'!$G$149</f>
        <v/>
      </c>
      <c r="S241" s="7" t="n"/>
      <c r="T241" s="7">
        <f>'Bütçe aylık-TL'!$H$150</f>
        <v/>
      </c>
      <c r="U241" s="7">
        <f>'gerç aylık-tl'!$H$149</f>
        <v/>
      </c>
      <c r="V241" s="7" t="n"/>
      <c r="W241" s="7">
        <f>'Bütçe aylık-TL'!$I$150</f>
        <v/>
      </c>
      <c r="X241" s="7">
        <f>'gerç aylık-tl'!$I$149</f>
        <v/>
      </c>
      <c r="Y241" s="7" t="n"/>
      <c r="Z241" s="7">
        <f>'Bütçe aylık-TL'!$J$150</f>
        <v/>
      </c>
      <c r="AA241" s="7">
        <f>'gerç aylık-tl'!$J$149</f>
        <v/>
      </c>
      <c r="AB241" s="7" t="n"/>
      <c r="AC241" s="7">
        <f>'Bütçe aylık-TL'!$K$150</f>
        <v/>
      </c>
      <c r="AD241" s="7">
        <f>'gerç aylık-tl'!$K$149</f>
        <v/>
      </c>
      <c r="AE241" s="7" t="n"/>
      <c r="AF241" s="7">
        <f>'Bütçe aylık-TL'!$L$150</f>
        <v/>
      </c>
      <c r="AG241" s="7">
        <f>'gerç aylık-tl'!$L$149</f>
        <v/>
      </c>
      <c r="AH241" s="7" t="n"/>
      <c r="AI241" s="7">
        <f>'Bütçe aylık-TL'!$M$150</f>
        <v/>
      </c>
      <c r="AJ241" s="7">
        <f>'gerç aylık-tl'!$M$149</f>
        <v/>
      </c>
      <c r="AK241" s="7" t="n"/>
      <c r="AL241" s="21">
        <f>AP241-AO241</f>
        <v/>
      </c>
      <c r="AM241" s="22">
        <f>AP241/AO241-1</f>
        <v/>
      </c>
      <c r="AO241" s="44">
        <f>IF($A$1=$B$1,B241,IF($A$1=$E$1,E241,IF($A$1=$H$1,H241,IF($A$1=$K$1,K241,IF($A$1=$N$1,N241,IF($A$1=$Q$1,Q241,IF($A$1=$T$1,T241,IF($A$1=$W$1,W241,IF($A$1=$Z$1,Z241,IF($A$1=$AC$1,AC241,IF($A$1=$AF$1,AF241,IF($A$1=$AI$1,AI241))))))))))))</f>
        <v/>
      </c>
      <c r="AP241" s="44">
        <f>IF($A$1=$B$1,C241,IF($A$1=$E$1,F241,IF($A$1=$H$1,I241,IF($A$1=$K$1,L241,IF($A$1=$N$1,O241,IF($A$1=$Q$1,R241,IF($A$1=$T$1,U241,IF($A$1=$W$1,X241,IF($A$1=$Z$1,AA241,IF($A$1=$AC$1,AD241,IF($A$1=$AF$1,AG241,IF($A$1=$AI$1,AJ241))))))))))))</f>
        <v/>
      </c>
    </row>
    <row r="242" ht="15.5" customHeight="1">
      <c r="A242" s="26" t="inlineStr">
        <is>
          <t>İnci GS Yuasa</t>
        </is>
      </c>
      <c r="B242" s="7">
        <f>'Bütçe aylık-TL'!$B$151</f>
        <v/>
      </c>
      <c r="C242" s="7">
        <f>'gerç aylık-tl'!$B$150</f>
        <v/>
      </c>
      <c r="D242" s="7" t="n"/>
      <c r="E242" s="7">
        <f>'Bütçe aylık-TL'!$C$151</f>
        <v/>
      </c>
      <c r="F242" s="7">
        <f>'gerç aylık-tl'!$C$150</f>
        <v/>
      </c>
      <c r="G242" s="7" t="n"/>
      <c r="H242" s="7">
        <f>'Bütçe aylık-TL'!$D$151</f>
        <v/>
      </c>
      <c r="I242" s="7">
        <f>'gerç aylık-tl'!$D$150</f>
        <v/>
      </c>
      <c r="J242" s="7" t="n"/>
      <c r="K242" s="7">
        <f>'Bütçe aylık-TL'!$E$151</f>
        <v/>
      </c>
      <c r="L242" s="7">
        <f>'gerç aylık-tl'!$E$150</f>
        <v/>
      </c>
      <c r="M242" s="7" t="n"/>
      <c r="N242" s="7">
        <f>'Bütçe aylık-TL'!$F$151</f>
        <v/>
      </c>
      <c r="O242" s="7">
        <f>'gerç aylık-tl'!$F$150</f>
        <v/>
      </c>
      <c r="P242" s="7" t="n"/>
      <c r="Q242" s="7">
        <f>'Bütçe aylık-TL'!$G$151</f>
        <v/>
      </c>
      <c r="R242" s="7">
        <f>'gerç aylık-tl'!$G$150</f>
        <v/>
      </c>
      <c r="S242" s="7" t="n"/>
      <c r="T242" s="7">
        <f>'Bütçe aylık-TL'!$H$151</f>
        <v/>
      </c>
      <c r="U242" s="7">
        <f>'gerç aylık-tl'!$H$150</f>
        <v/>
      </c>
      <c r="V242" s="7" t="n"/>
      <c r="W242" s="7">
        <f>'Bütçe aylık-TL'!$I$151</f>
        <v/>
      </c>
      <c r="X242" s="7">
        <f>'gerç aylık-tl'!$I$150</f>
        <v/>
      </c>
      <c r="Y242" s="7" t="n"/>
      <c r="Z242" s="7">
        <f>'Bütçe aylık-TL'!$J$151</f>
        <v/>
      </c>
      <c r="AA242" s="7">
        <f>'gerç aylık-tl'!$J$150</f>
        <v/>
      </c>
      <c r="AB242" s="7" t="n"/>
      <c r="AC242" s="7">
        <f>'Bütçe aylık-TL'!$K$151</f>
        <v/>
      </c>
      <c r="AD242" s="7">
        <f>'gerç aylık-tl'!$K$150</f>
        <v/>
      </c>
      <c r="AE242" s="7" t="n"/>
      <c r="AF242" s="7">
        <f>'Bütçe aylık-TL'!$L$151</f>
        <v/>
      </c>
      <c r="AG242" s="7">
        <f>'gerç aylık-tl'!$L$150</f>
        <v/>
      </c>
      <c r="AH242" s="7" t="n"/>
      <c r="AI242" s="7">
        <f>'Bütçe aylık-TL'!$M$151</f>
        <v/>
      </c>
      <c r="AJ242" s="7">
        <f>'gerç aylık-tl'!$M$150</f>
        <v/>
      </c>
      <c r="AK242" s="7" t="n"/>
      <c r="AL242" s="21">
        <f>AP242-AO242</f>
        <v/>
      </c>
      <c r="AM242" s="22">
        <f>AP242/AO242-1</f>
        <v/>
      </c>
      <c r="AO242" s="44">
        <f>IF($A$1=$B$1,B242,IF($A$1=$E$1,E242,IF($A$1=$H$1,H242,IF($A$1=$K$1,K242,IF($A$1=$N$1,N242,IF($A$1=$Q$1,Q242,IF($A$1=$T$1,T242,IF($A$1=$W$1,W242,IF($A$1=$Z$1,Z242,IF($A$1=$AC$1,AC242,IF($A$1=$AF$1,AF242,IF($A$1=$AI$1,AI242))))))))))))</f>
        <v/>
      </c>
      <c r="AP242" s="44">
        <f>IF($A$1=$B$1,C242,IF($A$1=$E$1,F242,IF($A$1=$H$1,I242,IF($A$1=$K$1,L242,IF($A$1=$N$1,O242,IF($A$1=$Q$1,R242,IF($A$1=$T$1,U242,IF($A$1=$W$1,X242,IF($A$1=$Z$1,AA242,IF($A$1=$AC$1,AD242,IF($A$1=$AF$1,AG242,IF($A$1=$AI$1,AJ242))))))))))))</f>
        <v/>
      </c>
    </row>
    <row r="243" ht="15.5" customFormat="1" customHeight="1" s="1">
      <c r="A243" s="26" t="inlineStr">
        <is>
          <t>Yusen İnci Loj.</t>
        </is>
      </c>
      <c r="B243" s="7">
        <f>'Bütçe aylık-TL'!$B$152</f>
        <v/>
      </c>
      <c r="C243" s="7">
        <f>'gerç aylık-tl'!$B$151</f>
        <v/>
      </c>
      <c r="D243" s="8" t="n"/>
      <c r="E243" s="7">
        <f>'Bütçe aylık-TL'!$C$152</f>
        <v/>
      </c>
      <c r="F243" s="7">
        <f>'gerç aylık-tl'!$C$151</f>
        <v/>
      </c>
      <c r="G243" s="8" t="n"/>
      <c r="H243" s="7">
        <f>'Bütçe aylık-TL'!$D$152</f>
        <v/>
      </c>
      <c r="I243" s="7">
        <f>'gerç aylık-tl'!$D$151</f>
        <v/>
      </c>
      <c r="J243" s="8" t="n"/>
      <c r="K243" s="7">
        <f>'Bütçe aylık-TL'!$E$152</f>
        <v/>
      </c>
      <c r="L243" s="7">
        <f>'gerç aylık-tl'!$E$151</f>
        <v/>
      </c>
      <c r="M243" s="8" t="n"/>
      <c r="N243" s="7">
        <f>'Bütçe aylık-TL'!$F$152</f>
        <v/>
      </c>
      <c r="O243" s="7">
        <f>'gerç aylık-tl'!$F$151</f>
        <v/>
      </c>
      <c r="P243" s="8" t="n"/>
      <c r="Q243" s="7">
        <f>'Bütçe aylık-TL'!$G$152</f>
        <v/>
      </c>
      <c r="R243" s="7">
        <f>'gerç aylık-tl'!$G$151</f>
        <v/>
      </c>
      <c r="S243" s="8" t="n"/>
      <c r="T243" s="7">
        <f>'Bütçe aylık-TL'!$H$152</f>
        <v/>
      </c>
      <c r="U243" s="7">
        <f>'gerç aylık-tl'!$H$151</f>
        <v/>
      </c>
      <c r="V243" s="8" t="n"/>
      <c r="W243" s="7">
        <f>'Bütçe aylık-TL'!$I$152</f>
        <v/>
      </c>
      <c r="X243" s="7">
        <f>'gerç aylık-tl'!$I$151</f>
        <v/>
      </c>
      <c r="Y243" s="8" t="n"/>
      <c r="Z243" s="7">
        <f>'Bütçe aylık-TL'!$J$152</f>
        <v/>
      </c>
      <c r="AA243" s="7">
        <f>'gerç aylık-tl'!$J$151</f>
        <v/>
      </c>
      <c r="AB243" s="8" t="n"/>
      <c r="AC243" s="7">
        <f>'Bütçe aylık-TL'!$K$152</f>
        <v/>
      </c>
      <c r="AD243" s="7">
        <f>'gerç aylık-tl'!$K$151</f>
        <v/>
      </c>
      <c r="AE243" s="8" t="n"/>
      <c r="AF243" s="7">
        <f>'Bütçe aylık-TL'!$L$152</f>
        <v/>
      </c>
      <c r="AG243" s="7">
        <f>'gerç aylık-tl'!$L$151</f>
        <v/>
      </c>
      <c r="AH243" s="8" t="n"/>
      <c r="AI243" s="7">
        <f>'Bütçe aylık-TL'!$M$152</f>
        <v/>
      </c>
      <c r="AJ243" s="7">
        <f>'gerç aylık-tl'!$M$151</f>
        <v/>
      </c>
      <c r="AK243" s="8" t="n"/>
      <c r="AL243" s="21">
        <f>AP243-AO243</f>
        <v/>
      </c>
      <c r="AM243" s="22">
        <f>AP243/AO243-1</f>
        <v/>
      </c>
      <c r="AO243" s="44">
        <f>IF($A$1=$B$1,B243,IF($A$1=$E$1,E243,IF($A$1=$H$1,H243,IF($A$1=$K$1,K243,IF($A$1=$N$1,N243,IF($A$1=$Q$1,Q243,IF($A$1=$T$1,T243,IF($A$1=$W$1,W243,IF($A$1=$Z$1,Z243,IF($A$1=$AC$1,AC243,IF($A$1=$AF$1,AF243,IF($A$1=$AI$1,AI243))))))))))))</f>
        <v/>
      </c>
      <c r="AP243" s="44">
        <f>IF($A$1=$B$1,C243,IF($A$1=$E$1,F243,IF($A$1=$H$1,I243,IF($A$1=$K$1,L243,IF($A$1=$N$1,O243,IF($A$1=$Q$1,R243,IF($A$1=$T$1,U243,IF($A$1=$W$1,X243,IF($A$1=$Z$1,AA243,IF($A$1=$AC$1,AD243,IF($A$1=$AF$1,AG243,IF($A$1=$AI$1,AJ243))))))))))))</f>
        <v/>
      </c>
    </row>
    <row r="244" ht="15.5" customHeight="1">
      <c r="A244" s="26" t="inlineStr">
        <is>
          <t>Jantaş</t>
        </is>
      </c>
      <c r="B244" s="7">
        <f>'Bütçe aylık-TL'!$B$153</f>
        <v/>
      </c>
      <c r="C244" s="7">
        <f>'gerç aylık-tl'!$B$152</f>
        <v/>
      </c>
      <c r="D244" s="7" t="n"/>
      <c r="E244" s="7">
        <f>'Bütçe aylık-TL'!$C$153</f>
        <v/>
      </c>
      <c r="F244" s="7">
        <f>'gerç aylık-tl'!$C$152</f>
        <v/>
      </c>
      <c r="G244" s="7" t="n"/>
      <c r="H244" s="7">
        <f>'Bütçe aylık-TL'!$D$153</f>
        <v/>
      </c>
      <c r="I244" s="7">
        <f>'gerç aylık-tl'!$D$152</f>
        <v/>
      </c>
      <c r="J244" s="7" t="n"/>
      <c r="K244" s="7">
        <f>'Bütçe aylık-TL'!$E$153</f>
        <v/>
      </c>
      <c r="L244" s="7">
        <f>'gerç aylık-tl'!$E$152</f>
        <v/>
      </c>
      <c r="M244" s="7" t="n"/>
      <c r="N244" s="7">
        <f>'Bütçe aylık-TL'!$F$153</f>
        <v/>
      </c>
      <c r="O244" s="7">
        <f>'gerç aylık-tl'!$F$152</f>
        <v/>
      </c>
      <c r="P244" s="7" t="n"/>
      <c r="Q244" s="7">
        <f>'Bütçe aylık-TL'!$G$153</f>
        <v/>
      </c>
      <c r="R244" s="7">
        <f>'gerç aylık-tl'!$G$152</f>
        <v/>
      </c>
      <c r="S244" s="7" t="n"/>
      <c r="T244" s="7">
        <f>'Bütçe aylık-TL'!$H$153</f>
        <v/>
      </c>
      <c r="U244" s="7">
        <f>'gerç aylık-tl'!$H$152</f>
        <v/>
      </c>
      <c r="V244" s="7" t="n"/>
      <c r="W244" s="7">
        <f>'Bütçe aylık-TL'!$I$153</f>
        <v/>
      </c>
      <c r="X244" s="7">
        <f>'gerç aylık-tl'!$I$152</f>
        <v/>
      </c>
      <c r="Y244" s="7" t="n"/>
      <c r="Z244" s="7">
        <f>'Bütçe aylık-TL'!$J$153</f>
        <v/>
      </c>
      <c r="AA244" s="7">
        <f>'gerç aylık-tl'!$J$152</f>
        <v/>
      </c>
      <c r="AB244" s="7" t="n"/>
      <c r="AC244" s="7">
        <f>'Bütçe aylık-TL'!$K$153</f>
        <v/>
      </c>
      <c r="AD244" s="7">
        <f>'gerç aylık-tl'!$K$152</f>
        <v/>
      </c>
      <c r="AE244" s="7" t="n"/>
      <c r="AF244" s="7">
        <f>'Bütçe aylık-TL'!$L$153</f>
        <v/>
      </c>
      <c r="AG244" s="7">
        <f>'gerç aylık-tl'!$L$152</f>
        <v/>
      </c>
      <c r="AH244" s="7" t="n"/>
      <c r="AI244" s="7">
        <f>'Bütçe aylık-TL'!$M$153</f>
        <v/>
      </c>
      <c r="AJ244" s="7">
        <f>'gerç aylık-tl'!$M$152</f>
        <v/>
      </c>
      <c r="AK244" s="7" t="n"/>
      <c r="AL244" s="21">
        <f>AP244-AO244</f>
        <v/>
      </c>
      <c r="AM244" s="22">
        <f>AP244/AO244-1</f>
        <v/>
      </c>
      <c r="AO244" s="44">
        <f>IF($A$1=$B$1,B244,IF($A$1=$E$1,E244,IF($A$1=$H$1,H244,IF($A$1=$K$1,K244,IF($A$1=$N$1,N244,IF($A$1=$Q$1,Q244,IF($A$1=$T$1,T244,IF($A$1=$W$1,W244,IF($A$1=$Z$1,Z244,IF($A$1=$AC$1,AC244,IF($A$1=$AF$1,AF244,IF($A$1=$AI$1,AI244))))))))))))</f>
        <v/>
      </c>
      <c r="AP244" s="44">
        <f>IF($A$1=$B$1,C244,IF($A$1=$E$1,F244,IF($A$1=$H$1,I244,IF($A$1=$K$1,L244,IF($A$1=$N$1,O244,IF($A$1=$Q$1,R244,IF($A$1=$T$1,U244,IF($A$1=$W$1,X244,IF($A$1=$Z$1,AA244,IF($A$1=$AC$1,AD244,IF($A$1=$AF$1,AG244,IF($A$1=$AI$1,AJ244))))))))))))</f>
        <v/>
      </c>
    </row>
    <row r="245" ht="15.5" customFormat="1" customHeight="1" s="1">
      <c r="A245" s="26" t="inlineStr">
        <is>
          <t>Çelik</t>
        </is>
      </c>
      <c r="B245" s="7">
        <f>'Bütçe aylık-TL'!$B$154</f>
        <v/>
      </c>
      <c r="C245" s="7">
        <f>'gerç aylık-tl'!$B$153</f>
        <v/>
      </c>
      <c r="D245" s="8" t="n"/>
      <c r="E245" s="7">
        <f>'Bütçe aylık-TL'!$C$154</f>
        <v/>
      </c>
      <c r="F245" s="7">
        <f>'gerç aylık-tl'!$C$153</f>
        <v/>
      </c>
      <c r="G245" s="8" t="n"/>
      <c r="H245" s="7">
        <f>'Bütçe aylık-TL'!$D$154</f>
        <v/>
      </c>
      <c r="I245" s="7">
        <f>'gerç aylık-tl'!$D$153</f>
        <v/>
      </c>
      <c r="J245" s="8" t="n"/>
      <c r="K245" s="7">
        <f>'Bütçe aylık-TL'!$E$154</f>
        <v/>
      </c>
      <c r="L245" s="7">
        <f>'gerç aylık-tl'!$E$153</f>
        <v/>
      </c>
      <c r="M245" s="8" t="n"/>
      <c r="N245" s="7">
        <f>'Bütçe aylık-TL'!$F$154</f>
        <v/>
      </c>
      <c r="O245" s="7">
        <f>'gerç aylık-tl'!$F$153</f>
        <v/>
      </c>
      <c r="P245" s="8" t="n"/>
      <c r="Q245" s="7">
        <f>'Bütçe aylık-TL'!$G$154</f>
        <v/>
      </c>
      <c r="R245" s="7">
        <f>'gerç aylık-tl'!$G$153</f>
        <v/>
      </c>
      <c r="S245" s="8" t="n"/>
      <c r="T245" s="7">
        <f>'Bütçe aylık-TL'!$H$154</f>
        <v/>
      </c>
      <c r="U245" s="7">
        <f>'gerç aylık-tl'!$H$153</f>
        <v/>
      </c>
      <c r="V245" s="8" t="n"/>
      <c r="W245" s="7">
        <f>'Bütçe aylık-TL'!$I$154</f>
        <v/>
      </c>
      <c r="X245" s="7">
        <f>'gerç aylık-tl'!$I$153</f>
        <v/>
      </c>
      <c r="Y245" s="8" t="n"/>
      <c r="Z245" s="7">
        <f>'Bütçe aylık-TL'!$J$154</f>
        <v/>
      </c>
      <c r="AA245" s="7">
        <f>'gerç aylık-tl'!$J$153</f>
        <v/>
      </c>
      <c r="AB245" s="8" t="n"/>
      <c r="AC245" s="7">
        <f>'Bütçe aylık-TL'!$K$154</f>
        <v/>
      </c>
      <c r="AD245" s="7">
        <f>'gerç aylık-tl'!$K$153</f>
        <v/>
      </c>
      <c r="AE245" s="8" t="n"/>
      <c r="AF245" s="7">
        <f>'Bütçe aylık-TL'!$L$154</f>
        <v/>
      </c>
      <c r="AG245" s="7">
        <f>'gerç aylık-tl'!$L$153</f>
        <v/>
      </c>
      <c r="AH245" s="8" t="n"/>
      <c r="AI245" s="7">
        <f>'Bütçe aylık-TL'!$M$154</f>
        <v/>
      </c>
      <c r="AJ245" s="7">
        <f>'gerç aylık-tl'!$M$153</f>
        <v/>
      </c>
      <c r="AK245" s="8" t="n"/>
      <c r="AL245" s="21">
        <f>AP245-AO245</f>
        <v/>
      </c>
      <c r="AM245" s="22">
        <f>AP245/AO245-1</f>
        <v/>
      </c>
      <c r="AO245" s="44">
        <f>IF($A$1=$B$1,B245,IF($A$1=$E$1,E245,IF($A$1=$H$1,H245,IF($A$1=$K$1,K245,IF($A$1=$N$1,N245,IF($A$1=$Q$1,Q245,IF($A$1=$T$1,T245,IF($A$1=$W$1,W245,IF($A$1=$Z$1,Z245,IF($A$1=$AC$1,AC245,IF($A$1=$AF$1,AF245,IF($A$1=$AI$1,AI245))))))))))))</f>
        <v/>
      </c>
      <c r="AP245" s="44">
        <f>IF($A$1=$B$1,C245,IF($A$1=$E$1,F245,IF($A$1=$H$1,I245,IF($A$1=$K$1,L245,IF($A$1=$N$1,O245,IF($A$1=$Q$1,R245,IF($A$1=$T$1,U245,IF($A$1=$W$1,X245,IF($A$1=$Z$1,AA245,IF($A$1=$AC$1,AD245,IF($A$1=$AF$1,AG245,IF($A$1=$AI$1,AJ245))))))))))))</f>
        <v/>
      </c>
    </row>
    <row r="246" ht="15.5" customFormat="1" customHeight="1" s="1">
      <c r="A246" s="26" t="inlineStr">
        <is>
          <t>Alüminyum</t>
        </is>
      </c>
      <c r="B246" s="7">
        <f>'Bütçe aylık-TL'!$B$155</f>
        <v/>
      </c>
      <c r="C246" s="7">
        <f>'gerç aylık-tl'!$B$154</f>
        <v/>
      </c>
      <c r="D246" s="8" t="n"/>
      <c r="E246" s="7">
        <f>'Bütçe aylık-TL'!$C$155</f>
        <v/>
      </c>
      <c r="F246" s="7">
        <f>'gerç aylık-tl'!$C$154</f>
        <v/>
      </c>
      <c r="G246" s="8" t="n"/>
      <c r="H246" s="7">
        <f>'Bütçe aylık-TL'!$D$155</f>
        <v/>
      </c>
      <c r="I246" s="7">
        <f>'gerç aylık-tl'!$D$154</f>
        <v/>
      </c>
      <c r="J246" s="8" t="n"/>
      <c r="K246" s="7">
        <f>'Bütçe aylık-TL'!$E$155</f>
        <v/>
      </c>
      <c r="L246" s="7">
        <f>'gerç aylık-tl'!$E$154</f>
        <v/>
      </c>
      <c r="M246" s="8" t="n"/>
      <c r="N246" s="7">
        <f>'Bütçe aylık-TL'!$F$155</f>
        <v/>
      </c>
      <c r="O246" s="7">
        <f>'gerç aylık-tl'!$F$154</f>
        <v/>
      </c>
      <c r="P246" s="8" t="n"/>
      <c r="Q246" s="7">
        <f>'Bütçe aylık-TL'!$G$155</f>
        <v/>
      </c>
      <c r="R246" s="7">
        <f>'gerç aylık-tl'!$G$154</f>
        <v/>
      </c>
      <c r="S246" s="8" t="n"/>
      <c r="T246" s="7">
        <f>'Bütçe aylık-TL'!$H$155</f>
        <v/>
      </c>
      <c r="U246" s="7">
        <f>'gerç aylık-tl'!$H$154</f>
        <v/>
      </c>
      <c r="V246" s="8" t="n"/>
      <c r="W246" s="7">
        <f>'Bütçe aylık-TL'!$I$155</f>
        <v/>
      </c>
      <c r="X246" s="7">
        <f>'gerç aylık-tl'!$I$154</f>
        <v/>
      </c>
      <c r="Y246" s="8" t="n"/>
      <c r="Z246" s="7">
        <f>'Bütçe aylık-TL'!$J$155</f>
        <v/>
      </c>
      <c r="AA246" s="7">
        <f>'gerç aylık-tl'!$J$154</f>
        <v/>
      </c>
      <c r="AB246" s="8" t="n"/>
      <c r="AC246" s="7">
        <f>'Bütçe aylık-TL'!$K$155</f>
        <v/>
      </c>
      <c r="AD246" s="7">
        <f>'gerç aylık-tl'!$K$154</f>
        <v/>
      </c>
      <c r="AE246" s="8" t="n"/>
      <c r="AF246" s="7">
        <f>'Bütçe aylık-TL'!$L$155</f>
        <v/>
      </c>
      <c r="AG246" s="7">
        <f>'gerç aylık-tl'!$L$154</f>
        <v/>
      </c>
      <c r="AH246" s="8" t="n"/>
      <c r="AI246" s="7">
        <f>'Bütçe aylık-TL'!$M$155</f>
        <v/>
      </c>
      <c r="AJ246" s="7">
        <f>'gerç aylık-tl'!$M$154</f>
        <v/>
      </c>
      <c r="AK246" s="8" t="n"/>
      <c r="AL246" s="21">
        <f>AP246-AO246</f>
        <v/>
      </c>
      <c r="AM246" s="22">
        <f>AP246/AO246-1</f>
        <v/>
      </c>
      <c r="AO246" s="44">
        <f>IF($A$1=$B$1,B246,IF($A$1=$E$1,E246,IF($A$1=$H$1,H246,IF($A$1=$K$1,K246,IF($A$1=$N$1,N246,IF($A$1=$Q$1,Q246,IF($A$1=$T$1,T246,IF($A$1=$W$1,W246,IF($A$1=$Z$1,Z246,IF($A$1=$AC$1,AC246,IF($A$1=$AF$1,AF246,IF($A$1=$AI$1,AI246))))))))))))</f>
        <v/>
      </c>
      <c r="AP246" s="44">
        <f>IF($A$1=$B$1,C246,IF($A$1=$E$1,F246,IF($A$1=$H$1,I246,IF($A$1=$K$1,L246,IF($A$1=$N$1,O246,IF($A$1=$Q$1,R246,IF($A$1=$T$1,U246,IF($A$1=$W$1,X246,IF($A$1=$Z$1,AA246,IF($A$1=$AC$1,AD246,IF($A$1=$AF$1,AG246,IF($A$1=$AI$1,AJ246))))))))))))</f>
        <v/>
      </c>
    </row>
    <row r="247" ht="15.5" customFormat="1" customHeight="1" s="1">
      <c r="A247" s="26" t="n"/>
      <c r="B247" s="7" t="n"/>
      <c r="C247" s="8" t="n"/>
      <c r="D247" s="8" t="n"/>
      <c r="E247" s="7" t="n"/>
      <c r="F247" s="8" t="n"/>
      <c r="G247" s="8" t="n"/>
      <c r="H247" s="7" t="n"/>
      <c r="I247" s="8" t="n"/>
      <c r="J247" s="8" t="n"/>
      <c r="K247" s="7" t="n"/>
      <c r="L247" s="8" t="n"/>
      <c r="M247" s="8" t="n"/>
      <c r="N247" s="7" t="n"/>
      <c r="O247" s="8" t="n"/>
      <c r="P247" s="8" t="n"/>
      <c r="Q247" s="7" t="n"/>
      <c r="R247" s="8" t="n"/>
      <c r="S247" s="8" t="n"/>
      <c r="T247" s="7" t="n"/>
      <c r="U247" s="8" t="n"/>
      <c r="V247" s="8" t="n"/>
      <c r="W247" s="7" t="n"/>
      <c r="X247" s="8" t="n"/>
      <c r="Y247" s="8" t="n"/>
      <c r="Z247" s="7" t="n"/>
      <c r="AA247" s="8" t="n"/>
      <c r="AB247" s="8" t="n"/>
      <c r="AC247" s="7" t="n"/>
      <c r="AD247" s="8" t="n"/>
      <c r="AE247" s="8" t="n"/>
      <c r="AF247" s="7" t="n"/>
      <c r="AG247" s="8" t="n"/>
      <c r="AH247" s="8" t="n"/>
      <c r="AI247" s="7" t="n"/>
      <c r="AJ247" s="8" t="n"/>
      <c r="AK247" s="8" t="n"/>
      <c r="AL247" s="15" t="n"/>
      <c r="AM247" s="16" t="n"/>
      <c r="AO247" s="44" t="n"/>
      <c r="AP247" s="44" t="n"/>
    </row>
    <row r="248" ht="15.5" customFormat="1" customHeight="1" s="1">
      <c r="A248" s="26" t="n"/>
      <c r="B248" s="7" t="n"/>
      <c r="C248" s="8" t="n"/>
      <c r="D248" s="8" t="n"/>
      <c r="E248" s="7" t="n"/>
      <c r="F248" s="8" t="n"/>
      <c r="G248" s="8" t="n"/>
      <c r="H248" s="7" t="n"/>
      <c r="I248" s="8" t="n"/>
      <c r="J248" s="8" t="n"/>
      <c r="K248" s="7" t="n"/>
      <c r="L248" s="8" t="n"/>
      <c r="M248" s="8" t="n"/>
      <c r="N248" s="7" t="n"/>
      <c r="O248" s="8" t="n"/>
      <c r="P248" s="8" t="n"/>
      <c r="Q248" s="7" t="n"/>
      <c r="R248" s="8" t="n"/>
      <c r="S248" s="8" t="n"/>
      <c r="T248" s="7" t="n"/>
      <c r="U248" s="8" t="n"/>
      <c r="V248" s="8" t="n"/>
      <c r="W248" s="7" t="n"/>
      <c r="X248" s="8" t="n"/>
      <c r="Y248" s="8" t="n"/>
      <c r="Z248" s="7" t="n"/>
      <c r="AA248" s="8" t="n"/>
      <c r="AB248" s="8" t="n"/>
      <c r="AC248" s="7" t="n"/>
      <c r="AD248" s="8" t="n"/>
      <c r="AE248" s="8" t="n"/>
      <c r="AF248" s="7" t="n"/>
      <c r="AG248" s="8" t="n"/>
      <c r="AH248" s="8" t="n"/>
      <c r="AI248" s="7" t="n"/>
      <c r="AJ248" s="8" t="n"/>
      <c r="AK248" s="8" t="n"/>
      <c r="AL248" s="15" t="n"/>
      <c r="AM248" s="16" t="n"/>
      <c r="AO248" s="44" t="n"/>
      <c r="AP248" s="44" t="n"/>
    </row>
    <row r="249" ht="15.5" customFormat="1" customHeight="1" s="44">
      <c r="A249" s="31" t="inlineStr">
        <is>
          <t>Mevduat</t>
        </is>
      </c>
      <c r="B249" s="32">
        <f>'Bütçe aylık-TL'!$B$160</f>
        <v/>
      </c>
      <c r="C249" s="32">
        <f>'gerç aylık-tl'!$B$159</f>
        <v/>
      </c>
      <c r="D249" s="18" t="n"/>
      <c r="E249" s="32">
        <f>'Bütçe aylık-TL'!$C$160</f>
        <v/>
      </c>
      <c r="F249" s="32">
        <f>'gerç aylık-tl'!$C$159</f>
        <v/>
      </c>
      <c r="G249" s="18" t="n"/>
      <c r="H249" s="32">
        <f>'Bütçe aylık-TL'!$D$160</f>
        <v/>
      </c>
      <c r="I249" s="32">
        <f>'gerç aylık-tl'!$D$159</f>
        <v/>
      </c>
      <c r="J249" s="18" t="n"/>
      <c r="K249" s="32">
        <f>'Bütçe aylık-TL'!$E$160</f>
        <v/>
      </c>
      <c r="L249" s="32">
        <f>'gerç aylık-tl'!$E$159</f>
        <v/>
      </c>
      <c r="M249" s="18" t="n"/>
      <c r="N249" s="32">
        <f>'Bütçe aylık-TL'!$F$160</f>
        <v/>
      </c>
      <c r="O249" s="32">
        <f>'gerç aylık-tl'!$F$159</f>
        <v/>
      </c>
      <c r="P249" s="18" t="n"/>
      <c r="Q249" s="32">
        <f>'Bütçe aylık-TL'!$G$160</f>
        <v/>
      </c>
      <c r="R249" s="32">
        <f>'gerç aylık-tl'!$G$159</f>
        <v/>
      </c>
      <c r="S249" s="18" t="n"/>
      <c r="T249" s="32">
        <f>'Bütçe aylık-TL'!$H$160</f>
        <v/>
      </c>
      <c r="U249" s="32">
        <f>'gerç aylık-tl'!$H$159</f>
        <v/>
      </c>
      <c r="V249" s="18" t="n"/>
      <c r="W249" s="32">
        <f>'Bütçe aylık-TL'!$I$160</f>
        <v/>
      </c>
      <c r="X249" s="32">
        <f>'gerç aylık-tl'!$I$159</f>
        <v/>
      </c>
      <c r="Y249" s="18" t="n"/>
      <c r="Z249" s="32">
        <f>'Bütçe aylık-TL'!$J$160</f>
        <v/>
      </c>
      <c r="AA249" s="32">
        <f>'gerç aylık-tl'!$J$159</f>
        <v/>
      </c>
      <c r="AB249" s="18" t="n"/>
      <c r="AC249" s="32">
        <f>'Bütçe aylık-TL'!$K$160</f>
        <v/>
      </c>
      <c r="AD249" s="32">
        <f>'gerç aylık-tl'!$K$159</f>
        <v/>
      </c>
      <c r="AE249" s="18" t="n"/>
      <c r="AF249" s="32">
        <f>'Bütçe aylık-TL'!$L$160</f>
        <v/>
      </c>
      <c r="AG249" s="32">
        <f>'gerç aylık-tl'!$L$159</f>
        <v/>
      </c>
      <c r="AH249" s="18" t="n"/>
      <c r="AI249" s="32">
        <f>'Bütçe aylık-TL'!$M$160</f>
        <v/>
      </c>
      <c r="AJ249" s="32">
        <f>'gerç aylık-tl'!$M$159</f>
        <v/>
      </c>
      <c r="AK249" s="18" t="n"/>
      <c r="AL249" s="33">
        <f>AP249-AO249</f>
        <v/>
      </c>
      <c r="AM249" s="34">
        <f>AP249/AO249-1</f>
        <v/>
      </c>
      <c r="AO249" s="44">
        <f>IF($A$1=$B$1,B249,IF($A$1=$E$1,E249,IF($A$1=$H$1,H249,IF($A$1=$K$1,K249,IF($A$1=$N$1,N249,IF($A$1=$Q$1,Q249,IF($A$1=$T$1,T249,IF($A$1=$W$1,W249,IF($A$1=$Z$1,Z249,IF($A$1=$AC$1,AC249,IF($A$1=$AF$1,AF249,IF($A$1=$AI$1,AI249))))))))))))</f>
        <v/>
      </c>
      <c r="AP249" s="44">
        <f>IF($A$1=$B$1,C249,IF($A$1=$E$1,F249,IF($A$1=$H$1,I249,IF($A$1=$K$1,L249,IF($A$1=$N$1,O249,IF($A$1=$Q$1,R249,IF($A$1=$T$1,U249,IF($A$1=$W$1,X249,IF($A$1=$Z$1,AA249,IF($A$1=$AC$1,AD249,IF($A$1=$AF$1,AG249,IF($A$1=$AI$1,AJ249))))))))))))</f>
        <v/>
      </c>
    </row>
    <row r="250" ht="15.5" customFormat="1" customHeight="1" s="13">
      <c r="A250" s="27" t="n"/>
      <c r="B250" s="30" t="n"/>
      <c r="C250" s="30">
        <f>IFERROR((C207/#REF!),"")</f>
        <v/>
      </c>
      <c r="D250" s="41" t="n"/>
      <c r="E250" s="30" t="n"/>
      <c r="F250" s="30">
        <f>IFERROR((F207/#REF!),"")</f>
        <v/>
      </c>
      <c r="G250" s="41" t="n"/>
      <c r="H250" s="30" t="n"/>
      <c r="I250" s="30">
        <f>IFERROR((I207/#REF!),"")</f>
        <v/>
      </c>
      <c r="J250" s="41" t="n"/>
      <c r="K250" s="30" t="n"/>
      <c r="L250" s="30">
        <f>IFERROR((L207/#REF!),"")</f>
        <v/>
      </c>
      <c r="M250" s="41" t="n"/>
      <c r="N250" s="30" t="n"/>
      <c r="O250" s="30">
        <f>IFERROR((O207/#REF!),"")</f>
        <v/>
      </c>
      <c r="P250" s="41" t="n"/>
      <c r="Q250" s="30" t="n"/>
      <c r="R250" s="30">
        <f>IFERROR((R207/#REF!),"")</f>
        <v/>
      </c>
      <c r="S250" s="41" t="n"/>
      <c r="T250" s="30" t="n"/>
      <c r="U250" s="30">
        <f>IFERROR((U207/#REF!),"")</f>
        <v/>
      </c>
      <c r="V250" s="41" t="n"/>
      <c r="W250" s="30" t="n"/>
      <c r="X250" s="30">
        <f>IFERROR((X207/#REF!),"")</f>
        <v/>
      </c>
      <c r="Y250" s="41" t="n"/>
      <c r="Z250" s="30" t="n"/>
      <c r="AA250" s="30">
        <f>IFERROR((AA207/#REF!),"")</f>
        <v/>
      </c>
      <c r="AB250" s="41" t="n"/>
      <c r="AC250" s="30" t="n"/>
      <c r="AD250" s="30">
        <f>IFERROR((AD207/#REF!),"")</f>
        <v/>
      </c>
      <c r="AE250" s="41" t="n"/>
      <c r="AF250" s="30" t="n"/>
      <c r="AG250" s="30">
        <f>IFERROR((AG207/#REF!),"")</f>
        <v/>
      </c>
      <c r="AH250" s="41" t="n"/>
      <c r="AI250" s="30" t="n"/>
      <c r="AJ250" s="30">
        <f>IFERROR((AJ207/#REF!),"")</f>
        <v/>
      </c>
      <c r="AK250" s="41" t="n"/>
      <c r="AL250" s="15" t="n"/>
      <c r="AM250" s="22" t="n"/>
      <c r="AO250" s="44">
        <f>IF($A$1=$B$1,B250,IF($A$1=$E$1,E250,IF($A$1=$H$1,H250,IF($A$1=$K$1,K250,IF($A$1=$N$1,N250,IF($A$1=$Q$1,Q250,IF($A$1=$T$1,T250,IF($A$1=$W$1,W250,IF($A$1=$Z$1,Z250,IF($A$1=$AC$1,AC250,IF($A$1=$AF$1,AF250,IF($A$1=$AI$1,AI250))))))))))))</f>
        <v/>
      </c>
      <c r="AP250" s="44">
        <f>IF($A$1=$B$1,C250,IF($A$1=$E$1,F250,IF($A$1=$H$1,I250,IF($A$1=$K$1,L250,IF($A$1=$N$1,O250,IF($A$1=$Q$1,R250,IF($A$1=$T$1,U250,IF($A$1=$W$1,X250,IF($A$1=$Z$1,AA250,IF($A$1=$AC$1,AD250,IF($A$1=$AF$1,AG250,IF($A$1=$AI$1,AJ250))))))))))))</f>
        <v/>
      </c>
    </row>
    <row r="251" ht="17" customFormat="1" customHeight="1" s="49">
      <c r="A251" s="47" t="inlineStr">
        <is>
          <t>Mevduat (100%)</t>
        </is>
      </c>
      <c r="B251" s="413" t="n"/>
      <c r="C251" s="413" t="n"/>
      <c r="D251" s="413" t="n"/>
      <c r="E251" s="413" t="n"/>
      <c r="F251" s="413" t="n"/>
      <c r="G251" s="413" t="n"/>
      <c r="H251" s="413" t="n"/>
      <c r="I251" s="413" t="n"/>
      <c r="J251" s="413" t="n"/>
      <c r="K251" s="413" t="n"/>
      <c r="L251" s="413" t="n"/>
      <c r="M251" s="413" t="n"/>
      <c r="N251" s="413" t="n"/>
      <c r="O251" s="413" t="n"/>
      <c r="P251" s="413" t="n"/>
      <c r="Q251" s="413" t="n"/>
      <c r="R251" s="413" t="n"/>
      <c r="S251" s="413" t="n"/>
      <c r="T251" s="413" t="n"/>
      <c r="U251" s="413" t="n"/>
      <c r="V251" s="413" t="n"/>
      <c r="W251" s="413" t="n"/>
      <c r="X251" s="413" t="n"/>
      <c r="Y251" s="413" t="n"/>
      <c r="Z251" s="413" t="n"/>
      <c r="AA251" s="413" t="n"/>
      <c r="AB251" s="413" t="n"/>
      <c r="AC251" s="413" t="n"/>
      <c r="AD251" s="413" t="n"/>
      <c r="AE251" s="413" t="n"/>
      <c r="AF251" s="413" t="n"/>
      <c r="AG251" s="413" t="n"/>
      <c r="AH251" s="413" t="n"/>
      <c r="AI251" s="413" t="n"/>
      <c r="AJ251" s="413" t="n"/>
      <c r="AK251" s="413" t="n"/>
      <c r="AL251" s="413" t="n"/>
      <c r="AM251" s="48" t="n"/>
    </row>
    <row r="252" ht="15.5" customHeight="1">
      <c r="A252" s="26" t="inlineStr">
        <is>
          <t xml:space="preserve">İnci Holding </t>
        </is>
      </c>
      <c r="B252" s="7">
        <f>'Bütçe aylık-TL'!$B$161</f>
        <v/>
      </c>
      <c r="C252" s="7">
        <f>'gerç aylık-tl'!$B$160</f>
        <v/>
      </c>
      <c r="D252" s="7" t="n"/>
      <c r="E252" s="7">
        <f>'Bütçe aylık-TL'!$C$161</f>
        <v/>
      </c>
      <c r="F252" s="7">
        <f>'gerç aylık-tl'!$C$160</f>
        <v/>
      </c>
      <c r="G252" s="7" t="n"/>
      <c r="H252" s="7">
        <f>'Bütçe aylık-TL'!$D$161</f>
        <v/>
      </c>
      <c r="I252" s="7">
        <f>'gerç aylık-tl'!$D$160</f>
        <v/>
      </c>
      <c r="J252" s="7" t="n"/>
      <c r="K252" s="7">
        <f>'Bütçe aylık-TL'!$E$161</f>
        <v/>
      </c>
      <c r="L252" s="7">
        <f>'gerç aylık-tl'!$E$160</f>
        <v/>
      </c>
      <c r="M252" s="7" t="n"/>
      <c r="N252" s="7">
        <f>'Bütçe aylık-TL'!$F$161</f>
        <v/>
      </c>
      <c r="O252" s="7">
        <f>'gerç aylık-tl'!$F$160</f>
        <v/>
      </c>
      <c r="P252" s="7" t="n"/>
      <c r="Q252" s="7">
        <f>'Bütçe aylık-TL'!$G$161</f>
        <v/>
      </c>
      <c r="R252" s="7">
        <f>'gerç aylık-tl'!$G$160</f>
        <v/>
      </c>
      <c r="S252" s="7" t="n"/>
      <c r="T252" s="7">
        <f>'Bütçe aylık-TL'!$H$161</f>
        <v/>
      </c>
      <c r="U252" s="7">
        <f>'gerç aylık-tl'!$H$160</f>
        <v/>
      </c>
      <c r="V252" s="7" t="n"/>
      <c r="W252" s="7">
        <f>'Bütçe aylık-TL'!$I$161</f>
        <v/>
      </c>
      <c r="X252" s="7">
        <f>'gerç aylık-tl'!$I$160</f>
        <v/>
      </c>
      <c r="Y252" s="7" t="n"/>
      <c r="Z252" s="7">
        <f>'Bütçe aylık-TL'!$J$161</f>
        <v/>
      </c>
      <c r="AA252" s="7">
        <f>'gerç aylık-tl'!$J$160</f>
        <v/>
      </c>
      <c r="AB252" s="7" t="n"/>
      <c r="AC252" s="7">
        <f>'Bütçe aylık-TL'!$K$161</f>
        <v/>
      </c>
      <c r="AD252" s="7">
        <f>'gerç aylık-tl'!$K$160</f>
        <v/>
      </c>
      <c r="AE252" s="7" t="n"/>
      <c r="AF252" s="7">
        <f>'Bütçe aylık-TL'!$L$161</f>
        <v/>
      </c>
      <c r="AG252" s="7">
        <f>'gerç aylık-tl'!$L$160</f>
        <v/>
      </c>
      <c r="AH252" s="7" t="n"/>
      <c r="AI252" s="7">
        <f>'Bütçe aylık-TL'!$M$161</f>
        <v/>
      </c>
      <c r="AJ252" s="7">
        <f>'gerç aylık-tl'!$M$160</f>
        <v/>
      </c>
      <c r="AK252" s="7" t="n"/>
      <c r="AL252" s="21">
        <f>AP252-AO252</f>
        <v/>
      </c>
      <c r="AM252" s="22">
        <f>AP252/AO252-1</f>
        <v/>
      </c>
      <c r="AO252" s="44">
        <f>IF($A$1=$B$1,B252,IF($A$1=$E$1,E252,IF($A$1=$H$1,H252,IF($A$1=$K$1,K252,IF($A$1=$N$1,N252,IF($A$1=$Q$1,Q252,IF($A$1=$T$1,T252,IF($A$1=$W$1,W252,IF($A$1=$Z$1,Z252,IF($A$1=$AC$1,AC252,IF($A$1=$AF$1,AF252,IF($A$1=$AI$1,AI252))))))))))))</f>
        <v/>
      </c>
      <c r="AP252" s="44">
        <f>IF($A$1=$B$1,C252,IF($A$1=$E$1,F252,IF($A$1=$H$1,I252,IF($A$1=$K$1,L252,IF($A$1=$N$1,O252,IF($A$1=$Q$1,R252,IF($A$1=$T$1,U252,IF($A$1=$W$1,X252,IF($A$1=$Z$1,AA252,IF($A$1=$AC$1,AD252,IF($A$1=$AF$1,AG252,IF($A$1=$AI$1,AJ252))))))))))))</f>
        <v/>
      </c>
    </row>
    <row r="253" ht="15.5" customHeight="1">
      <c r="A253" s="26" t="inlineStr">
        <is>
          <t xml:space="preserve">ISM </t>
        </is>
      </c>
      <c r="B253" s="7">
        <f>'Bütçe aylık-TL'!$B$162</f>
        <v/>
      </c>
      <c r="C253" s="7">
        <f>'gerç aylık-tl'!$B$161</f>
        <v/>
      </c>
      <c r="D253" s="7" t="n"/>
      <c r="E253" s="7">
        <f>'Bütçe aylık-TL'!$C$162</f>
        <v/>
      </c>
      <c r="F253" s="7">
        <f>'gerç aylık-tl'!$C$161</f>
        <v/>
      </c>
      <c r="G253" s="7" t="n"/>
      <c r="H253" s="7">
        <f>'Bütçe aylık-TL'!$D$162</f>
        <v/>
      </c>
      <c r="I253" s="7">
        <f>'gerç aylık-tl'!$D$161</f>
        <v/>
      </c>
      <c r="J253" s="7" t="n"/>
      <c r="K253" s="7">
        <f>'Bütçe aylık-TL'!$E$162</f>
        <v/>
      </c>
      <c r="L253" s="7">
        <f>'gerç aylık-tl'!$E$161</f>
        <v/>
      </c>
      <c r="M253" s="7" t="n"/>
      <c r="N253" s="7">
        <f>'Bütçe aylık-TL'!$F$162</f>
        <v/>
      </c>
      <c r="O253" s="7">
        <f>'gerç aylık-tl'!$F$161</f>
        <v/>
      </c>
      <c r="P253" s="7" t="n"/>
      <c r="Q253" s="7">
        <f>'Bütçe aylık-TL'!$G$162</f>
        <v/>
      </c>
      <c r="R253" s="7">
        <f>'gerç aylık-tl'!$G$161</f>
        <v/>
      </c>
      <c r="S253" s="7" t="n"/>
      <c r="T253" s="7">
        <f>'Bütçe aylık-TL'!$H$162</f>
        <v/>
      </c>
      <c r="U253" s="7">
        <f>'gerç aylık-tl'!$H$161</f>
        <v/>
      </c>
      <c r="V253" s="7" t="n"/>
      <c r="W253" s="7">
        <f>'Bütçe aylık-TL'!$I$162</f>
        <v/>
      </c>
      <c r="X253" s="7">
        <f>'gerç aylık-tl'!$I$161</f>
        <v/>
      </c>
      <c r="Y253" s="7" t="n"/>
      <c r="Z253" s="7">
        <f>'Bütçe aylık-TL'!$J$162</f>
        <v/>
      </c>
      <c r="AA253" s="7">
        <f>'gerç aylık-tl'!$J$161</f>
        <v/>
      </c>
      <c r="AB253" s="7" t="n"/>
      <c r="AC253" s="7">
        <f>'Bütçe aylık-TL'!$K$162</f>
        <v/>
      </c>
      <c r="AD253" s="7">
        <f>'gerç aylık-tl'!$K$161</f>
        <v/>
      </c>
      <c r="AE253" s="7" t="n"/>
      <c r="AF253" s="7">
        <f>'Bütçe aylık-TL'!$L$162</f>
        <v/>
      </c>
      <c r="AG253" s="7">
        <f>'gerç aylık-tl'!$L$161</f>
        <v/>
      </c>
      <c r="AH253" s="7" t="n"/>
      <c r="AI253" s="7">
        <f>'Bütçe aylık-TL'!$M$162</f>
        <v/>
      </c>
      <c r="AJ253" s="7">
        <f>'gerç aylık-tl'!$M$161</f>
        <v/>
      </c>
      <c r="AK253" s="7" t="n"/>
      <c r="AL253" s="21">
        <f>AP253-AO253</f>
        <v/>
      </c>
      <c r="AM253" s="22">
        <f>AP253/AO253-1</f>
        <v/>
      </c>
      <c r="AO253" s="44">
        <f>IF($A$1=$B$1,B253,IF($A$1=$E$1,E253,IF($A$1=$H$1,H253,IF($A$1=$K$1,K253,IF($A$1=$N$1,N253,IF($A$1=$Q$1,Q253,IF($A$1=$T$1,T253,IF($A$1=$W$1,W253,IF($A$1=$Z$1,Z253,IF($A$1=$AC$1,AC253,IF($A$1=$AF$1,AF253,IF($A$1=$AI$1,AI253))))))))))))</f>
        <v/>
      </c>
      <c r="AP253" s="44">
        <f>IF($A$1=$B$1,C253,IF($A$1=$E$1,F253,IF($A$1=$H$1,I253,IF($A$1=$K$1,L253,IF($A$1=$N$1,O253,IF($A$1=$Q$1,R253,IF($A$1=$T$1,U253,IF($A$1=$W$1,X253,IF($A$1=$Z$1,AA253,IF($A$1=$AC$1,AD253,IF($A$1=$AF$1,AG253,IF($A$1=$AI$1,AJ253))))))))))))</f>
        <v/>
      </c>
    </row>
    <row r="254" ht="15.5" customHeight="1">
      <c r="A254" s="26" t="inlineStr">
        <is>
          <t>İncitaş</t>
        </is>
      </c>
      <c r="B254" s="7">
        <f>'Bütçe aylık-TL'!$B$163</f>
        <v/>
      </c>
      <c r="C254" s="7">
        <f>'gerç aylık-tl'!$B$162</f>
        <v/>
      </c>
      <c r="D254" s="7" t="n"/>
      <c r="E254" s="7">
        <f>'Bütçe aylık-TL'!$C$163</f>
        <v/>
      </c>
      <c r="F254" s="7">
        <f>'gerç aylık-tl'!$C$162</f>
        <v/>
      </c>
      <c r="G254" s="7" t="n"/>
      <c r="H254" s="7">
        <f>'Bütçe aylık-TL'!$D$163</f>
        <v/>
      </c>
      <c r="I254" s="7">
        <f>'gerç aylık-tl'!$D$162</f>
        <v/>
      </c>
      <c r="J254" s="7" t="n"/>
      <c r="K254" s="7">
        <f>'Bütçe aylık-TL'!$E$163</f>
        <v/>
      </c>
      <c r="L254" s="7">
        <f>'gerç aylık-tl'!$E$162</f>
        <v/>
      </c>
      <c r="M254" s="7" t="n"/>
      <c r="N254" s="7">
        <f>'Bütçe aylık-TL'!$F$163</f>
        <v/>
      </c>
      <c r="O254" s="7">
        <f>'gerç aylık-tl'!$F$162</f>
        <v/>
      </c>
      <c r="P254" s="7" t="n"/>
      <c r="Q254" s="7">
        <f>'Bütçe aylık-TL'!$G$163</f>
        <v/>
      </c>
      <c r="R254" s="7">
        <f>'gerç aylık-tl'!$G$162</f>
        <v/>
      </c>
      <c r="S254" s="7" t="n"/>
      <c r="T254" s="7">
        <f>'Bütçe aylık-TL'!$H$163</f>
        <v/>
      </c>
      <c r="U254" s="7">
        <f>'gerç aylık-tl'!$H$162</f>
        <v/>
      </c>
      <c r="V254" s="7" t="n"/>
      <c r="W254" s="7">
        <f>'Bütçe aylık-TL'!$I$163</f>
        <v/>
      </c>
      <c r="X254" s="7">
        <f>'gerç aylık-tl'!$I$162</f>
        <v/>
      </c>
      <c r="Y254" s="7" t="n"/>
      <c r="Z254" s="7">
        <f>'Bütçe aylık-TL'!$J$163</f>
        <v/>
      </c>
      <c r="AA254" s="7">
        <f>'gerç aylık-tl'!$J$162</f>
        <v/>
      </c>
      <c r="AB254" s="7" t="n"/>
      <c r="AC254" s="7">
        <f>'Bütçe aylık-TL'!$K$163</f>
        <v/>
      </c>
      <c r="AD254" s="7">
        <f>'gerç aylık-tl'!$K$162</f>
        <v/>
      </c>
      <c r="AE254" s="7" t="n"/>
      <c r="AF254" s="7">
        <f>'Bütçe aylık-TL'!$L$163</f>
        <v/>
      </c>
      <c r="AG254" s="7">
        <f>'gerç aylık-tl'!$L$162</f>
        <v/>
      </c>
      <c r="AH254" s="7" t="n"/>
      <c r="AI254" s="7">
        <f>'Bütçe aylık-TL'!$M$163</f>
        <v/>
      </c>
      <c r="AJ254" s="7">
        <f>'gerç aylık-tl'!$M$162</f>
        <v/>
      </c>
      <c r="AK254" s="7" t="n"/>
      <c r="AL254" s="21">
        <f>AP254-AO254</f>
        <v/>
      </c>
      <c r="AM254" s="22">
        <f>AP254/AO254-1</f>
        <v/>
      </c>
      <c r="AO254" s="44">
        <f>IF($A$1=$B$1,B254,IF($A$1=$E$1,E254,IF($A$1=$H$1,H254,IF($A$1=$K$1,K254,IF($A$1=$N$1,N254,IF($A$1=$Q$1,Q254,IF($A$1=$T$1,T254,IF($A$1=$W$1,W254,IF($A$1=$Z$1,Z254,IF($A$1=$AC$1,AC254,IF($A$1=$AF$1,AF254,IF($A$1=$AI$1,AI254))))))))))))</f>
        <v/>
      </c>
      <c r="AP254" s="44">
        <f>IF($A$1=$B$1,C254,IF($A$1=$E$1,F254,IF($A$1=$H$1,I254,IF($A$1=$K$1,L254,IF($A$1=$N$1,O254,IF($A$1=$Q$1,R254,IF($A$1=$T$1,U254,IF($A$1=$W$1,X254,IF($A$1=$Z$1,AA254,IF($A$1=$AC$1,AD254,IF($A$1=$AF$1,AG254,IF($A$1=$AI$1,AJ254))))))))))))</f>
        <v/>
      </c>
    </row>
    <row r="255" ht="15.5" customHeight="1">
      <c r="A255" s="26" t="inlineStr">
        <is>
          <t>İnci GS Yuasa</t>
        </is>
      </c>
      <c r="B255" s="7">
        <f>'Bütçe aylık-TL'!$B$164</f>
        <v/>
      </c>
      <c r="C255" s="7">
        <f>'gerç aylık-tl'!$B$163</f>
        <v/>
      </c>
      <c r="D255" s="7" t="n"/>
      <c r="E255" s="7">
        <f>'Bütçe aylık-TL'!$C$164</f>
        <v/>
      </c>
      <c r="F255" s="7">
        <f>'gerç aylık-tl'!$C$163</f>
        <v/>
      </c>
      <c r="G255" s="7" t="n"/>
      <c r="H255" s="7">
        <f>'Bütçe aylık-TL'!$D$164</f>
        <v/>
      </c>
      <c r="I255" s="7">
        <f>'gerç aylık-tl'!$D$163</f>
        <v/>
      </c>
      <c r="J255" s="7" t="n"/>
      <c r="K255" s="7">
        <f>'Bütçe aylık-TL'!$E$164</f>
        <v/>
      </c>
      <c r="L255" s="7">
        <f>'gerç aylık-tl'!$E$163</f>
        <v/>
      </c>
      <c r="M255" s="7" t="n"/>
      <c r="N255" s="7">
        <f>'Bütçe aylık-TL'!$F$164</f>
        <v/>
      </c>
      <c r="O255" s="7">
        <f>'gerç aylık-tl'!$F$163</f>
        <v/>
      </c>
      <c r="P255" s="7" t="n"/>
      <c r="Q255" s="7">
        <f>'Bütçe aylık-TL'!$G$164</f>
        <v/>
      </c>
      <c r="R255" s="7">
        <f>'gerç aylık-tl'!$G$163</f>
        <v/>
      </c>
      <c r="S255" s="7" t="n"/>
      <c r="T255" s="7">
        <f>'Bütçe aylık-TL'!$H$164</f>
        <v/>
      </c>
      <c r="U255" s="7">
        <f>'gerç aylık-tl'!$H$163</f>
        <v/>
      </c>
      <c r="V255" s="7" t="n"/>
      <c r="W255" s="7">
        <f>'Bütçe aylık-TL'!$I$164</f>
        <v/>
      </c>
      <c r="X255" s="7">
        <f>'gerç aylık-tl'!$I$163</f>
        <v/>
      </c>
      <c r="Y255" s="7" t="n"/>
      <c r="Z255" s="7">
        <f>'Bütçe aylık-TL'!$J$164</f>
        <v/>
      </c>
      <c r="AA255" s="7">
        <f>'gerç aylık-tl'!$J$163</f>
        <v/>
      </c>
      <c r="AB255" s="7" t="n"/>
      <c r="AC255" s="7">
        <f>'Bütçe aylık-TL'!$K$164</f>
        <v/>
      </c>
      <c r="AD255" s="7">
        <f>'gerç aylık-tl'!$K$163</f>
        <v/>
      </c>
      <c r="AE255" s="7" t="n"/>
      <c r="AF255" s="7">
        <f>'Bütçe aylık-TL'!$L$164</f>
        <v/>
      </c>
      <c r="AG255" s="7">
        <f>'gerç aylık-tl'!$L$163</f>
        <v/>
      </c>
      <c r="AH255" s="7" t="n"/>
      <c r="AI255" s="7">
        <f>'Bütçe aylık-TL'!$M$164</f>
        <v/>
      </c>
      <c r="AJ255" s="7">
        <f>'gerç aylık-tl'!$M$163</f>
        <v/>
      </c>
      <c r="AK255" s="7" t="n"/>
      <c r="AL255" s="21">
        <f>AP255-AO255</f>
        <v/>
      </c>
      <c r="AM255" s="22">
        <f>AP255/AO255-1</f>
        <v/>
      </c>
      <c r="AO255" s="44">
        <f>IF($A$1=$B$1,B255,IF($A$1=$E$1,E255,IF($A$1=$H$1,H255,IF($A$1=$K$1,K255,IF($A$1=$N$1,N255,IF($A$1=$Q$1,Q255,IF($A$1=$T$1,T255,IF($A$1=$W$1,W255,IF($A$1=$Z$1,Z255,IF($A$1=$AC$1,AC255,IF($A$1=$AF$1,AF255,IF($A$1=$AI$1,AI255))))))))))))</f>
        <v/>
      </c>
      <c r="AP255" s="44">
        <f>IF($A$1=$B$1,C255,IF($A$1=$E$1,F255,IF($A$1=$H$1,I255,IF($A$1=$K$1,L255,IF($A$1=$N$1,O255,IF($A$1=$Q$1,R255,IF($A$1=$T$1,U255,IF($A$1=$W$1,X255,IF($A$1=$Z$1,AA255,IF($A$1=$AC$1,AD255,IF($A$1=$AF$1,AG255,IF($A$1=$AI$1,AJ255))))))))))))</f>
        <v/>
      </c>
    </row>
    <row r="256" ht="15.5" customFormat="1" customHeight="1" s="1">
      <c r="A256" s="26" t="inlineStr">
        <is>
          <t>Yusen İnci Loj.</t>
        </is>
      </c>
      <c r="B256" s="7">
        <f>'Bütçe aylık-TL'!$B$165</f>
        <v/>
      </c>
      <c r="C256" s="7">
        <f>'gerç aylık-tl'!$B$164</f>
        <v/>
      </c>
      <c r="D256" s="8" t="n"/>
      <c r="E256" s="7">
        <f>'Bütçe aylık-TL'!$C$165</f>
        <v/>
      </c>
      <c r="F256" s="7">
        <f>'gerç aylık-tl'!$C$164</f>
        <v/>
      </c>
      <c r="G256" s="8" t="n"/>
      <c r="H256" s="7">
        <f>'Bütçe aylık-TL'!$D$165</f>
        <v/>
      </c>
      <c r="I256" s="7">
        <f>'gerç aylık-tl'!$D$164</f>
        <v/>
      </c>
      <c r="J256" s="8" t="n"/>
      <c r="K256" s="7">
        <f>'Bütçe aylık-TL'!$E$165</f>
        <v/>
      </c>
      <c r="L256" s="7">
        <f>'gerç aylık-tl'!$E$164</f>
        <v/>
      </c>
      <c r="M256" s="8" t="n"/>
      <c r="N256" s="7">
        <f>'Bütçe aylık-TL'!$F$165</f>
        <v/>
      </c>
      <c r="O256" s="7">
        <f>'gerç aylık-tl'!$F$164</f>
        <v/>
      </c>
      <c r="P256" s="8" t="n"/>
      <c r="Q256" s="7">
        <f>'Bütçe aylık-TL'!$G$165</f>
        <v/>
      </c>
      <c r="R256" s="7">
        <f>'gerç aylık-tl'!$G$164</f>
        <v/>
      </c>
      <c r="S256" s="8" t="n"/>
      <c r="T256" s="7">
        <f>'Bütçe aylık-TL'!$H$165</f>
        <v/>
      </c>
      <c r="U256" s="7">
        <f>'gerç aylık-tl'!$H$164</f>
        <v/>
      </c>
      <c r="V256" s="8" t="n"/>
      <c r="W256" s="7">
        <f>'Bütçe aylık-TL'!$I$165</f>
        <v/>
      </c>
      <c r="X256" s="7">
        <f>'gerç aylık-tl'!$I$164</f>
        <v/>
      </c>
      <c r="Y256" s="8" t="n"/>
      <c r="Z256" s="7">
        <f>'Bütçe aylık-TL'!$J$165</f>
        <v/>
      </c>
      <c r="AA256" s="7">
        <f>'gerç aylık-tl'!$J$164</f>
        <v/>
      </c>
      <c r="AB256" s="8" t="n"/>
      <c r="AC256" s="7">
        <f>'Bütçe aylık-TL'!$K$165</f>
        <v/>
      </c>
      <c r="AD256" s="7">
        <f>'gerç aylık-tl'!$K$164</f>
        <v/>
      </c>
      <c r="AE256" s="8" t="n"/>
      <c r="AF256" s="7">
        <f>'Bütçe aylık-TL'!$L$165</f>
        <v/>
      </c>
      <c r="AG256" s="7">
        <f>'gerç aylık-tl'!$L$164</f>
        <v/>
      </c>
      <c r="AH256" s="8" t="n"/>
      <c r="AI256" s="7">
        <f>'Bütçe aylık-TL'!$M$165</f>
        <v/>
      </c>
      <c r="AJ256" s="7">
        <f>'gerç aylık-tl'!$M$164</f>
        <v/>
      </c>
      <c r="AK256" s="8" t="n"/>
      <c r="AL256" s="21">
        <f>AP256-AO256</f>
        <v/>
      </c>
      <c r="AM256" s="22">
        <f>AP256/AO256-1</f>
        <v/>
      </c>
      <c r="AO256" s="44">
        <f>IF($A$1=$B$1,B256,IF($A$1=$E$1,E256,IF($A$1=$H$1,H256,IF($A$1=$K$1,K256,IF($A$1=$N$1,N256,IF($A$1=$Q$1,Q256,IF($A$1=$T$1,T256,IF($A$1=$W$1,W256,IF($A$1=$Z$1,Z256,IF($A$1=$AC$1,AC256,IF($A$1=$AF$1,AF256,IF($A$1=$AI$1,AI256))))))))))))</f>
        <v/>
      </c>
      <c r="AP256" s="44">
        <f>IF($A$1=$B$1,C256,IF($A$1=$E$1,F256,IF($A$1=$H$1,I256,IF($A$1=$K$1,L256,IF($A$1=$N$1,O256,IF($A$1=$Q$1,R256,IF($A$1=$T$1,U256,IF($A$1=$W$1,X256,IF($A$1=$Z$1,AA256,IF($A$1=$AC$1,AD256,IF($A$1=$AF$1,AG256,IF($A$1=$AI$1,AJ256))))))))))))</f>
        <v/>
      </c>
    </row>
    <row r="257" ht="15.5" customHeight="1">
      <c r="A257" s="26" t="inlineStr">
        <is>
          <t>Jantaş</t>
        </is>
      </c>
      <c r="B257" s="7">
        <f>'Bütçe aylık-TL'!$B$166</f>
        <v/>
      </c>
      <c r="C257" s="7">
        <f>'gerç aylık-tl'!$B$165</f>
        <v/>
      </c>
      <c r="D257" s="7" t="n"/>
      <c r="E257" s="7">
        <f>'Bütçe aylık-TL'!$C$166</f>
        <v/>
      </c>
      <c r="F257" s="7">
        <f>'gerç aylık-tl'!$C$165</f>
        <v/>
      </c>
      <c r="G257" s="7" t="n"/>
      <c r="H257" s="7">
        <f>'Bütçe aylık-TL'!$D$166</f>
        <v/>
      </c>
      <c r="I257" s="7">
        <f>'gerç aylık-tl'!$D$165</f>
        <v/>
      </c>
      <c r="J257" s="7" t="n"/>
      <c r="K257" s="7">
        <f>'Bütçe aylık-TL'!$E$166</f>
        <v/>
      </c>
      <c r="L257" s="7">
        <f>'gerç aylık-tl'!$E$165</f>
        <v/>
      </c>
      <c r="M257" s="7" t="n"/>
      <c r="N257" s="7">
        <f>'Bütçe aylık-TL'!$F$166</f>
        <v/>
      </c>
      <c r="O257" s="7">
        <f>'gerç aylık-tl'!$F$165</f>
        <v/>
      </c>
      <c r="P257" s="7" t="n"/>
      <c r="Q257" s="7">
        <f>'Bütçe aylık-TL'!$G$166</f>
        <v/>
      </c>
      <c r="R257" s="7">
        <f>'gerç aylık-tl'!$G$165</f>
        <v/>
      </c>
      <c r="S257" s="7" t="n"/>
      <c r="T257" s="7">
        <f>'Bütçe aylık-TL'!$H$166</f>
        <v/>
      </c>
      <c r="U257" s="7">
        <f>'gerç aylık-tl'!$H$165</f>
        <v/>
      </c>
      <c r="V257" s="7" t="n"/>
      <c r="W257" s="7">
        <f>'Bütçe aylık-TL'!$I$166</f>
        <v/>
      </c>
      <c r="X257" s="7">
        <f>'gerç aylık-tl'!$I$165</f>
        <v/>
      </c>
      <c r="Y257" s="7" t="n"/>
      <c r="Z257" s="7">
        <f>'Bütçe aylık-TL'!$J$166</f>
        <v/>
      </c>
      <c r="AA257" s="7">
        <f>'gerç aylık-tl'!$J$165</f>
        <v/>
      </c>
      <c r="AB257" s="7" t="n"/>
      <c r="AC257" s="7">
        <f>'Bütçe aylık-TL'!$K$166</f>
        <v/>
      </c>
      <c r="AD257" s="7">
        <f>'gerç aylık-tl'!$K$165</f>
        <v/>
      </c>
      <c r="AE257" s="7" t="n"/>
      <c r="AF257" s="7">
        <f>'Bütçe aylık-TL'!$L$166</f>
        <v/>
      </c>
      <c r="AG257" s="7">
        <f>'gerç aylık-tl'!$L$165</f>
        <v/>
      </c>
      <c r="AH257" s="7" t="n"/>
      <c r="AI257" s="7">
        <f>'Bütçe aylık-TL'!$M$166</f>
        <v/>
      </c>
      <c r="AJ257" s="7">
        <f>'gerç aylık-tl'!$M$165</f>
        <v/>
      </c>
      <c r="AK257" s="7" t="n"/>
      <c r="AL257" s="21">
        <f>AP257-AO257</f>
        <v/>
      </c>
      <c r="AM257" s="22">
        <f>AP257/AO257-1</f>
        <v/>
      </c>
      <c r="AO257" s="44">
        <f>IF($A$1=$B$1,B257,IF($A$1=$E$1,E257,IF($A$1=$H$1,H257,IF($A$1=$K$1,K257,IF($A$1=$N$1,N257,IF($A$1=$Q$1,Q257,IF($A$1=$T$1,T257,IF($A$1=$W$1,W257,IF($A$1=$Z$1,Z257,IF($A$1=$AC$1,AC257,IF($A$1=$AF$1,AF257,IF($A$1=$AI$1,AI257))))))))))))</f>
        <v/>
      </c>
      <c r="AP257" s="44">
        <f>IF($A$1=$B$1,C257,IF($A$1=$E$1,F257,IF($A$1=$H$1,I257,IF($A$1=$K$1,L257,IF($A$1=$N$1,O257,IF($A$1=$Q$1,R257,IF($A$1=$T$1,U257,IF($A$1=$W$1,X257,IF($A$1=$Z$1,AA257,IF($A$1=$AC$1,AD257,IF($A$1=$AF$1,AG257,IF($A$1=$AI$1,AJ257))))))))))))</f>
        <v/>
      </c>
    </row>
    <row r="258" ht="15.5" customFormat="1" customHeight="1" s="1">
      <c r="A258" s="26" t="inlineStr">
        <is>
          <t>Çelik</t>
        </is>
      </c>
      <c r="B258" s="7">
        <f>'Bütçe aylık-TL'!$B$167</f>
        <v/>
      </c>
      <c r="C258" s="7">
        <f>'gerç aylık-tl'!$B$166</f>
        <v/>
      </c>
      <c r="D258" s="8" t="n"/>
      <c r="E258" s="7">
        <f>'Bütçe aylık-TL'!$C$167</f>
        <v/>
      </c>
      <c r="F258" s="7">
        <f>'gerç aylık-tl'!$C$166</f>
        <v/>
      </c>
      <c r="G258" s="8" t="n"/>
      <c r="H258" s="7">
        <f>'Bütçe aylık-TL'!$D$167</f>
        <v/>
      </c>
      <c r="I258" s="7">
        <f>'gerç aylık-tl'!$D$166</f>
        <v/>
      </c>
      <c r="J258" s="8" t="n"/>
      <c r="K258" s="7">
        <f>'Bütçe aylık-TL'!$E$167</f>
        <v/>
      </c>
      <c r="L258" s="7">
        <f>'gerç aylık-tl'!$E$166</f>
        <v/>
      </c>
      <c r="M258" s="8" t="n"/>
      <c r="N258" s="7">
        <f>'Bütçe aylık-TL'!$F$167</f>
        <v/>
      </c>
      <c r="O258" s="7">
        <f>'gerç aylık-tl'!$F$166</f>
        <v/>
      </c>
      <c r="P258" s="8" t="n"/>
      <c r="Q258" s="7">
        <f>'Bütçe aylık-TL'!$G$167</f>
        <v/>
      </c>
      <c r="R258" s="7">
        <f>'gerç aylık-tl'!$G$166</f>
        <v/>
      </c>
      <c r="S258" s="8" t="n"/>
      <c r="T258" s="7">
        <f>'Bütçe aylık-TL'!$H$167</f>
        <v/>
      </c>
      <c r="U258" s="7">
        <f>'gerç aylık-tl'!$H$166</f>
        <v/>
      </c>
      <c r="V258" s="8" t="n"/>
      <c r="W258" s="7">
        <f>'Bütçe aylık-TL'!$I$167</f>
        <v/>
      </c>
      <c r="X258" s="7">
        <f>'gerç aylık-tl'!$I$166</f>
        <v/>
      </c>
      <c r="Y258" s="8" t="n"/>
      <c r="Z258" s="7">
        <f>'Bütçe aylık-TL'!$J$167</f>
        <v/>
      </c>
      <c r="AA258" s="7">
        <f>'gerç aylık-tl'!$J$166</f>
        <v/>
      </c>
      <c r="AB258" s="8" t="n"/>
      <c r="AC258" s="7">
        <f>'Bütçe aylık-TL'!$K$167</f>
        <v/>
      </c>
      <c r="AD258" s="7">
        <f>'gerç aylık-tl'!$K$166</f>
        <v/>
      </c>
      <c r="AE258" s="8" t="n"/>
      <c r="AF258" s="7">
        <f>'Bütçe aylık-TL'!$L$167</f>
        <v/>
      </c>
      <c r="AG258" s="7">
        <f>'gerç aylık-tl'!$L$166</f>
        <v/>
      </c>
      <c r="AH258" s="8" t="n"/>
      <c r="AI258" s="7">
        <f>'Bütçe aylık-TL'!$M$167</f>
        <v/>
      </c>
      <c r="AJ258" s="7">
        <f>'gerç aylık-tl'!$M$166</f>
        <v/>
      </c>
      <c r="AK258" s="8" t="n"/>
      <c r="AL258" s="21">
        <f>AP258-AO258</f>
        <v/>
      </c>
      <c r="AM258" s="22">
        <f>AP258/AO258-1</f>
        <v/>
      </c>
      <c r="AO258" s="44">
        <f>IF($A$1=$B$1,B258,IF($A$1=$E$1,E258,IF($A$1=$H$1,H258,IF($A$1=$K$1,K258,IF($A$1=$N$1,N258,IF($A$1=$Q$1,Q258,IF($A$1=$T$1,T258,IF($A$1=$W$1,W258,IF($A$1=$Z$1,Z258,IF($A$1=$AC$1,AC258,IF($A$1=$AF$1,AF258,IF($A$1=$AI$1,AI258))))))))))))</f>
        <v/>
      </c>
      <c r="AP258" s="44">
        <f>IF($A$1=$B$1,C258,IF($A$1=$E$1,F258,IF($A$1=$H$1,I258,IF($A$1=$K$1,L258,IF($A$1=$N$1,O258,IF($A$1=$Q$1,R258,IF($A$1=$T$1,U258,IF($A$1=$W$1,X258,IF($A$1=$Z$1,AA258,IF($A$1=$AC$1,AD258,IF($A$1=$AF$1,AG258,IF($A$1=$AI$1,AJ258))))))))))))</f>
        <v/>
      </c>
    </row>
    <row r="259" ht="15.5" customFormat="1" customHeight="1" s="1">
      <c r="A259" s="26" t="inlineStr">
        <is>
          <t>Alüminyum</t>
        </is>
      </c>
      <c r="B259" s="7">
        <f>'Bütçe aylık-TL'!$B$168</f>
        <v/>
      </c>
      <c r="C259" s="7">
        <f>'gerç aylık-tl'!$B$167</f>
        <v/>
      </c>
      <c r="D259" s="8" t="n"/>
      <c r="E259" s="7">
        <f>'Bütçe aylık-TL'!$C$168</f>
        <v/>
      </c>
      <c r="F259" s="7">
        <f>'gerç aylık-tl'!$C$167</f>
        <v/>
      </c>
      <c r="G259" s="8" t="n"/>
      <c r="H259" s="7">
        <f>'Bütçe aylık-TL'!$D$168</f>
        <v/>
      </c>
      <c r="I259" s="7">
        <f>'gerç aylık-tl'!$D$167</f>
        <v/>
      </c>
      <c r="J259" s="8" t="n"/>
      <c r="K259" s="7">
        <f>'Bütçe aylık-TL'!$E$168</f>
        <v/>
      </c>
      <c r="L259" s="7">
        <f>'gerç aylık-tl'!$E$167</f>
        <v/>
      </c>
      <c r="M259" s="8" t="n"/>
      <c r="N259" s="7">
        <f>'Bütçe aylık-TL'!$F$168</f>
        <v/>
      </c>
      <c r="O259" s="7">
        <f>'gerç aylık-tl'!$F$167</f>
        <v/>
      </c>
      <c r="P259" s="8" t="n"/>
      <c r="Q259" s="7">
        <f>'Bütçe aylık-TL'!$G$168</f>
        <v/>
      </c>
      <c r="R259" s="7">
        <f>'gerç aylık-tl'!$G$167</f>
        <v/>
      </c>
      <c r="S259" s="8" t="n"/>
      <c r="T259" s="7">
        <f>'Bütçe aylık-TL'!$H$168</f>
        <v/>
      </c>
      <c r="U259" s="7">
        <f>'gerç aylık-tl'!$H$167</f>
        <v/>
      </c>
      <c r="V259" s="8" t="n"/>
      <c r="W259" s="7">
        <f>'Bütçe aylık-TL'!$I$168</f>
        <v/>
      </c>
      <c r="X259" s="7">
        <f>'gerç aylık-tl'!$I$167</f>
        <v/>
      </c>
      <c r="Y259" s="8" t="n"/>
      <c r="Z259" s="7">
        <f>'Bütçe aylık-TL'!$J$168</f>
        <v/>
      </c>
      <c r="AA259" s="7">
        <f>'gerç aylık-tl'!$J$167</f>
        <v/>
      </c>
      <c r="AB259" s="8" t="n"/>
      <c r="AC259" s="7">
        <f>'Bütçe aylık-TL'!$K$168</f>
        <v/>
      </c>
      <c r="AD259" s="7">
        <f>'gerç aylık-tl'!$K$167</f>
        <v/>
      </c>
      <c r="AE259" s="8" t="n"/>
      <c r="AF259" s="7">
        <f>'Bütçe aylık-TL'!$L$168</f>
        <v/>
      </c>
      <c r="AG259" s="7">
        <f>'gerç aylık-tl'!$L$167</f>
        <v/>
      </c>
      <c r="AH259" s="8" t="n"/>
      <c r="AI259" s="7">
        <f>'Bütçe aylık-TL'!$M$168</f>
        <v/>
      </c>
      <c r="AJ259" s="7">
        <f>'gerç aylık-tl'!$M$167</f>
        <v/>
      </c>
      <c r="AK259" s="8" t="n"/>
      <c r="AL259" s="21">
        <f>AP259-AO259</f>
        <v/>
      </c>
      <c r="AM259" s="22">
        <f>AP259/AO259-1</f>
        <v/>
      </c>
      <c r="AO259" s="44">
        <f>IF($A$1=$B$1,B259,IF($A$1=$E$1,E259,IF($A$1=$H$1,H259,IF($A$1=$K$1,K259,IF($A$1=$N$1,N259,IF($A$1=$Q$1,Q259,IF($A$1=$T$1,T259,IF($A$1=$W$1,W259,IF($A$1=$Z$1,Z259,IF($A$1=$AC$1,AC259,IF($A$1=$AF$1,AF259,IF($A$1=$AI$1,AI259))))))))))))</f>
        <v/>
      </c>
      <c r="AP259" s="44">
        <f>IF($A$1=$B$1,C259,IF($A$1=$E$1,F259,IF($A$1=$H$1,I259,IF($A$1=$K$1,L259,IF($A$1=$N$1,O259,IF($A$1=$Q$1,R259,IF($A$1=$T$1,U259,IF($A$1=$W$1,X259,IF($A$1=$Z$1,AA259,IF($A$1=$AC$1,AD259,IF($A$1=$AF$1,AG259,IF($A$1=$AI$1,AJ259))))))))))))</f>
        <v/>
      </c>
    </row>
    <row r="260" ht="15.5" customFormat="1" customHeight="1" s="1">
      <c r="A260" s="26" t="n"/>
      <c r="B260" s="7" t="n"/>
      <c r="C260" s="8" t="n"/>
      <c r="D260" s="8" t="n"/>
      <c r="E260" s="7" t="n"/>
      <c r="F260" s="8" t="n"/>
      <c r="G260" s="8" t="n"/>
      <c r="H260" s="7" t="n"/>
      <c r="I260" s="8" t="n"/>
      <c r="J260" s="8" t="n"/>
      <c r="K260" s="7" t="n"/>
      <c r="L260" s="8" t="n"/>
      <c r="M260" s="8" t="n"/>
      <c r="N260" s="7" t="n"/>
      <c r="O260" s="8" t="n"/>
      <c r="P260" s="8" t="n"/>
      <c r="Q260" s="7" t="n"/>
      <c r="R260" s="8" t="n"/>
      <c r="S260" s="8" t="n"/>
      <c r="T260" s="7" t="n"/>
      <c r="U260" s="8" t="n"/>
      <c r="V260" s="8" t="n"/>
      <c r="W260" s="7" t="n"/>
      <c r="X260" s="8" t="n"/>
      <c r="Y260" s="8" t="n"/>
      <c r="Z260" s="7" t="n"/>
      <c r="AA260" s="8" t="n"/>
      <c r="AB260" s="8" t="n"/>
      <c r="AC260" s="7" t="n"/>
      <c r="AD260" s="8" t="n"/>
      <c r="AE260" s="8" t="n"/>
      <c r="AF260" s="7" t="n"/>
      <c r="AG260" s="8" t="n"/>
      <c r="AH260" s="8" t="n"/>
      <c r="AI260" s="7" t="n"/>
      <c r="AJ260" s="8" t="n"/>
      <c r="AK260" s="8" t="n"/>
      <c r="AL260" s="15" t="n"/>
      <c r="AM260" s="16" t="n"/>
      <c r="AO260" s="44" t="n"/>
      <c r="AP260" s="44" t="n"/>
    </row>
    <row r="261" ht="15.5" customFormat="1" customHeight="1" s="1">
      <c r="A261" s="26" t="n"/>
      <c r="B261" s="7" t="n"/>
      <c r="C261" s="8" t="n"/>
      <c r="D261" s="8" t="n"/>
      <c r="E261" s="7" t="n"/>
      <c r="F261" s="8" t="n"/>
      <c r="G261" s="8" t="n"/>
      <c r="H261" s="7" t="n"/>
      <c r="I261" s="8" t="n"/>
      <c r="J261" s="8" t="n"/>
      <c r="K261" s="7" t="n"/>
      <c r="L261" s="8" t="n"/>
      <c r="M261" s="8" t="n"/>
      <c r="N261" s="7" t="n"/>
      <c r="O261" s="8" t="n"/>
      <c r="P261" s="8" t="n"/>
      <c r="Q261" s="7" t="n"/>
      <c r="R261" s="8" t="n"/>
      <c r="S261" s="8" t="n"/>
      <c r="T261" s="7" t="n"/>
      <c r="U261" s="8" t="n"/>
      <c r="V261" s="8" t="n"/>
      <c r="W261" s="7" t="n"/>
      <c r="X261" s="8" t="n"/>
      <c r="Y261" s="8" t="n"/>
      <c r="Z261" s="7" t="n"/>
      <c r="AA261" s="8" t="n"/>
      <c r="AB261" s="8" t="n"/>
      <c r="AC261" s="7" t="n"/>
      <c r="AD261" s="8" t="n"/>
      <c r="AE261" s="8" t="n"/>
      <c r="AF261" s="7" t="n"/>
      <c r="AG261" s="8" t="n"/>
      <c r="AH261" s="8" t="n"/>
      <c r="AI261" s="7" t="n"/>
      <c r="AJ261" s="8" t="n"/>
      <c r="AK261" s="8" t="n"/>
      <c r="AL261" s="15" t="n"/>
      <c r="AM261" s="16" t="n"/>
      <c r="AO261" s="44" t="n"/>
      <c r="AP261" s="44" t="n"/>
    </row>
    <row r="262" ht="15.5" customFormat="1" customHeight="1" s="44">
      <c r="A262" s="31" t="inlineStr">
        <is>
          <t>Net Nakit (Borç)</t>
        </is>
      </c>
      <c r="B262" s="32">
        <f>B249-B236</f>
        <v/>
      </c>
      <c r="C262" s="32">
        <f>C249-C236</f>
        <v/>
      </c>
      <c r="D262" s="18" t="n"/>
      <c r="E262" s="32">
        <f>E249-E236</f>
        <v/>
      </c>
      <c r="F262" s="32">
        <f>F249-F236</f>
        <v/>
      </c>
      <c r="G262" s="18" t="n"/>
      <c r="H262" s="32">
        <f>H249-H236</f>
        <v/>
      </c>
      <c r="I262" s="32">
        <f>I249-I236</f>
        <v/>
      </c>
      <c r="J262" s="18" t="n"/>
      <c r="K262" s="32">
        <f>K249-K236</f>
        <v/>
      </c>
      <c r="L262" s="32">
        <f>L249-L236</f>
        <v/>
      </c>
      <c r="M262" s="7" t="n"/>
      <c r="N262" s="32">
        <f>N249-N236</f>
        <v/>
      </c>
      <c r="O262" s="32">
        <f>O249-O236</f>
        <v/>
      </c>
      <c r="P262" s="18" t="n"/>
      <c r="Q262" s="32">
        <f>Q249-Q236</f>
        <v/>
      </c>
      <c r="R262" s="32">
        <f>R249-R236</f>
        <v/>
      </c>
      <c r="S262" s="18" t="n"/>
      <c r="T262" s="32">
        <f>T249-T236</f>
        <v/>
      </c>
      <c r="U262" s="32">
        <f>U249-U236</f>
        <v/>
      </c>
      <c r="V262" s="18" t="n"/>
      <c r="W262" s="32">
        <f>W249-W236</f>
        <v/>
      </c>
      <c r="X262" s="32">
        <f>X249-X236</f>
        <v/>
      </c>
      <c r="Y262" s="18" t="n"/>
      <c r="Z262" s="32">
        <f>Z249-Z236</f>
        <v/>
      </c>
      <c r="AA262" s="32">
        <f>AA249-AA236</f>
        <v/>
      </c>
      <c r="AB262" s="18" t="n"/>
      <c r="AC262" s="32">
        <f>AC249-AC236</f>
        <v/>
      </c>
      <c r="AD262" s="32">
        <f>AD249-AD236</f>
        <v/>
      </c>
      <c r="AE262" s="18" t="n"/>
      <c r="AF262" s="32">
        <f>AF249-AF236</f>
        <v/>
      </c>
      <c r="AG262" s="32">
        <f>AG249-AG236</f>
        <v/>
      </c>
      <c r="AH262" s="18" t="n"/>
      <c r="AI262" s="32">
        <f>AI249-AI236</f>
        <v/>
      </c>
      <c r="AJ262" s="32">
        <f>AJ249-AJ236</f>
        <v/>
      </c>
      <c r="AK262" s="18" t="n"/>
      <c r="AL262" s="33">
        <f>AP262-AO262</f>
        <v/>
      </c>
      <c r="AM262" s="34">
        <f>AP262/AO262-1</f>
        <v/>
      </c>
      <c r="AO262" s="44">
        <f>IF($A$1=$B$1,B262,IF($A$1=$E$1,E262,IF($A$1=$H$1,H262,IF($A$1=$K$1,K262,IF($A$1=$N$1,N262,IF($A$1=$Q$1,Q262,IF($A$1=$T$1,T262,IF($A$1=$W$1,W262,IF($A$1=$Z$1,Z262,IF($A$1=$AC$1,AC262,IF($A$1=$AF$1,AF262,IF($A$1=$AI$1,AI262))))))))))))</f>
        <v/>
      </c>
      <c r="AP262" s="44">
        <f>IF($A$1=$B$1,C262,IF($A$1=$E$1,F262,IF($A$1=$H$1,I262,IF($A$1=$K$1,L262,IF($A$1=$N$1,O262,IF($A$1=$Q$1,R262,IF($A$1=$T$1,U262,IF($A$1=$W$1,X262,IF($A$1=$Z$1,AA262,IF($A$1=$AC$1,AD262,IF($A$1=$AF$1,AG262,IF($A$1=$AI$1,AJ262))))))))))))</f>
        <v/>
      </c>
    </row>
    <row r="263" ht="15.5" customFormat="1" customHeight="1" s="13">
      <c r="A263" s="27" t="n"/>
      <c r="B263" s="30" t="n"/>
      <c r="C263" s="30">
        <f>IFERROR((C220/#REF!),"")</f>
        <v/>
      </c>
      <c r="D263" s="41" t="n"/>
      <c r="E263" s="30" t="n"/>
      <c r="F263" s="30">
        <f>IFERROR((F220/#REF!),"")</f>
        <v/>
      </c>
      <c r="G263" s="41" t="n"/>
      <c r="H263" s="30" t="n"/>
      <c r="I263" s="30">
        <f>IFERROR((I220/#REF!),"")</f>
        <v/>
      </c>
      <c r="J263" s="41" t="n"/>
      <c r="K263" s="30" t="n"/>
      <c r="L263" s="30">
        <f>IFERROR((L220/#REF!),"")</f>
        <v/>
      </c>
      <c r="M263" s="41" t="n"/>
      <c r="N263" s="30" t="n"/>
      <c r="O263" s="30">
        <f>IFERROR((O220/#REF!),"")</f>
        <v/>
      </c>
      <c r="P263" s="41" t="n"/>
      <c r="Q263" s="30" t="n"/>
      <c r="R263" s="30">
        <f>IFERROR((R220/#REF!),"")</f>
        <v/>
      </c>
      <c r="S263" s="41" t="n"/>
      <c r="T263" s="30" t="n"/>
      <c r="U263" s="30">
        <f>IFERROR((U220/#REF!),"")</f>
        <v/>
      </c>
      <c r="V263" s="41" t="n"/>
      <c r="W263" s="30" t="n"/>
      <c r="X263" s="30">
        <f>IFERROR((X220/#REF!),"")</f>
        <v/>
      </c>
      <c r="Y263" s="41" t="n"/>
      <c r="Z263" s="30" t="n"/>
      <c r="AA263" s="30">
        <f>IFERROR((AA220/#REF!),"")</f>
        <v/>
      </c>
      <c r="AB263" s="41" t="n"/>
      <c r="AC263" s="30" t="n"/>
      <c r="AD263" s="30">
        <f>IFERROR((AD220/#REF!),"")</f>
        <v/>
      </c>
      <c r="AE263" s="41" t="n"/>
      <c r="AF263" s="30" t="n"/>
      <c r="AG263" s="30">
        <f>IFERROR((AG220/#REF!),"")</f>
        <v/>
      </c>
      <c r="AH263" s="41" t="n"/>
      <c r="AI263" s="30" t="n"/>
      <c r="AJ263" s="30">
        <f>IFERROR((AJ220/#REF!),"")</f>
        <v/>
      </c>
      <c r="AK263" s="41" t="n"/>
      <c r="AL263" s="15" t="n"/>
      <c r="AM263" s="22" t="n"/>
      <c r="AO263" s="44">
        <f>IF($A$1=$B$1,B263,IF($A$1=$E$1,E263,IF($A$1=$H$1,H263,IF($A$1=$K$1,K263,IF($A$1=$N$1,N263,IF($A$1=$Q$1,Q263,IF($A$1=$T$1,T263,IF($A$1=$W$1,W263,IF($A$1=$Z$1,Z263,IF($A$1=$AC$1,AC263,IF($A$1=$AF$1,AF263,IF($A$1=$AI$1,AI263))))))))))))</f>
        <v/>
      </c>
      <c r="AP263" s="44">
        <f>IF($A$1=$B$1,C263,IF($A$1=$E$1,F263,IF($A$1=$H$1,I263,IF($A$1=$K$1,L263,IF($A$1=$N$1,O263,IF($A$1=$Q$1,R263,IF($A$1=$T$1,U263,IF($A$1=$W$1,X263,IF($A$1=$Z$1,AA263,IF($A$1=$AC$1,AD263,IF($A$1=$AF$1,AG263,IF($A$1=$AI$1,AJ263))))))))))))</f>
        <v/>
      </c>
    </row>
    <row r="264" ht="17" customFormat="1" customHeight="1" s="49">
      <c r="A264" s="47" t="inlineStr">
        <is>
          <t>Net Nakit (Borç) (100%)</t>
        </is>
      </c>
      <c r="B264" s="413" t="n"/>
      <c r="C264" s="413" t="n"/>
      <c r="D264" s="413" t="n"/>
      <c r="E264" s="413" t="n"/>
      <c r="F264" s="413" t="n"/>
      <c r="G264" s="413" t="n"/>
      <c r="H264" s="413" t="n"/>
      <c r="I264" s="413" t="n"/>
      <c r="J264" s="413" t="n"/>
      <c r="K264" s="413" t="n"/>
      <c r="L264" s="413" t="n"/>
      <c r="M264" s="413" t="n"/>
      <c r="N264" s="413" t="n"/>
      <c r="O264" s="413" t="n"/>
      <c r="P264" s="413" t="n"/>
      <c r="Q264" s="413" t="n"/>
      <c r="R264" s="413" t="n"/>
      <c r="S264" s="413" t="n"/>
      <c r="T264" s="413" t="n"/>
      <c r="U264" s="413" t="n"/>
      <c r="V264" s="413" t="n"/>
      <c r="W264" s="413" t="n"/>
      <c r="X264" s="413" t="n"/>
      <c r="Y264" s="413" t="n"/>
      <c r="Z264" s="413" t="n"/>
      <c r="AA264" s="413" t="n"/>
      <c r="AB264" s="413" t="n"/>
      <c r="AC264" s="413" t="n"/>
      <c r="AD264" s="413" t="n"/>
      <c r="AE264" s="413" t="n"/>
      <c r="AF264" s="413" t="n"/>
      <c r="AG264" s="413" t="n"/>
      <c r="AH264" s="413" t="n"/>
      <c r="AI264" s="413" t="n"/>
      <c r="AJ264" s="413" t="n"/>
      <c r="AK264" s="413" t="n"/>
      <c r="AL264" s="413" t="n"/>
      <c r="AM264" s="48" t="n"/>
    </row>
    <row r="265" ht="15.5" customHeight="1">
      <c r="A265" s="26" t="inlineStr">
        <is>
          <t xml:space="preserve">İnci Holding </t>
        </is>
      </c>
      <c r="B265" s="7">
        <f>B252-B239</f>
        <v/>
      </c>
      <c r="C265" s="7">
        <f>C252-C239</f>
        <v/>
      </c>
      <c r="D265" s="7" t="n"/>
      <c r="E265" s="7">
        <f>E252-E239</f>
        <v/>
      </c>
      <c r="F265" s="7">
        <f>F252-F239</f>
        <v/>
      </c>
      <c r="G265" s="7" t="n"/>
      <c r="H265" s="7">
        <f>H252-H239</f>
        <v/>
      </c>
      <c r="I265" s="7">
        <f>I252-I239</f>
        <v/>
      </c>
      <c r="J265" s="7" t="n"/>
      <c r="K265" s="7">
        <f>K252-K239</f>
        <v/>
      </c>
      <c r="L265" s="7">
        <f>L252-L239</f>
        <v/>
      </c>
      <c r="M265" s="7" t="n"/>
      <c r="N265" s="7">
        <f>N252-N239</f>
        <v/>
      </c>
      <c r="O265" s="7">
        <f>O252-O239</f>
        <v/>
      </c>
      <c r="P265" s="7" t="n"/>
      <c r="Q265" s="7">
        <f>Q252-Q239</f>
        <v/>
      </c>
      <c r="R265" s="7">
        <f>R252-R239</f>
        <v/>
      </c>
      <c r="S265" s="7" t="n"/>
      <c r="T265" s="7">
        <f>T252-T239</f>
        <v/>
      </c>
      <c r="U265" s="7">
        <f>U252-U239</f>
        <v/>
      </c>
      <c r="V265" s="7" t="n"/>
      <c r="W265" s="7">
        <f>W252-W239</f>
        <v/>
      </c>
      <c r="X265" s="7">
        <f>X252-X239</f>
        <v/>
      </c>
      <c r="Y265" s="7" t="n"/>
      <c r="Z265" s="7">
        <f>Z252-Z239</f>
        <v/>
      </c>
      <c r="AA265" s="7">
        <f>AA252-AA239</f>
        <v/>
      </c>
      <c r="AB265" s="7" t="n"/>
      <c r="AC265" s="7">
        <f>AC252-AC239</f>
        <v/>
      </c>
      <c r="AD265" s="7">
        <f>AD252-AD239</f>
        <v/>
      </c>
      <c r="AE265" s="7" t="n"/>
      <c r="AF265" s="7">
        <f>AF252-AF239</f>
        <v/>
      </c>
      <c r="AG265" s="7">
        <f>AG252-AG239</f>
        <v/>
      </c>
      <c r="AH265" s="7" t="n"/>
      <c r="AI265" s="7">
        <f>AI252-AI239</f>
        <v/>
      </c>
      <c r="AJ265" s="7">
        <f>AJ252-AJ239</f>
        <v/>
      </c>
      <c r="AK265" s="7" t="n"/>
      <c r="AL265" s="21">
        <f>AP265-AO265</f>
        <v/>
      </c>
      <c r="AM265" s="22">
        <f>AP265/AO265-1</f>
        <v/>
      </c>
      <c r="AO265" s="44">
        <f>IF($A$1=$B$1,B265,IF($A$1=$E$1,E265,IF($A$1=$H$1,H265,IF($A$1=$K$1,K265,IF($A$1=$N$1,N265,IF($A$1=$Q$1,Q265,IF($A$1=$T$1,T265,IF($A$1=$W$1,W265,IF($A$1=$Z$1,Z265,IF($A$1=$AC$1,AC265,IF($A$1=$AF$1,AF265,IF($A$1=$AI$1,AI265))))))))))))</f>
        <v/>
      </c>
      <c r="AP265" s="44">
        <f>IF($A$1=$B$1,C265,IF($A$1=$E$1,F265,IF($A$1=$H$1,I265,IF($A$1=$K$1,L265,IF($A$1=$N$1,O265,IF($A$1=$Q$1,R265,IF($A$1=$T$1,U265,IF($A$1=$W$1,X265,IF($A$1=$Z$1,AA265,IF($A$1=$AC$1,AD265,IF($A$1=$AF$1,AG265,IF($A$1=$AI$1,AJ265))))))))))))</f>
        <v/>
      </c>
    </row>
    <row r="266" ht="15.5" customHeight="1">
      <c r="A266" s="26" t="inlineStr">
        <is>
          <t xml:space="preserve">ISM </t>
        </is>
      </c>
      <c r="B266" s="7">
        <f>B253-B240</f>
        <v/>
      </c>
      <c r="C266" s="7">
        <f>C253-C240</f>
        <v/>
      </c>
      <c r="D266" s="7" t="n"/>
      <c r="E266" s="7">
        <f>E253-E240</f>
        <v/>
      </c>
      <c r="F266" s="7">
        <f>F253-F240</f>
        <v/>
      </c>
      <c r="G266" s="7" t="n"/>
      <c r="H266" s="7">
        <f>H253-H240</f>
        <v/>
      </c>
      <c r="I266" s="7">
        <f>I253-I240</f>
        <v/>
      </c>
      <c r="J266" s="7" t="n"/>
      <c r="K266" s="7">
        <f>K253-K240</f>
        <v/>
      </c>
      <c r="L266" s="7">
        <f>L253-L240</f>
        <v/>
      </c>
      <c r="M266" s="7" t="n"/>
      <c r="N266" s="7">
        <f>N253-N240</f>
        <v/>
      </c>
      <c r="O266" s="7">
        <f>O253-O240</f>
        <v/>
      </c>
      <c r="P266" s="7" t="n"/>
      <c r="Q266" s="7">
        <f>Q253-Q240</f>
        <v/>
      </c>
      <c r="R266" s="7">
        <f>R253-R240</f>
        <v/>
      </c>
      <c r="S266" s="7" t="n"/>
      <c r="T266" s="7">
        <f>T253-T240</f>
        <v/>
      </c>
      <c r="U266" s="7">
        <f>U253-U240</f>
        <v/>
      </c>
      <c r="V266" s="7" t="n"/>
      <c r="W266" s="7">
        <f>W253-W240</f>
        <v/>
      </c>
      <c r="X266" s="7">
        <f>X253-X240</f>
        <v/>
      </c>
      <c r="Y266" s="7" t="n"/>
      <c r="Z266" s="7">
        <f>Z253-Z240</f>
        <v/>
      </c>
      <c r="AA266" s="7">
        <f>AA253-AA240</f>
        <v/>
      </c>
      <c r="AB266" s="7" t="n"/>
      <c r="AC266" s="7">
        <f>AC253-AC240</f>
        <v/>
      </c>
      <c r="AD266" s="7">
        <f>AD253-AD240</f>
        <v/>
      </c>
      <c r="AE266" s="7" t="n"/>
      <c r="AF266" s="7">
        <f>AF253-AF240</f>
        <v/>
      </c>
      <c r="AG266" s="7">
        <f>AG253-AG240</f>
        <v/>
      </c>
      <c r="AH266" s="7" t="n"/>
      <c r="AI266" s="7">
        <f>AI253-AI240</f>
        <v/>
      </c>
      <c r="AJ266" s="7">
        <f>AJ253-AJ240</f>
        <v/>
      </c>
      <c r="AK266" s="7" t="n"/>
      <c r="AL266" s="21">
        <f>AP266-AO266</f>
        <v/>
      </c>
      <c r="AM266" s="22">
        <f>AP266/AO266-1</f>
        <v/>
      </c>
      <c r="AO266" s="44">
        <f>IF($A$1=$B$1,B266,IF($A$1=$E$1,E266,IF($A$1=$H$1,H266,IF($A$1=$K$1,K266,IF($A$1=$N$1,N266,IF($A$1=$Q$1,Q266,IF($A$1=$T$1,T266,IF($A$1=$W$1,W266,IF($A$1=$Z$1,Z266,IF($A$1=$AC$1,AC266,IF($A$1=$AF$1,AF266,IF($A$1=$AI$1,AI266))))))))))))</f>
        <v/>
      </c>
      <c r="AP266" s="44">
        <f>IF($A$1=$B$1,C266,IF($A$1=$E$1,F266,IF($A$1=$H$1,I266,IF($A$1=$K$1,L266,IF($A$1=$N$1,O266,IF($A$1=$Q$1,R266,IF($A$1=$T$1,U266,IF($A$1=$W$1,X266,IF($A$1=$Z$1,AA266,IF($A$1=$AC$1,AD266,IF($A$1=$AF$1,AG266,IF($A$1=$AI$1,AJ266))))))))))))</f>
        <v/>
      </c>
    </row>
    <row r="267" ht="15.5" customHeight="1">
      <c r="A267" s="26" t="inlineStr">
        <is>
          <t>İncitaş</t>
        </is>
      </c>
      <c r="B267" s="7">
        <f>B254-B241</f>
        <v/>
      </c>
      <c r="C267" s="7">
        <f>C254-C241</f>
        <v/>
      </c>
      <c r="D267" s="7" t="n"/>
      <c r="E267" s="7">
        <f>E254-E241</f>
        <v/>
      </c>
      <c r="F267" s="7">
        <f>F254-F241</f>
        <v/>
      </c>
      <c r="G267" s="7" t="n"/>
      <c r="H267" s="7">
        <f>H254-H241</f>
        <v/>
      </c>
      <c r="I267" s="7">
        <f>I254-I241</f>
        <v/>
      </c>
      <c r="J267" s="7" t="n"/>
      <c r="K267" s="7">
        <f>K254-K241</f>
        <v/>
      </c>
      <c r="L267" s="7">
        <f>L254-L241</f>
        <v/>
      </c>
      <c r="M267" s="7" t="n"/>
      <c r="N267" s="7">
        <f>N254-N241</f>
        <v/>
      </c>
      <c r="O267" s="7">
        <f>O254-O241</f>
        <v/>
      </c>
      <c r="P267" s="7" t="n"/>
      <c r="Q267" s="7">
        <f>Q254-Q241</f>
        <v/>
      </c>
      <c r="R267" s="7">
        <f>R254-R241</f>
        <v/>
      </c>
      <c r="S267" s="7" t="n"/>
      <c r="T267" s="7">
        <f>T254-T241</f>
        <v/>
      </c>
      <c r="U267" s="7">
        <f>U254-U241</f>
        <v/>
      </c>
      <c r="V267" s="7" t="n"/>
      <c r="W267" s="7">
        <f>W254-W241</f>
        <v/>
      </c>
      <c r="X267" s="7">
        <f>X254-X241</f>
        <v/>
      </c>
      <c r="Y267" s="7" t="n"/>
      <c r="Z267" s="7">
        <f>Z254-Z241</f>
        <v/>
      </c>
      <c r="AA267" s="7">
        <f>AA254-AA241</f>
        <v/>
      </c>
      <c r="AB267" s="7" t="n"/>
      <c r="AC267" s="7">
        <f>AC254-AC241</f>
        <v/>
      </c>
      <c r="AD267" s="7">
        <f>AD254-AD241</f>
        <v/>
      </c>
      <c r="AE267" s="7" t="n"/>
      <c r="AF267" s="7">
        <f>AF254-AF241</f>
        <v/>
      </c>
      <c r="AG267" s="7">
        <f>AG254-AG241</f>
        <v/>
      </c>
      <c r="AH267" s="7" t="n"/>
      <c r="AI267" s="7">
        <f>AI254-AI241</f>
        <v/>
      </c>
      <c r="AJ267" s="7">
        <f>AJ254-AJ241</f>
        <v/>
      </c>
      <c r="AK267" s="7" t="n"/>
      <c r="AL267" s="21">
        <f>AP267-AO267</f>
        <v/>
      </c>
      <c r="AM267" s="22">
        <f>AP267/AO267-1</f>
        <v/>
      </c>
      <c r="AO267" s="44">
        <f>IF($A$1=$B$1,B267,IF($A$1=$E$1,E267,IF($A$1=$H$1,H267,IF($A$1=$K$1,K267,IF($A$1=$N$1,N267,IF($A$1=$Q$1,Q267,IF($A$1=$T$1,T267,IF($A$1=$W$1,W267,IF($A$1=$Z$1,Z267,IF($A$1=$AC$1,AC267,IF($A$1=$AF$1,AF267,IF($A$1=$AI$1,AI267))))))))))))</f>
        <v/>
      </c>
      <c r="AP267" s="44">
        <f>IF($A$1=$B$1,C267,IF($A$1=$E$1,F267,IF($A$1=$H$1,I267,IF($A$1=$K$1,L267,IF($A$1=$N$1,O267,IF($A$1=$Q$1,R267,IF($A$1=$T$1,U267,IF($A$1=$W$1,X267,IF($A$1=$Z$1,AA267,IF($A$1=$AC$1,AD267,IF($A$1=$AF$1,AG267,IF($A$1=$AI$1,AJ267))))))))))))</f>
        <v/>
      </c>
    </row>
    <row r="268" ht="15.5" customHeight="1">
      <c r="A268" s="26" t="inlineStr">
        <is>
          <t>İnci GS Yuasa</t>
        </is>
      </c>
      <c r="B268" s="7">
        <f>B255-B242</f>
        <v/>
      </c>
      <c r="C268" s="7">
        <f>C255-C242</f>
        <v/>
      </c>
      <c r="D268" s="7" t="n"/>
      <c r="E268" s="7">
        <f>E255-E242</f>
        <v/>
      </c>
      <c r="F268" s="7">
        <f>F255-F242</f>
        <v/>
      </c>
      <c r="G268" s="7" t="n"/>
      <c r="H268" s="7">
        <f>H255-H242</f>
        <v/>
      </c>
      <c r="I268" s="7">
        <f>I255-I242</f>
        <v/>
      </c>
      <c r="J268" s="7" t="n"/>
      <c r="K268" s="7">
        <f>K255-K242</f>
        <v/>
      </c>
      <c r="L268" s="7">
        <f>L255-L242</f>
        <v/>
      </c>
      <c r="M268" s="7" t="n"/>
      <c r="N268" s="7">
        <f>N255-N242</f>
        <v/>
      </c>
      <c r="O268" s="7">
        <f>O255-O242</f>
        <v/>
      </c>
      <c r="P268" s="7" t="n"/>
      <c r="Q268" s="7">
        <f>Q255-Q242</f>
        <v/>
      </c>
      <c r="R268" s="7">
        <f>R255-R242</f>
        <v/>
      </c>
      <c r="S268" s="7" t="n"/>
      <c r="T268" s="7">
        <f>T255-T242</f>
        <v/>
      </c>
      <c r="U268" s="7">
        <f>U255-U242</f>
        <v/>
      </c>
      <c r="V268" s="7" t="n"/>
      <c r="W268" s="7">
        <f>W255-W242</f>
        <v/>
      </c>
      <c r="X268" s="7">
        <f>X255-X242</f>
        <v/>
      </c>
      <c r="Y268" s="7" t="n"/>
      <c r="Z268" s="7">
        <f>Z255-Z242</f>
        <v/>
      </c>
      <c r="AA268" s="7">
        <f>AA255-AA242</f>
        <v/>
      </c>
      <c r="AB268" s="7" t="n"/>
      <c r="AC268" s="7">
        <f>AC255-AC242</f>
        <v/>
      </c>
      <c r="AD268" s="7">
        <f>AD255-AD242</f>
        <v/>
      </c>
      <c r="AE268" s="7" t="n"/>
      <c r="AF268" s="7">
        <f>AF255-AF242</f>
        <v/>
      </c>
      <c r="AG268" s="7">
        <f>AG255-AG242</f>
        <v/>
      </c>
      <c r="AH268" s="7" t="n"/>
      <c r="AI268" s="7">
        <f>AI255-AI242</f>
        <v/>
      </c>
      <c r="AJ268" s="7">
        <f>AJ255-AJ242</f>
        <v/>
      </c>
      <c r="AK268" s="7" t="n"/>
      <c r="AL268" s="21">
        <f>AP268-AO268</f>
        <v/>
      </c>
      <c r="AM268" s="22">
        <f>AP268/AO268-1</f>
        <v/>
      </c>
      <c r="AO268" s="44">
        <f>IF($A$1=$B$1,B268,IF($A$1=$E$1,E268,IF($A$1=$H$1,H268,IF($A$1=$K$1,K268,IF($A$1=$N$1,N268,IF($A$1=$Q$1,Q268,IF($A$1=$T$1,T268,IF($A$1=$W$1,W268,IF($A$1=$Z$1,Z268,IF($A$1=$AC$1,AC268,IF($A$1=$AF$1,AF268,IF($A$1=$AI$1,AI268))))))))))))</f>
        <v/>
      </c>
      <c r="AP268" s="44">
        <f>IF($A$1=$B$1,C268,IF($A$1=$E$1,F268,IF($A$1=$H$1,I268,IF($A$1=$K$1,L268,IF($A$1=$N$1,O268,IF($A$1=$Q$1,R268,IF($A$1=$T$1,U268,IF($A$1=$W$1,X268,IF($A$1=$Z$1,AA268,IF($A$1=$AC$1,AD268,IF($A$1=$AF$1,AG268,IF($A$1=$AI$1,AJ268))))))))))))</f>
        <v/>
      </c>
    </row>
    <row r="269" ht="15.5" customFormat="1" customHeight="1" s="1">
      <c r="A269" s="26" t="inlineStr">
        <is>
          <t>Yusen İnci Loj.</t>
        </is>
      </c>
      <c r="B269" s="7">
        <f>B256-B243</f>
        <v/>
      </c>
      <c r="C269" s="7">
        <f>C256-C243</f>
        <v/>
      </c>
      <c r="D269" s="8" t="n"/>
      <c r="E269" s="7">
        <f>E256-E243</f>
        <v/>
      </c>
      <c r="F269" s="7">
        <f>F256-F243</f>
        <v/>
      </c>
      <c r="G269" s="8" t="n"/>
      <c r="H269" s="7">
        <f>H256-H243</f>
        <v/>
      </c>
      <c r="I269" s="7">
        <f>I256-I243</f>
        <v/>
      </c>
      <c r="J269" s="8" t="n"/>
      <c r="K269" s="7">
        <f>K256-K243</f>
        <v/>
      </c>
      <c r="L269" s="7">
        <f>L256-L243</f>
        <v/>
      </c>
      <c r="M269" s="7" t="n"/>
      <c r="N269" s="7">
        <f>N256-N243</f>
        <v/>
      </c>
      <c r="O269" s="7">
        <f>O256-O243</f>
        <v/>
      </c>
      <c r="P269" s="8" t="n"/>
      <c r="Q269" s="7">
        <f>Q256-Q243</f>
        <v/>
      </c>
      <c r="R269" s="7">
        <f>R256-R243</f>
        <v/>
      </c>
      <c r="S269" s="8" t="n"/>
      <c r="T269" s="7">
        <f>T256-T243</f>
        <v/>
      </c>
      <c r="U269" s="7">
        <f>U256-U243</f>
        <v/>
      </c>
      <c r="V269" s="8" t="n"/>
      <c r="W269" s="7">
        <f>W256-W243</f>
        <v/>
      </c>
      <c r="X269" s="7">
        <f>X256-X243</f>
        <v/>
      </c>
      <c r="Y269" s="8" t="n"/>
      <c r="Z269" s="7">
        <f>Z256-Z243</f>
        <v/>
      </c>
      <c r="AA269" s="7">
        <f>AA256-AA243</f>
        <v/>
      </c>
      <c r="AB269" s="8" t="n"/>
      <c r="AC269" s="7">
        <f>AC256-AC243</f>
        <v/>
      </c>
      <c r="AD269" s="7">
        <f>AD256-AD243</f>
        <v/>
      </c>
      <c r="AE269" s="8" t="n"/>
      <c r="AF269" s="7">
        <f>AF256-AF243</f>
        <v/>
      </c>
      <c r="AG269" s="7">
        <f>AG256-AG243</f>
        <v/>
      </c>
      <c r="AH269" s="8" t="n"/>
      <c r="AI269" s="7">
        <f>AI256-AI243</f>
        <v/>
      </c>
      <c r="AJ269" s="7">
        <f>AJ256-AJ243</f>
        <v/>
      </c>
      <c r="AK269" s="8" t="n"/>
      <c r="AL269" s="21">
        <f>AP269-AO269</f>
        <v/>
      </c>
      <c r="AM269" s="22">
        <f>AP269/AO269-1</f>
        <v/>
      </c>
      <c r="AO269" s="44">
        <f>IF($A$1=$B$1,B269,IF($A$1=$E$1,E269,IF($A$1=$H$1,H269,IF($A$1=$K$1,K269,IF($A$1=$N$1,N269,IF($A$1=$Q$1,Q269,IF($A$1=$T$1,T269,IF($A$1=$W$1,W269,IF($A$1=$Z$1,Z269,IF($A$1=$AC$1,AC269,IF($A$1=$AF$1,AF269,IF($A$1=$AI$1,AI269))))))))))))</f>
        <v/>
      </c>
      <c r="AP269" s="44">
        <f>IF($A$1=$B$1,C269,IF($A$1=$E$1,F269,IF($A$1=$H$1,I269,IF($A$1=$K$1,L269,IF($A$1=$N$1,O269,IF($A$1=$Q$1,R269,IF($A$1=$T$1,U269,IF($A$1=$W$1,X269,IF($A$1=$Z$1,AA269,IF($A$1=$AC$1,AD269,IF($A$1=$AF$1,AG269,IF($A$1=$AI$1,AJ269))))))))))))</f>
        <v/>
      </c>
    </row>
    <row r="270" ht="15.5" customHeight="1">
      <c r="A270" s="26" t="inlineStr">
        <is>
          <t>Jantaş</t>
        </is>
      </c>
      <c r="B270" s="7">
        <f>B257-B244</f>
        <v/>
      </c>
      <c r="C270" s="7">
        <f>C257-C244</f>
        <v/>
      </c>
      <c r="D270" s="7" t="n"/>
      <c r="E270" s="7">
        <f>E257-E244</f>
        <v/>
      </c>
      <c r="F270" s="7">
        <f>F257-F244</f>
        <v/>
      </c>
      <c r="G270" s="7" t="n"/>
      <c r="H270" s="7">
        <f>H257-H244</f>
        <v/>
      </c>
      <c r="I270" s="7">
        <f>I257-I244</f>
        <v/>
      </c>
      <c r="J270" s="7" t="n"/>
      <c r="K270" s="7">
        <f>K257-K244</f>
        <v/>
      </c>
      <c r="L270" s="7">
        <f>L257-L244</f>
        <v/>
      </c>
      <c r="M270" s="7" t="n"/>
      <c r="N270" s="7">
        <f>N257-N244</f>
        <v/>
      </c>
      <c r="O270" s="7">
        <f>O257-O244</f>
        <v/>
      </c>
      <c r="P270" s="7" t="n"/>
      <c r="Q270" s="7">
        <f>Q257-Q244</f>
        <v/>
      </c>
      <c r="R270" s="7">
        <f>R257-R244</f>
        <v/>
      </c>
      <c r="S270" s="7" t="n"/>
      <c r="T270" s="7">
        <f>T257-T244</f>
        <v/>
      </c>
      <c r="U270" s="7">
        <f>U257-U244</f>
        <v/>
      </c>
      <c r="V270" s="7" t="n"/>
      <c r="W270" s="7">
        <f>W257-W244</f>
        <v/>
      </c>
      <c r="X270" s="7">
        <f>X257-X244</f>
        <v/>
      </c>
      <c r="Y270" s="7" t="n"/>
      <c r="Z270" s="7">
        <f>Z257-Z244</f>
        <v/>
      </c>
      <c r="AA270" s="7">
        <f>AA257-AA244</f>
        <v/>
      </c>
      <c r="AB270" s="7" t="n"/>
      <c r="AC270" s="7">
        <f>AC257-AC244</f>
        <v/>
      </c>
      <c r="AD270" s="7">
        <f>AD257-AD244</f>
        <v/>
      </c>
      <c r="AE270" s="7" t="n"/>
      <c r="AF270" s="7">
        <f>AF257-AF244</f>
        <v/>
      </c>
      <c r="AG270" s="7">
        <f>AG257-AG244</f>
        <v/>
      </c>
      <c r="AH270" s="7" t="n"/>
      <c r="AI270" s="7">
        <f>AI257-AI244</f>
        <v/>
      </c>
      <c r="AJ270" s="7">
        <f>AJ257-AJ244</f>
        <v/>
      </c>
      <c r="AK270" s="7" t="n"/>
      <c r="AL270" s="21">
        <f>AP270-AO270</f>
        <v/>
      </c>
      <c r="AM270" s="22">
        <f>AP270/AO270-1</f>
        <v/>
      </c>
      <c r="AO270" s="44">
        <f>IF($A$1=$B$1,B270,IF($A$1=$E$1,E270,IF($A$1=$H$1,H270,IF($A$1=$K$1,K270,IF($A$1=$N$1,N270,IF($A$1=$Q$1,Q270,IF($A$1=$T$1,T270,IF($A$1=$W$1,W270,IF($A$1=$Z$1,Z270,IF($A$1=$AC$1,AC270,IF($A$1=$AF$1,AF270,IF($A$1=$AI$1,AI270))))))))))))</f>
        <v/>
      </c>
      <c r="AP270" s="44">
        <f>IF($A$1=$B$1,C270,IF($A$1=$E$1,F270,IF($A$1=$H$1,I270,IF($A$1=$K$1,L270,IF($A$1=$N$1,O270,IF($A$1=$Q$1,R270,IF($A$1=$T$1,U270,IF($A$1=$W$1,X270,IF($A$1=$Z$1,AA270,IF($A$1=$AC$1,AD270,IF($A$1=$AF$1,AG270,IF($A$1=$AI$1,AJ270))))))))))))</f>
        <v/>
      </c>
    </row>
    <row r="271" ht="15.5" customFormat="1" customHeight="1" s="1">
      <c r="A271" s="26" t="inlineStr">
        <is>
          <t>Çelik</t>
        </is>
      </c>
      <c r="B271" s="7">
        <f>B258-B245</f>
        <v/>
      </c>
      <c r="C271" s="7">
        <f>C258-C245</f>
        <v/>
      </c>
      <c r="D271" s="8" t="n"/>
      <c r="E271" s="7">
        <f>E258-E245</f>
        <v/>
      </c>
      <c r="F271" s="7">
        <f>F258-F245</f>
        <v/>
      </c>
      <c r="G271" s="8" t="n"/>
      <c r="H271" s="7">
        <f>H258-H245</f>
        <v/>
      </c>
      <c r="I271" s="7">
        <f>I258-I245</f>
        <v/>
      </c>
      <c r="J271" s="8" t="n"/>
      <c r="K271" s="7">
        <f>K258-K245</f>
        <v/>
      </c>
      <c r="L271" s="7">
        <f>L258-L245</f>
        <v/>
      </c>
      <c r="M271" s="7" t="n"/>
      <c r="N271" s="7">
        <f>N258-N245</f>
        <v/>
      </c>
      <c r="O271" s="7">
        <f>O258-O245</f>
        <v/>
      </c>
      <c r="P271" s="8" t="n"/>
      <c r="Q271" s="7">
        <f>Q258-Q245</f>
        <v/>
      </c>
      <c r="R271" s="7">
        <f>R258-R245</f>
        <v/>
      </c>
      <c r="S271" s="8" t="n"/>
      <c r="T271" s="7">
        <f>T258-T245</f>
        <v/>
      </c>
      <c r="U271" s="7">
        <f>U258-U245</f>
        <v/>
      </c>
      <c r="V271" s="8" t="n"/>
      <c r="W271" s="7">
        <f>W258-W245</f>
        <v/>
      </c>
      <c r="X271" s="7">
        <f>X258-X245</f>
        <v/>
      </c>
      <c r="Y271" s="8" t="n"/>
      <c r="Z271" s="7">
        <f>Z258-Z245</f>
        <v/>
      </c>
      <c r="AA271" s="7">
        <f>AA258-AA245</f>
        <v/>
      </c>
      <c r="AB271" s="8" t="n"/>
      <c r="AC271" s="7">
        <f>AC258-AC245</f>
        <v/>
      </c>
      <c r="AD271" s="7">
        <f>AD258-AD245</f>
        <v/>
      </c>
      <c r="AE271" s="8" t="n"/>
      <c r="AF271" s="7">
        <f>AF258-AF245</f>
        <v/>
      </c>
      <c r="AG271" s="7">
        <f>AG258-AG245</f>
        <v/>
      </c>
      <c r="AH271" s="8" t="n"/>
      <c r="AI271" s="7">
        <f>AI258-AI245</f>
        <v/>
      </c>
      <c r="AJ271" s="7">
        <f>AJ258-AJ245</f>
        <v/>
      </c>
      <c r="AK271" s="8" t="n"/>
      <c r="AL271" s="21">
        <f>AP271-AO271</f>
        <v/>
      </c>
      <c r="AM271" s="22">
        <f>AP271/AO271-1</f>
        <v/>
      </c>
      <c r="AO271" s="44">
        <f>IF($A$1=$B$1,B271,IF($A$1=$E$1,E271,IF($A$1=$H$1,H271,IF($A$1=$K$1,K271,IF($A$1=$N$1,N271,IF($A$1=$Q$1,Q271,IF($A$1=$T$1,T271,IF($A$1=$W$1,W271,IF($A$1=$Z$1,Z271,IF($A$1=$AC$1,AC271,IF($A$1=$AF$1,AF271,IF($A$1=$AI$1,AI271))))))))))))</f>
        <v/>
      </c>
      <c r="AP271" s="44">
        <f>IF($A$1=$B$1,C271,IF($A$1=$E$1,F271,IF($A$1=$H$1,I271,IF($A$1=$K$1,L271,IF($A$1=$N$1,O271,IF($A$1=$Q$1,R271,IF($A$1=$T$1,U271,IF($A$1=$W$1,X271,IF($A$1=$Z$1,AA271,IF($A$1=$AC$1,AD271,IF($A$1=$AF$1,AG271,IF($A$1=$AI$1,AJ271))))))))))))</f>
        <v/>
      </c>
    </row>
    <row r="272" ht="15.5" customFormat="1" customHeight="1" s="1">
      <c r="A272" s="26" t="inlineStr">
        <is>
          <t>Alüminyum</t>
        </is>
      </c>
      <c r="B272" s="7">
        <f>B259-B246</f>
        <v/>
      </c>
      <c r="C272" s="7">
        <f>C259-C246</f>
        <v/>
      </c>
      <c r="D272" s="8" t="n"/>
      <c r="E272" s="7">
        <f>E259-E246</f>
        <v/>
      </c>
      <c r="F272" s="7">
        <f>F259-F246</f>
        <v/>
      </c>
      <c r="G272" s="8" t="n"/>
      <c r="H272" s="7">
        <f>H259-H246</f>
        <v/>
      </c>
      <c r="I272" s="7">
        <f>I259-I246</f>
        <v/>
      </c>
      <c r="J272" s="8" t="n"/>
      <c r="K272" s="7">
        <f>K259-K246</f>
        <v/>
      </c>
      <c r="L272" s="7">
        <f>L259-L246</f>
        <v/>
      </c>
      <c r="M272" s="7" t="n"/>
      <c r="N272" s="7">
        <f>N259-N246</f>
        <v/>
      </c>
      <c r="O272" s="7">
        <f>O259-O246</f>
        <v/>
      </c>
      <c r="P272" s="8" t="n"/>
      <c r="Q272" s="7">
        <f>Q259-Q246</f>
        <v/>
      </c>
      <c r="R272" s="7">
        <f>R259-R246</f>
        <v/>
      </c>
      <c r="S272" s="8" t="n"/>
      <c r="T272" s="7">
        <f>T259-T246</f>
        <v/>
      </c>
      <c r="U272" s="7">
        <f>U259-U246</f>
        <v/>
      </c>
      <c r="V272" s="8" t="n"/>
      <c r="W272" s="7">
        <f>W259-W246</f>
        <v/>
      </c>
      <c r="X272" s="7">
        <f>X259-X246</f>
        <v/>
      </c>
      <c r="Y272" s="8" t="n"/>
      <c r="Z272" s="7">
        <f>Z259-Z246</f>
        <v/>
      </c>
      <c r="AA272" s="7">
        <f>AA259-AA246</f>
        <v/>
      </c>
      <c r="AB272" s="8" t="n"/>
      <c r="AC272" s="7">
        <f>AC259-AC246</f>
        <v/>
      </c>
      <c r="AD272" s="7">
        <f>AD259-AD246</f>
        <v/>
      </c>
      <c r="AE272" s="8" t="n"/>
      <c r="AF272" s="7">
        <f>AF259-AF246</f>
        <v/>
      </c>
      <c r="AG272" s="7">
        <f>AG259-AG246</f>
        <v/>
      </c>
      <c r="AH272" s="8" t="n"/>
      <c r="AI272" s="7">
        <f>AI259-AI246</f>
        <v/>
      </c>
      <c r="AJ272" s="7">
        <f>AJ259-AJ246</f>
        <v/>
      </c>
      <c r="AK272" s="8" t="n"/>
      <c r="AL272" s="21">
        <f>AP272-AO272</f>
        <v/>
      </c>
      <c r="AM272" s="22">
        <f>AP272/AO272-1</f>
        <v/>
      </c>
      <c r="AO272" s="44">
        <f>IF($A$1=$B$1,B272,IF($A$1=$E$1,E272,IF($A$1=$H$1,H272,IF($A$1=$K$1,K272,IF($A$1=$N$1,N272,IF($A$1=$Q$1,Q272,IF($A$1=$T$1,T272,IF($A$1=$W$1,W272,IF($A$1=$Z$1,Z272,IF($A$1=$AC$1,AC272,IF($A$1=$AF$1,AF272,IF($A$1=$AI$1,AI272))))))))))))</f>
        <v/>
      </c>
      <c r="AP272" s="44">
        <f>IF($A$1=$B$1,C272,IF($A$1=$E$1,F272,IF($A$1=$H$1,I272,IF($A$1=$K$1,L272,IF($A$1=$N$1,O272,IF($A$1=$Q$1,R272,IF($A$1=$T$1,U272,IF($A$1=$W$1,X272,IF($A$1=$Z$1,AA272,IF($A$1=$AC$1,AD272,IF($A$1=$AF$1,AG272,IF($A$1=$AI$1,AJ272))))))))))))</f>
        <v/>
      </c>
    </row>
    <row r="273" ht="15.5" customFormat="1" customHeight="1" s="1">
      <c r="A273" s="26" t="n"/>
      <c r="B273" s="7" t="n"/>
      <c r="C273" s="8" t="n"/>
      <c r="D273" s="8" t="n"/>
      <c r="E273" s="7" t="n"/>
      <c r="F273" s="8" t="n"/>
      <c r="G273" s="8" t="n"/>
      <c r="H273" s="7" t="n"/>
      <c r="I273" s="8" t="n"/>
      <c r="J273" s="8" t="n"/>
      <c r="K273" s="7" t="n"/>
      <c r="L273" s="8" t="n"/>
      <c r="M273" s="8" t="n"/>
      <c r="N273" s="7" t="n"/>
      <c r="O273" s="8" t="n"/>
      <c r="P273" s="8" t="n"/>
      <c r="Q273" s="7" t="n"/>
      <c r="R273" s="8" t="n"/>
      <c r="S273" s="8" t="n"/>
      <c r="T273" s="7" t="n"/>
      <c r="U273" s="8" t="n"/>
      <c r="V273" s="8" t="n"/>
      <c r="W273" s="7" t="n"/>
      <c r="X273" s="8" t="n"/>
      <c r="Y273" s="8" t="n"/>
      <c r="Z273" s="7" t="n"/>
      <c r="AA273" s="8" t="n"/>
      <c r="AB273" s="8" t="n"/>
      <c r="AC273" s="7" t="n"/>
      <c r="AD273" s="8" t="n"/>
      <c r="AE273" s="8" t="n"/>
      <c r="AF273" s="7" t="n"/>
      <c r="AG273" s="8" t="n"/>
      <c r="AH273" s="8" t="n"/>
      <c r="AI273" s="7" t="n"/>
      <c r="AJ273" s="8" t="n"/>
      <c r="AK273" s="8" t="n"/>
      <c r="AL273" s="15" t="n"/>
      <c r="AM273" s="16" t="n"/>
      <c r="AO273" s="44" t="n"/>
      <c r="AP273" s="44" t="n"/>
    </row>
    <row r="274" ht="15.5" customFormat="1" customHeight="1" s="1">
      <c r="A274" s="26" t="n"/>
      <c r="B274" s="7" t="n"/>
      <c r="C274" s="8" t="n"/>
      <c r="D274" s="8" t="n"/>
      <c r="E274" s="7" t="n"/>
      <c r="F274" s="8" t="n"/>
      <c r="G274" s="8" t="n"/>
      <c r="H274" s="7" t="n"/>
      <c r="I274" s="8" t="n"/>
      <c r="J274" s="8" t="n"/>
      <c r="K274" s="7" t="n"/>
      <c r="L274" s="8" t="n"/>
      <c r="M274" s="8" t="n"/>
      <c r="N274" s="7" t="n"/>
      <c r="O274" s="8" t="n"/>
      <c r="P274" s="8" t="n"/>
      <c r="Q274" s="7" t="n"/>
      <c r="R274" s="8" t="n"/>
      <c r="S274" s="8" t="n"/>
      <c r="T274" s="7" t="n"/>
      <c r="U274" s="8" t="n"/>
      <c r="V274" s="8" t="n"/>
      <c r="W274" s="7" t="n"/>
      <c r="X274" s="8" t="n"/>
      <c r="Y274" s="8" t="n"/>
      <c r="Z274" s="7" t="n"/>
      <c r="AA274" s="8" t="n"/>
      <c r="AB274" s="8" t="n"/>
      <c r="AC274" s="7" t="n"/>
      <c r="AD274" s="8" t="n"/>
      <c r="AE274" s="8" t="n"/>
      <c r="AF274" s="7" t="n"/>
      <c r="AG274" s="8" t="n"/>
      <c r="AH274" s="8" t="n"/>
      <c r="AI274" s="7" t="n"/>
      <c r="AJ274" s="8" t="n"/>
      <c r="AK274" s="8" t="n"/>
      <c r="AL274" s="15" t="n"/>
      <c r="AM274" s="16" t="n"/>
      <c r="AO274" s="44" t="n"/>
      <c r="AP274" s="44" t="n"/>
    </row>
    <row r="275" ht="15.5" customFormat="1" customHeight="1" s="44">
      <c r="A275" s="31" t="inlineStr">
        <is>
          <t>Yatırım</t>
        </is>
      </c>
      <c r="B275" s="32">
        <f>'A-TRY'!B275</f>
        <v/>
      </c>
      <c r="C275" s="32">
        <f>'A-TRY'!C275</f>
        <v/>
      </c>
      <c r="D275" s="18" t="n"/>
      <c r="E275" s="32">
        <f>B275+'A-TRY'!E275</f>
        <v/>
      </c>
      <c r="F275" s="32">
        <f>C275+'A-TRY'!F275</f>
        <v/>
      </c>
      <c r="G275" s="18" t="n"/>
      <c r="H275" s="32">
        <f>E275+'A-TRY'!H275</f>
        <v/>
      </c>
      <c r="I275" s="32">
        <f>F275+'A-TRY'!I275</f>
        <v/>
      </c>
      <c r="J275" s="18" t="n"/>
      <c r="K275" s="32">
        <f>H275+'A-TRY'!K275</f>
        <v/>
      </c>
      <c r="L275" s="32">
        <f>I275+'A-TRY'!L275</f>
        <v/>
      </c>
      <c r="M275" s="18" t="n"/>
      <c r="N275" s="32">
        <f>K275+'A-TRY'!N275</f>
        <v/>
      </c>
      <c r="O275" s="32">
        <f>L275+'A-TRY'!O275</f>
        <v/>
      </c>
      <c r="P275" s="18" t="n"/>
      <c r="Q275" s="32">
        <f>N275+'A-TRY'!Q275</f>
        <v/>
      </c>
      <c r="R275" s="32">
        <f>O275+'A-TRY'!R275</f>
        <v/>
      </c>
      <c r="S275" s="18" t="n"/>
      <c r="T275" s="32">
        <f>Q275+'A-TRY'!T275</f>
        <v/>
      </c>
      <c r="U275" s="32">
        <f>R275+'A-TRY'!U275</f>
        <v/>
      </c>
      <c r="V275" s="18" t="n"/>
      <c r="W275" s="32">
        <f>T275+'A-TRY'!W275</f>
        <v/>
      </c>
      <c r="X275" s="32">
        <f>U275+'A-TRY'!X275</f>
        <v/>
      </c>
      <c r="Y275" s="18" t="n"/>
      <c r="Z275" s="32">
        <f>W275+'A-TRY'!Z275</f>
        <v/>
      </c>
      <c r="AA275" s="32">
        <f>X275+'A-TRY'!AA275</f>
        <v/>
      </c>
      <c r="AB275" s="18" t="n"/>
      <c r="AC275" s="32">
        <f>Z275+'A-TRY'!AC275</f>
        <v/>
      </c>
      <c r="AD275" s="32">
        <f>AA275+'A-TRY'!AD275</f>
        <v/>
      </c>
      <c r="AE275" s="18" t="n"/>
      <c r="AF275" s="32">
        <f>AC275+'A-TRY'!AF275</f>
        <v/>
      </c>
      <c r="AG275" s="32">
        <f>AD275+'A-TRY'!AG275</f>
        <v/>
      </c>
      <c r="AH275" s="18" t="n"/>
      <c r="AI275" s="32">
        <f>AF275+'A-TRY'!AI275</f>
        <v/>
      </c>
      <c r="AJ275" s="32">
        <f>AG275+'A-TRY'!AJ275</f>
        <v/>
      </c>
      <c r="AK275" s="18" t="n"/>
      <c r="AL275" s="33">
        <f>AP275-AO275</f>
        <v/>
      </c>
      <c r="AM275" s="34">
        <f>AP275/AO275-1</f>
        <v/>
      </c>
      <c r="AO275" s="44">
        <f>IF($A$1=$B$1,B275,IF($A$1=$E$1,E275,IF($A$1=$H$1,H275,IF($A$1=$K$1,K275,IF($A$1=$N$1,N275,IF($A$1=$Q$1,Q275,IF($A$1=$T$1,T275,IF($A$1=$W$1,W275,IF($A$1=$Z$1,Z275,IF($A$1=$AC$1,AC275,IF($A$1=$AF$1,AF275,IF($A$1=$AI$1,AI275))))))))))))</f>
        <v/>
      </c>
      <c r="AP275" s="44">
        <f>IF($A$1=$B$1,C275,IF($A$1=$E$1,F275,IF($A$1=$H$1,I275,IF($A$1=$K$1,L275,IF($A$1=$N$1,O275,IF($A$1=$Q$1,R275,IF($A$1=$T$1,U275,IF($A$1=$W$1,X275,IF($A$1=$Z$1,AA275,IF($A$1=$AC$1,AD275,IF($A$1=$AF$1,AG275,IF($A$1=$AI$1,AJ275))))))))))))</f>
        <v/>
      </c>
    </row>
    <row r="276" ht="15.5" customFormat="1" customHeight="1" s="13">
      <c r="A276" s="27" t="n"/>
      <c r="B276" s="30" t="n"/>
      <c r="C276" s="30">
        <f>IFERROR((C233/#REF!),"")</f>
        <v/>
      </c>
      <c r="D276" s="41" t="n"/>
      <c r="E276" s="30" t="n"/>
      <c r="F276" s="30">
        <f>IFERROR((F233/#REF!),"")</f>
        <v/>
      </c>
      <c r="G276" s="41" t="n"/>
      <c r="H276" s="30" t="n"/>
      <c r="I276" s="30">
        <f>IFERROR((I233/#REF!),"")</f>
        <v/>
      </c>
      <c r="J276" s="41" t="n"/>
      <c r="K276" s="30" t="n"/>
      <c r="L276" s="30">
        <f>IFERROR((L233/#REF!),"")</f>
        <v/>
      </c>
      <c r="M276" s="41" t="n"/>
      <c r="N276" s="30" t="n"/>
      <c r="O276" s="30">
        <f>IFERROR((O233/#REF!),"")</f>
        <v/>
      </c>
      <c r="P276" s="41" t="n"/>
      <c r="Q276" s="30" t="n"/>
      <c r="R276" s="30">
        <f>IFERROR((R233/#REF!),"")</f>
        <v/>
      </c>
      <c r="S276" s="41" t="n"/>
      <c r="T276" s="30" t="n"/>
      <c r="U276" s="30">
        <f>IFERROR((U233/#REF!),"")</f>
        <v/>
      </c>
      <c r="V276" s="41" t="n"/>
      <c r="W276" s="30" t="n"/>
      <c r="X276" s="30">
        <f>IFERROR((X233/#REF!),"")</f>
        <v/>
      </c>
      <c r="Y276" s="41" t="n"/>
      <c r="Z276" s="30" t="n"/>
      <c r="AA276" s="30">
        <f>IFERROR((AA233/#REF!),"")</f>
        <v/>
      </c>
      <c r="AB276" s="41" t="n"/>
      <c r="AC276" s="30" t="n"/>
      <c r="AD276" s="30">
        <f>IFERROR((AD233/#REF!),"")</f>
        <v/>
      </c>
      <c r="AE276" s="41" t="n"/>
      <c r="AF276" s="30" t="n"/>
      <c r="AG276" s="30">
        <f>IFERROR((AG233/#REF!),"")</f>
        <v/>
      </c>
      <c r="AH276" s="41" t="n"/>
      <c r="AI276" s="30" t="n"/>
      <c r="AJ276" s="30">
        <f>IFERROR((AJ233/#REF!),"")</f>
        <v/>
      </c>
      <c r="AK276" s="41" t="n"/>
      <c r="AL276" s="15" t="n"/>
      <c r="AM276" s="22" t="n"/>
      <c r="AO276" s="44">
        <f>IF($A$1=$B$1,B276,IF($A$1=$E$1,E276,IF($A$1=$H$1,H276,IF($A$1=$K$1,K276,IF($A$1=$N$1,N276,IF($A$1=$Q$1,Q276,IF($A$1=$T$1,T276,IF($A$1=$W$1,W276,IF($A$1=$Z$1,Z276,IF($A$1=$AC$1,AC276,IF($A$1=$AF$1,AF276,IF($A$1=$AI$1,AI276))))))))))))</f>
        <v/>
      </c>
      <c r="AP276" s="44">
        <f>IF($A$1=$B$1,C276,IF($A$1=$E$1,F276,IF($A$1=$H$1,I276,IF($A$1=$K$1,L276,IF($A$1=$N$1,O276,IF($A$1=$Q$1,R276,IF($A$1=$T$1,U276,IF($A$1=$W$1,X276,IF($A$1=$Z$1,AA276,IF($A$1=$AC$1,AD276,IF($A$1=$AF$1,AG276,IF($A$1=$AI$1,AJ276))))))))))))</f>
        <v/>
      </c>
    </row>
    <row r="277" ht="17" customFormat="1" customHeight="1" s="49">
      <c r="A277" s="47" t="inlineStr">
        <is>
          <t>Yatırım (100%)</t>
        </is>
      </c>
      <c r="B277" s="413" t="n"/>
      <c r="C277" s="413" t="n"/>
      <c r="D277" s="413" t="n"/>
      <c r="E277" s="413" t="n"/>
      <c r="F277" s="413" t="n"/>
      <c r="G277" s="413" t="n"/>
      <c r="H277" s="413" t="n"/>
      <c r="I277" s="413" t="n"/>
      <c r="J277" s="413" t="n"/>
      <c r="K277" s="413" t="n"/>
      <c r="L277" s="413" t="n"/>
      <c r="M277" s="413" t="n"/>
      <c r="N277" s="413" t="n"/>
      <c r="O277" s="413" t="n"/>
      <c r="P277" s="413" t="n"/>
      <c r="Q277" s="413" t="n"/>
      <c r="R277" s="413" t="n"/>
      <c r="S277" s="413" t="n"/>
      <c r="T277" s="413" t="n"/>
      <c r="U277" s="413" t="n"/>
      <c r="V277" s="413" t="n"/>
      <c r="W277" s="413" t="n"/>
      <c r="X277" s="413" t="n"/>
      <c r="Y277" s="413" t="n"/>
      <c r="Z277" s="413" t="n"/>
      <c r="AA277" s="413" t="n"/>
      <c r="AB277" s="413" t="n"/>
      <c r="AC277" s="413" t="n"/>
      <c r="AD277" s="413" t="n"/>
      <c r="AE277" s="413" t="n"/>
      <c r="AF277" s="413" t="n"/>
      <c r="AG277" s="413" t="n"/>
      <c r="AH277" s="413" t="n"/>
      <c r="AI277" s="413" t="n"/>
      <c r="AJ277" s="413" t="n"/>
      <c r="AK277" s="413" t="n"/>
      <c r="AL277" s="413" t="n"/>
      <c r="AM277" s="48" t="n"/>
    </row>
    <row r="278" ht="15.5" customHeight="1">
      <c r="A278" s="26" t="inlineStr">
        <is>
          <t xml:space="preserve">İnci Holding </t>
        </is>
      </c>
      <c r="B278" s="7">
        <f>'A-TRY'!B278</f>
        <v/>
      </c>
      <c r="C278" s="7">
        <f>'A-TRY'!C278</f>
        <v/>
      </c>
      <c r="D278" s="7" t="n"/>
      <c r="E278" s="7">
        <f>B278+'A-TRY'!E278</f>
        <v/>
      </c>
      <c r="F278" s="7">
        <f>C278+'A-TRY'!F278</f>
        <v/>
      </c>
      <c r="G278" s="7" t="n"/>
      <c r="H278" s="7">
        <f>E278+'A-TRY'!H278</f>
        <v/>
      </c>
      <c r="I278" s="7">
        <f>F278+'A-TRY'!I278</f>
        <v/>
      </c>
      <c r="J278" s="7" t="n"/>
      <c r="K278" s="7">
        <f>H278+'A-TRY'!K278</f>
        <v/>
      </c>
      <c r="L278" s="7">
        <f>I278+'A-TRY'!L278</f>
        <v/>
      </c>
      <c r="M278" s="7" t="n"/>
      <c r="N278" s="7">
        <f>K278+'A-TRY'!N278</f>
        <v/>
      </c>
      <c r="O278" s="7">
        <f>L278+'A-TRY'!O278</f>
        <v/>
      </c>
      <c r="P278" s="7" t="n"/>
      <c r="Q278" s="7">
        <f>N278+'A-TRY'!Q278</f>
        <v/>
      </c>
      <c r="R278" s="7">
        <f>O278+'A-TRY'!R278</f>
        <v/>
      </c>
      <c r="S278" s="7" t="n"/>
      <c r="T278" s="7">
        <f>Q278+'A-TRY'!T278</f>
        <v/>
      </c>
      <c r="U278" s="7">
        <f>R278+'A-TRY'!U278</f>
        <v/>
      </c>
      <c r="V278" s="7" t="n"/>
      <c r="W278" s="7">
        <f>T278+'A-TRY'!W278</f>
        <v/>
      </c>
      <c r="X278" s="7">
        <f>U278+'A-TRY'!X278</f>
        <v/>
      </c>
      <c r="Y278" s="7" t="n"/>
      <c r="Z278" s="7">
        <f>W278+'A-TRY'!Z278</f>
        <v/>
      </c>
      <c r="AA278" s="7">
        <f>X278+'A-TRY'!AA278</f>
        <v/>
      </c>
      <c r="AB278" s="7" t="n"/>
      <c r="AC278" s="7">
        <f>Z278+'A-TRY'!AC278</f>
        <v/>
      </c>
      <c r="AD278" s="7">
        <f>AA278+'A-TRY'!AD278</f>
        <v/>
      </c>
      <c r="AE278" s="7" t="n"/>
      <c r="AF278" s="7">
        <f>AC278+'A-TRY'!AF278</f>
        <v/>
      </c>
      <c r="AG278" s="7">
        <f>AD278+'A-TRY'!AG278</f>
        <v/>
      </c>
      <c r="AH278" s="7" t="n"/>
      <c r="AI278" s="7">
        <f>AF278+'A-TRY'!AI278</f>
        <v/>
      </c>
      <c r="AJ278" s="7">
        <f>AG278+'A-TRY'!AJ278</f>
        <v/>
      </c>
      <c r="AK278" s="7" t="n"/>
      <c r="AL278" s="21">
        <f>AP278-AO278</f>
        <v/>
      </c>
      <c r="AM278" s="22">
        <f>AP278/AO278-1</f>
        <v/>
      </c>
      <c r="AO278" s="44">
        <f>IF($A$1=$B$1,B278,IF($A$1=$E$1,E278,IF($A$1=$H$1,H278,IF($A$1=$K$1,K278,IF($A$1=$N$1,N278,IF($A$1=$Q$1,Q278,IF($A$1=$T$1,T278,IF($A$1=$W$1,W278,IF($A$1=$Z$1,Z278,IF($A$1=$AC$1,AC278,IF($A$1=$AF$1,AF278,IF($A$1=$AI$1,AI278))))))))))))</f>
        <v/>
      </c>
      <c r="AP278" s="44">
        <f>IF($A$1=$B$1,C278,IF($A$1=$E$1,F278,IF($A$1=$H$1,I278,IF($A$1=$K$1,L278,IF($A$1=$N$1,O278,IF($A$1=$Q$1,R278,IF($A$1=$T$1,U278,IF($A$1=$W$1,X278,IF($A$1=$Z$1,AA278,IF($A$1=$AC$1,AD278,IF($A$1=$AF$1,AG278,IF($A$1=$AI$1,AJ278))))))))))))</f>
        <v/>
      </c>
    </row>
    <row r="279" ht="15.5" customHeight="1">
      <c r="A279" s="26" t="inlineStr">
        <is>
          <t xml:space="preserve">ISM </t>
        </is>
      </c>
      <c r="B279" s="7">
        <f>'A-TRY'!B279</f>
        <v/>
      </c>
      <c r="C279" s="7">
        <f>'A-TRY'!C279</f>
        <v/>
      </c>
      <c r="D279" s="7" t="n"/>
      <c r="E279" s="7">
        <f>B279+'A-TRY'!E279</f>
        <v/>
      </c>
      <c r="F279" s="7">
        <f>C279+'A-TRY'!F279</f>
        <v/>
      </c>
      <c r="G279" s="7" t="n"/>
      <c r="H279" s="7">
        <f>E279+'A-TRY'!H279</f>
        <v/>
      </c>
      <c r="I279" s="7">
        <f>F279+'A-TRY'!I279</f>
        <v/>
      </c>
      <c r="J279" s="7" t="n"/>
      <c r="K279" s="7">
        <f>H279+'A-TRY'!K279</f>
        <v/>
      </c>
      <c r="L279" s="7">
        <f>I279+'A-TRY'!L279</f>
        <v/>
      </c>
      <c r="M279" s="7" t="n"/>
      <c r="N279" s="7">
        <f>K279+'A-TRY'!N279</f>
        <v/>
      </c>
      <c r="O279" s="7">
        <f>L279+'A-TRY'!O279</f>
        <v/>
      </c>
      <c r="P279" s="7" t="n"/>
      <c r="Q279" s="7">
        <f>N279+'A-TRY'!Q279</f>
        <v/>
      </c>
      <c r="R279" s="7">
        <f>O279+'A-TRY'!R279</f>
        <v/>
      </c>
      <c r="S279" s="7" t="n"/>
      <c r="T279" s="7">
        <f>Q279+'A-TRY'!T279</f>
        <v/>
      </c>
      <c r="U279" s="7">
        <f>R279+'A-TRY'!U279</f>
        <v/>
      </c>
      <c r="V279" s="7" t="n"/>
      <c r="W279" s="7">
        <f>T279+'A-TRY'!W279</f>
        <v/>
      </c>
      <c r="X279" s="7">
        <f>U279+'A-TRY'!X279</f>
        <v/>
      </c>
      <c r="Y279" s="7" t="n"/>
      <c r="Z279" s="7">
        <f>W279+'A-TRY'!Z279</f>
        <v/>
      </c>
      <c r="AA279" s="7">
        <f>X279+'A-TRY'!AA279</f>
        <v/>
      </c>
      <c r="AB279" s="7" t="n"/>
      <c r="AC279" s="7">
        <f>Z279+'A-TRY'!AC279</f>
        <v/>
      </c>
      <c r="AD279" s="7">
        <f>AA279+'A-TRY'!AD279</f>
        <v/>
      </c>
      <c r="AE279" s="7" t="n"/>
      <c r="AF279" s="7">
        <f>AC279+'A-TRY'!AF279</f>
        <v/>
      </c>
      <c r="AG279" s="7">
        <f>AD279+'A-TRY'!AG279</f>
        <v/>
      </c>
      <c r="AH279" s="7" t="n"/>
      <c r="AI279" s="7">
        <f>AF279+'A-TRY'!AI279</f>
        <v/>
      </c>
      <c r="AJ279" s="7">
        <f>AG279+'A-TRY'!AJ279</f>
        <v/>
      </c>
      <c r="AK279" s="7" t="n"/>
      <c r="AL279" s="21">
        <f>AP279-AO279</f>
        <v/>
      </c>
      <c r="AM279" s="22">
        <f>AP279/AO279-1</f>
        <v/>
      </c>
      <c r="AO279" s="44">
        <f>IF($A$1=$B$1,B279,IF($A$1=$E$1,E279,IF($A$1=$H$1,H279,IF($A$1=$K$1,K279,IF($A$1=$N$1,N279,IF($A$1=$Q$1,Q279,IF($A$1=$T$1,T279,IF($A$1=$W$1,W279,IF($A$1=$Z$1,Z279,IF($A$1=$AC$1,AC279,IF($A$1=$AF$1,AF279,IF($A$1=$AI$1,AI279))))))))))))</f>
        <v/>
      </c>
      <c r="AP279" s="44">
        <f>IF($A$1=$B$1,C279,IF($A$1=$E$1,F279,IF($A$1=$H$1,I279,IF($A$1=$K$1,L279,IF($A$1=$N$1,O279,IF($A$1=$Q$1,R279,IF($A$1=$T$1,U279,IF($A$1=$W$1,X279,IF($A$1=$Z$1,AA279,IF($A$1=$AC$1,AD279,IF($A$1=$AF$1,AG279,IF($A$1=$AI$1,AJ279))))))))))))</f>
        <v/>
      </c>
    </row>
    <row r="280" ht="15.5" customHeight="1">
      <c r="A280" s="26" t="inlineStr">
        <is>
          <t>İncitaş</t>
        </is>
      </c>
      <c r="B280" s="7">
        <f>'A-TRY'!B280</f>
        <v/>
      </c>
      <c r="C280" s="7">
        <f>'A-TRY'!C280</f>
        <v/>
      </c>
      <c r="D280" s="7" t="n"/>
      <c r="E280" s="7">
        <f>B280+'A-TRY'!E280</f>
        <v/>
      </c>
      <c r="F280" s="7">
        <f>C280+'A-TRY'!F280</f>
        <v/>
      </c>
      <c r="G280" s="7" t="n"/>
      <c r="H280" s="7">
        <f>E280+'A-TRY'!H280</f>
        <v/>
      </c>
      <c r="I280" s="7">
        <f>F280+'A-TRY'!I280</f>
        <v/>
      </c>
      <c r="J280" s="7" t="n"/>
      <c r="K280" s="7">
        <f>H280+'A-TRY'!K280</f>
        <v/>
      </c>
      <c r="L280" s="7">
        <f>I280+'A-TRY'!L280</f>
        <v/>
      </c>
      <c r="M280" s="7" t="n"/>
      <c r="N280" s="7">
        <f>K280+'A-TRY'!N280</f>
        <v/>
      </c>
      <c r="O280" s="7">
        <f>L280+'A-TRY'!O280</f>
        <v/>
      </c>
      <c r="P280" s="7" t="n"/>
      <c r="Q280" s="7">
        <f>N280+'A-TRY'!Q280</f>
        <v/>
      </c>
      <c r="R280" s="7">
        <f>O280+'A-TRY'!R280</f>
        <v/>
      </c>
      <c r="S280" s="7" t="n"/>
      <c r="T280" s="7">
        <f>Q280+'A-TRY'!T280</f>
        <v/>
      </c>
      <c r="U280" s="7">
        <f>R280+'A-TRY'!U280</f>
        <v/>
      </c>
      <c r="V280" s="7" t="n"/>
      <c r="W280" s="7">
        <f>T280+'A-TRY'!W280</f>
        <v/>
      </c>
      <c r="X280" s="7">
        <f>U280+'A-TRY'!X280</f>
        <v/>
      </c>
      <c r="Y280" s="7" t="n"/>
      <c r="Z280" s="7">
        <f>W280+'A-TRY'!Z280</f>
        <v/>
      </c>
      <c r="AA280" s="7">
        <f>X280+'A-TRY'!AA280</f>
        <v/>
      </c>
      <c r="AB280" s="7" t="n"/>
      <c r="AC280" s="7">
        <f>Z280+'A-TRY'!AC280</f>
        <v/>
      </c>
      <c r="AD280" s="7">
        <f>AA280+'A-TRY'!AD280</f>
        <v/>
      </c>
      <c r="AE280" s="7" t="n"/>
      <c r="AF280" s="7">
        <f>AC280+'A-TRY'!AF280</f>
        <v/>
      </c>
      <c r="AG280" s="7">
        <f>AD280+'A-TRY'!AG280</f>
        <v/>
      </c>
      <c r="AH280" s="7" t="n"/>
      <c r="AI280" s="7">
        <f>AF280+'A-TRY'!AI280</f>
        <v/>
      </c>
      <c r="AJ280" s="7">
        <f>AG280+'A-TRY'!AJ280</f>
        <v/>
      </c>
      <c r="AK280" s="7" t="n"/>
      <c r="AL280" s="21">
        <f>AP280-AO280</f>
        <v/>
      </c>
      <c r="AM280" s="22">
        <f>AP280/AO280-1</f>
        <v/>
      </c>
      <c r="AO280" s="44">
        <f>IF($A$1=$B$1,B280,IF($A$1=$E$1,E280,IF($A$1=$H$1,H280,IF($A$1=$K$1,K280,IF($A$1=$N$1,N280,IF($A$1=$Q$1,Q280,IF($A$1=$T$1,T280,IF($A$1=$W$1,W280,IF($A$1=$Z$1,Z280,IF($A$1=$AC$1,AC280,IF($A$1=$AF$1,AF280,IF($A$1=$AI$1,AI280))))))))))))</f>
        <v/>
      </c>
      <c r="AP280" s="44">
        <f>IF($A$1=$B$1,C280,IF($A$1=$E$1,F280,IF($A$1=$H$1,I280,IF($A$1=$K$1,L280,IF($A$1=$N$1,O280,IF($A$1=$Q$1,R280,IF($A$1=$T$1,U280,IF($A$1=$W$1,X280,IF($A$1=$Z$1,AA280,IF($A$1=$AC$1,AD280,IF($A$1=$AF$1,AG280,IF($A$1=$AI$1,AJ280))))))))))))</f>
        <v/>
      </c>
    </row>
    <row r="281" ht="15.5" customHeight="1">
      <c r="A281" s="26" t="inlineStr">
        <is>
          <t>İnci GS Yuasa</t>
        </is>
      </c>
      <c r="B281" s="7">
        <f>'A-TRY'!B281</f>
        <v/>
      </c>
      <c r="C281" s="7">
        <f>'A-TRY'!C281</f>
        <v/>
      </c>
      <c r="D281" s="7" t="n"/>
      <c r="E281" s="7">
        <f>B281+'A-TRY'!E281</f>
        <v/>
      </c>
      <c r="F281" s="7">
        <f>C281+'A-TRY'!F281</f>
        <v/>
      </c>
      <c r="G281" s="7" t="n"/>
      <c r="H281" s="7">
        <f>E281+'A-TRY'!H281</f>
        <v/>
      </c>
      <c r="I281" s="7">
        <f>F281+'A-TRY'!I281</f>
        <v/>
      </c>
      <c r="J281" s="7" t="n"/>
      <c r="K281" s="7">
        <f>H281+'A-TRY'!K281</f>
        <v/>
      </c>
      <c r="L281" s="7">
        <f>I281+'A-TRY'!L281</f>
        <v/>
      </c>
      <c r="M281" s="7" t="n"/>
      <c r="N281" s="7">
        <f>K281+'A-TRY'!N281</f>
        <v/>
      </c>
      <c r="O281" s="7">
        <f>L281+'A-TRY'!O281</f>
        <v/>
      </c>
      <c r="P281" s="7" t="n"/>
      <c r="Q281" s="7">
        <f>N281+'A-TRY'!Q281</f>
        <v/>
      </c>
      <c r="R281" s="7">
        <f>O281+'A-TRY'!R281</f>
        <v/>
      </c>
      <c r="S281" s="7" t="n"/>
      <c r="T281" s="7">
        <f>Q281+'A-TRY'!T281</f>
        <v/>
      </c>
      <c r="U281" s="7">
        <f>R281+'A-TRY'!U281</f>
        <v/>
      </c>
      <c r="V281" s="7" t="n"/>
      <c r="W281" s="7">
        <f>T281+'A-TRY'!W281</f>
        <v/>
      </c>
      <c r="X281" s="7">
        <f>U281+'A-TRY'!X281</f>
        <v/>
      </c>
      <c r="Y281" s="7" t="n"/>
      <c r="Z281" s="7">
        <f>W281+'A-TRY'!Z281</f>
        <v/>
      </c>
      <c r="AA281" s="7">
        <f>X281+'A-TRY'!AA281</f>
        <v/>
      </c>
      <c r="AB281" s="7" t="n"/>
      <c r="AC281" s="7">
        <f>Z281+'A-TRY'!AC281</f>
        <v/>
      </c>
      <c r="AD281" s="7">
        <f>AA281+'A-TRY'!AD281</f>
        <v/>
      </c>
      <c r="AE281" s="7" t="n"/>
      <c r="AF281" s="7">
        <f>AC281+'A-TRY'!AF281</f>
        <v/>
      </c>
      <c r="AG281" s="7">
        <f>AD281+'A-TRY'!AG281</f>
        <v/>
      </c>
      <c r="AH281" s="7" t="n"/>
      <c r="AI281" s="7">
        <f>AF281+'A-TRY'!AI281</f>
        <v/>
      </c>
      <c r="AJ281" s="7">
        <f>AG281+'A-TRY'!AJ281</f>
        <v/>
      </c>
      <c r="AK281" s="7" t="n"/>
      <c r="AL281" s="21">
        <f>AP281-AO281</f>
        <v/>
      </c>
      <c r="AM281" s="22">
        <f>AP281/AO281-1</f>
        <v/>
      </c>
      <c r="AO281" s="44">
        <f>IF($A$1=$B$1,B281,IF($A$1=$E$1,E281,IF($A$1=$H$1,H281,IF($A$1=$K$1,K281,IF($A$1=$N$1,N281,IF($A$1=$Q$1,Q281,IF($A$1=$T$1,T281,IF($A$1=$W$1,W281,IF($A$1=$Z$1,Z281,IF($A$1=$AC$1,AC281,IF($A$1=$AF$1,AF281,IF($A$1=$AI$1,AI281))))))))))))</f>
        <v/>
      </c>
      <c r="AP281" s="44">
        <f>IF($A$1=$B$1,C281,IF($A$1=$E$1,F281,IF($A$1=$H$1,I281,IF($A$1=$K$1,L281,IF($A$1=$N$1,O281,IF($A$1=$Q$1,R281,IF($A$1=$T$1,U281,IF($A$1=$W$1,X281,IF($A$1=$Z$1,AA281,IF($A$1=$AC$1,AD281,IF($A$1=$AF$1,AG281,IF($A$1=$AI$1,AJ281))))))))))))</f>
        <v/>
      </c>
    </row>
    <row r="282" ht="15.5" customFormat="1" customHeight="1" s="1">
      <c r="A282" s="26" t="inlineStr">
        <is>
          <t>Yusen İnci Loj.</t>
        </is>
      </c>
      <c r="B282" s="7">
        <f>'A-TRY'!B282</f>
        <v/>
      </c>
      <c r="C282" s="7">
        <f>'A-TRY'!C282</f>
        <v/>
      </c>
      <c r="D282" s="8" t="n"/>
      <c r="E282" s="7">
        <f>B282+'A-TRY'!E282</f>
        <v/>
      </c>
      <c r="F282" s="7">
        <f>C282+'A-TRY'!F282</f>
        <v/>
      </c>
      <c r="G282" s="8" t="n"/>
      <c r="H282" s="7">
        <f>E282+'A-TRY'!H282</f>
        <v/>
      </c>
      <c r="I282" s="7">
        <f>F282+'A-TRY'!I282</f>
        <v/>
      </c>
      <c r="J282" s="8" t="n"/>
      <c r="K282" s="7">
        <f>H282+'A-TRY'!K282</f>
        <v/>
      </c>
      <c r="L282" s="7">
        <f>I282+'A-TRY'!L282</f>
        <v/>
      </c>
      <c r="M282" s="8" t="n"/>
      <c r="N282" s="7">
        <f>K282+'A-TRY'!N282</f>
        <v/>
      </c>
      <c r="O282" s="7">
        <f>L282+'A-TRY'!O282</f>
        <v/>
      </c>
      <c r="P282" s="8" t="n"/>
      <c r="Q282" s="7">
        <f>N282+'A-TRY'!Q282</f>
        <v/>
      </c>
      <c r="R282" s="7">
        <f>O282+'A-TRY'!R282</f>
        <v/>
      </c>
      <c r="S282" s="8" t="n"/>
      <c r="T282" s="7">
        <f>Q282+'A-TRY'!T282</f>
        <v/>
      </c>
      <c r="U282" s="7">
        <f>R282+'A-TRY'!U282</f>
        <v/>
      </c>
      <c r="V282" s="8" t="n"/>
      <c r="W282" s="7">
        <f>T282+'A-TRY'!W282</f>
        <v/>
      </c>
      <c r="X282" s="7">
        <f>U282+'A-TRY'!X282</f>
        <v/>
      </c>
      <c r="Y282" s="8" t="n"/>
      <c r="Z282" s="7">
        <f>W282+'A-TRY'!Z282</f>
        <v/>
      </c>
      <c r="AA282" s="7">
        <f>X282+'A-TRY'!AA282</f>
        <v/>
      </c>
      <c r="AB282" s="8" t="n"/>
      <c r="AC282" s="7">
        <f>Z282+'A-TRY'!AC282</f>
        <v/>
      </c>
      <c r="AD282" s="7">
        <f>AA282+'A-TRY'!AD282</f>
        <v/>
      </c>
      <c r="AE282" s="8" t="n"/>
      <c r="AF282" s="7">
        <f>AC282+'A-TRY'!AF282</f>
        <v/>
      </c>
      <c r="AG282" s="7">
        <f>AD282+'A-TRY'!AG282</f>
        <v/>
      </c>
      <c r="AH282" s="8" t="n"/>
      <c r="AI282" s="7">
        <f>AF282+'A-TRY'!AI282</f>
        <v/>
      </c>
      <c r="AJ282" s="7">
        <f>AG282+'A-TRY'!AJ282</f>
        <v/>
      </c>
      <c r="AK282" s="8" t="n"/>
      <c r="AL282" s="21">
        <f>AP282-AO282</f>
        <v/>
      </c>
      <c r="AM282" s="22">
        <f>AP282/AO282-1</f>
        <v/>
      </c>
      <c r="AO282" s="44">
        <f>IF($A$1=$B$1,B282,IF($A$1=$E$1,E282,IF($A$1=$H$1,H282,IF($A$1=$K$1,K282,IF($A$1=$N$1,N282,IF($A$1=$Q$1,Q282,IF($A$1=$T$1,T282,IF($A$1=$W$1,W282,IF($A$1=$Z$1,Z282,IF($A$1=$AC$1,AC282,IF($A$1=$AF$1,AF282,IF($A$1=$AI$1,AI282))))))))))))</f>
        <v/>
      </c>
      <c r="AP282" s="44">
        <f>IF($A$1=$B$1,C282,IF($A$1=$E$1,F282,IF($A$1=$H$1,I282,IF($A$1=$K$1,L282,IF($A$1=$N$1,O282,IF($A$1=$Q$1,R282,IF($A$1=$T$1,U282,IF($A$1=$W$1,X282,IF($A$1=$Z$1,AA282,IF($A$1=$AC$1,AD282,IF($A$1=$AF$1,AG282,IF($A$1=$AI$1,AJ282))))))))))))</f>
        <v/>
      </c>
    </row>
    <row r="283" ht="15.5" customHeight="1">
      <c r="A283" s="26" t="inlineStr">
        <is>
          <t>Jantaş</t>
        </is>
      </c>
      <c r="B283" s="7">
        <f>'A-TRY'!B283</f>
        <v/>
      </c>
      <c r="C283" s="7">
        <f>'A-TRY'!C283</f>
        <v/>
      </c>
      <c r="D283" s="7" t="n"/>
      <c r="E283" s="7">
        <f>B283+'A-TRY'!E283</f>
        <v/>
      </c>
      <c r="F283" s="7">
        <f>C283+'A-TRY'!F283</f>
        <v/>
      </c>
      <c r="G283" s="7" t="n"/>
      <c r="H283" s="7">
        <f>E283+'A-TRY'!H283</f>
        <v/>
      </c>
      <c r="I283" s="7">
        <f>F283+'A-TRY'!I283</f>
        <v/>
      </c>
      <c r="J283" s="7" t="n"/>
      <c r="K283" s="7">
        <f>H283+'A-TRY'!K283</f>
        <v/>
      </c>
      <c r="L283" s="7">
        <f>I283+'A-TRY'!L283</f>
        <v/>
      </c>
      <c r="M283" s="7" t="n"/>
      <c r="N283" s="7">
        <f>K283+'A-TRY'!N283</f>
        <v/>
      </c>
      <c r="O283" s="7">
        <f>L283+'A-TRY'!O283</f>
        <v/>
      </c>
      <c r="P283" s="7" t="n"/>
      <c r="Q283" s="7">
        <f>N283+'A-TRY'!Q283</f>
        <v/>
      </c>
      <c r="R283" s="7">
        <f>O283+'A-TRY'!R283</f>
        <v/>
      </c>
      <c r="S283" s="7" t="n"/>
      <c r="T283" s="7">
        <f>Q283+'A-TRY'!T283</f>
        <v/>
      </c>
      <c r="U283" s="7">
        <f>R283+'A-TRY'!U283</f>
        <v/>
      </c>
      <c r="V283" s="7" t="n"/>
      <c r="W283" s="7">
        <f>T283+'A-TRY'!W283</f>
        <v/>
      </c>
      <c r="X283" s="7">
        <f>U283+'A-TRY'!X283</f>
        <v/>
      </c>
      <c r="Y283" s="7" t="n"/>
      <c r="Z283" s="7">
        <f>W283+'A-TRY'!Z283</f>
        <v/>
      </c>
      <c r="AA283" s="7">
        <f>X283+'A-TRY'!AA283</f>
        <v/>
      </c>
      <c r="AB283" s="7" t="n"/>
      <c r="AC283" s="7">
        <f>Z283+'A-TRY'!AC283</f>
        <v/>
      </c>
      <c r="AD283" s="7">
        <f>AA283+'A-TRY'!AD283</f>
        <v/>
      </c>
      <c r="AE283" s="7" t="n"/>
      <c r="AF283" s="7">
        <f>AC283+'A-TRY'!AF283</f>
        <v/>
      </c>
      <c r="AG283" s="7">
        <f>AD283+'A-TRY'!AG283</f>
        <v/>
      </c>
      <c r="AH283" s="7" t="n"/>
      <c r="AI283" s="7">
        <f>AF283+'A-TRY'!AI283</f>
        <v/>
      </c>
      <c r="AJ283" s="7">
        <f>AG283+'A-TRY'!AJ283</f>
        <v/>
      </c>
      <c r="AK283" s="7" t="n"/>
      <c r="AL283" s="21">
        <f>AP283-AO283</f>
        <v/>
      </c>
      <c r="AM283" s="22">
        <f>AP283/AO283-1</f>
        <v/>
      </c>
      <c r="AO283" s="44">
        <f>IF($A$1=$B$1,B283,IF($A$1=$E$1,E283,IF($A$1=$H$1,H283,IF($A$1=$K$1,K283,IF($A$1=$N$1,N283,IF($A$1=$Q$1,Q283,IF($A$1=$T$1,T283,IF($A$1=$W$1,W283,IF($A$1=$Z$1,Z283,IF($A$1=$AC$1,AC283,IF($A$1=$AF$1,AF283,IF($A$1=$AI$1,AI283))))))))))))</f>
        <v/>
      </c>
      <c r="AP283" s="44">
        <f>IF($A$1=$B$1,C283,IF($A$1=$E$1,F283,IF($A$1=$H$1,I283,IF($A$1=$K$1,L283,IF($A$1=$N$1,O283,IF($A$1=$Q$1,R283,IF($A$1=$T$1,U283,IF($A$1=$W$1,X283,IF($A$1=$Z$1,AA283,IF($A$1=$AC$1,AD283,IF($A$1=$AF$1,AG283,IF($A$1=$AI$1,AJ283))))))))))))</f>
        <v/>
      </c>
    </row>
    <row r="284" ht="15.5" customFormat="1" customHeight="1" s="1">
      <c r="A284" s="26" t="inlineStr">
        <is>
          <t>Çelik</t>
        </is>
      </c>
      <c r="B284" s="7">
        <f>'A-TRY'!B284</f>
        <v/>
      </c>
      <c r="C284" s="7">
        <f>'A-TRY'!C284</f>
        <v/>
      </c>
      <c r="D284" s="8" t="n"/>
      <c r="E284" s="7">
        <f>B284+'A-TRY'!E284</f>
        <v/>
      </c>
      <c r="F284" s="7">
        <f>C284+'A-TRY'!F284</f>
        <v/>
      </c>
      <c r="G284" s="8" t="n"/>
      <c r="H284" s="7">
        <f>E284+'A-TRY'!H284</f>
        <v/>
      </c>
      <c r="I284" s="7">
        <f>F284+'A-TRY'!I284</f>
        <v/>
      </c>
      <c r="J284" s="8" t="n"/>
      <c r="K284" s="7">
        <f>H284+'A-TRY'!K284</f>
        <v/>
      </c>
      <c r="L284" s="7">
        <f>I284+'A-TRY'!L284</f>
        <v/>
      </c>
      <c r="M284" s="8" t="n"/>
      <c r="N284" s="7">
        <f>K284+'A-TRY'!N284</f>
        <v/>
      </c>
      <c r="O284" s="7">
        <f>L284+'A-TRY'!O284</f>
        <v/>
      </c>
      <c r="P284" s="8" t="n"/>
      <c r="Q284" s="7">
        <f>N284+'A-TRY'!Q284</f>
        <v/>
      </c>
      <c r="R284" s="7">
        <f>O284+'A-TRY'!R284</f>
        <v/>
      </c>
      <c r="S284" s="8" t="n"/>
      <c r="T284" s="7">
        <f>Q284+'A-TRY'!T284</f>
        <v/>
      </c>
      <c r="U284" s="7">
        <f>R284+'A-TRY'!U284</f>
        <v/>
      </c>
      <c r="V284" s="8" t="n"/>
      <c r="W284" s="7">
        <f>T284+'A-TRY'!W284</f>
        <v/>
      </c>
      <c r="X284" s="7">
        <f>U284+'A-TRY'!X284</f>
        <v/>
      </c>
      <c r="Y284" s="8" t="n"/>
      <c r="Z284" s="7">
        <f>W284+'A-TRY'!Z284</f>
        <v/>
      </c>
      <c r="AA284" s="7">
        <f>X284+'A-TRY'!AA284</f>
        <v/>
      </c>
      <c r="AB284" s="8" t="n"/>
      <c r="AC284" s="7">
        <f>Z284+'A-TRY'!AC284</f>
        <v/>
      </c>
      <c r="AD284" s="7">
        <f>AA284+'A-TRY'!AD284</f>
        <v/>
      </c>
      <c r="AE284" s="8" t="n"/>
      <c r="AF284" s="7">
        <f>AC284+'A-TRY'!AF284</f>
        <v/>
      </c>
      <c r="AG284" s="7">
        <f>AD284+'A-TRY'!AG284</f>
        <v/>
      </c>
      <c r="AH284" s="8" t="n"/>
      <c r="AI284" s="7">
        <f>AF284+'A-TRY'!AI284</f>
        <v/>
      </c>
      <c r="AJ284" s="7">
        <f>AG284+'A-TRY'!AJ284</f>
        <v/>
      </c>
      <c r="AK284" s="8" t="n"/>
      <c r="AL284" s="21">
        <f>AP284-AO284</f>
        <v/>
      </c>
      <c r="AM284" s="22">
        <f>AP284/AO284-1</f>
        <v/>
      </c>
      <c r="AO284" s="44">
        <f>IF($A$1=$B$1,B284,IF($A$1=$E$1,E284,IF($A$1=$H$1,H284,IF($A$1=$K$1,K284,IF($A$1=$N$1,N284,IF($A$1=$Q$1,Q284,IF($A$1=$T$1,T284,IF($A$1=$W$1,W284,IF($A$1=$Z$1,Z284,IF($A$1=$AC$1,AC284,IF($A$1=$AF$1,AF284,IF($A$1=$AI$1,AI284))))))))))))</f>
        <v/>
      </c>
      <c r="AP284" s="44">
        <f>IF($A$1=$B$1,C284,IF($A$1=$E$1,F284,IF($A$1=$H$1,I284,IF($A$1=$K$1,L284,IF($A$1=$N$1,O284,IF($A$1=$Q$1,R284,IF($A$1=$T$1,U284,IF($A$1=$W$1,X284,IF($A$1=$Z$1,AA284,IF($A$1=$AC$1,AD284,IF($A$1=$AF$1,AG284,IF($A$1=$AI$1,AJ284))))))))))))</f>
        <v/>
      </c>
    </row>
    <row r="285" ht="15.5" customFormat="1" customHeight="1" s="1">
      <c r="A285" s="26" t="inlineStr">
        <is>
          <t>Alüminyum</t>
        </is>
      </c>
      <c r="B285" s="7">
        <f>'A-TRY'!B285</f>
        <v/>
      </c>
      <c r="C285" s="7">
        <f>'A-TRY'!C285</f>
        <v/>
      </c>
      <c r="D285" s="8" t="n"/>
      <c r="E285" s="7">
        <f>B285+'A-TRY'!E285</f>
        <v/>
      </c>
      <c r="F285" s="7">
        <f>C285+'A-TRY'!F285</f>
        <v/>
      </c>
      <c r="G285" s="8" t="n"/>
      <c r="H285" s="7">
        <f>E285+'A-TRY'!H285</f>
        <v/>
      </c>
      <c r="I285" s="7">
        <f>F285+'A-TRY'!I285</f>
        <v/>
      </c>
      <c r="J285" s="8" t="n"/>
      <c r="K285" s="7">
        <f>H285+'A-TRY'!K285</f>
        <v/>
      </c>
      <c r="L285" s="7">
        <f>I285+'A-TRY'!L285</f>
        <v/>
      </c>
      <c r="M285" s="8" t="n"/>
      <c r="N285" s="7">
        <f>K285+'A-TRY'!N285</f>
        <v/>
      </c>
      <c r="O285" s="7">
        <f>L285+'A-TRY'!O285</f>
        <v/>
      </c>
      <c r="P285" s="8" t="n"/>
      <c r="Q285" s="7">
        <f>N285+'A-TRY'!Q285</f>
        <v/>
      </c>
      <c r="R285" s="7">
        <f>O285+'A-TRY'!R285</f>
        <v/>
      </c>
      <c r="S285" s="8" t="n"/>
      <c r="T285" s="7">
        <f>Q285+'A-TRY'!T285</f>
        <v/>
      </c>
      <c r="U285" s="7">
        <f>R285+'A-TRY'!U285</f>
        <v/>
      </c>
      <c r="V285" s="8" t="n"/>
      <c r="W285" s="7">
        <f>T285+'A-TRY'!W285</f>
        <v/>
      </c>
      <c r="X285" s="7">
        <f>U285+'A-TRY'!X285</f>
        <v/>
      </c>
      <c r="Y285" s="8" t="n"/>
      <c r="Z285" s="7">
        <f>W285+'A-TRY'!Z285</f>
        <v/>
      </c>
      <c r="AA285" s="7">
        <f>X285+'A-TRY'!AA285</f>
        <v/>
      </c>
      <c r="AB285" s="8" t="n"/>
      <c r="AC285" s="7">
        <f>Z285+'A-TRY'!AC285</f>
        <v/>
      </c>
      <c r="AD285" s="7">
        <f>AA285+'A-TRY'!AD285</f>
        <v/>
      </c>
      <c r="AE285" s="8" t="n"/>
      <c r="AF285" s="7">
        <f>AC285+'A-TRY'!AF285</f>
        <v/>
      </c>
      <c r="AG285" s="7">
        <f>AD285+'A-TRY'!AG285</f>
        <v/>
      </c>
      <c r="AH285" s="8" t="n"/>
      <c r="AI285" s="7">
        <f>AF285+'A-TRY'!AI285</f>
        <v/>
      </c>
      <c r="AJ285" s="7">
        <f>AG285+'A-TRY'!AJ285</f>
        <v/>
      </c>
      <c r="AK285" s="8" t="n"/>
      <c r="AL285" s="21">
        <f>AP285-AO285</f>
        <v/>
      </c>
      <c r="AM285" s="22">
        <f>AP285/AO285-1</f>
        <v/>
      </c>
      <c r="AO285" s="44">
        <f>IF($A$1=$B$1,B285,IF($A$1=$E$1,E285,IF($A$1=$H$1,H285,IF($A$1=$K$1,K285,IF($A$1=$N$1,N285,IF($A$1=$Q$1,Q285,IF($A$1=$T$1,T285,IF($A$1=$W$1,W285,IF($A$1=$Z$1,Z285,IF($A$1=$AC$1,AC285,IF($A$1=$AF$1,AF285,IF($A$1=$AI$1,AI285))))))))))))</f>
        <v/>
      </c>
      <c r="AP285" s="44">
        <f>IF($A$1=$B$1,C285,IF($A$1=$E$1,F285,IF($A$1=$H$1,I285,IF($A$1=$K$1,L285,IF($A$1=$N$1,O285,IF($A$1=$Q$1,R285,IF($A$1=$T$1,U285,IF($A$1=$W$1,X285,IF($A$1=$Z$1,AA285,IF($A$1=$AC$1,AD285,IF($A$1=$AF$1,AG285,IF($A$1=$AI$1,AJ285))))))))))))</f>
        <v/>
      </c>
    </row>
    <row r="286" ht="15.5" customFormat="1" customHeight="1" s="1">
      <c r="A286" s="26" t="n"/>
      <c r="B286" s="7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7" t="n"/>
      <c r="R286" s="8" t="n"/>
      <c r="S286" s="8" t="n"/>
      <c r="T286" s="7" t="n"/>
      <c r="U286" s="8" t="n"/>
      <c r="V286" s="8" t="n"/>
      <c r="W286" s="7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15" t="n"/>
      <c r="AM286" s="16" t="n"/>
      <c r="AO286" s="44" t="n"/>
      <c r="AP286" s="44" t="n"/>
    </row>
    <row r="287" ht="15.5" customFormat="1" customHeight="1" s="1">
      <c r="A287" s="26" t="n"/>
      <c r="B287" s="7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7" t="n"/>
      <c r="R287" s="8" t="n"/>
      <c r="S287" s="8" t="n"/>
      <c r="T287" s="7" t="n"/>
      <c r="U287" s="8" t="n"/>
      <c r="V287" s="8" t="n"/>
      <c r="W287" s="7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15" t="n"/>
      <c r="AM287" s="16" t="n"/>
      <c r="AO287" s="44" t="n"/>
      <c r="AP287" s="44" t="n"/>
    </row>
    <row r="288" ht="15.5" customFormat="1" customHeight="1" s="44">
      <c r="A288" s="31" t="inlineStr">
        <is>
          <t>Operasyonel Nakit</t>
        </is>
      </c>
      <c r="B288" s="32">
        <f>'A-TRY'!B287</f>
        <v/>
      </c>
      <c r="C288" s="32">
        <f>'A-TRY'!C287</f>
        <v/>
      </c>
      <c r="D288" s="18" t="n"/>
      <c r="E288" s="32">
        <f>B288+'A-TRY'!E287</f>
        <v/>
      </c>
      <c r="F288" s="32">
        <f>C288+'A-TRY'!F287</f>
        <v/>
      </c>
      <c r="G288" s="18" t="n"/>
      <c r="H288" s="32">
        <f>E288+'A-TRY'!H287</f>
        <v/>
      </c>
      <c r="I288" s="32">
        <f>F288+'A-TRY'!I287</f>
        <v/>
      </c>
      <c r="J288" s="18" t="n"/>
      <c r="K288" s="32">
        <f>H288+'A-TRY'!K287</f>
        <v/>
      </c>
      <c r="L288" s="32">
        <f>I288+'A-TRY'!L287</f>
        <v/>
      </c>
      <c r="M288" s="7" t="n"/>
      <c r="N288" s="32">
        <f>K288+'A-TRY'!N287</f>
        <v/>
      </c>
      <c r="O288" s="32">
        <f>L288+'A-TRY'!O287</f>
        <v/>
      </c>
      <c r="P288" s="18" t="n"/>
      <c r="Q288" s="32">
        <f>N288+'A-TRY'!Q287</f>
        <v/>
      </c>
      <c r="R288" s="32">
        <f>O288+'A-TRY'!R287</f>
        <v/>
      </c>
      <c r="S288" s="18" t="n"/>
      <c r="T288" s="32">
        <f>Q288+'A-TRY'!T287</f>
        <v/>
      </c>
      <c r="U288" s="32">
        <f>R288+'A-TRY'!U287</f>
        <v/>
      </c>
      <c r="V288" s="18" t="n"/>
      <c r="W288" s="32">
        <f>T288+'A-TRY'!W287</f>
        <v/>
      </c>
      <c r="X288" s="32">
        <f>U288+'A-TRY'!X287</f>
        <v/>
      </c>
      <c r="Y288" s="18" t="n"/>
      <c r="Z288" s="32">
        <f>W288+'A-TRY'!Z287</f>
        <v/>
      </c>
      <c r="AA288" s="32">
        <f>X288+'A-TRY'!AA287</f>
        <v/>
      </c>
      <c r="AB288" s="18" t="n"/>
      <c r="AC288" s="32">
        <f>Z288+'A-TRY'!AC287</f>
        <v/>
      </c>
      <c r="AD288" s="32">
        <f>AA288+'A-TRY'!AD287</f>
        <v/>
      </c>
      <c r="AE288" s="18" t="n"/>
      <c r="AF288" s="32">
        <f>AC288+'A-TRY'!AF287</f>
        <v/>
      </c>
      <c r="AG288" s="32">
        <f>AD288+'A-TRY'!AG287</f>
        <v/>
      </c>
      <c r="AH288" s="18" t="n"/>
      <c r="AI288" s="32">
        <f>AF288+'A-TRY'!AI287</f>
        <v/>
      </c>
      <c r="AJ288" s="32">
        <f>AG288+'A-TRY'!AJ287</f>
        <v/>
      </c>
      <c r="AK288" s="18" t="n"/>
      <c r="AL288" s="33">
        <f>AP288-AO288</f>
        <v/>
      </c>
      <c r="AM288" s="34">
        <f>AP288/AO288-1</f>
        <v/>
      </c>
      <c r="AO288" s="44">
        <f>IF($A$1=$B$1,B288,IF($A$1=$E$1,E288,IF($A$1=$H$1,H288,IF($A$1=$K$1,K288,IF($A$1=$N$1,N288,IF($A$1=$Q$1,Q288,IF($A$1=$T$1,T288,IF($A$1=$W$1,W288,IF($A$1=$Z$1,Z288,IF($A$1=$AC$1,AC288,IF($A$1=$AF$1,AF288,IF($A$1=$AI$1,AI288))))))))))))</f>
        <v/>
      </c>
      <c r="AP288" s="44">
        <f>IF($A$1=$B$1,C288,IF($A$1=$E$1,F288,IF($A$1=$H$1,I288,IF($A$1=$K$1,L288,IF($A$1=$N$1,O288,IF($A$1=$Q$1,R288,IF($A$1=$T$1,U288,IF($A$1=$W$1,X288,IF($A$1=$Z$1,AA288,IF($A$1=$AC$1,AD288,IF($A$1=$AF$1,AG288,IF($A$1=$AI$1,AJ288))))))))))))</f>
        <v/>
      </c>
    </row>
    <row r="289" ht="15.5" customFormat="1" customHeight="1" s="13">
      <c r="A289" s="27" t="n"/>
      <c r="B289" s="30" t="n"/>
      <c r="C289" s="30">
        <f>IFERROR((C246/#REF!),"")</f>
        <v/>
      </c>
      <c r="D289" s="41" t="n"/>
      <c r="E289" s="30" t="n"/>
      <c r="F289" s="30">
        <f>IFERROR((F246/#REF!),"")</f>
        <v/>
      </c>
      <c r="G289" s="41" t="n"/>
      <c r="H289" s="30" t="n"/>
      <c r="I289" s="30">
        <f>IFERROR((I246/#REF!),"")</f>
        <v/>
      </c>
      <c r="J289" s="41" t="n"/>
      <c r="K289" s="30" t="n"/>
      <c r="L289" s="30">
        <f>IFERROR((L246/#REF!),"")</f>
        <v/>
      </c>
      <c r="M289" s="41" t="n"/>
      <c r="N289" s="30" t="n"/>
      <c r="O289" s="30">
        <f>IFERROR((O246/#REF!),"")</f>
        <v/>
      </c>
      <c r="P289" s="41" t="n"/>
      <c r="Q289" s="30" t="n"/>
      <c r="R289" s="30">
        <f>IFERROR((R246/#REF!),"")</f>
        <v/>
      </c>
      <c r="S289" s="41" t="n"/>
      <c r="T289" s="30" t="n"/>
      <c r="U289" s="30">
        <f>IFERROR((U246/#REF!),"")</f>
        <v/>
      </c>
      <c r="V289" s="41" t="n"/>
      <c r="W289" s="30" t="n"/>
      <c r="X289" s="30">
        <f>IFERROR((X246/#REF!),"")</f>
        <v/>
      </c>
      <c r="Y289" s="41" t="n"/>
      <c r="Z289" s="30" t="n"/>
      <c r="AA289" s="30">
        <f>IFERROR((AA246/#REF!),"")</f>
        <v/>
      </c>
      <c r="AB289" s="41" t="n"/>
      <c r="AC289" s="30" t="n"/>
      <c r="AD289" s="30">
        <f>IFERROR((AD246/#REF!),"")</f>
        <v/>
      </c>
      <c r="AE289" s="41" t="n"/>
      <c r="AF289" s="30" t="n"/>
      <c r="AG289" s="30">
        <f>IFERROR((AG246/#REF!),"")</f>
        <v/>
      </c>
      <c r="AH289" s="41" t="n"/>
      <c r="AI289" s="30" t="n"/>
      <c r="AJ289" s="30">
        <f>IFERROR((AJ246/#REF!),"")</f>
        <v/>
      </c>
      <c r="AK289" s="41" t="n"/>
      <c r="AL289" s="15" t="n"/>
      <c r="AM289" s="22" t="n"/>
      <c r="AO289" s="44">
        <f>IF($A$1=$B$1,B289,IF($A$1=$E$1,E289,IF($A$1=$H$1,H289,IF($A$1=$K$1,K289,IF($A$1=$N$1,N289,IF($A$1=$Q$1,Q289,IF($A$1=$T$1,T289,IF($A$1=$W$1,W289,IF($A$1=$Z$1,Z289,IF($A$1=$AC$1,AC289,IF($A$1=$AF$1,AF289,IF($A$1=$AI$1,AI289))))))))))))</f>
        <v/>
      </c>
      <c r="AP289" s="44">
        <f>IF($A$1=$B$1,C289,IF($A$1=$E$1,F289,IF($A$1=$H$1,I289,IF($A$1=$K$1,L289,IF($A$1=$N$1,O289,IF($A$1=$Q$1,R289,IF($A$1=$T$1,U289,IF($A$1=$W$1,X289,IF($A$1=$Z$1,AA289,IF($A$1=$AC$1,AD289,IF($A$1=$AF$1,AG289,IF($A$1=$AI$1,AJ289))))))))))))</f>
        <v/>
      </c>
    </row>
    <row r="290" ht="17" customFormat="1" customHeight="1" s="49">
      <c r="A290" s="47" t="inlineStr">
        <is>
          <t>Operasyonel Nakit (100%)</t>
        </is>
      </c>
      <c r="B290" s="413" t="n"/>
      <c r="C290" s="413" t="n"/>
      <c r="D290" s="413" t="n"/>
      <c r="E290" s="413" t="n"/>
      <c r="F290" s="413" t="n"/>
      <c r="G290" s="413" t="n"/>
      <c r="H290" s="413" t="n"/>
      <c r="I290" s="413" t="n"/>
      <c r="J290" s="413" t="n"/>
      <c r="K290" s="413" t="n"/>
      <c r="L290" s="413" t="n"/>
      <c r="M290" s="413" t="n"/>
      <c r="N290" s="413" t="n"/>
      <c r="O290" s="413" t="n"/>
      <c r="P290" s="413" t="n"/>
      <c r="Q290" s="413" t="n"/>
      <c r="R290" s="413" t="n"/>
      <c r="S290" s="413" t="n"/>
      <c r="T290" s="413" t="n"/>
      <c r="U290" s="413" t="n"/>
      <c r="V290" s="413" t="n"/>
      <c r="W290" s="413" t="n"/>
      <c r="X290" s="413" t="n"/>
      <c r="Y290" s="413" t="n"/>
      <c r="Z290" s="413" t="n"/>
      <c r="AA290" s="413" t="n"/>
      <c r="AB290" s="413" t="n"/>
      <c r="AC290" s="413" t="n"/>
      <c r="AD290" s="413" t="n"/>
      <c r="AE290" s="413" t="n"/>
      <c r="AF290" s="413" t="n"/>
      <c r="AG290" s="413" t="n"/>
      <c r="AH290" s="413" t="n"/>
      <c r="AI290" s="413" t="n"/>
      <c r="AJ290" s="413" t="n"/>
      <c r="AK290" s="413" t="n"/>
      <c r="AL290" s="413" t="n"/>
      <c r="AM290" s="48" t="n"/>
    </row>
    <row r="291" ht="15.5" customHeight="1">
      <c r="A291" s="26" t="inlineStr">
        <is>
          <t xml:space="preserve">İnci Holding </t>
        </is>
      </c>
      <c r="B291" s="7">
        <f>'A-TRY'!B290</f>
        <v/>
      </c>
      <c r="C291" s="7">
        <f>'A-TRY'!C290</f>
        <v/>
      </c>
      <c r="D291" s="7" t="n"/>
      <c r="E291" s="7">
        <f>B291+'A-TRY'!E290</f>
        <v/>
      </c>
      <c r="F291" s="7">
        <f>C291+'A-TRY'!F290</f>
        <v/>
      </c>
      <c r="G291" s="7" t="n"/>
      <c r="H291" s="7">
        <f>E291+'A-TRY'!H290</f>
        <v/>
      </c>
      <c r="I291" s="7">
        <f>F291+'A-TRY'!I290</f>
        <v/>
      </c>
      <c r="J291" s="7" t="n"/>
      <c r="K291" s="7">
        <f>H291+'A-TRY'!K290</f>
        <v/>
      </c>
      <c r="L291" s="7">
        <f>I291+'A-TRY'!L290</f>
        <v/>
      </c>
      <c r="M291" s="7" t="n"/>
      <c r="N291" s="7">
        <f>K291+'A-TRY'!N290</f>
        <v/>
      </c>
      <c r="O291" s="7">
        <f>L291+'A-TRY'!O290</f>
        <v/>
      </c>
      <c r="P291" s="7" t="n"/>
      <c r="Q291" s="7">
        <f>N291+'A-TRY'!Q290</f>
        <v/>
      </c>
      <c r="R291" s="7">
        <f>O291+'A-TRY'!R290</f>
        <v/>
      </c>
      <c r="S291" s="7" t="n"/>
      <c r="T291" s="7">
        <f>Q291+'A-TRY'!T290</f>
        <v/>
      </c>
      <c r="U291" s="7">
        <f>R291+'A-TRY'!U290</f>
        <v/>
      </c>
      <c r="V291" s="7" t="n"/>
      <c r="W291" s="7">
        <f>T291+'A-TRY'!W290</f>
        <v/>
      </c>
      <c r="X291" s="7">
        <f>U291+'A-TRY'!X290</f>
        <v/>
      </c>
      <c r="Y291" s="7" t="n"/>
      <c r="Z291" s="7">
        <f>W291+'A-TRY'!Z290</f>
        <v/>
      </c>
      <c r="AA291" s="7">
        <f>X291+'A-TRY'!AA290</f>
        <v/>
      </c>
      <c r="AB291" s="7" t="n"/>
      <c r="AC291" s="7">
        <f>Z291+'A-TRY'!AC290</f>
        <v/>
      </c>
      <c r="AD291" s="7">
        <f>AA291+'A-TRY'!AD290</f>
        <v/>
      </c>
      <c r="AE291" s="7" t="n"/>
      <c r="AF291" s="7">
        <f>AC291+'A-TRY'!AF290</f>
        <v/>
      </c>
      <c r="AG291" s="7">
        <f>AD291+'A-TRY'!AG290</f>
        <v/>
      </c>
      <c r="AH291" s="7" t="n"/>
      <c r="AI291" s="7">
        <f>AF291+'A-TRY'!AI290</f>
        <v/>
      </c>
      <c r="AJ291" s="7">
        <f>AG291+'A-TRY'!AJ290</f>
        <v/>
      </c>
      <c r="AK291" s="7" t="n"/>
      <c r="AL291" s="21">
        <f>AP291-AO291</f>
        <v/>
      </c>
      <c r="AM291" s="22">
        <f>AP291/AO291-1</f>
        <v/>
      </c>
      <c r="AO291" s="44">
        <f>IF($A$1=$B$1,B291,IF($A$1=$E$1,E291,IF($A$1=$H$1,H291,IF($A$1=$K$1,K291,IF($A$1=$N$1,N291,IF($A$1=$Q$1,Q291,IF($A$1=$T$1,T291,IF($A$1=$W$1,W291,IF($A$1=$Z$1,Z291,IF($A$1=$AC$1,AC291,IF($A$1=$AF$1,AF291,IF($A$1=$AI$1,AI291))))))))))))</f>
        <v/>
      </c>
      <c r="AP291" s="44">
        <f>IF($A$1=$B$1,C291,IF($A$1=$E$1,F291,IF($A$1=$H$1,I291,IF($A$1=$K$1,L291,IF($A$1=$N$1,O291,IF($A$1=$Q$1,R291,IF($A$1=$T$1,U291,IF($A$1=$W$1,X291,IF($A$1=$Z$1,AA291,IF($A$1=$AC$1,AD291,IF($A$1=$AF$1,AG291,IF($A$1=$AI$1,AJ291))))))))))))</f>
        <v/>
      </c>
    </row>
    <row r="292" ht="15.5" customHeight="1">
      <c r="A292" s="26" t="inlineStr">
        <is>
          <t xml:space="preserve">ISM </t>
        </is>
      </c>
      <c r="B292" s="7">
        <f>'A-TRY'!B291</f>
        <v/>
      </c>
      <c r="C292" s="7">
        <f>'A-TRY'!C291</f>
        <v/>
      </c>
      <c r="D292" s="7" t="n"/>
      <c r="E292" s="7">
        <f>B292+'A-TRY'!E291</f>
        <v/>
      </c>
      <c r="F292" s="7">
        <f>C292+'A-TRY'!F291</f>
        <v/>
      </c>
      <c r="G292" s="7" t="n"/>
      <c r="H292" s="7">
        <f>E292+'A-TRY'!H291</f>
        <v/>
      </c>
      <c r="I292" s="7">
        <f>F292+'A-TRY'!I291</f>
        <v/>
      </c>
      <c r="J292" s="7" t="n"/>
      <c r="K292" s="7">
        <f>H292+'A-TRY'!K291</f>
        <v/>
      </c>
      <c r="L292" s="7">
        <f>I292+'A-TRY'!L291</f>
        <v/>
      </c>
      <c r="M292" s="7" t="n"/>
      <c r="N292" s="7">
        <f>K292+'A-TRY'!N291</f>
        <v/>
      </c>
      <c r="O292" s="7">
        <f>L292+'A-TRY'!O291</f>
        <v/>
      </c>
      <c r="P292" s="7" t="n"/>
      <c r="Q292" s="7">
        <f>N292+'A-TRY'!Q291</f>
        <v/>
      </c>
      <c r="R292" s="7">
        <f>O292+'A-TRY'!R291</f>
        <v/>
      </c>
      <c r="S292" s="7" t="n"/>
      <c r="T292" s="7">
        <f>Q292+'A-TRY'!T291</f>
        <v/>
      </c>
      <c r="U292" s="7">
        <f>R292+'A-TRY'!U291</f>
        <v/>
      </c>
      <c r="V292" s="7" t="n"/>
      <c r="W292" s="7">
        <f>T292+'A-TRY'!W291</f>
        <v/>
      </c>
      <c r="X292" s="7">
        <f>U292+'A-TRY'!X291</f>
        <v/>
      </c>
      <c r="Y292" s="7" t="n"/>
      <c r="Z292" s="7">
        <f>W292+'A-TRY'!Z291</f>
        <v/>
      </c>
      <c r="AA292" s="7">
        <f>X292+'A-TRY'!AA291</f>
        <v/>
      </c>
      <c r="AB292" s="7" t="n"/>
      <c r="AC292" s="7">
        <f>Z292+'A-TRY'!AC291</f>
        <v/>
      </c>
      <c r="AD292" s="7">
        <f>AA292+'A-TRY'!AD291</f>
        <v/>
      </c>
      <c r="AE292" s="7" t="n"/>
      <c r="AF292" s="7">
        <f>AC292+'A-TRY'!AF291</f>
        <v/>
      </c>
      <c r="AG292" s="7">
        <f>AD292+'A-TRY'!AG291</f>
        <v/>
      </c>
      <c r="AH292" s="7" t="n"/>
      <c r="AI292" s="7">
        <f>AF292+'A-TRY'!AI291</f>
        <v/>
      </c>
      <c r="AJ292" s="7">
        <f>AG292+'A-TRY'!AJ291</f>
        <v/>
      </c>
      <c r="AK292" s="7" t="n"/>
      <c r="AL292" s="21">
        <f>AP292-AO292</f>
        <v/>
      </c>
      <c r="AM292" s="22">
        <f>AP292/AO292-1</f>
        <v/>
      </c>
      <c r="AO292" s="44">
        <f>IF($A$1=$B$1,B292,IF($A$1=$E$1,E292,IF($A$1=$H$1,H292,IF($A$1=$K$1,K292,IF($A$1=$N$1,N292,IF($A$1=$Q$1,Q292,IF($A$1=$T$1,T292,IF($A$1=$W$1,W292,IF($A$1=$Z$1,Z292,IF($A$1=$AC$1,AC292,IF($A$1=$AF$1,AF292,IF($A$1=$AI$1,AI292))))))))))))</f>
        <v/>
      </c>
      <c r="AP292" s="44">
        <f>IF($A$1=$B$1,C292,IF($A$1=$E$1,F292,IF($A$1=$H$1,I292,IF($A$1=$K$1,L292,IF($A$1=$N$1,O292,IF($A$1=$Q$1,R292,IF($A$1=$T$1,U292,IF($A$1=$W$1,X292,IF($A$1=$Z$1,AA292,IF($A$1=$AC$1,AD292,IF($A$1=$AF$1,AG292,IF($A$1=$AI$1,AJ292))))))))))))</f>
        <v/>
      </c>
    </row>
    <row r="293" ht="15.5" customHeight="1">
      <c r="A293" s="26" t="inlineStr">
        <is>
          <t>İncitaş</t>
        </is>
      </c>
      <c r="B293" s="7">
        <f>'A-TRY'!B292</f>
        <v/>
      </c>
      <c r="C293" s="7">
        <f>'A-TRY'!C292</f>
        <v/>
      </c>
      <c r="D293" s="7" t="n"/>
      <c r="E293" s="7">
        <f>B293+'A-TRY'!E292</f>
        <v/>
      </c>
      <c r="F293" s="7">
        <f>C293+'A-TRY'!F292</f>
        <v/>
      </c>
      <c r="G293" s="7" t="n"/>
      <c r="H293" s="7">
        <f>E293+'A-TRY'!H292</f>
        <v/>
      </c>
      <c r="I293" s="7">
        <f>F293+'A-TRY'!I292</f>
        <v/>
      </c>
      <c r="J293" s="7" t="n"/>
      <c r="K293" s="7">
        <f>H293+'A-TRY'!K292</f>
        <v/>
      </c>
      <c r="L293" s="7">
        <f>I293+'A-TRY'!L292</f>
        <v/>
      </c>
      <c r="M293" s="7" t="n"/>
      <c r="N293" s="7">
        <f>K293+'A-TRY'!N292</f>
        <v/>
      </c>
      <c r="O293" s="7">
        <f>L293+'A-TRY'!O292</f>
        <v/>
      </c>
      <c r="P293" s="7" t="n"/>
      <c r="Q293" s="7">
        <f>N293+'A-TRY'!Q292</f>
        <v/>
      </c>
      <c r="R293" s="7">
        <f>O293+'A-TRY'!R292</f>
        <v/>
      </c>
      <c r="S293" s="7" t="n"/>
      <c r="T293" s="7">
        <f>Q293+'A-TRY'!T292</f>
        <v/>
      </c>
      <c r="U293" s="7">
        <f>R293+'A-TRY'!U292</f>
        <v/>
      </c>
      <c r="V293" s="7" t="n"/>
      <c r="W293" s="7">
        <f>T293+'A-TRY'!W292</f>
        <v/>
      </c>
      <c r="X293" s="7">
        <f>U293+'A-TRY'!X292</f>
        <v/>
      </c>
      <c r="Y293" s="7" t="n"/>
      <c r="Z293" s="7">
        <f>W293+'A-TRY'!Z292</f>
        <v/>
      </c>
      <c r="AA293" s="7">
        <f>X293+'A-TRY'!AA292</f>
        <v/>
      </c>
      <c r="AB293" s="7" t="n"/>
      <c r="AC293" s="7">
        <f>Z293+'A-TRY'!AC292</f>
        <v/>
      </c>
      <c r="AD293" s="7">
        <f>AA293+'A-TRY'!AD292</f>
        <v/>
      </c>
      <c r="AE293" s="7" t="n"/>
      <c r="AF293" s="7">
        <f>AC293+'A-TRY'!AF292</f>
        <v/>
      </c>
      <c r="AG293" s="7">
        <f>AD293+'A-TRY'!AG292</f>
        <v/>
      </c>
      <c r="AH293" s="7" t="n"/>
      <c r="AI293" s="7">
        <f>AF293+'A-TRY'!AI292</f>
        <v/>
      </c>
      <c r="AJ293" s="7">
        <f>AG293+'A-TRY'!AJ292</f>
        <v/>
      </c>
      <c r="AK293" s="7" t="n"/>
      <c r="AL293" s="21">
        <f>AP293-AO293</f>
        <v/>
      </c>
      <c r="AM293" s="22">
        <f>AP293/AO293-1</f>
        <v/>
      </c>
      <c r="AO293" s="44">
        <f>IF($A$1=$B$1,B293,IF($A$1=$E$1,E293,IF($A$1=$H$1,H293,IF($A$1=$K$1,K293,IF($A$1=$N$1,N293,IF($A$1=$Q$1,Q293,IF($A$1=$T$1,T293,IF($A$1=$W$1,W293,IF($A$1=$Z$1,Z293,IF($A$1=$AC$1,AC293,IF($A$1=$AF$1,AF293,IF($A$1=$AI$1,AI293))))))))))))</f>
        <v/>
      </c>
      <c r="AP293" s="44">
        <f>IF($A$1=$B$1,C293,IF($A$1=$E$1,F293,IF($A$1=$H$1,I293,IF($A$1=$K$1,L293,IF($A$1=$N$1,O293,IF($A$1=$Q$1,R293,IF($A$1=$T$1,U293,IF($A$1=$W$1,X293,IF($A$1=$Z$1,AA293,IF($A$1=$AC$1,AD293,IF($A$1=$AF$1,AG293,IF($A$1=$AI$1,AJ293))))))))))))</f>
        <v/>
      </c>
    </row>
    <row r="294" ht="15.5" customHeight="1">
      <c r="A294" s="26" t="inlineStr">
        <is>
          <t>İnci GS Yuasa</t>
        </is>
      </c>
      <c r="B294" s="7">
        <f>'A-TRY'!B293</f>
        <v/>
      </c>
      <c r="C294" s="7">
        <f>'A-TRY'!C293</f>
        <v/>
      </c>
      <c r="D294" s="7" t="n"/>
      <c r="E294" s="7">
        <f>B294+'A-TRY'!E293</f>
        <v/>
      </c>
      <c r="F294" s="7">
        <f>C294+'A-TRY'!F293</f>
        <v/>
      </c>
      <c r="G294" s="7" t="n"/>
      <c r="H294" s="7">
        <f>E294+'A-TRY'!H293</f>
        <v/>
      </c>
      <c r="I294" s="7">
        <f>F294+'A-TRY'!I293</f>
        <v/>
      </c>
      <c r="J294" s="7" t="n"/>
      <c r="K294" s="7">
        <f>H294+'A-TRY'!K293</f>
        <v/>
      </c>
      <c r="L294" s="7">
        <f>I294+'A-TRY'!L293</f>
        <v/>
      </c>
      <c r="M294" s="7" t="n"/>
      <c r="N294" s="7">
        <f>K294+'A-TRY'!N293</f>
        <v/>
      </c>
      <c r="O294" s="7">
        <f>L294+'A-TRY'!O293</f>
        <v/>
      </c>
      <c r="P294" s="7" t="n"/>
      <c r="Q294" s="7">
        <f>N294+'A-TRY'!Q293</f>
        <v/>
      </c>
      <c r="R294" s="7">
        <f>O294+'A-TRY'!R293</f>
        <v/>
      </c>
      <c r="S294" s="7" t="n"/>
      <c r="T294" s="7">
        <f>Q294+'A-TRY'!T293</f>
        <v/>
      </c>
      <c r="U294" s="7">
        <f>R294+'A-TRY'!U293</f>
        <v/>
      </c>
      <c r="V294" s="7" t="n"/>
      <c r="W294" s="7">
        <f>T294+'A-TRY'!W293</f>
        <v/>
      </c>
      <c r="X294" s="7">
        <f>U294+'A-TRY'!X293</f>
        <v/>
      </c>
      <c r="Y294" s="7" t="n"/>
      <c r="Z294" s="7">
        <f>W294+'A-TRY'!Z293</f>
        <v/>
      </c>
      <c r="AA294" s="7">
        <f>X294+'A-TRY'!AA293</f>
        <v/>
      </c>
      <c r="AB294" s="7" t="n"/>
      <c r="AC294" s="7">
        <f>Z294+'A-TRY'!AC293</f>
        <v/>
      </c>
      <c r="AD294" s="7">
        <f>AA294+'A-TRY'!AD293</f>
        <v/>
      </c>
      <c r="AE294" s="7" t="n"/>
      <c r="AF294" s="7">
        <f>AC294+'A-TRY'!AF293</f>
        <v/>
      </c>
      <c r="AG294" s="7">
        <f>AD294+'A-TRY'!AG293</f>
        <v/>
      </c>
      <c r="AH294" s="7" t="n"/>
      <c r="AI294" s="7">
        <f>AF294+'A-TRY'!AI293</f>
        <v/>
      </c>
      <c r="AJ294" s="7">
        <f>AG294+'A-TRY'!AJ293</f>
        <v/>
      </c>
      <c r="AK294" s="7" t="n"/>
      <c r="AL294" s="21">
        <f>AP294-AO294</f>
        <v/>
      </c>
      <c r="AM294" s="22">
        <f>AP294/AO294-1</f>
        <v/>
      </c>
      <c r="AO294" s="44">
        <f>IF($A$1=$B$1,B294,IF($A$1=$E$1,E294,IF($A$1=$H$1,H294,IF($A$1=$K$1,K294,IF($A$1=$N$1,N294,IF($A$1=$Q$1,Q294,IF($A$1=$T$1,T294,IF($A$1=$W$1,W294,IF($A$1=$Z$1,Z294,IF($A$1=$AC$1,AC294,IF($A$1=$AF$1,AF294,IF($A$1=$AI$1,AI294))))))))))))</f>
        <v/>
      </c>
      <c r="AP294" s="44">
        <f>IF($A$1=$B$1,C294,IF($A$1=$E$1,F294,IF($A$1=$H$1,I294,IF($A$1=$K$1,L294,IF($A$1=$N$1,O294,IF($A$1=$Q$1,R294,IF($A$1=$T$1,U294,IF($A$1=$W$1,X294,IF($A$1=$Z$1,AA294,IF($A$1=$AC$1,AD294,IF($A$1=$AF$1,AG294,IF($A$1=$AI$1,AJ294))))))))))))</f>
        <v/>
      </c>
    </row>
    <row r="295" ht="15.5" customFormat="1" customHeight="1" s="1">
      <c r="A295" s="26" t="inlineStr">
        <is>
          <t>Yusen İnci Loj.</t>
        </is>
      </c>
      <c r="B295" s="7">
        <f>'A-TRY'!B294</f>
        <v/>
      </c>
      <c r="C295" s="7">
        <f>'A-TRY'!C294</f>
        <v/>
      </c>
      <c r="D295" s="8" t="n"/>
      <c r="E295" s="7">
        <f>B295+'A-TRY'!E294</f>
        <v/>
      </c>
      <c r="F295" s="7">
        <f>C295+'A-TRY'!F294</f>
        <v/>
      </c>
      <c r="G295" s="8" t="n"/>
      <c r="H295" s="7">
        <f>E295+'A-TRY'!H294</f>
        <v/>
      </c>
      <c r="I295" s="7">
        <f>F295+'A-TRY'!I294</f>
        <v/>
      </c>
      <c r="J295" s="8" t="n"/>
      <c r="K295" s="7">
        <f>H295+'A-TRY'!K294</f>
        <v/>
      </c>
      <c r="L295" s="7">
        <f>I295+'A-TRY'!L294</f>
        <v/>
      </c>
      <c r="M295" s="7" t="n"/>
      <c r="N295" s="7">
        <f>K295+'A-TRY'!N294</f>
        <v/>
      </c>
      <c r="O295" s="7">
        <f>L295+'A-TRY'!O294</f>
        <v/>
      </c>
      <c r="P295" s="8" t="n"/>
      <c r="Q295" s="7">
        <f>N295+'A-TRY'!Q294</f>
        <v/>
      </c>
      <c r="R295" s="7">
        <f>O295+'A-TRY'!R294</f>
        <v/>
      </c>
      <c r="S295" s="8" t="n"/>
      <c r="T295" s="7">
        <f>Q295+'A-TRY'!T294</f>
        <v/>
      </c>
      <c r="U295" s="7">
        <f>R295+'A-TRY'!U294</f>
        <v/>
      </c>
      <c r="V295" s="8" t="n"/>
      <c r="W295" s="7">
        <f>T295+'A-TRY'!W294</f>
        <v/>
      </c>
      <c r="X295" s="7">
        <f>U295+'A-TRY'!X294</f>
        <v/>
      </c>
      <c r="Y295" s="8" t="n"/>
      <c r="Z295" s="7">
        <f>W295+'A-TRY'!Z294</f>
        <v/>
      </c>
      <c r="AA295" s="7">
        <f>X295+'A-TRY'!AA294</f>
        <v/>
      </c>
      <c r="AB295" s="8" t="n"/>
      <c r="AC295" s="7">
        <f>Z295+'A-TRY'!AC294</f>
        <v/>
      </c>
      <c r="AD295" s="7">
        <f>AA295+'A-TRY'!AD294</f>
        <v/>
      </c>
      <c r="AE295" s="8" t="n"/>
      <c r="AF295" s="7">
        <f>AC295+'A-TRY'!AF294</f>
        <v/>
      </c>
      <c r="AG295" s="7">
        <f>AD295+'A-TRY'!AG294</f>
        <v/>
      </c>
      <c r="AH295" s="8" t="n"/>
      <c r="AI295" s="7">
        <f>AF295+'A-TRY'!AI294</f>
        <v/>
      </c>
      <c r="AJ295" s="7">
        <f>AG295+'A-TRY'!AJ294</f>
        <v/>
      </c>
      <c r="AK295" s="8" t="n"/>
      <c r="AL295" s="21">
        <f>AP295-AO295</f>
        <v/>
      </c>
      <c r="AM295" s="22">
        <f>AP295/AO295-1</f>
        <v/>
      </c>
      <c r="AO295" s="44">
        <f>IF($A$1=$B$1,B295,IF($A$1=$E$1,E295,IF($A$1=$H$1,H295,IF($A$1=$K$1,K295,IF($A$1=$N$1,N295,IF($A$1=$Q$1,Q295,IF($A$1=$T$1,T295,IF($A$1=$W$1,W295,IF($A$1=$Z$1,Z295,IF($A$1=$AC$1,AC295,IF($A$1=$AF$1,AF295,IF($A$1=$AI$1,AI295))))))))))))</f>
        <v/>
      </c>
      <c r="AP295" s="44">
        <f>IF($A$1=$B$1,C295,IF($A$1=$E$1,F295,IF($A$1=$H$1,I295,IF($A$1=$K$1,L295,IF($A$1=$N$1,O295,IF($A$1=$Q$1,R295,IF($A$1=$T$1,U295,IF($A$1=$W$1,X295,IF($A$1=$Z$1,AA295,IF($A$1=$AC$1,AD295,IF($A$1=$AF$1,AG295,IF($A$1=$AI$1,AJ295))))))))))))</f>
        <v/>
      </c>
    </row>
    <row r="296" ht="15.5" customHeight="1">
      <c r="A296" s="26" t="inlineStr">
        <is>
          <t>Jantaş</t>
        </is>
      </c>
      <c r="B296" s="7">
        <f>'A-TRY'!B295</f>
        <v/>
      </c>
      <c r="C296" s="7">
        <f>'A-TRY'!C295</f>
        <v/>
      </c>
      <c r="D296" s="7" t="n"/>
      <c r="E296" s="7">
        <f>B296+'A-TRY'!E295</f>
        <v/>
      </c>
      <c r="F296" s="7">
        <f>C296+'A-TRY'!F295</f>
        <v/>
      </c>
      <c r="G296" s="7" t="n"/>
      <c r="H296" s="7">
        <f>E296+'A-TRY'!H295</f>
        <v/>
      </c>
      <c r="I296" s="7">
        <f>F296+'A-TRY'!I295</f>
        <v/>
      </c>
      <c r="J296" s="7" t="n"/>
      <c r="K296" s="7">
        <f>H296+'A-TRY'!K295</f>
        <v/>
      </c>
      <c r="L296" s="7">
        <f>I296+'A-TRY'!L295</f>
        <v/>
      </c>
      <c r="M296" s="7" t="n"/>
      <c r="N296" s="7">
        <f>K296+'A-TRY'!N295</f>
        <v/>
      </c>
      <c r="O296" s="7">
        <f>L296+'A-TRY'!O295</f>
        <v/>
      </c>
      <c r="P296" s="7" t="n"/>
      <c r="Q296" s="7">
        <f>N296+'A-TRY'!Q295</f>
        <v/>
      </c>
      <c r="R296" s="7">
        <f>O296+'A-TRY'!R295</f>
        <v/>
      </c>
      <c r="S296" s="7" t="n"/>
      <c r="T296" s="7">
        <f>Q296+'A-TRY'!T295</f>
        <v/>
      </c>
      <c r="U296" s="7">
        <f>R296+'A-TRY'!U295</f>
        <v/>
      </c>
      <c r="V296" s="7" t="n"/>
      <c r="W296" s="7">
        <f>T296+'A-TRY'!W295</f>
        <v/>
      </c>
      <c r="X296" s="7">
        <f>U296+'A-TRY'!X295</f>
        <v/>
      </c>
      <c r="Y296" s="7" t="n"/>
      <c r="Z296" s="7">
        <f>W296+'A-TRY'!Z295</f>
        <v/>
      </c>
      <c r="AA296" s="7">
        <f>X296+'A-TRY'!AA295</f>
        <v/>
      </c>
      <c r="AB296" s="7" t="n"/>
      <c r="AC296" s="7">
        <f>Z296+'A-TRY'!AC295</f>
        <v/>
      </c>
      <c r="AD296" s="7">
        <f>AA296+'A-TRY'!AD295</f>
        <v/>
      </c>
      <c r="AE296" s="7" t="n"/>
      <c r="AF296" s="7">
        <f>AC296+'A-TRY'!AF295</f>
        <v/>
      </c>
      <c r="AG296" s="7">
        <f>AD296+'A-TRY'!AG295</f>
        <v/>
      </c>
      <c r="AH296" s="7" t="n"/>
      <c r="AI296" s="7">
        <f>AF296+'A-TRY'!AI295</f>
        <v/>
      </c>
      <c r="AJ296" s="7">
        <f>AG296+'A-TRY'!AJ295</f>
        <v/>
      </c>
      <c r="AK296" s="7" t="n"/>
      <c r="AL296" s="21">
        <f>AP296-AO296</f>
        <v/>
      </c>
      <c r="AM296" s="22">
        <f>AP296/AO296-1</f>
        <v/>
      </c>
      <c r="AO296" s="44">
        <f>IF($A$1=$B$1,B296,IF($A$1=$E$1,E296,IF($A$1=$H$1,H296,IF($A$1=$K$1,K296,IF($A$1=$N$1,N296,IF($A$1=$Q$1,Q296,IF($A$1=$T$1,T296,IF($A$1=$W$1,W296,IF($A$1=$Z$1,Z296,IF($A$1=$AC$1,AC296,IF($A$1=$AF$1,AF296,IF($A$1=$AI$1,AI296))))))))))))</f>
        <v/>
      </c>
      <c r="AP296" s="44">
        <f>IF($A$1=$B$1,C296,IF($A$1=$E$1,F296,IF($A$1=$H$1,I296,IF($A$1=$K$1,L296,IF($A$1=$N$1,O296,IF($A$1=$Q$1,R296,IF($A$1=$T$1,U296,IF($A$1=$W$1,X296,IF($A$1=$Z$1,AA296,IF($A$1=$AC$1,AD296,IF($A$1=$AF$1,AG296,IF($A$1=$AI$1,AJ296))))))))))))</f>
        <v/>
      </c>
    </row>
    <row r="297" ht="15.5" customFormat="1" customHeight="1" s="1">
      <c r="A297" s="26" t="inlineStr">
        <is>
          <t>Çelik</t>
        </is>
      </c>
      <c r="B297" s="7">
        <f>'A-TRY'!B296</f>
        <v/>
      </c>
      <c r="C297" s="7">
        <f>'A-TRY'!C296</f>
        <v/>
      </c>
      <c r="D297" s="8" t="n"/>
      <c r="E297" s="7">
        <f>B297+'A-TRY'!E296</f>
        <v/>
      </c>
      <c r="F297" s="7">
        <f>C297+'A-TRY'!F296</f>
        <v/>
      </c>
      <c r="G297" s="8" t="n"/>
      <c r="H297" s="7">
        <f>E297+'A-TRY'!H296</f>
        <v/>
      </c>
      <c r="I297" s="7">
        <f>F297+'A-TRY'!I296</f>
        <v/>
      </c>
      <c r="J297" s="8" t="n"/>
      <c r="K297" s="7">
        <f>H297+'A-TRY'!K296</f>
        <v/>
      </c>
      <c r="L297" s="7">
        <f>I297+'A-TRY'!L296</f>
        <v/>
      </c>
      <c r="M297" s="7" t="n"/>
      <c r="N297" s="7">
        <f>K297+'A-TRY'!N296</f>
        <v/>
      </c>
      <c r="O297" s="7">
        <f>L297+'A-TRY'!O296</f>
        <v/>
      </c>
      <c r="P297" s="8" t="n"/>
      <c r="Q297" s="7">
        <f>N297+'A-TRY'!Q296</f>
        <v/>
      </c>
      <c r="R297" s="7">
        <f>O297+'A-TRY'!R296</f>
        <v/>
      </c>
      <c r="S297" s="8" t="n"/>
      <c r="T297" s="7">
        <f>Q297+'A-TRY'!T296</f>
        <v/>
      </c>
      <c r="U297" s="7">
        <f>R297+'A-TRY'!U296</f>
        <v/>
      </c>
      <c r="V297" s="8" t="n"/>
      <c r="W297" s="7">
        <f>T297+'A-TRY'!W296</f>
        <v/>
      </c>
      <c r="X297" s="7">
        <f>U297+'A-TRY'!X296</f>
        <v/>
      </c>
      <c r="Y297" s="8" t="n"/>
      <c r="Z297" s="7">
        <f>W297+'A-TRY'!Z296</f>
        <v/>
      </c>
      <c r="AA297" s="7">
        <f>X297+'A-TRY'!AA296</f>
        <v/>
      </c>
      <c r="AB297" s="8" t="n"/>
      <c r="AC297" s="7">
        <f>Z297+'A-TRY'!AC296</f>
        <v/>
      </c>
      <c r="AD297" s="7">
        <f>AA297+'A-TRY'!AD296</f>
        <v/>
      </c>
      <c r="AE297" s="8" t="n"/>
      <c r="AF297" s="7">
        <f>AC297+'A-TRY'!AF296</f>
        <v/>
      </c>
      <c r="AG297" s="7">
        <f>AD297+'A-TRY'!AG296</f>
        <v/>
      </c>
      <c r="AH297" s="8" t="n"/>
      <c r="AI297" s="7">
        <f>AF297+'A-TRY'!AI296</f>
        <v/>
      </c>
      <c r="AJ297" s="7">
        <f>AG297+'A-TRY'!AJ296</f>
        <v/>
      </c>
      <c r="AK297" s="8" t="n"/>
      <c r="AL297" s="21">
        <f>AP297-AO297</f>
        <v/>
      </c>
      <c r="AM297" s="22">
        <f>AP297/AO297-1</f>
        <v/>
      </c>
      <c r="AO297" s="44">
        <f>IF($A$1=$B$1,B297,IF($A$1=$E$1,E297,IF($A$1=$H$1,H297,IF($A$1=$K$1,K297,IF($A$1=$N$1,N297,IF($A$1=$Q$1,Q297,IF($A$1=$T$1,T297,IF($A$1=$W$1,W297,IF($A$1=$Z$1,Z297,IF($A$1=$AC$1,AC297,IF($A$1=$AF$1,AF297,IF($A$1=$AI$1,AI297))))))))))))</f>
        <v/>
      </c>
      <c r="AP297" s="44">
        <f>IF($A$1=$B$1,C297,IF($A$1=$E$1,F297,IF($A$1=$H$1,I297,IF($A$1=$K$1,L297,IF($A$1=$N$1,O297,IF($A$1=$Q$1,R297,IF($A$1=$T$1,U297,IF($A$1=$W$1,X297,IF($A$1=$Z$1,AA297,IF($A$1=$AC$1,AD297,IF($A$1=$AF$1,AG297,IF($A$1=$AI$1,AJ297))))))))))))</f>
        <v/>
      </c>
    </row>
    <row r="298" ht="15.5" customFormat="1" customHeight="1" s="1">
      <c r="A298" s="26" t="inlineStr">
        <is>
          <t>Alüminyum</t>
        </is>
      </c>
      <c r="B298" s="7">
        <f>'A-TRY'!B297</f>
        <v/>
      </c>
      <c r="C298" s="7">
        <f>'A-TRY'!C297</f>
        <v/>
      </c>
      <c r="D298" s="8" t="n"/>
      <c r="E298" s="7">
        <f>B298+'A-TRY'!E297</f>
        <v/>
      </c>
      <c r="F298" s="7">
        <f>C298+'A-TRY'!F297</f>
        <v/>
      </c>
      <c r="G298" s="8" t="n"/>
      <c r="H298" s="7">
        <f>E298+'A-TRY'!H297</f>
        <v/>
      </c>
      <c r="I298" s="7">
        <f>F298+'A-TRY'!I297</f>
        <v/>
      </c>
      <c r="J298" s="8" t="n"/>
      <c r="K298" s="7">
        <f>H298+'A-TRY'!K297</f>
        <v/>
      </c>
      <c r="L298" s="7">
        <f>I298+'A-TRY'!L297</f>
        <v/>
      </c>
      <c r="M298" s="7" t="n"/>
      <c r="N298" s="7">
        <f>K298+'A-TRY'!N297</f>
        <v/>
      </c>
      <c r="O298" s="7">
        <f>L298+'A-TRY'!O297</f>
        <v/>
      </c>
      <c r="P298" s="8" t="n"/>
      <c r="Q298" s="7">
        <f>N298+'A-TRY'!Q297</f>
        <v/>
      </c>
      <c r="R298" s="7">
        <f>O298+'A-TRY'!R297</f>
        <v/>
      </c>
      <c r="S298" s="8" t="n"/>
      <c r="T298" s="7">
        <f>Q298+'A-TRY'!T297</f>
        <v/>
      </c>
      <c r="U298" s="7">
        <f>R298+'A-TRY'!U297</f>
        <v/>
      </c>
      <c r="V298" s="8" t="n"/>
      <c r="W298" s="7">
        <f>T298+'A-TRY'!W297</f>
        <v/>
      </c>
      <c r="X298" s="7">
        <f>U298+'A-TRY'!X297</f>
        <v/>
      </c>
      <c r="Y298" s="8" t="n"/>
      <c r="Z298" s="7">
        <f>W298+'A-TRY'!Z297</f>
        <v/>
      </c>
      <c r="AA298" s="7">
        <f>X298+'A-TRY'!AA297</f>
        <v/>
      </c>
      <c r="AB298" s="8" t="n"/>
      <c r="AC298" s="7">
        <f>Z298+'A-TRY'!AC297</f>
        <v/>
      </c>
      <c r="AD298" s="7">
        <f>AA298+'A-TRY'!AD297</f>
        <v/>
      </c>
      <c r="AE298" s="8" t="n"/>
      <c r="AF298" s="7">
        <f>AC298+'A-TRY'!AF297</f>
        <v/>
      </c>
      <c r="AG298" s="7">
        <f>AD298+'A-TRY'!AG297</f>
        <v/>
      </c>
      <c r="AH298" s="8" t="n"/>
      <c r="AI298" s="7">
        <f>AF298+'A-TRY'!AI297</f>
        <v/>
      </c>
      <c r="AJ298" s="7">
        <f>AG298+'A-TRY'!AJ297</f>
        <v/>
      </c>
      <c r="AK298" s="8" t="n"/>
      <c r="AL298" s="21">
        <f>AP298-AO298</f>
        <v/>
      </c>
      <c r="AM298" s="22">
        <f>AP298/AO298-1</f>
        <v/>
      </c>
      <c r="AO298" s="44">
        <f>IF($A$1=$B$1,B298,IF($A$1=$E$1,E298,IF($A$1=$H$1,H298,IF($A$1=$K$1,K298,IF($A$1=$N$1,N298,IF($A$1=$Q$1,Q298,IF($A$1=$T$1,T298,IF($A$1=$W$1,W298,IF($A$1=$Z$1,Z298,IF($A$1=$AC$1,AC298,IF($A$1=$AF$1,AF298,IF($A$1=$AI$1,AI298))))))))))))</f>
        <v/>
      </c>
      <c r="AP298" s="44">
        <f>IF($A$1=$B$1,C298,IF($A$1=$E$1,F298,IF($A$1=$H$1,I298,IF($A$1=$K$1,L298,IF($A$1=$N$1,O298,IF($A$1=$Q$1,R298,IF($A$1=$T$1,U298,IF($A$1=$W$1,X298,IF($A$1=$Z$1,AA298,IF($A$1=$AC$1,AD298,IF($A$1=$AF$1,AG298,IF($A$1=$AI$1,AJ298))))))))))))</f>
        <v/>
      </c>
    </row>
    <row r="299" ht="15.5" customFormat="1" customHeight="1" s="1">
      <c r="A299" s="26" t="n"/>
      <c r="B299" s="7" t="n"/>
      <c r="C299" s="8" t="n"/>
      <c r="D299" s="8" t="n"/>
      <c r="E299" s="7" t="n"/>
      <c r="F299" s="8" t="n"/>
      <c r="G299" s="8" t="n"/>
      <c r="H299" s="7" t="n"/>
      <c r="I299" s="8" t="n"/>
      <c r="J299" s="8" t="n"/>
      <c r="K299" s="7" t="n"/>
      <c r="L299" s="8" t="n"/>
      <c r="M299" s="8" t="n"/>
      <c r="N299" s="7" t="n"/>
      <c r="O299" s="8" t="n"/>
      <c r="P299" s="8" t="n"/>
      <c r="Q299" s="7" t="n"/>
      <c r="R299" s="8" t="n"/>
      <c r="S299" s="8" t="n"/>
      <c r="T299" s="7" t="n"/>
      <c r="U299" s="8" t="n"/>
      <c r="V299" s="8" t="n"/>
      <c r="W299" s="7" t="n"/>
      <c r="X299" s="8" t="n"/>
      <c r="Y299" s="8" t="n"/>
      <c r="Z299" s="7" t="n"/>
      <c r="AA299" s="8" t="n"/>
      <c r="AB299" s="8" t="n"/>
      <c r="AC299" s="7" t="n"/>
      <c r="AD299" s="8" t="n"/>
      <c r="AE299" s="8" t="n"/>
      <c r="AF299" s="7" t="n"/>
      <c r="AG299" s="8" t="n"/>
      <c r="AH299" s="8" t="n"/>
      <c r="AI299" s="7" t="n"/>
      <c r="AJ299" s="8" t="n"/>
      <c r="AK299" s="8" t="n"/>
      <c r="AL299" s="15" t="n"/>
      <c r="AM299" s="16" t="n"/>
      <c r="AO299" s="44" t="n"/>
      <c r="AP299" s="44" t="n"/>
    </row>
    <row r="300" ht="15.5" customFormat="1" customHeight="1" s="1">
      <c r="A300" s="26" t="n"/>
      <c r="B300" s="7" t="n"/>
      <c r="C300" s="8" t="n"/>
      <c r="D300" s="8" t="n"/>
      <c r="E300" s="7" t="n"/>
      <c r="F300" s="8" t="n"/>
      <c r="G300" s="8" t="n"/>
      <c r="H300" s="7" t="n"/>
      <c r="I300" s="8" t="n"/>
      <c r="J300" s="8" t="n"/>
      <c r="K300" s="7" t="n"/>
      <c r="L300" s="8" t="n"/>
      <c r="M300" s="8" t="n"/>
      <c r="N300" s="7" t="n"/>
      <c r="O300" s="8" t="n"/>
      <c r="P300" s="8" t="n"/>
      <c r="Q300" s="7" t="n"/>
      <c r="R300" s="8" t="n"/>
      <c r="S300" s="8" t="n"/>
      <c r="T300" s="7" t="n"/>
      <c r="U300" s="8" t="n"/>
      <c r="V300" s="8" t="n"/>
      <c r="W300" s="7" t="n"/>
      <c r="X300" s="8" t="n"/>
      <c r="Y300" s="8" t="n"/>
      <c r="Z300" s="7" t="n"/>
      <c r="AA300" s="8" t="n"/>
      <c r="AB300" s="8" t="n"/>
      <c r="AC300" s="7" t="n"/>
      <c r="AD300" s="8" t="n"/>
      <c r="AE300" s="8" t="n"/>
      <c r="AF300" s="7" t="n"/>
      <c r="AG300" s="8" t="n"/>
      <c r="AH300" s="8" t="n"/>
      <c r="AI300" s="7" t="n"/>
      <c r="AJ300" s="8" t="n"/>
      <c r="AK300" s="8" t="n"/>
      <c r="AL300" s="15" t="n"/>
      <c r="AM300" s="16" t="n"/>
      <c r="AO300" s="44" t="n"/>
      <c r="AP300" s="44" t="n"/>
    </row>
    <row r="301" ht="15.5" customFormat="1" customHeight="1" s="44">
      <c r="A301" s="31" t="inlineStr">
        <is>
          <t>Serbest Nakit</t>
        </is>
      </c>
      <c r="B301" s="32">
        <f>'A-TRY'!B300</f>
        <v/>
      </c>
      <c r="C301" s="32">
        <f>'A-TRY'!C300</f>
        <v/>
      </c>
      <c r="D301" s="18" t="n"/>
      <c r="E301" s="32">
        <f>B301+'A-TRY'!E300</f>
        <v/>
      </c>
      <c r="F301" s="32">
        <f>C301+'A-TRY'!F300</f>
        <v/>
      </c>
      <c r="G301" s="18" t="n"/>
      <c r="H301" s="32">
        <f>E301+'A-TRY'!H300</f>
        <v/>
      </c>
      <c r="I301" s="32">
        <f>F301+'A-TRY'!I300</f>
        <v/>
      </c>
      <c r="J301" s="18" t="n"/>
      <c r="K301" s="32">
        <f>H301+'A-TRY'!K300</f>
        <v/>
      </c>
      <c r="L301" s="32">
        <f>I301+'A-TRY'!L300</f>
        <v/>
      </c>
      <c r="M301" s="18" t="n"/>
      <c r="N301" s="32">
        <f>K301+'A-TRY'!N300</f>
        <v/>
      </c>
      <c r="O301" s="32">
        <f>L301+'A-TRY'!O300</f>
        <v/>
      </c>
      <c r="P301" s="18" t="n"/>
      <c r="Q301" s="32">
        <f>N301+'A-TRY'!Q300</f>
        <v/>
      </c>
      <c r="R301" s="32">
        <f>O301+'A-TRY'!R300</f>
        <v/>
      </c>
      <c r="S301" s="18" t="n"/>
      <c r="T301" s="32">
        <f>Q301+'A-TRY'!T300</f>
        <v/>
      </c>
      <c r="U301" s="32">
        <f>R301+'A-TRY'!U300</f>
        <v/>
      </c>
      <c r="V301" s="18" t="n"/>
      <c r="W301" s="32">
        <f>T301+'A-TRY'!W300</f>
        <v/>
      </c>
      <c r="X301" s="32">
        <f>U301+'A-TRY'!X300</f>
        <v/>
      </c>
      <c r="Y301" s="18" t="n"/>
      <c r="Z301" s="32">
        <f>W301+'A-TRY'!Z300</f>
        <v/>
      </c>
      <c r="AA301" s="32">
        <f>X301+'A-TRY'!AA300</f>
        <v/>
      </c>
      <c r="AB301" s="18" t="n"/>
      <c r="AC301" s="32">
        <f>Z301+'A-TRY'!AC300</f>
        <v/>
      </c>
      <c r="AD301" s="32">
        <f>AA301+'A-TRY'!AD300</f>
        <v/>
      </c>
      <c r="AE301" s="18" t="n"/>
      <c r="AF301" s="32">
        <f>AC301+'A-TRY'!AF300</f>
        <v/>
      </c>
      <c r="AG301" s="32">
        <f>AD301+'A-TRY'!AG300</f>
        <v/>
      </c>
      <c r="AH301" s="18" t="n"/>
      <c r="AI301" s="32">
        <f>AF301+'A-TRY'!AI300</f>
        <v/>
      </c>
      <c r="AJ301" s="32">
        <f>AG301+'A-TRY'!AJ300</f>
        <v/>
      </c>
      <c r="AK301" s="18" t="n"/>
      <c r="AL301" s="33">
        <f>AP301-AO301</f>
        <v/>
      </c>
      <c r="AM301" s="34">
        <f>AP301/AO301-1</f>
        <v/>
      </c>
      <c r="AO301" s="44">
        <f>IF($A$1=$B$1,B301,IF($A$1=$E$1,E301,IF($A$1=$H$1,H301,IF($A$1=$K$1,K301,IF($A$1=$N$1,N301,IF($A$1=$Q$1,Q301,IF($A$1=$T$1,T301,IF($A$1=$W$1,W301,IF($A$1=$Z$1,Z301,IF($A$1=$AC$1,AC301,IF($A$1=$AF$1,AF301,IF($A$1=$AI$1,AI301))))))))))))</f>
        <v/>
      </c>
      <c r="AP301" s="44">
        <f>IF($A$1=$B$1,C301,IF($A$1=$E$1,F301,IF($A$1=$H$1,I301,IF($A$1=$K$1,L301,IF($A$1=$N$1,O301,IF($A$1=$Q$1,R301,IF($A$1=$T$1,U301,IF($A$1=$W$1,X301,IF($A$1=$Z$1,AA301,IF($A$1=$AC$1,AD301,IF($A$1=$AF$1,AG301,IF($A$1=$AI$1,AJ301))))))))))))</f>
        <v/>
      </c>
    </row>
    <row r="302" ht="15.5" customFormat="1" customHeight="1" s="13">
      <c r="A302" s="27" t="n"/>
      <c r="B302" s="30" t="n"/>
      <c r="C302" s="30">
        <f>IFERROR((C259/#REF!),"")</f>
        <v/>
      </c>
      <c r="D302" s="41" t="n"/>
      <c r="E302" s="30" t="n"/>
      <c r="F302" s="30">
        <f>IFERROR((F259/#REF!),"")</f>
        <v/>
      </c>
      <c r="G302" s="41" t="n"/>
      <c r="H302" s="30" t="n"/>
      <c r="I302" s="30">
        <f>IFERROR((I259/#REF!),"")</f>
        <v/>
      </c>
      <c r="J302" s="41" t="n"/>
      <c r="K302" s="30" t="n"/>
      <c r="L302" s="30">
        <f>IFERROR((L259/#REF!),"")</f>
        <v/>
      </c>
      <c r="M302" s="41" t="n"/>
      <c r="N302" s="30" t="n"/>
      <c r="O302" s="30">
        <f>IFERROR((O259/#REF!),"")</f>
        <v/>
      </c>
      <c r="P302" s="41" t="n"/>
      <c r="Q302" s="30" t="n"/>
      <c r="R302" s="30">
        <f>IFERROR((R259/#REF!),"")</f>
        <v/>
      </c>
      <c r="S302" s="41" t="n"/>
      <c r="T302" s="30" t="n"/>
      <c r="U302" s="30">
        <f>IFERROR((U259/#REF!),"")</f>
        <v/>
      </c>
      <c r="V302" s="41" t="n"/>
      <c r="W302" s="30" t="n"/>
      <c r="X302" s="30">
        <f>IFERROR((X259/#REF!),"")</f>
        <v/>
      </c>
      <c r="Y302" s="41" t="n"/>
      <c r="Z302" s="30" t="n"/>
      <c r="AA302" s="30">
        <f>IFERROR((AA259/#REF!),"")</f>
        <v/>
      </c>
      <c r="AB302" s="41" t="n"/>
      <c r="AC302" s="30" t="n"/>
      <c r="AD302" s="30">
        <f>IFERROR((AD259/#REF!),"")</f>
        <v/>
      </c>
      <c r="AE302" s="41" t="n"/>
      <c r="AF302" s="30" t="n"/>
      <c r="AG302" s="30">
        <f>IFERROR((AG259/#REF!),"")</f>
        <v/>
      </c>
      <c r="AH302" s="41" t="n"/>
      <c r="AI302" s="30" t="n"/>
      <c r="AJ302" s="30">
        <f>IFERROR((AJ259/#REF!),"")</f>
        <v/>
      </c>
      <c r="AK302" s="41" t="n"/>
      <c r="AL302" s="15" t="n"/>
      <c r="AM302" s="22" t="n"/>
      <c r="AO302" s="44">
        <f>IF($A$1=$B$1,B302,IF($A$1=$E$1,E302,IF($A$1=$H$1,H302,IF($A$1=$K$1,K302,IF($A$1=$N$1,N302,IF($A$1=$Q$1,Q302,IF($A$1=$T$1,T302,IF($A$1=$W$1,W302,IF($A$1=$Z$1,Z302,IF($A$1=$AC$1,AC302,IF($A$1=$AF$1,AF302,IF($A$1=$AI$1,AI302))))))))))))</f>
        <v/>
      </c>
      <c r="AP302" s="44">
        <f>IF($A$1=$B$1,C302,IF($A$1=$E$1,F302,IF($A$1=$H$1,I302,IF($A$1=$K$1,L302,IF($A$1=$N$1,O302,IF($A$1=$Q$1,R302,IF($A$1=$T$1,U302,IF($A$1=$W$1,X302,IF($A$1=$Z$1,AA302,IF($A$1=$AC$1,AD302,IF($A$1=$AF$1,AG302,IF($A$1=$AI$1,AJ302))))))))))))</f>
        <v/>
      </c>
    </row>
    <row r="303" ht="17" customFormat="1" customHeight="1" s="49">
      <c r="A303" s="47" t="inlineStr">
        <is>
          <t>Serbest Nakit (100%)</t>
        </is>
      </c>
      <c r="B303" s="413" t="n"/>
      <c r="C303" s="413" t="n"/>
      <c r="D303" s="413" t="n"/>
      <c r="E303" s="413" t="n"/>
      <c r="F303" s="413" t="n"/>
      <c r="G303" s="413" t="n"/>
      <c r="H303" s="413" t="n"/>
      <c r="I303" s="413" t="n"/>
      <c r="J303" s="413" t="n"/>
      <c r="K303" s="413" t="n"/>
      <c r="L303" s="413" t="n"/>
      <c r="M303" s="413" t="n"/>
      <c r="N303" s="413" t="n"/>
      <c r="O303" s="413" t="n"/>
      <c r="P303" s="413" t="n"/>
      <c r="Q303" s="413" t="n"/>
      <c r="R303" s="413" t="n"/>
      <c r="S303" s="413" t="n"/>
      <c r="T303" s="413" t="n"/>
      <c r="U303" s="413" t="n"/>
      <c r="V303" s="413" t="n"/>
      <c r="W303" s="413" t="n"/>
      <c r="X303" s="413" t="n"/>
      <c r="Y303" s="413" t="n"/>
      <c r="Z303" s="413" t="n"/>
      <c r="AA303" s="413" t="n"/>
      <c r="AB303" s="413" t="n"/>
      <c r="AC303" s="413" t="n"/>
      <c r="AD303" s="413" t="n"/>
      <c r="AE303" s="413" t="n"/>
      <c r="AF303" s="413" t="n"/>
      <c r="AG303" s="413" t="n"/>
      <c r="AH303" s="413" t="n"/>
      <c r="AI303" s="413" t="n"/>
      <c r="AJ303" s="413" t="n"/>
      <c r="AK303" s="413" t="n"/>
      <c r="AL303" s="413" t="n"/>
      <c r="AM303" s="48" t="n"/>
    </row>
    <row r="304" ht="15.5" customHeight="1">
      <c r="A304" s="26" t="inlineStr">
        <is>
          <t xml:space="preserve">İnci Holding </t>
        </is>
      </c>
      <c r="B304" s="7">
        <f>'A-TRY'!B303</f>
        <v/>
      </c>
      <c r="C304" s="7">
        <f>'A-TRY'!C303</f>
        <v/>
      </c>
      <c r="D304" s="7" t="n"/>
      <c r="E304" s="7">
        <f>B304+'A-TRY'!E303</f>
        <v/>
      </c>
      <c r="F304" s="7">
        <f>C304+'A-TRY'!F303</f>
        <v/>
      </c>
      <c r="G304" s="7" t="n"/>
      <c r="H304" s="7">
        <f>E304+'A-TRY'!H303</f>
        <v/>
      </c>
      <c r="I304" s="7">
        <f>F304+'A-TRY'!I303</f>
        <v/>
      </c>
      <c r="J304" s="7" t="n"/>
      <c r="K304" s="7">
        <f>H304+'A-TRY'!K303</f>
        <v/>
      </c>
      <c r="L304" s="7">
        <f>I304+'A-TRY'!L303</f>
        <v/>
      </c>
      <c r="M304" s="7" t="n"/>
      <c r="N304" s="7">
        <f>K304+'A-TRY'!N303</f>
        <v/>
      </c>
      <c r="O304" s="7">
        <f>L304+'A-TRY'!O303</f>
        <v/>
      </c>
      <c r="P304" s="7" t="n"/>
      <c r="Q304" s="7">
        <f>N304+'A-TRY'!Q303</f>
        <v/>
      </c>
      <c r="R304" s="7">
        <f>O304+'A-TRY'!R303</f>
        <v/>
      </c>
      <c r="S304" s="7" t="n"/>
      <c r="T304" s="7">
        <f>Q304+'A-TRY'!T303</f>
        <v/>
      </c>
      <c r="U304" s="7">
        <f>R304+'A-TRY'!U303</f>
        <v/>
      </c>
      <c r="V304" s="7" t="n"/>
      <c r="W304" s="7">
        <f>T304+'A-TRY'!W303</f>
        <v/>
      </c>
      <c r="X304" s="7">
        <f>U304+'A-TRY'!X303</f>
        <v/>
      </c>
      <c r="Y304" s="7" t="n"/>
      <c r="Z304" s="7">
        <f>W304+'A-TRY'!Z303</f>
        <v/>
      </c>
      <c r="AA304" s="7">
        <f>X304+'A-TRY'!AA303</f>
        <v/>
      </c>
      <c r="AB304" s="7" t="n"/>
      <c r="AC304" s="7">
        <f>Z304+'A-TRY'!AC303</f>
        <v/>
      </c>
      <c r="AD304" s="7">
        <f>AA304+'A-TRY'!AD303</f>
        <v/>
      </c>
      <c r="AE304" s="7" t="n"/>
      <c r="AF304" s="7">
        <f>AC304+'A-TRY'!AF303</f>
        <v/>
      </c>
      <c r="AG304" s="7">
        <f>AD304+'A-TRY'!AG303</f>
        <v/>
      </c>
      <c r="AH304" s="7" t="n"/>
      <c r="AI304" s="7">
        <f>AF304+'A-TRY'!AI303</f>
        <v/>
      </c>
      <c r="AJ304" s="7">
        <f>AG304+'A-TRY'!AJ303</f>
        <v/>
      </c>
      <c r="AK304" s="7" t="n"/>
      <c r="AL304" s="21">
        <f>AP304-AO304</f>
        <v/>
      </c>
      <c r="AM304" s="22">
        <f>AP304/AO304-1</f>
        <v/>
      </c>
      <c r="AO304" s="44">
        <f>IF($A$1=$B$1,B304,IF($A$1=$E$1,E304,IF($A$1=$H$1,H304,IF($A$1=$K$1,K304,IF($A$1=$N$1,N304,IF($A$1=$Q$1,Q304,IF($A$1=$T$1,T304,IF($A$1=$W$1,W304,IF($A$1=$Z$1,Z304,IF($A$1=$AC$1,AC304,IF($A$1=$AF$1,AF304,IF($A$1=$AI$1,AI304))))))))))))</f>
        <v/>
      </c>
      <c r="AP304" s="44">
        <f>IF($A$1=$B$1,C304,IF($A$1=$E$1,F304,IF($A$1=$H$1,I304,IF($A$1=$K$1,L304,IF($A$1=$N$1,O304,IF($A$1=$Q$1,R304,IF($A$1=$T$1,U304,IF($A$1=$W$1,X304,IF($A$1=$Z$1,AA304,IF($A$1=$AC$1,AD304,IF($A$1=$AF$1,AG304,IF($A$1=$AI$1,AJ304))))))))))))</f>
        <v/>
      </c>
    </row>
    <row r="305" ht="15.5" customHeight="1">
      <c r="A305" s="26" t="inlineStr">
        <is>
          <t xml:space="preserve">ISM </t>
        </is>
      </c>
      <c r="B305" s="7">
        <f>'A-TRY'!B304</f>
        <v/>
      </c>
      <c r="C305" s="7">
        <f>'A-TRY'!C304</f>
        <v/>
      </c>
      <c r="D305" s="7" t="n"/>
      <c r="E305" s="7">
        <f>B305+'A-TRY'!E304</f>
        <v/>
      </c>
      <c r="F305" s="7">
        <f>C305+'A-TRY'!F304</f>
        <v/>
      </c>
      <c r="G305" s="7" t="n"/>
      <c r="H305" s="7">
        <f>E305+'A-TRY'!H304</f>
        <v/>
      </c>
      <c r="I305" s="7">
        <f>F305+'A-TRY'!I304</f>
        <v/>
      </c>
      <c r="J305" s="7" t="n"/>
      <c r="K305" s="7">
        <f>H305+'A-TRY'!K304</f>
        <v/>
      </c>
      <c r="L305" s="7">
        <f>I305+'A-TRY'!L304</f>
        <v/>
      </c>
      <c r="M305" s="7" t="n"/>
      <c r="N305" s="7">
        <f>K305+'A-TRY'!N304</f>
        <v/>
      </c>
      <c r="O305" s="7">
        <f>L305+'A-TRY'!O304</f>
        <v/>
      </c>
      <c r="P305" s="7" t="n"/>
      <c r="Q305" s="7">
        <f>N305+'A-TRY'!Q304</f>
        <v/>
      </c>
      <c r="R305" s="7">
        <f>O305+'A-TRY'!R304</f>
        <v/>
      </c>
      <c r="S305" s="7" t="n"/>
      <c r="T305" s="7">
        <f>Q305+'A-TRY'!T304</f>
        <v/>
      </c>
      <c r="U305" s="7">
        <f>R305+'A-TRY'!U304</f>
        <v/>
      </c>
      <c r="V305" s="7" t="n"/>
      <c r="W305" s="7">
        <f>T305+'A-TRY'!W304</f>
        <v/>
      </c>
      <c r="X305" s="7">
        <f>U305+'A-TRY'!X304</f>
        <v/>
      </c>
      <c r="Y305" s="7" t="n"/>
      <c r="Z305" s="7">
        <f>W305+'A-TRY'!Z304</f>
        <v/>
      </c>
      <c r="AA305" s="7">
        <f>X305+'A-TRY'!AA304</f>
        <v/>
      </c>
      <c r="AB305" s="7" t="n"/>
      <c r="AC305" s="7">
        <f>Z305+'A-TRY'!AC304</f>
        <v/>
      </c>
      <c r="AD305" s="7">
        <f>AA305+'A-TRY'!AD304</f>
        <v/>
      </c>
      <c r="AE305" s="7" t="n"/>
      <c r="AF305" s="7">
        <f>AC305+'A-TRY'!AF304</f>
        <v/>
      </c>
      <c r="AG305" s="7">
        <f>AD305+'A-TRY'!AG304</f>
        <v/>
      </c>
      <c r="AH305" s="7" t="n"/>
      <c r="AI305" s="7">
        <f>AF305+'A-TRY'!AI304</f>
        <v/>
      </c>
      <c r="AJ305" s="7">
        <f>AG305+'A-TRY'!AJ304</f>
        <v/>
      </c>
      <c r="AK305" s="7" t="n"/>
      <c r="AL305" s="21">
        <f>AP305-AO305</f>
        <v/>
      </c>
      <c r="AM305" s="22">
        <f>AP305/AO305-1</f>
        <v/>
      </c>
      <c r="AO305" s="44">
        <f>IF($A$1=$B$1,B305,IF($A$1=$E$1,E305,IF($A$1=$H$1,H305,IF($A$1=$K$1,K305,IF($A$1=$N$1,N305,IF($A$1=$Q$1,Q305,IF($A$1=$T$1,T305,IF($A$1=$W$1,W305,IF($A$1=$Z$1,Z305,IF($A$1=$AC$1,AC305,IF($A$1=$AF$1,AF305,IF($A$1=$AI$1,AI305))))))))))))</f>
        <v/>
      </c>
      <c r="AP305" s="44">
        <f>IF($A$1=$B$1,C305,IF($A$1=$E$1,F305,IF($A$1=$H$1,I305,IF($A$1=$K$1,L305,IF($A$1=$N$1,O305,IF($A$1=$Q$1,R305,IF($A$1=$T$1,U305,IF($A$1=$W$1,X305,IF($A$1=$Z$1,AA305,IF($A$1=$AC$1,AD305,IF($A$1=$AF$1,AG305,IF($A$1=$AI$1,AJ305))))))))))))</f>
        <v/>
      </c>
    </row>
    <row r="306" ht="15.5" customHeight="1">
      <c r="A306" s="26" t="inlineStr">
        <is>
          <t>İncitaş</t>
        </is>
      </c>
      <c r="B306" s="7">
        <f>'A-TRY'!B305</f>
        <v/>
      </c>
      <c r="C306" s="7">
        <f>'A-TRY'!C305</f>
        <v/>
      </c>
      <c r="D306" s="7" t="n"/>
      <c r="E306" s="7">
        <f>B306+'A-TRY'!E305</f>
        <v/>
      </c>
      <c r="F306" s="7">
        <f>C306+'A-TRY'!F305</f>
        <v/>
      </c>
      <c r="G306" s="7" t="n"/>
      <c r="H306" s="7">
        <f>E306+'A-TRY'!H305</f>
        <v/>
      </c>
      <c r="I306" s="7">
        <f>F306+'A-TRY'!I305</f>
        <v/>
      </c>
      <c r="J306" s="7" t="n"/>
      <c r="K306" s="7">
        <f>H306+'A-TRY'!K305</f>
        <v/>
      </c>
      <c r="L306" s="7">
        <f>I306+'A-TRY'!L305</f>
        <v/>
      </c>
      <c r="M306" s="7" t="n"/>
      <c r="N306" s="7">
        <f>K306+'A-TRY'!N305</f>
        <v/>
      </c>
      <c r="O306" s="7">
        <f>L306+'A-TRY'!O305</f>
        <v/>
      </c>
      <c r="P306" s="7" t="n"/>
      <c r="Q306" s="7">
        <f>N306+'A-TRY'!Q305</f>
        <v/>
      </c>
      <c r="R306" s="7">
        <f>O306+'A-TRY'!R305</f>
        <v/>
      </c>
      <c r="S306" s="7" t="n"/>
      <c r="T306" s="7">
        <f>Q306+'A-TRY'!T305</f>
        <v/>
      </c>
      <c r="U306" s="7">
        <f>R306+'A-TRY'!U305</f>
        <v/>
      </c>
      <c r="V306" s="7" t="n"/>
      <c r="W306" s="7">
        <f>T306+'A-TRY'!W305</f>
        <v/>
      </c>
      <c r="X306" s="7">
        <f>U306+'A-TRY'!X305</f>
        <v/>
      </c>
      <c r="Y306" s="7" t="n"/>
      <c r="Z306" s="7">
        <f>W306+'A-TRY'!Z305</f>
        <v/>
      </c>
      <c r="AA306" s="7">
        <f>X306+'A-TRY'!AA305</f>
        <v/>
      </c>
      <c r="AB306" s="7" t="n"/>
      <c r="AC306" s="7">
        <f>Z306+'A-TRY'!AC305</f>
        <v/>
      </c>
      <c r="AD306" s="7">
        <f>AA306+'A-TRY'!AD305</f>
        <v/>
      </c>
      <c r="AE306" s="7" t="n"/>
      <c r="AF306" s="7">
        <f>AC306+'A-TRY'!AF305</f>
        <v/>
      </c>
      <c r="AG306" s="7">
        <f>AD306+'A-TRY'!AG305</f>
        <v/>
      </c>
      <c r="AH306" s="7" t="n"/>
      <c r="AI306" s="7">
        <f>AF306+'A-TRY'!AI305</f>
        <v/>
      </c>
      <c r="AJ306" s="7">
        <f>AG306+'A-TRY'!AJ305</f>
        <v/>
      </c>
      <c r="AK306" s="7" t="n"/>
      <c r="AL306" s="21">
        <f>AP306-AO306</f>
        <v/>
      </c>
      <c r="AM306" s="22">
        <f>AP306/AO306-1</f>
        <v/>
      </c>
      <c r="AO306" s="44">
        <f>IF($A$1=$B$1,B306,IF($A$1=$E$1,E306,IF($A$1=$H$1,H306,IF($A$1=$K$1,K306,IF($A$1=$N$1,N306,IF($A$1=$Q$1,Q306,IF($A$1=$T$1,T306,IF($A$1=$W$1,W306,IF($A$1=$Z$1,Z306,IF($A$1=$AC$1,AC306,IF($A$1=$AF$1,AF306,IF($A$1=$AI$1,AI306))))))))))))</f>
        <v/>
      </c>
      <c r="AP306" s="44">
        <f>IF($A$1=$B$1,C306,IF($A$1=$E$1,F306,IF($A$1=$H$1,I306,IF($A$1=$K$1,L306,IF($A$1=$N$1,O306,IF($A$1=$Q$1,R306,IF($A$1=$T$1,U306,IF($A$1=$W$1,X306,IF($A$1=$Z$1,AA306,IF($A$1=$AC$1,AD306,IF($A$1=$AF$1,AG306,IF($A$1=$AI$1,AJ306))))))))))))</f>
        <v/>
      </c>
    </row>
    <row r="307" ht="15.5" customHeight="1">
      <c r="A307" s="26" t="inlineStr">
        <is>
          <t>İnci GS Yuasa</t>
        </is>
      </c>
      <c r="B307" s="7">
        <f>'A-TRY'!B306</f>
        <v/>
      </c>
      <c r="C307" s="7">
        <f>'A-TRY'!C306</f>
        <v/>
      </c>
      <c r="D307" s="7" t="n"/>
      <c r="E307" s="7">
        <f>B307+'A-TRY'!E306</f>
        <v/>
      </c>
      <c r="F307" s="7">
        <f>C307+'A-TRY'!F306</f>
        <v/>
      </c>
      <c r="G307" s="7" t="n"/>
      <c r="H307" s="7">
        <f>E307+'A-TRY'!H306</f>
        <v/>
      </c>
      <c r="I307" s="7">
        <f>F307+'A-TRY'!I306</f>
        <v/>
      </c>
      <c r="J307" s="7" t="n"/>
      <c r="K307" s="7">
        <f>H307+'A-TRY'!K306</f>
        <v/>
      </c>
      <c r="L307" s="7">
        <f>I307+'A-TRY'!L306</f>
        <v/>
      </c>
      <c r="M307" s="7" t="n"/>
      <c r="N307" s="7">
        <f>K307+'A-TRY'!N306</f>
        <v/>
      </c>
      <c r="O307" s="7">
        <f>L307+'A-TRY'!O306</f>
        <v/>
      </c>
      <c r="P307" s="7" t="n"/>
      <c r="Q307" s="7">
        <f>N307+'A-TRY'!Q306</f>
        <v/>
      </c>
      <c r="R307" s="7">
        <f>O307+'A-TRY'!R306</f>
        <v/>
      </c>
      <c r="S307" s="7" t="n"/>
      <c r="T307" s="7">
        <f>Q307+'A-TRY'!T306</f>
        <v/>
      </c>
      <c r="U307" s="7">
        <f>R307+'A-TRY'!U306</f>
        <v/>
      </c>
      <c r="V307" s="7" t="n"/>
      <c r="W307" s="7">
        <f>T307+'A-TRY'!W306</f>
        <v/>
      </c>
      <c r="X307" s="7">
        <f>U307+'A-TRY'!X306</f>
        <v/>
      </c>
      <c r="Y307" s="7" t="n"/>
      <c r="Z307" s="7">
        <f>W307+'A-TRY'!Z306</f>
        <v/>
      </c>
      <c r="AA307" s="7">
        <f>X307+'A-TRY'!AA306</f>
        <v/>
      </c>
      <c r="AB307" s="7" t="n"/>
      <c r="AC307" s="7">
        <f>Z307+'A-TRY'!AC306</f>
        <v/>
      </c>
      <c r="AD307" s="7">
        <f>AA307+'A-TRY'!AD306</f>
        <v/>
      </c>
      <c r="AE307" s="7" t="n"/>
      <c r="AF307" s="7">
        <f>AC307+'A-TRY'!AF306</f>
        <v/>
      </c>
      <c r="AG307" s="7">
        <f>AD307+'A-TRY'!AG306</f>
        <v/>
      </c>
      <c r="AH307" s="7" t="n"/>
      <c r="AI307" s="7">
        <f>AF307+'A-TRY'!AI306</f>
        <v/>
      </c>
      <c r="AJ307" s="7">
        <f>AG307+'A-TRY'!AJ306</f>
        <v/>
      </c>
      <c r="AK307" s="7" t="n"/>
      <c r="AL307" s="21">
        <f>AP307-AO307</f>
        <v/>
      </c>
      <c r="AM307" s="22">
        <f>AP307/AO307-1</f>
        <v/>
      </c>
      <c r="AO307" s="44">
        <f>IF($A$1=$B$1,B307,IF($A$1=$E$1,E307,IF($A$1=$H$1,H307,IF($A$1=$K$1,K307,IF($A$1=$N$1,N307,IF($A$1=$Q$1,Q307,IF($A$1=$T$1,T307,IF($A$1=$W$1,W307,IF($A$1=$Z$1,Z307,IF($A$1=$AC$1,AC307,IF($A$1=$AF$1,AF307,IF($A$1=$AI$1,AI307))))))))))))</f>
        <v/>
      </c>
      <c r="AP307" s="44">
        <f>IF($A$1=$B$1,C307,IF($A$1=$E$1,F307,IF($A$1=$H$1,I307,IF($A$1=$K$1,L307,IF($A$1=$N$1,O307,IF($A$1=$Q$1,R307,IF($A$1=$T$1,U307,IF($A$1=$W$1,X307,IF($A$1=$Z$1,AA307,IF($A$1=$AC$1,AD307,IF($A$1=$AF$1,AG307,IF($A$1=$AI$1,AJ307))))))))))))</f>
        <v/>
      </c>
    </row>
    <row r="308" ht="15.5" customFormat="1" customHeight="1" s="1">
      <c r="A308" s="26" t="inlineStr">
        <is>
          <t>Yusen İnci Loj.</t>
        </is>
      </c>
      <c r="B308" s="7">
        <f>'A-TRY'!B307</f>
        <v/>
      </c>
      <c r="C308" s="7">
        <f>'A-TRY'!C307</f>
        <v/>
      </c>
      <c r="D308" s="8" t="n"/>
      <c r="E308" s="7">
        <f>B308+'A-TRY'!E307</f>
        <v/>
      </c>
      <c r="F308" s="7">
        <f>C308+'A-TRY'!F307</f>
        <v/>
      </c>
      <c r="G308" s="8" t="n"/>
      <c r="H308" s="7">
        <f>E308+'A-TRY'!H307</f>
        <v/>
      </c>
      <c r="I308" s="7">
        <f>F308+'A-TRY'!I307</f>
        <v/>
      </c>
      <c r="J308" s="8" t="n"/>
      <c r="K308" s="7">
        <f>H308+'A-TRY'!K307</f>
        <v/>
      </c>
      <c r="L308" s="7">
        <f>I308+'A-TRY'!L307</f>
        <v/>
      </c>
      <c r="M308" s="8" t="n"/>
      <c r="N308" s="7">
        <f>K308+'A-TRY'!N307</f>
        <v/>
      </c>
      <c r="O308" s="7">
        <f>L308+'A-TRY'!O307</f>
        <v/>
      </c>
      <c r="P308" s="8" t="n"/>
      <c r="Q308" s="7">
        <f>N308+'A-TRY'!Q307</f>
        <v/>
      </c>
      <c r="R308" s="7">
        <f>O308+'A-TRY'!R307</f>
        <v/>
      </c>
      <c r="S308" s="8" t="n"/>
      <c r="T308" s="7">
        <f>Q308+'A-TRY'!T307</f>
        <v/>
      </c>
      <c r="U308" s="7">
        <f>R308+'A-TRY'!U307</f>
        <v/>
      </c>
      <c r="V308" s="8" t="n"/>
      <c r="W308" s="7">
        <f>T308+'A-TRY'!W307</f>
        <v/>
      </c>
      <c r="X308" s="7">
        <f>U308+'A-TRY'!X307</f>
        <v/>
      </c>
      <c r="Y308" s="8" t="n"/>
      <c r="Z308" s="7">
        <f>W308+'A-TRY'!Z307</f>
        <v/>
      </c>
      <c r="AA308" s="7">
        <f>X308+'A-TRY'!AA307</f>
        <v/>
      </c>
      <c r="AB308" s="8" t="n"/>
      <c r="AC308" s="7">
        <f>Z308+'A-TRY'!AC307</f>
        <v/>
      </c>
      <c r="AD308" s="7">
        <f>AA308+'A-TRY'!AD307</f>
        <v/>
      </c>
      <c r="AE308" s="8" t="n"/>
      <c r="AF308" s="7">
        <f>AC308+'A-TRY'!AF307</f>
        <v/>
      </c>
      <c r="AG308" s="7">
        <f>AD308+'A-TRY'!AG307</f>
        <v/>
      </c>
      <c r="AH308" s="8" t="n"/>
      <c r="AI308" s="7">
        <f>AF308+'A-TRY'!AI307</f>
        <v/>
      </c>
      <c r="AJ308" s="7">
        <f>AG308+'A-TRY'!AJ307</f>
        <v/>
      </c>
      <c r="AK308" s="8" t="n"/>
      <c r="AL308" s="21">
        <f>AP308-AO308</f>
        <v/>
      </c>
      <c r="AM308" s="22">
        <f>AP308/AO308-1</f>
        <v/>
      </c>
      <c r="AO308" s="44">
        <f>IF($A$1=$B$1,B308,IF($A$1=$E$1,E308,IF($A$1=$H$1,H308,IF($A$1=$K$1,K308,IF($A$1=$N$1,N308,IF($A$1=$Q$1,Q308,IF($A$1=$T$1,T308,IF($A$1=$W$1,W308,IF($A$1=$Z$1,Z308,IF($A$1=$AC$1,AC308,IF($A$1=$AF$1,AF308,IF($A$1=$AI$1,AI308))))))))))))</f>
        <v/>
      </c>
      <c r="AP308" s="44">
        <f>IF($A$1=$B$1,C308,IF($A$1=$E$1,F308,IF($A$1=$H$1,I308,IF($A$1=$K$1,L308,IF($A$1=$N$1,O308,IF($A$1=$Q$1,R308,IF($A$1=$T$1,U308,IF($A$1=$W$1,X308,IF($A$1=$Z$1,AA308,IF($A$1=$AC$1,AD308,IF($A$1=$AF$1,AG308,IF($A$1=$AI$1,AJ308))))))))))))</f>
        <v/>
      </c>
    </row>
    <row r="309" ht="15.5" customHeight="1">
      <c r="A309" s="26" t="inlineStr">
        <is>
          <t>Jantaş</t>
        </is>
      </c>
      <c r="B309" s="7">
        <f>'A-TRY'!B308</f>
        <v/>
      </c>
      <c r="C309" s="7">
        <f>'A-TRY'!C308</f>
        <v/>
      </c>
      <c r="D309" s="7" t="n"/>
      <c r="E309" s="7">
        <f>B309+'A-TRY'!E308</f>
        <v/>
      </c>
      <c r="F309" s="7">
        <f>C309+'A-TRY'!F308</f>
        <v/>
      </c>
      <c r="G309" s="7" t="n"/>
      <c r="H309" s="7">
        <f>E309+'A-TRY'!H308</f>
        <v/>
      </c>
      <c r="I309" s="7">
        <f>F309+'A-TRY'!I308</f>
        <v/>
      </c>
      <c r="J309" s="7" t="n"/>
      <c r="K309" s="7">
        <f>H309+'A-TRY'!K308</f>
        <v/>
      </c>
      <c r="L309" s="7">
        <f>I309+'A-TRY'!L308</f>
        <v/>
      </c>
      <c r="M309" s="7" t="n"/>
      <c r="N309" s="7">
        <f>K309+'A-TRY'!N308</f>
        <v/>
      </c>
      <c r="O309" s="7">
        <f>L309+'A-TRY'!O308</f>
        <v/>
      </c>
      <c r="P309" s="7" t="n"/>
      <c r="Q309" s="7">
        <f>N309+'A-TRY'!Q308</f>
        <v/>
      </c>
      <c r="R309" s="7">
        <f>O309+'A-TRY'!R308</f>
        <v/>
      </c>
      <c r="S309" s="7" t="n"/>
      <c r="T309" s="7">
        <f>Q309+'A-TRY'!T308</f>
        <v/>
      </c>
      <c r="U309" s="7">
        <f>R309+'A-TRY'!U308</f>
        <v/>
      </c>
      <c r="V309" s="7" t="n"/>
      <c r="W309" s="7">
        <f>T309+'A-TRY'!W308</f>
        <v/>
      </c>
      <c r="X309" s="7">
        <f>U309+'A-TRY'!X308</f>
        <v/>
      </c>
      <c r="Y309" s="7" t="n"/>
      <c r="Z309" s="7">
        <f>W309+'A-TRY'!Z308</f>
        <v/>
      </c>
      <c r="AA309" s="7">
        <f>X309+'A-TRY'!AA308</f>
        <v/>
      </c>
      <c r="AB309" s="7" t="n"/>
      <c r="AC309" s="7">
        <f>Z309+'A-TRY'!AC308</f>
        <v/>
      </c>
      <c r="AD309" s="7">
        <f>AA309+'A-TRY'!AD308</f>
        <v/>
      </c>
      <c r="AE309" s="7" t="n"/>
      <c r="AF309" s="7">
        <f>AC309+'A-TRY'!AF308</f>
        <v/>
      </c>
      <c r="AG309" s="7">
        <f>AD309+'A-TRY'!AG308</f>
        <v/>
      </c>
      <c r="AH309" s="7" t="n"/>
      <c r="AI309" s="7">
        <f>AF309+'A-TRY'!AI308</f>
        <v/>
      </c>
      <c r="AJ309" s="7">
        <f>AG309+'A-TRY'!AJ308</f>
        <v/>
      </c>
      <c r="AK309" s="7" t="n"/>
      <c r="AL309" s="21">
        <f>AP309-AO309</f>
        <v/>
      </c>
      <c r="AM309" s="22">
        <f>AP309/AO309-1</f>
        <v/>
      </c>
      <c r="AO309" s="44">
        <f>IF($A$1=$B$1,B309,IF($A$1=$E$1,E309,IF($A$1=$H$1,H309,IF($A$1=$K$1,K309,IF($A$1=$N$1,N309,IF($A$1=$Q$1,Q309,IF($A$1=$T$1,T309,IF($A$1=$W$1,W309,IF($A$1=$Z$1,Z309,IF($A$1=$AC$1,AC309,IF($A$1=$AF$1,AF309,IF($A$1=$AI$1,AI309))))))))))))</f>
        <v/>
      </c>
      <c r="AP309" s="44">
        <f>IF($A$1=$B$1,C309,IF($A$1=$E$1,F309,IF($A$1=$H$1,I309,IF($A$1=$K$1,L309,IF($A$1=$N$1,O309,IF($A$1=$Q$1,R309,IF($A$1=$T$1,U309,IF($A$1=$W$1,X309,IF($A$1=$Z$1,AA309,IF($A$1=$AC$1,AD309,IF($A$1=$AF$1,AG309,IF($A$1=$AI$1,AJ309))))))))))))</f>
        <v/>
      </c>
    </row>
    <row r="310" ht="15.5" customFormat="1" customHeight="1" s="1">
      <c r="A310" s="26" t="inlineStr">
        <is>
          <t>Çelik</t>
        </is>
      </c>
      <c r="B310" s="7">
        <f>'A-TRY'!B309</f>
        <v/>
      </c>
      <c r="C310" s="7">
        <f>'A-TRY'!C309</f>
        <v/>
      </c>
      <c r="D310" s="8" t="n"/>
      <c r="E310" s="7">
        <f>B310+'A-TRY'!E309</f>
        <v/>
      </c>
      <c r="F310" s="7">
        <f>C310+'A-TRY'!F309</f>
        <v/>
      </c>
      <c r="G310" s="8" t="n"/>
      <c r="H310" s="7">
        <f>E310+'A-TRY'!H309</f>
        <v/>
      </c>
      <c r="I310" s="7">
        <f>F310+'A-TRY'!I309</f>
        <v/>
      </c>
      <c r="J310" s="8" t="n"/>
      <c r="K310" s="7">
        <f>H310+'A-TRY'!K309</f>
        <v/>
      </c>
      <c r="L310" s="7">
        <f>I310+'A-TRY'!L309</f>
        <v/>
      </c>
      <c r="M310" s="8" t="n"/>
      <c r="N310" s="7">
        <f>K310+'A-TRY'!N309</f>
        <v/>
      </c>
      <c r="O310" s="7">
        <f>L310+'A-TRY'!O309</f>
        <v/>
      </c>
      <c r="P310" s="8" t="n"/>
      <c r="Q310" s="7">
        <f>N310+'A-TRY'!Q309</f>
        <v/>
      </c>
      <c r="R310" s="7">
        <f>O310+'A-TRY'!R309</f>
        <v/>
      </c>
      <c r="S310" s="8" t="n"/>
      <c r="T310" s="7">
        <f>Q310+'A-TRY'!T309</f>
        <v/>
      </c>
      <c r="U310" s="7">
        <f>R310+'A-TRY'!U309</f>
        <v/>
      </c>
      <c r="V310" s="8" t="n"/>
      <c r="W310" s="7">
        <f>T310+'A-TRY'!W309</f>
        <v/>
      </c>
      <c r="X310" s="7">
        <f>U310+'A-TRY'!X309</f>
        <v/>
      </c>
      <c r="Y310" s="8" t="n"/>
      <c r="Z310" s="7">
        <f>W310+'A-TRY'!Z309</f>
        <v/>
      </c>
      <c r="AA310" s="7">
        <f>X310+'A-TRY'!AA309</f>
        <v/>
      </c>
      <c r="AB310" s="8" t="n"/>
      <c r="AC310" s="7">
        <f>Z310+'A-TRY'!AC309</f>
        <v/>
      </c>
      <c r="AD310" s="7">
        <f>AA310+'A-TRY'!AD309</f>
        <v/>
      </c>
      <c r="AE310" s="8" t="n"/>
      <c r="AF310" s="7">
        <f>AC310+'A-TRY'!AF309</f>
        <v/>
      </c>
      <c r="AG310" s="7">
        <f>AD310+'A-TRY'!AG309</f>
        <v/>
      </c>
      <c r="AH310" s="8" t="n"/>
      <c r="AI310" s="7">
        <f>AF310+'A-TRY'!AI309</f>
        <v/>
      </c>
      <c r="AJ310" s="7">
        <f>AG310+'A-TRY'!AJ309</f>
        <v/>
      </c>
      <c r="AK310" s="8" t="n"/>
      <c r="AL310" s="21">
        <f>AP310-AO310</f>
        <v/>
      </c>
      <c r="AM310" s="22">
        <f>AP310/AO310-1</f>
        <v/>
      </c>
      <c r="AO310" s="44">
        <f>IF($A$1=$B$1,B310,IF($A$1=$E$1,E310,IF($A$1=$H$1,H310,IF($A$1=$K$1,K310,IF($A$1=$N$1,N310,IF($A$1=$Q$1,Q310,IF($A$1=$T$1,T310,IF($A$1=$W$1,W310,IF($A$1=$Z$1,Z310,IF($A$1=$AC$1,AC310,IF($A$1=$AF$1,AF310,IF($A$1=$AI$1,AI310))))))))))))</f>
        <v/>
      </c>
      <c r="AP310" s="44">
        <f>IF($A$1=$B$1,C310,IF($A$1=$E$1,F310,IF($A$1=$H$1,I310,IF($A$1=$K$1,L310,IF($A$1=$N$1,O310,IF($A$1=$Q$1,R310,IF($A$1=$T$1,U310,IF($A$1=$W$1,X310,IF($A$1=$Z$1,AA310,IF($A$1=$AC$1,AD310,IF($A$1=$AF$1,AG310,IF($A$1=$AI$1,AJ310))))))))))))</f>
        <v/>
      </c>
    </row>
    <row r="311" ht="15.5" customFormat="1" customHeight="1" s="1">
      <c r="A311" s="26" t="inlineStr">
        <is>
          <t>Alüminyum</t>
        </is>
      </c>
      <c r="B311" s="7">
        <f>'A-TRY'!B310</f>
        <v/>
      </c>
      <c r="C311" s="7">
        <f>'A-TRY'!C310</f>
        <v/>
      </c>
      <c r="D311" s="8" t="n"/>
      <c r="E311" s="7">
        <f>B311+'A-TRY'!E310</f>
        <v/>
      </c>
      <c r="F311" s="7">
        <f>C311+'A-TRY'!F310</f>
        <v/>
      </c>
      <c r="G311" s="8" t="n"/>
      <c r="H311" s="7">
        <f>E311+'A-TRY'!H310</f>
        <v/>
      </c>
      <c r="I311" s="7">
        <f>F311+'A-TRY'!I310</f>
        <v/>
      </c>
      <c r="J311" s="8" t="n"/>
      <c r="K311" s="7">
        <f>H311+'A-TRY'!K310</f>
        <v/>
      </c>
      <c r="L311" s="7">
        <f>I311+'A-TRY'!L310</f>
        <v/>
      </c>
      <c r="M311" s="8" t="n"/>
      <c r="N311" s="7">
        <f>K311+'A-TRY'!N310</f>
        <v/>
      </c>
      <c r="O311" s="7">
        <f>L311+'A-TRY'!O310</f>
        <v/>
      </c>
      <c r="P311" s="8" t="n"/>
      <c r="Q311" s="7">
        <f>N311+'A-TRY'!Q310</f>
        <v/>
      </c>
      <c r="R311" s="7">
        <f>O311+'A-TRY'!R310</f>
        <v/>
      </c>
      <c r="S311" s="8" t="n"/>
      <c r="T311" s="7">
        <f>Q311+'A-TRY'!T310</f>
        <v/>
      </c>
      <c r="U311" s="7">
        <f>R311+'A-TRY'!U310</f>
        <v/>
      </c>
      <c r="V311" s="8" t="n"/>
      <c r="W311" s="7">
        <f>T311+'A-TRY'!W310</f>
        <v/>
      </c>
      <c r="X311" s="7">
        <f>U311+'A-TRY'!X310</f>
        <v/>
      </c>
      <c r="Y311" s="8" t="n"/>
      <c r="Z311" s="7">
        <f>W311+'A-TRY'!Z310</f>
        <v/>
      </c>
      <c r="AA311" s="7">
        <f>X311+'A-TRY'!AA310</f>
        <v/>
      </c>
      <c r="AB311" s="8" t="n"/>
      <c r="AC311" s="7">
        <f>Z311+'A-TRY'!AC310</f>
        <v/>
      </c>
      <c r="AD311" s="7">
        <f>AA311+'A-TRY'!AD310</f>
        <v/>
      </c>
      <c r="AE311" s="8" t="n"/>
      <c r="AF311" s="7">
        <f>AC311+'A-TRY'!AF310</f>
        <v/>
      </c>
      <c r="AG311" s="7">
        <f>AD311+'A-TRY'!AG310</f>
        <v/>
      </c>
      <c r="AH311" s="8" t="n"/>
      <c r="AI311" s="7">
        <f>AF311+'A-TRY'!AI310</f>
        <v/>
      </c>
      <c r="AJ311" s="7">
        <f>AG311+'A-TRY'!AJ310</f>
        <v/>
      </c>
      <c r="AK311" s="8" t="n"/>
      <c r="AL311" s="21">
        <f>AP311-AO311</f>
        <v/>
      </c>
      <c r="AM311" s="22">
        <f>AP311/AO311-1</f>
        <v/>
      </c>
      <c r="AO311" s="44">
        <f>IF($A$1=$B$1,B311,IF($A$1=$E$1,E311,IF($A$1=$H$1,H311,IF($A$1=$K$1,K311,IF($A$1=$N$1,N311,IF($A$1=$Q$1,Q311,IF($A$1=$T$1,T311,IF($A$1=$W$1,W311,IF($A$1=$Z$1,Z311,IF($A$1=$AC$1,AC311,IF($A$1=$AF$1,AF311,IF($A$1=$AI$1,AI311))))))))))))</f>
        <v/>
      </c>
      <c r="AP311" s="44">
        <f>IF($A$1=$B$1,C311,IF($A$1=$E$1,F311,IF($A$1=$H$1,I311,IF($A$1=$K$1,L311,IF($A$1=$N$1,O311,IF($A$1=$Q$1,R311,IF($A$1=$T$1,U311,IF($A$1=$W$1,X311,IF($A$1=$Z$1,AA311,IF($A$1=$AC$1,AD311,IF($A$1=$AF$1,AG311,IF($A$1=$AI$1,AJ311))))))))))))</f>
        <v/>
      </c>
    </row>
    <row r="312" ht="15.5" customFormat="1" customHeight="1" s="1">
      <c r="A312" s="26" t="n"/>
      <c r="B312" s="7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7" t="n"/>
      <c r="R312" s="8" t="n"/>
      <c r="S312" s="8" t="n"/>
      <c r="T312" s="7" t="n"/>
      <c r="U312" s="8" t="n"/>
      <c r="V312" s="8" t="n"/>
      <c r="W312" s="7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15" t="n"/>
      <c r="AM312" s="16" t="n"/>
      <c r="AO312" s="44" t="n"/>
      <c r="AP312" s="44" t="n"/>
    </row>
    <row r="313" ht="15.5" customFormat="1" customHeight="1" s="1">
      <c r="A313" s="26" t="n"/>
      <c r="B313" s="7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7" t="n"/>
      <c r="R313" s="8" t="n"/>
      <c r="S313" s="8" t="n"/>
      <c r="T313" s="7" t="n"/>
      <c r="U313" s="8" t="n"/>
      <c r="V313" s="8" t="n"/>
      <c r="W313" s="7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15" t="n"/>
      <c r="AM313" s="16" t="n"/>
      <c r="AO313" s="44" t="n"/>
      <c r="AP313" s="44" t="n"/>
    </row>
    <row r="314" ht="15.5" customFormat="1" customHeight="1" s="1">
      <c r="A314" s="26" t="n"/>
      <c r="B314" s="7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7" t="n"/>
      <c r="R314" s="8" t="n"/>
      <c r="S314" s="8" t="n"/>
      <c r="T314" s="7" t="n"/>
      <c r="U314" s="8" t="n"/>
      <c r="V314" s="8" t="n"/>
      <c r="W314" s="7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15" t="n"/>
      <c r="AM314" s="16" t="n"/>
      <c r="AO314" s="44" t="n"/>
      <c r="AP314" s="44" t="n"/>
    </row>
    <row r="315" ht="15.5" customFormat="1" customHeight="1" s="1">
      <c r="A315" s="26" t="n"/>
      <c r="B315" s="7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7" t="n"/>
      <c r="R315" s="8" t="n"/>
      <c r="S315" s="8" t="n"/>
      <c r="T315" s="7" t="n"/>
      <c r="U315" s="8" t="n"/>
      <c r="V315" s="8" t="n"/>
      <c r="W315" s="7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15" t="n"/>
      <c r="AM315" s="16" t="n"/>
      <c r="AO315" s="44" t="n"/>
      <c r="AP315" s="44" t="n"/>
    </row>
    <row r="316" ht="15.5" customFormat="1" customHeight="1" s="1">
      <c r="A316" s="26" t="n"/>
      <c r="B316" s="7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7" t="n"/>
      <c r="R316" s="8" t="n"/>
      <c r="S316" s="8" t="n"/>
      <c r="T316" s="7" t="n"/>
      <c r="U316" s="8" t="n"/>
      <c r="V316" s="8" t="n"/>
      <c r="W316" s="7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15" t="n"/>
      <c r="AM316" s="16" t="n"/>
      <c r="AO316" s="44" t="n"/>
      <c r="AP316" s="44" t="n"/>
    </row>
    <row r="317" ht="15.5" customFormat="1" customHeight="1" s="1">
      <c r="A317" s="26" t="n"/>
      <c r="B317" s="7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7" t="n"/>
      <c r="R317" s="8" t="n"/>
      <c r="S317" s="8" t="n"/>
      <c r="T317" s="7" t="n"/>
      <c r="U317" s="8" t="n"/>
      <c r="V317" s="8" t="n"/>
      <c r="W317" s="7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15" t="n"/>
      <c r="AM317" s="16" t="n"/>
      <c r="AO317" s="44" t="n"/>
      <c r="AP317" s="44" t="n"/>
    </row>
    <row r="318" ht="15.5" customFormat="1" customHeight="1" s="1">
      <c r="A318" s="26" t="n"/>
      <c r="B318" s="7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7" t="n"/>
      <c r="R318" s="8" t="n"/>
      <c r="S318" s="8" t="n"/>
      <c r="T318" s="7" t="n"/>
      <c r="U318" s="8" t="n"/>
      <c r="V318" s="8" t="n"/>
      <c r="W318" s="7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15" t="n"/>
      <c r="AM318" s="16" t="n"/>
      <c r="AO318" s="44" t="n"/>
      <c r="AP318" s="44" t="n"/>
    </row>
    <row r="319" ht="15.5" customFormat="1" customHeight="1" s="1">
      <c r="A319" s="26" t="n"/>
      <c r="B319" s="7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7" t="n"/>
      <c r="R319" s="8" t="n"/>
      <c r="S319" s="8" t="n"/>
      <c r="T319" s="7" t="n"/>
      <c r="U319" s="8" t="n"/>
      <c r="V319" s="8" t="n"/>
      <c r="W319" s="7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15" t="n"/>
      <c r="AM319" s="16" t="n"/>
      <c r="AO319" s="44" t="n"/>
      <c r="AP319" s="44" t="n"/>
    </row>
    <row r="320" ht="15.5" customFormat="1" customHeight="1" s="1">
      <c r="A320" s="26" t="n"/>
      <c r="B320" s="7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7" t="n"/>
      <c r="R320" s="8" t="n"/>
      <c r="S320" s="8" t="n"/>
      <c r="T320" s="7" t="n"/>
      <c r="U320" s="8" t="n"/>
      <c r="V320" s="8" t="n"/>
      <c r="W320" s="7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15" t="n"/>
      <c r="AM320" s="16" t="n"/>
      <c r="AO320" s="44" t="n"/>
      <c r="AP320" s="44" t="n"/>
    </row>
    <row r="321" ht="15.5" customFormat="1" customHeight="1" s="1">
      <c r="A321" s="26" t="n"/>
      <c r="B321" s="7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7" t="n"/>
      <c r="R321" s="8" t="n"/>
      <c r="S321" s="8" t="n"/>
      <c r="T321" s="7" t="n"/>
      <c r="U321" s="8" t="n"/>
      <c r="V321" s="8" t="n"/>
      <c r="W321" s="7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15" t="n"/>
      <c r="AM321" s="16" t="n"/>
      <c r="AO321" s="44" t="n"/>
      <c r="AP321" s="44" t="n"/>
    </row>
    <row r="322" ht="15.5" customFormat="1" customHeight="1" s="1">
      <c r="A322" s="26" t="n"/>
      <c r="B322" s="7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7" t="n"/>
      <c r="R322" s="8" t="n"/>
      <c r="S322" s="8" t="n"/>
      <c r="T322" s="7" t="n"/>
      <c r="U322" s="8" t="n"/>
      <c r="V322" s="8" t="n"/>
      <c r="W322" s="7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15" t="n"/>
      <c r="AM322" s="16" t="n"/>
      <c r="AO322" s="44" t="n"/>
      <c r="AP322" s="44" t="n"/>
    </row>
    <row r="323" ht="15.5" customFormat="1" customHeight="1" s="1">
      <c r="A323" s="26" t="n"/>
      <c r="B323" s="7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7" t="n"/>
      <c r="R323" s="8" t="n"/>
      <c r="S323" s="8" t="n"/>
      <c r="T323" s="7" t="n"/>
      <c r="U323" s="8" t="n"/>
      <c r="V323" s="8" t="n"/>
      <c r="W323" s="7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15" t="n"/>
      <c r="AM323" s="16" t="n"/>
      <c r="AO323" s="44" t="n"/>
      <c r="AP323" s="44" t="n"/>
    </row>
    <row r="324" ht="15.5" customFormat="1" customHeight="1" s="1">
      <c r="A324" s="26" t="n"/>
      <c r="B324" s="7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7" t="n"/>
      <c r="R324" s="8" t="n"/>
      <c r="S324" s="8" t="n"/>
      <c r="T324" s="7" t="n"/>
      <c r="U324" s="8" t="n"/>
      <c r="V324" s="8" t="n"/>
      <c r="W324" s="7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15" t="n"/>
      <c r="AM324" s="16" t="n"/>
      <c r="AO324" s="44" t="n"/>
      <c r="AP324" s="44" t="n"/>
    </row>
    <row r="325" ht="15.5" customFormat="1" customHeight="1" s="1">
      <c r="A325" s="26" t="n"/>
      <c r="B325" s="7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7" t="n"/>
      <c r="R325" s="8" t="n"/>
      <c r="S325" s="8" t="n"/>
      <c r="T325" s="7" t="n"/>
      <c r="U325" s="8" t="n"/>
      <c r="V325" s="8" t="n"/>
      <c r="W325" s="7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15" t="n"/>
      <c r="AM325" s="16" t="n"/>
      <c r="AO325" s="44" t="n"/>
      <c r="AP325" s="44" t="n"/>
    </row>
    <row r="326" ht="15.5" customFormat="1" customHeight="1" s="1">
      <c r="A326" s="26" t="n"/>
      <c r="B326" s="7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7" t="n"/>
      <c r="R326" s="8" t="n"/>
      <c r="S326" s="8" t="n"/>
      <c r="T326" s="7" t="n"/>
      <c r="U326" s="8" t="n"/>
      <c r="V326" s="8" t="n"/>
      <c r="W326" s="7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15" t="n"/>
      <c r="AM326" s="16" t="n"/>
      <c r="AO326" s="44" t="n"/>
      <c r="AP326" s="44" t="n"/>
    </row>
    <row r="327" ht="15.5" customFormat="1" customHeight="1" s="1">
      <c r="A327" s="26" t="n"/>
      <c r="B327" s="7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7" t="n"/>
      <c r="R327" s="8" t="n"/>
      <c r="S327" s="8" t="n"/>
      <c r="T327" s="7" t="n"/>
      <c r="U327" s="8" t="n"/>
      <c r="V327" s="8" t="n"/>
      <c r="W327" s="7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15" t="n"/>
      <c r="AM327" s="16" t="n"/>
      <c r="AO327" s="44" t="n"/>
      <c r="AP327" s="44" t="n"/>
    </row>
    <row r="328" ht="15.5" customFormat="1" customHeight="1" s="1">
      <c r="A328" s="26" t="n"/>
      <c r="B328" s="7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7" t="n"/>
      <c r="R328" s="8" t="n"/>
      <c r="S328" s="8" t="n"/>
      <c r="T328" s="7" t="n"/>
      <c r="U328" s="8" t="n"/>
      <c r="V328" s="8" t="n"/>
      <c r="W328" s="7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15" t="n"/>
      <c r="AM328" s="16" t="n"/>
      <c r="AO328" s="44" t="n"/>
      <c r="AP328" s="44" t="n"/>
    </row>
    <row r="329" ht="15.5" customFormat="1" customHeight="1" s="1">
      <c r="A329" s="26" t="n"/>
      <c r="B329" s="7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7" t="n"/>
      <c r="R329" s="8" t="n"/>
      <c r="S329" s="8" t="n"/>
      <c r="T329" s="7" t="n"/>
      <c r="U329" s="8" t="n"/>
      <c r="V329" s="8" t="n"/>
      <c r="W329" s="7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15" t="n"/>
      <c r="AM329" s="16" t="n"/>
      <c r="AO329" s="44" t="n"/>
      <c r="AP329" s="44" t="n"/>
    </row>
    <row r="330" ht="15.5" customFormat="1" customHeight="1" s="1">
      <c r="A330" s="26" t="n"/>
      <c r="B330" s="7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7" t="n"/>
      <c r="R330" s="8" t="n"/>
      <c r="S330" s="8" t="n"/>
      <c r="T330" s="7" t="n"/>
      <c r="U330" s="8" t="n"/>
      <c r="V330" s="8" t="n"/>
      <c r="W330" s="7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15" t="n"/>
      <c r="AM330" s="16" t="n"/>
      <c r="AO330" s="44" t="n"/>
      <c r="AP330" s="44" t="n"/>
    </row>
    <row r="331" ht="15.5" customFormat="1" customHeight="1" s="1">
      <c r="A331" s="26" t="n"/>
      <c r="B331" s="7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7" t="n"/>
      <c r="R331" s="8" t="n"/>
      <c r="S331" s="8" t="n"/>
      <c r="T331" s="7" t="n"/>
      <c r="U331" s="8" t="n"/>
      <c r="V331" s="8" t="n"/>
      <c r="W331" s="7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15" t="n"/>
      <c r="AM331" s="16" t="n"/>
      <c r="AO331" s="44" t="n"/>
      <c r="AP331" s="44" t="n"/>
    </row>
    <row r="332" ht="15.5" customFormat="1" customHeight="1" s="1">
      <c r="A332" s="26" t="n"/>
      <c r="B332" s="7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7" t="n"/>
      <c r="R332" s="8" t="n"/>
      <c r="S332" s="8" t="n"/>
      <c r="T332" s="7" t="n"/>
      <c r="U332" s="8" t="n"/>
      <c r="V332" s="8" t="n"/>
      <c r="W332" s="7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15" t="n"/>
      <c r="AM332" s="16" t="n"/>
      <c r="AO332" s="44" t="n"/>
      <c r="AP332" s="44" t="n"/>
    </row>
    <row r="333" ht="15.5" customFormat="1" customHeight="1" s="1">
      <c r="A333" s="26" t="n"/>
      <c r="B333" s="7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7" t="n"/>
      <c r="R333" s="8" t="n"/>
      <c r="S333" s="8" t="n"/>
      <c r="T333" s="7" t="n"/>
      <c r="U333" s="8" t="n"/>
      <c r="V333" s="8" t="n"/>
      <c r="W333" s="7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15" t="n"/>
      <c r="AM333" s="16" t="n"/>
      <c r="AO333" s="44" t="n"/>
      <c r="AP333" s="44" t="n"/>
    </row>
    <row r="334" ht="15.5" customFormat="1" customHeight="1" s="1">
      <c r="A334" s="26" t="n"/>
      <c r="B334" s="7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7" t="n"/>
      <c r="R334" s="8" t="n"/>
      <c r="S334" s="8" t="n"/>
      <c r="T334" s="7" t="n"/>
      <c r="U334" s="8" t="n"/>
      <c r="V334" s="8" t="n"/>
      <c r="W334" s="7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15" t="n"/>
      <c r="AM334" s="16" t="n"/>
      <c r="AO334" s="44" t="n"/>
      <c r="AP334" s="44" t="n"/>
    </row>
    <row r="335" ht="15.5" customFormat="1" customHeight="1" s="1">
      <c r="A335" s="26" t="n"/>
      <c r="B335" s="7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7" t="n"/>
      <c r="R335" s="8" t="n"/>
      <c r="S335" s="8" t="n"/>
      <c r="T335" s="7" t="n"/>
      <c r="U335" s="8" t="n"/>
      <c r="V335" s="8" t="n"/>
      <c r="W335" s="7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15" t="n"/>
      <c r="AM335" s="16" t="n"/>
      <c r="AO335" s="44" t="n"/>
      <c r="AP335" s="44" t="n"/>
    </row>
    <row r="336" ht="15.5" customFormat="1" customHeight="1" s="1">
      <c r="A336" s="26" t="n"/>
      <c r="B336" s="7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7" t="n"/>
      <c r="R336" s="8" t="n"/>
      <c r="S336" s="8" t="n"/>
      <c r="T336" s="7" t="n"/>
      <c r="U336" s="8" t="n"/>
      <c r="V336" s="8" t="n"/>
      <c r="W336" s="7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15" t="n"/>
      <c r="AM336" s="16" t="n"/>
      <c r="AO336" s="44" t="n"/>
      <c r="AP336" s="44" t="n"/>
    </row>
    <row r="337" ht="15.5" customFormat="1" customHeight="1" s="1">
      <c r="A337" s="26" t="n"/>
      <c r="B337" s="7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7" t="n"/>
      <c r="R337" s="8" t="n"/>
      <c r="S337" s="8" t="n"/>
      <c r="T337" s="7" t="n"/>
      <c r="U337" s="8" t="n"/>
      <c r="V337" s="8" t="n"/>
      <c r="W337" s="7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15" t="n"/>
      <c r="AM337" s="16" t="n"/>
      <c r="AO337" s="44" t="n"/>
      <c r="AP337" s="44" t="n"/>
    </row>
    <row r="338" ht="15.5" customFormat="1" customHeight="1" s="1">
      <c r="A338" s="26" t="n"/>
      <c r="B338" s="7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7" t="n"/>
      <c r="R338" s="8" t="n"/>
      <c r="S338" s="8" t="n"/>
      <c r="T338" s="7" t="n"/>
      <c r="U338" s="8" t="n"/>
      <c r="V338" s="8" t="n"/>
      <c r="W338" s="7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15" t="n"/>
      <c r="AM338" s="16" t="n"/>
      <c r="AO338" s="44" t="n"/>
      <c r="AP338" s="44" t="n"/>
    </row>
    <row r="339" ht="15.5" customFormat="1" customHeight="1" s="1">
      <c r="A339" s="26" t="n"/>
      <c r="B339" s="7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7" t="n"/>
      <c r="R339" s="8" t="n"/>
      <c r="S339" s="8" t="n"/>
      <c r="T339" s="7" t="n"/>
      <c r="U339" s="8" t="n"/>
      <c r="V339" s="8" t="n"/>
      <c r="W339" s="7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15" t="n"/>
      <c r="AM339" s="16" t="n"/>
      <c r="AO339" s="44" t="n"/>
      <c r="AP339" s="44" t="n"/>
    </row>
    <row r="340" ht="15.5" customFormat="1" customHeight="1" s="1">
      <c r="A340" s="26" t="n"/>
      <c r="B340" s="7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7" t="n"/>
      <c r="R340" s="8" t="n"/>
      <c r="S340" s="8" t="n"/>
      <c r="T340" s="7" t="n"/>
      <c r="U340" s="8" t="n"/>
      <c r="V340" s="8" t="n"/>
      <c r="W340" s="7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15" t="n"/>
      <c r="AM340" s="16" t="n"/>
      <c r="AO340" s="44" t="n"/>
      <c r="AP340" s="44" t="n"/>
    </row>
    <row r="341" ht="15.5" customFormat="1" customHeight="1" s="1">
      <c r="A341" s="26" t="n"/>
      <c r="B341" s="7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7" t="n"/>
      <c r="R341" s="8" t="n"/>
      <c r="S341" s="8" t="n"/>
      <c r="T341" s="7" t="n"/>
      <c r="U341" s="8" t="n"/>
      <c r="V341" s="8" t="n"/>
      <c r="W341" s="7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15" t="n"/>
      <c r="AM341" s="16" t="n"/>
      <c r="AO341" s="44" t="n"/>
      <c r="AP341" s="44" t="n"/>
    </row>
    <row r="342" ht="15.5" customFormat="1" customHeight="1" s="1">
      <c r="A342" s="26" t="n"/>
      <c r="B342" s="7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7" t="n"/>
      <c r="R342" s="8" t="n"/>
      <c r="S342" s="8" t="n"/>
      <c r="T342" s="7" t="n"/>
      <c r="U342" s="8" t="n"/>
      <c r="V342" s="8" t="n"/>
      <c r="W342" s="7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15" t="n"/>
      <c r="AM342" s="16" t="n"/>
      <c r="AO342" s="44" t="n"/>
      <c r="AP342" s="44" t="n"/>
    </row>
    <row r="343" ht="15.5" customFormat="1" customHeight="1" s="1">
      <c r="A343" s="26" t="n"/>
      <c r="B343" s="7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7" t="n"/>
      <c r="R343" s="8" t="n"/>
      <c r="S343" s="8" t="n"/>
      <c r="T343" s="7" t="n"/>
      <c r="U343" s="8" t="n"/>
      <c r="V343" s="8" t="n"/>
      <c r="W343" s="7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15" t="n"/>
      <c r="AM343" s="16" t="n"/>
      <c r="AO343" s="44" t="n"/>
      <c r="AP343" s="44" t="n"/>
    </row>
    <row r="344" ht="15.5" customFormat="1" customHeight="1" s="1">
      <c r="A344" s="26" t="n"/>
      <c r="B344" s="7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7" t="n"/>
      <c r="R344" s="8" t="n"/>
      <c r="S344" s="8" t="n"/>
      <c r="T344" s="7" t="n"/>
      <c r="U344" s="8" t="n"/>
      <c r="V344" s="8" t="n"/>
      <c r="W344" s="7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15" t="n"/>
      <c r="AM344" s="16" t="n"/>
      <c r="AO344" s="44" t="n"/>
      <c r="AP344" s="44" t="n"/>
    </row>
    <row r="345" ht="15.5" customFormat="1" customHeight="1" s="1">
      <c r="A345" s="26" t="n"/>
      <c r="B345" s="7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7" t="n"/>
      <c r="R345" s="8" t="n"/>
      <c r="S345" s="8" t="n"/>
      <c r="T345" s="7" t="n"/>
      <c r="U345" s="8" t="n"/>
      <c r="V345" s="8" t="n"/>
      <c r="W345" s="7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15" t="n"/>
      <c r="AM345" s="16" t="n"/>
      <c r="AO345" s="44" t="n"/>
      <c r="AP345" s="44" t="n"/>
    </row>
    <row r="346" ht="15.5" customFormat="1" customHeight="1" s="1">
      <c r="A346" s="26" t="n"/>
      <c r="B346" s="7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7" t="n"/>
      <c r="R346" s="8" t="n"/>
      <c r="S346" s="8" t="n"/>
      <c r="T346" s="7" t="n"/>
      <c r="U346" s="8" t="n"/>
      <c r="V346" s="8" t="n"/>
      <c r="W346" s="7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15" t="n"/>
      <c r="AM346" s="16" t="n"/>
      <c r="AO346" s="44" t="n"/>
      <c r="AP346" s="44" t="n"/>
    </row>
    <row r="347" ht="15.5" customFormat="1" customHeight="1" s="1">
      <c r="A347" s="26" t="n"/>
      <c r="B347" s="7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7" t="n"/>
      <c r="R347" s="8" t="n"/>
      <c r="S347" s="8" t="n"/>
      <c r="T347" s="7" t="n"/>
      <c r="U347" s="8" t="n"/>
      <c r="V347" s="8" t="n"/>
      <c r="W347" s="7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15" t="n"/>
      <c r="AM347" s="16" t="n"/>
      <c r="AO347" s="44" t="n"/>
      <c r="AP347" s="44" t="n"/>
    </row>
    <row r="348" ht="15.5" customFormat="1" customHeight="1" s="1">
      <c r="A348" s="26" t="n"/>
      <c r="B348" s="7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7" t="n"/>
      <c r="R348" s="8" t="n"/>
      <c r="S348" s="8" t="n"/>
      <c r="T348" s="7" t="n"/>
      <c r="U348" s="8" t="n"/>
      <c r="V348" s="8" t="n"/>
      <c r="W348" s="7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15" t="n"/>
      <c r="AM348" s="16" t="n"/>
      <c r="AO348" s="44" t="n"/>
      <c r="AP348" s="44" t="n"/>
    </row>
    <row r="349" ht="15.5" customFormat="1" customHeight="1" s="1">
      <c r="A349" s="26" t="n"/>
      <c r="B349" s="7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7" t="n"/>
      <c r="R349" s="8" t="n"/>
      <c r="S349" s="8" t="n"/>
      <c r="T349" s="7" t="n"/>
      <c r="U349" s="8" t="n"/>
      <c r="V349" s="8" t="n"/>
      <c r="W349" s="7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15" t="n"/>
      <c r="AM349" s="16" t="n"/>
      <c r="AO349" s="44" t="n"/>
      <c r="AP349" s="44" t="n"/>
    </row>
    <row r="350" ht="15.5" customFormat="1" customHeight="1" s="1">
      <c r="A350" s="26" t="n"/>
      <c r="B350" s="7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7" t="n"/>
      <c r="R350" s="8" t="n"/>
      <c r="S350" s="8" t="n"/>
      <c r="T350" s="7" t="n"/>
      <c r="U350" s="8" t="n"/>
      <c r="V350" s="8" t="n"/>
      <c r="W350" s="7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15" t="n"/>
      <c r="AM350" s="16" t="n"/>
      <c r="AO350" s="44" t="n"/>
      <c r="AP350" s="44" t="n"/>
    </row>
    <row r="351" ht="15.5" customFormat="1" customHeight="1" s="1">
      <c r="A351" s="26" t="n"/>
      <c r="B351" s="7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7" t="n"/>
      <c r="R351" s="8" t="n"/>
      <c r="S351" s="8" t="n"/>
      <c r="T351" s="7" t="n"/>
      <c r="U351" s="8" t="n"/>
      <c r="V351" s="8" t="n"/>
      <c r="W351" s="7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15" t="n"/>
      <c r="AM351" s="16" t="n"/>
      <c r="AO351" s="44" t="n"/>
      <c r="AP351" s="44" t="n"/>
    </row>
    <row r="352" ht="15.5" customFormat="1" customHeight="1" s="1">
      <c r="A352" s="26" t="n"/>
      <c r="B352" s="7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7" t="n"/>
      <c r="R352" s="8" t="n"/>
      <c r="S352" s="8" t="n"/>
      <c r="T352" s="7" t="n"/>
      <c r="U352" s="8" t="n"/>
      <c r="V352" s="8" t="n"/>
      <c r="W352" s="7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15" t="n"/>
      <c r="AM352" s="16" t="n"/>
      <c r="AO352" s="44" t="n"/>
      <c r="AP352" s="44" t="n"/>
    </row>
    <row r="353" ht="15.5" customFormat="1" customHeight="1" s="1">
      <c r="A353" s="26" t="n"/>
      <c r="B353" s="7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7" t="n"/>
      <c r="R353" s="8" t="n"/>
      <c r="S353" s="8" t="n"/>
      <c r="T353" s="7" t="n"/>
      <c r="U353" s="8" t="n"/>
      <c r="V353" s="8" t="n"/>
      <c r="W353" s="7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15" t="n"/>
      <c r="AM353" s="16" t="n"/>
      <c r="AO353" s="44" t="n"/>
      <c r="AP353" s="44" t="n"/>
    </row>
    <row r="354" ht="15.5" customFormat="1" customHeight="1" s="1">
      <c r="A354" s="26" t="n"/>
      <c r="B354" s="7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7" t="n"/>
      <c r="R354" s="8" t="n"/>
      <c r="S354" s="8" t="n"/>
      <c r="T354" s="7" t="n"/>
      <c r="U354" s="8" t="n"/>
      <c r="V354" s="8" t="n"/>
      <c r="W354" s="7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15" t="n"/>
      <c r="AM354" s="16" t="n"/>
      <c r="AO354" s="44" t="n"/>
      <c r="AP354" s="44" t="n"/>
    </row>
    <row r="355" ht="15.5" customFormat="1" customHeight="1" s="1">
      <c r="A355" s="26" t="n"/>
      <c r="B355" s="7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7" t="n"/>
      <c r="R355" s="8" t="n"/>
      <c r="S355" s="8" t="n"/>
      <c r="T355" s="7" t="n"/>
      <c r="U355" s="8" t="n"/>
      <c r="V355" s="8" t="n"/>
      <c r="W355" s="7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15" t="n"/>
      <c r="AM355" s="16" t="n"/>
      <c r="AO355" s="44" t="n"/>
      <c r="AP355" s="44" t="n"/>
    </row>
    <row r="356" ht="15.5" customFormat="1" customHeight="1" s="1">
      <c r="A356" s="26" t="n"/>
      <c r="B356" s="7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7" t="n"/>
      <c r="R356" s="8" t="n"/>
      <c r="S356" s="8" t="n"/>
      <c r="T356" s="7" t="n"/>
      <c r="U356" s="8" t="n"/>
      <c r="V356" s="8" t="n"/>
      <c r="W356" s="7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15" t="n"/>
      <c r="AM356" s="16" t="n"/>
      <c r="AO356" s="44" t="n"/>
      <c r="AP356" s="44" t="n"/>
    </row>
    <row r="357" ht="15.5" customFormat="1" customHeight="1" s="1">
      <c r="A357" s="26" t="n"/>
      <c r="B357" s="7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7" t="n"/>
      <c r="R357" s="8" t="n"/>
      <c r="S357" s="8" t="n"/>
      <c r="T357" s="7" t="n"/>
      <c r="U357" s="8" t="n"/>
      <c r="V357" s="8" t="n"/>
      <c r="W357" s="7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15" t="n"/>
      <c r="AM357" s="16" t="n"/>
      <c r="AO357" s="44" t="n"/>
      <c r="AP357" s="44" t="n"/>
    </row>
    <row r="358" ht="15.5" customFormat="1" customHeight="1" s="1">
      <c r="A358" s="26" t="n"/>
      <c r="B358" s="7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7" t="n"/>
      <c r="R358" s="8" t="n"/>
      <c r="S358" s="8" t="n"/>
      <c r="T358" s="7" t="n"/>
      <c r="U358" s="8" t="n"/>
      <c r="V358" s="8" t="n"/>
      <c r="W358" s="7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15" t="n"/>
      <c r="AM358" s="16" t="n"/>
      <c r="AO358" s="44" t="n"/>
      <c r="AP358" s="44" t="n"/>
    </row>
    <row r="359" ht="15.5" customFormat="1" customHeight="1" s="1">
      <c r="A359" s="26" t="n"/>
      <c r="B359" s="7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7" t="n"/>
      <c r="R359" s="8" t="n"/>
      <c r="S359" s="8" t="n"/>
      <c r="T359" s="7" t="n"/>
      <c r="U359" s="8" t="n"/>
      <c r="V359" s="8" t="n"/>
      <c r="W359" s="7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15" t="n"/>
      <c r="AM359" s="16" t="n"/>
      <c r="AO359" s="44" t="n"/>
      <c r="AP359" s="44" t="n"/>
    </row>
    <row r="360" ht="15.5" customFormat="1" customHeight="1" s="1">
      <c r="A360" s="26" t="n"/>
      <c r="B360" s="7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7" t="n"/>
      <c r="R360" s="8" t="n"/>
      <c r="S360" s="8" t="n"/>
      <c r="T360" s="7" t="n"/>
      <c r="U360" s="8" t="n"/>
      <c r="V360" s="8" t="n"/>
      <c r="W360" s="7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15" t="n"/>
      <c r="AM360" s="16" t="n"/>
      <c r="AO360" s="44" t="n"/>
      <c r="AP360" s="44" t="n"/>
    </row>
    <row r="361" ht="15.5" customFormat="1" customHeight="1" s="1">
      <c r="A361" s="26" t="n"/>
      <c r="B361" s="7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7" t="n"/>
      <c r="R361" s="8" t="n"/>
      <c r="S361" s="8" t="n"/>
      <c r="T361" s="7" t="n"/>
      <c r="U361" s="8" t="n"/>
      <c r="V361" s="8" t="n"/>
      <c r="W361" s="7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15" t="n"/>
      <c r="AM361" s="16" t="n"/>
      <c r="AO361" s="44" t="n"/>
      <c r="AP361" s="44" t="n"/>
    </row>
    <row r="362" ht="15.5" customFormat="1" customHeight="1" s="1">
      <c r="A362" s="26" t="n"/>
      <c r="B362" s="7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7" t="n"/>
      <c r="R362" s="8" t="n"/>
      <c r="S362" s="8" t="n"/>
      <c r="T362" s="7" t="n"/>
      <c r="U362" s="8" t="n"/>
      <c r="V362" s="8" t="n"/>
      <c r="W362" s="7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15" t="n"/>
      <c r="AM362" s="16" t="n"/>
      <c r="AO362" s="44" t="n"/>
      <c r="AP362" s="44" t="n"/>
    </row>
    <row r="363" ht="15.5" customFormat="1" customHeight="1" s="1">
      <c r="A363" s="26" t="n"/>
      <c r="B363" s="7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7" t="n"/>
      <c r="R363" s="8" t="n"/>
      <c r="S363" s="8" t="n"/>
      <c r="T363" s="7" t="n"/>
      <c r="U363" s="8" t="n"/>
      <c r="V363" s="8" t="n"/>
      <c r="W363" s="7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15" t="n"/>
      <c r="AM363" s="16" t="n"/>
      <c r="AO363" s="44" t="n"/>
      <c r="AP363" s="44" t="n"/>
    </row>
  </sheetData>
  <mergeCells count="13">
    <mergeCell ref="Q1:R1"/>
    <mergeCell ref="AF1:AG1"/>
    <mergeCell ref="E1:F1"/>
    <mergeCell ref="K1:L1"/>
    <mergeCell ref="H1:I1"/>
    <mergeCell ref="T1:U1"/>
    <mergeCell ref="AL1:AM1"/>
    <mergeCell ref="W1:X1"/>
    <mergeCell ref="Z1:AA1"/>
    <mergeCell ref="AC1:AD1"/>
    <mergeCell ref="AI1:AJ1"/>
    <mergeCell ref="B1:C1"/>
    <mergeCell ref="N1:O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AP220"/>
  <sheetViews>
    <sheetView topLeftCell="F1" zoomScale="70" zoomScaleNormal="70" workbookViewId="0">
      <selection activeCell="K2" sqref="K2"/>
    </sheetView>
  </sheetViews>
  <sheetFormatPr baseColWidth="8" defaultColWidth="8.81640625" defaultRowHeight="10"/>
  <cols>
    <col width="8.81640625" customWidth="1" style="149" min="1" max="1"/>
    <col width="27.54296875" bestFit="1" customWidth="1" style="149" min="2" max="2"/>
    <col width="10.1796875" bestFit="1" customWidth="1" style="149" min="3" max="3"/>
    <col width="11.54296875" customWidth="1" style="149" min="4" max="4"/>
    <col width="9.1796875" customWidth="1" style="149" min="5" max="5"/>
    <col width="3.453125" customWidth="1" style="149" min="6" max="6"/>
    <col width="10.54296875" bestFit="1" customWidth="1" style="149" min="7" max="7"/>
    <col width="13.81640625" customWidth="1" style="149" min="8" max="8"/>
    <col width="8.54296875" bestFit="1" customWidth="1" style="149" min="9" max="9"/>
    <col width="8.1796875" customWidth="1" style="149" min="10" max="10"/>
    <col width="18.453125" customWidth="1" style="203" min="11" max="11"/>
    <col width="12.1796875" bestFit="1" customWidth="1" style="149" min="12" max="12"/>
    <col width="12.1796875" customWidth="1" style="149" min="13" max="15"/>
    <col width="12.1796875" bestFit="1" customWidth="1" style="149" min="16" max="17"/>
    <col width="12.1796875" customWidth="1" style="149" min="18" max="18"/>
    <col width="14.54296875" bestFit="1" customWidth="1" style="149" min="19" max="19"/>
    <col width="14.54296875" customWidth="1" style="149" min="20" max="20"/>
    <col width="12.1796875" bestFit="1" customWidth="1" style="149" min="21" max="22"/>
    <col width="10.54296875" customWidth="1" style="155" min="23" max="23"/>
    <col width="11.81640625" bestFit="1" customWidth="1" style="149" min="24" max="24"/>
    <col width="17.81640625" bestFit="1" customWidth="1" style="149" min="25" max="25"/>
    <col width="10.54296875" bestFit="1" customWidth="1" style="149" min="26" max="26"/>
    <col width="11.7265625" customWidth="1" style="149" min="27" max="27"/>
    <col width="9" customWidth="1" style="155" min="28" max="28"/>
    <col width="7.54296875" bestFit="1" customWidth="1" style="149" min="29" max="29"/>
    <col width="13.453125" customWidth="1" style="149" min="30" max="31"/>
    <col width="8.1796875" customWidth="1" style="155" min="32" max="32"/>
    <col width="5" customWidth="1" style="149" min="33" max="33"/>
    <col width="13.54296875" customWidth="1" style="149" min="34" max="34"/>
    <col width="12.26953125" bestFit="1" customWidth="1" style="149" min="35" max="35"/>
    <col width="11.453125" bestFit="1" customWidth="1" style="149" min="36" max="37"/>
    <col width="8.1796875" bestFit="1" customWidth="1" style="149" min="38" max="38"/>
    <col width="8.81640625" customWidth="1" style="149" min="39" max="39"/>
    <col width="13.81640625" customWidth="1" style="149" min="40" max="40"/>
    <col width="8.81640625" customWidth="1" style="149" min="41" max="42"/>
    <col width="8.81640625" customWidth="1" style="149" min="43" max="16384"/>
  </cols>
  <sheetData>
    <row r="1" ht="13.5" customHeight="1" thickBot="1">
      <c r="A1" s="146" t="n"/>
      <c r="B1" s="146" t="n"/>
      <c r="C1" s="146" t="n"/>
      <c r="D1" s="146" t="n"/>
      <c r="E1" s="146" t="n"/>
      <c r="F1" s="146" t="n"/>
      <c r="G1" s="146" t="n"/>
      <c r="H1" s="146" t="n"/>
      <c r="I1" s="146" t="n"/>
      <c r="J1" s="146" t="n"/>
      <c r="K1" s="199" t="n"/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7" t="n"/>
      <c r="Z1" s="147" t="n"/>
      <c r="AA1" s="147" t="n"/>
      <c r="AB1" s="148" t="n"/>
      <c r="AD1" s="147" t="n"/>
      <c r="AE1" s="147" t="n"/>
      <c r="AF1" s="148" t="n"/>
      <c r="AH1" s="452" t="n"/>
      <c r="AI1" s="477" t="n"/>
      <c r="AJ1" s="477" t="n"/>
      <c r="AK1" s="477" t="n"/>
      <c r="AL1" s="150" t="n"/>
    </row>
    <row r="2" ht="12.5" customHeight="1">
      <c r="A2" s="146" t="n"/>
      <c r="B2" s="214" t="inlineStr">
        <is>
          <t>Satışlar (Avro)</t>
        </is>
      </c>
      <c r="C2" s="454" t="inlineStr">
        <is>
          <t>AYLIK</t>
        </is>
      </c>
      <c r="F2" s="454" t="n"/>
      <c r="G2" s="454" t="n"/>
      <c r="H2" s="454" t="inlineStr">
        <is>
          <t>KÜMÜLATİF</t>
        </is>
      </c>
      <c r="I2" s="454" t="n"/>
      <c r="J2" s="216" t="n"/>
      <c r="K2" s="214" t="inlineStr">
        <is>
          <t>Satışlar Sene Sonu Tahmin (Avro)</t>
        </is>
      </c>
      <c r="L2" s="214" t="n"/>
      <c r="M2" s="214" t="n"/>
      <c r="N2" s="214" t="n"/>
      <c r="O2" s="454" t="n"/>
      <c r="P2" s="454" t="n"/>
      <c r="Q2" s="454" t="n"/>
      <c r="R2" s="454" t="n"/>
      <c r="S2" s="454" t="n"/>
      <c r="T2" s="454" t="n"/>
      <c r="U2" s="454" t="n"/>
      <c r="V2" s="195" t="n"/>
      <c r="Y2" s="453">
        <f>B4</f>
        <v/>
      </c>
      <c r="Z2" s="453" t="inlineStr">
        <is>
          <t>AYLIK</t>
        </is>
      </c>
      <c r="AC2" s="152" t="n"/>
      <c r="AD2" s="453" t="n"/>
      <c r="AE2" s="453" t="inlineStr">
        <is>
          <t>KÜMÜLATİF</t>
        </is>
      </c>
      <c r="AF2" s="453" t="n"/>
      <c r="AG2" s="153" t="n"/>
      <c r="AH2" s="453">
        <f>Y2</f>
        <v/>
      </c>
      <c r="AI2" s="453" t="n"/>
      <c r="AJ2" s="453" t="inlineStr">
        <is>
          <t>Yıl Sonu Tahmini</t>
        </is>
      </c>
      <c r="AN2" s="453" t="inlineStr">
        <is>
          <t xml:space="preserve">İnci Holding </t>
        </is>
      </c>
      <c r="AO2" s="453" t="n"/>
      <c r="AP2" s="453" t="n"/>
    </row>
    <row r="3" ht="10.5" customHeight="1" thickBot="1">
      <c r="A3" s="146" t="n"/>
      <c r="B3" s="261" t="n"/>
      <c r="C3" s="454" t="inlineStr">
        <is>
          <t>Gerçekleşen</t>
        </is>
      </c>
      <c r="D3" s="454" t="inlineStr">
        <is>
          <t>Bütçe</t>
        </is>
      </c>
      <c r="E3" s="454" t="inlineStr">
        <is>
          <t>Sapma %</t>
        </is>
      </c>
      <c r="F3" s="262" t="n"/>
      <c r="G3" s="262">
        <f>C3</f>
        <v/>
      </c>
      <c r="H3" s="262" t="inlineStr">
        <is>
          <t>Bütçe</t>
        </is>
      </c>
      <c r="I3" s="262" t="inlineStr">
        <is>
          <t>Sapma %</t>
        </is>
      </c>
      <c r="J3" s="217" t="n"/>
      <c r="K3" s="218" t="n"/>
      <c r="L3" s="219">
        <f>'Tahmin Data'!G1</f>
        <v/>
      </c>
      <c r="M3" s="219">
        <f>'Tahmin Data'!I1</f>
        <v/>
      </c>
      <c r="N3" s="219">
        <f>'Tahmin Data'!K1</f>
        <v/>
      </c>
      <c r="O3" s="219" t="inlineStr">
        <is>
          <t>Haziran</t>
        </is>
      </c>
      <c r="P3" s="219" t="inlineStr">
        <is>
          <t>Temmuz</t>
        </is>
      </c>
      <c r="Q3" s="219" t="inlineStr">
        <is>
          <t>Ağustos</t>
        </is>
      </c>
      <c r="R3" s="219" t="inlineStr">
        <is>
          <t>Eylül</t>
        </is>
      </c>
      <c r="S3" s="219" t="inlineStr">
        <is>
          <t>Ekim</t>
        </is>
      </c>
      <c r="T3" s="219" t="inlineStr">
        <is>
          <t>Kasım</t>
        </is>
      </c>
      <c r="U3" s="219" t="inlineStr">
        <is>
          <t>Gerçekleşen</t>
        </is>
      </c>
      <c r="V3" s="250" t="inlineStr">
        <is>
          <t>Bütçe</t>
        </is>
      </c>
      <c r="W3" s="262" t="inlineStr">
        <is>
          <t>Sapma %</t>
        </is>
      </c>
      <c r="Y3" s="453" t="inlineStr">
        <is>
          <t>(TRY)</t>
        </is>
      </c>
      <c r="Z3" s="453" t="inlineStr">
        <is>
          <t>Gerçekleşen</t>
        </is>
      </c>
      <c r="AA3" s="453" t="inlineStr">
        <is>
          <t>Bütçe</t>
        </is>
      </c>
      <c r="AB3" s="453" t="inlineStr">
        <is>
          <t>Sapma %</t>
        </is>
      </c>
      <c r="AC3" s="152" t="n"/>
      <c r="AD3" s="453" t="inlineStr">
        <is>
          <t>Gerçekleşen</t>
        </is>
      </c>
      <c r="AE3" s="453" t="inlineStr">
        <is>
          <t>Bütçe</t>
        </is>
      </c>
      <c r="AF3" s="453" t="inlineStr">
        <is>
          <t>Sapma %</t>
        </is>
      </c>
      <c r="AG3" s="153" t="n"/>
      <c r="AH3" s="453" t="inlineStr">
        <is>
          <t>(TRY)</t>
        </is>
      </c>
      <c r="AI3" s="453" t="inlineStr">
        <is>
          <t>Mayıs YST</t>
        </is>
      </c>
      <c r="AJ3" s="453" t="inlineStr">
        <is>
          <t>Haziran YST</t>
        </is>
      </c>
      <c r="AK3" s="453" t="inlineStr">
        <is>
          <t>Bütçe</t>
        </is>
      </c>
      <c r="AL3" s="453" t="inlineStr">
        <is>
          <t>Sapma %</t>
        </is>
      </c>
      <c r="AN3" s="453" t="inlineStr">
        <is>
          <t>(EUR)</t>
        </is>
      </c>
      <c r="AO3" s="453" t="inlineStr">
        <is>
          <t>Bütçe</t>
        </is>
      </c>
      <c r="AP3" s="453">
        <f>AJ3</f>
        <v/>
      </c>
    </row>
    <row r="4" ht="10.5" customHeight="1" thickTop="1">
      <c r="A4" s="146" t="n"/>
      <c r="B4" s="220" t="inlineStr">
        <is>
          <t xml:space="preserve">İnci Holding  </t>
        </is>
      </c>
      <c r="C4" s="221">
        <f>'A -Döviz'!C9</f>
        <v/>
      </c>
      <c r="D4" s="221">
        <f>'A -Döviz'!B9</f>
        <v/>
      </c>
      <c r="E4" s="224">
        <f>IF(C4&gt;D4,ABS((C4-D4)/D4),-ABS((D4-C4)/D4))</f>
        <v/>
      </c>
      <c r="F4" s="222" t="n"/>
      <c r="G4" s="223">
        <f>'C-Döviz'!C9</f>
        <v/>
      </c>
      <c r="H4" s="223">
        <f>'C-Döviz'!B9</f>
        <v/>
      </c>
      <c r="I4" s="224">
        <f>IF(G4&gt;H4,ABS((G4-H4)/H4),-ABS((H4-G4)/H4))</f>
        <v/>
      </c>
      <c r="J4" s="225" t="n"/>
      <c r="K4" s="226">
        <f>B4</f>
        <v/>
      </c>
      <c r="L4" s="318">
        <f>'Tahmin Data'!G4</f>
        <v/>
      </c>
      <c r="M4" s="318">
        <f>'Tahmin Data'!I4</f>
        <v/>
      </c>
      <c r="N4" s="318">
        <f>'Tahmin Data'!K4</f>
        <v/>
      </c>
      <c r="O4" s="318">
        <f>'Tahmin Data'!M4</f>
        <v/>
      </c>
      <c r="P4" s="318">
        <f>'Tahmin Data'!O4</f>
        <v/>
      </c>
      <c r="Q4" s="318">
        <f>'Tahmin Data'!Q4</f>
        <v/>
      </c>
      <c r="R4" s="318">
        <f>'Tahmin Data'!S4</f>
        <v/>
      </c>
      <c r="S4" s="318">
        <f>'Tahmin Data'!U4</f>
        <v/>
      </c>
      <c r="T4" s="318">
        <f>'Tahmin Data'!W4</f>
        <v/>
      </c>
      <c r="U4" s="318">
        <f>G4</f>
        <v/>
      </c>
      <c r="V4" s="213">
        <f>'Bütçe aylık-Eur'!N5</f>
        <v/>
      </c>
      <c r="W4" s="224">
        <f>IF(U4&gt;V4,ABS((U4-V4)/V4),-ABS((V4-U4)/V4))</f>
        <v/>
      </c>
      <c r="Y4" s="158" t="inlineStr">
        <is>
          <t>Satışlar</t>
        </is>
      </c>
      <c r="Z4" s="478">
        <f>C4</f>
        <v/>
      </c>
      <c r="AA4" s="478">
        <f>D4</f>
        <v/>
      </c>
      <c r="AB4" s="479">
        <f>IF(Z4&gt;AA4,ABS((Z4-AA4)/AA4),-ABS((AA4-Z4)/AA4))</f>
        <v/>
      </c>
      <c r="AC4" s="161" t="n"/>
      <c r="AD4" s="478">
        <f>G4</f>
        <v/>
      </c>
      <c r="AE4" s="478">
        <f>H4</f>
        <v/>
      </c>
      <c r="AF4" s="479">
        <f>IF(AD4&gt;AE4,ABS((AD4-AE4)/AE4),-ABS((AE4-AD4)/AE4))</f>
        <v/>
      </c>
      <c r="AG4" s="162" t="n"/>
      <c r="AH4" s="158" t="inlineStr">
        <is>
          <t>Satışlar</t>
        </is>
      </c>
      <c r="AI4" s="480">
        <f>'Tahmin Data'!L4</f>
        <v/>
      </c>
      <c r="AJ4" s="480">
        <f>'Tahmin Data'!N4</f>
        <v/>
      </c>
      <c r="AK4" s="480">
        <f>'C-TRY'!AI9</f>
        <v/>
      </c>
      <c r="AL4" s="481">
        <f>IF(AJ4&gt;AK4,ABS((AJ4-AK4)/AK4),-ABS((AK4-AJ4)/AK4))</f>
        <v/>
      </c>
      <c r="AN4" s="158" t="inlineStr">
        <is>
          <t>Satışlar</t>
        </is>
      </c>
      <c r="AO4" s="165">
        <f>'Bütçe aylık-Eur'!N5</f>
        <v/>
      </c>
      <c r="AP4" s="165">
        <f>'Tahmin Data'!M4</f>
        <v/>
      </c>
    </row>
    <row r="5" ht="10.5" customHeight="1">
      <c r="A5" s="146" t="n"/>
      <c r="B5" s="228" t="inlineStr">
        <is>
          <t xml:space="preserve">ISM </t>
        </is>
      </c>
      <c r="C5" s="227">
        <f>'A -Döviz'!C10</f>
        <v/>
      </c>
      <c r="D5" s="227">
        <f>'A -Döviz'!B10</f>
        <v/>
      </c>
      <c r="E5" s="229">
        <f>IF(C5&gt;D5,ABS((C5-D5)/D5),-ABS((D5-C5)/D5))</f>
        <v/>
      </c>
      <c r="F5" s="230" t="n"/>
      <c r="G5" s="227">
        <f>'C-Döviz'!C10</f>
        <v/>
      </c>
      <c r="H5" s="227">
        <f>'C-Döviz'!B10</f>
        <v/>
      </c>
      <c r="I5" s="229">
        <f>IF(G5&gt;H5,ABS((G5-H5)/H5),-ABS((H5-G5)/H5))</f>
        <v/>
      </c>
      <c r="J5" s="225" t="n"/>
      <c r="K5" s="226">
        <f>B5</f>
        <v/>
      </c>
      <c r="L5" s="227">
        <f>'Tahmin Data'!G6</f>
        <v/>
      </c>
      <c r="M5" s="227">
        <f>'Tahmin Data'!I6</f>
        <v/>
      </c>
      <c r="N5" s="227">
        <f>'Tahmin Data'!K6</f>
        <v/>
      </c>
      <c r="O5" s="227">
        <f>'Tahmin Data'!M6</f>
        <v/>
      </c>
      <c r="P5" s="227">
        <f>'Tahmin Data'!O6</f>
        <v/>
      </c>
      <c r="Q5" s="227">
        <f>'Tahmin Data'!Q6</f>
        <v/>
      </c>
      <c r="R5" s="227">
        <f>'Tahmin Data'!S6</f>
        <v/>
      </c>
      <c r="S5" s="227">
        <f>'Tahmin Data'!U6</f>
        <v/>
      </c>
      <c r="T5" s="227">
        <f>'Tahmin Data'!W6</f>
        <v/>
      </c>
      <c r="U5" s="227">
        <f>G5</f>
        <v/>
      </c>
      <c r="V5" s="204">
        <f>'Bütçe aylık-Eur'!N6</f>
        <v/>
      </c>
      <c r="W5" s="229">
        <f>IF(U5&gt;V5,ABS((U5-V5)/V5),-ABS((V5-U5)/V5))</f>
        <v/>
      </c>
      <c r="Y5" s="158" t="inlineStr">
        <is>
          <t>Ebitda</t>
        </is>
      </c>
      <c r="Z5" s="478">
        <f>C82</f>
        <v/>
      </c>
      <c r="AA5" s="478">
        <f>D82</f>
        <v/>
      </c>
      <c r="AB5" s="479">
        <f>IF(Z5&gt;AA5,ABS((Z5-AA5)/AA5),-ABS((AA5-Z5)/AA5))</f>
        <v/>
      </c>
      <c r="AC5" s="482" t="n"/>
      <c r="AD5" s="478">
        <f>G82</f>
        <v/>
      </c>
      <c r="AE5" s="478">
        <f>H82</f>
        <v/>
      </c>
      <c r="AF5" s="479">
        <f>IF(AD5&gt;AE5,ABS((AD5-AE5)/AE5),-ABS((AE5-AD5)/AE5))</f>
        <v/>
      </c>
      <c r="AG5" s="162" t="n"/>
      <c r="AH5" s="158" t="inlineStr">
        <is>
          <t>Ebitda</t>
        </is>
      </c>
      <c r="AI5" s="480">
        <f>'Tahmin Data'!L60</f>
        <v/>
      </c>
      <c r="AJ5" s="480">
        <f>'Tahmin Data'!N60</f>
        <v/>
      </c>
      <c r="AK5" s="480">
        <f>'C-TRY'!AI139</f>
        <v/>
      </c>
      <c r="AL5" s="481">
        <f>IF(AJ5&gt;AK5,ABS((AJ5-AK5)/AK5),-ABS((AK5-AJ5)/AK5))</f>
        <v/>
      </c>
      <c r="AN5" s="289" t="inlineStr">
        <is>
          <t>Operasyonel Giderler</t>
        </is>
      </c>
      <c r="AO5" s="290">
        <f>'Bütçe aylık-Eur'!N38</f>
        <v/>
      </c>
      <c r="AP5" s="290">
        <f>'Tahmin Data'!M28</f>
        <v/>
      </c>
    </row>
    <row r="6" ht="10.5" customHeight="1">
      <c r="A6" s="146" t="n"/>
      <c r="B6" s="228" t="inlineStr">
        <is>
          <t xml:space="preserve">İncitaş </t>
        </is>
      </c>
      <c r="C6" s="227">
        <f>'A -Döviz'!C11</f>
        <v/>
      </c>
      <c r="D6" s="227">
        <f>'A -Döviz'!B11</f>
        <v/>
      </c>
      <c r="E6" s="229">
        <f>IF(C6&gt;D6,ABS((C6-D6)/D6),-ABS((D6-C6)/D6))</f>
        <v/>
      </c>
      <c r="F6" s="230" t="n"/>
      <c r="G6" s="227">
        <f>'C-Döviz'!C11</f>
        <v/>
      </c>
      <c r="H6" s="227">
        <f>'C-Döviz'!B11</f>
        <v/>
      </c>
      <c r="I6" s="229">
        <f>IF(G6&gt;H6,ABS((G6-H6)/H6),-ABS((H6-G6)/H6))</f>
        <v/>
      </c>
      <c r="J6" s="225" t="n"/>
      <c r="K6" s="226">
        <f>B6</f>
        <v/>
      </c>
      <c r="L6" s="227">
        <f>'Tahmin Data'!G5</f>
        <v/>
      </c>
      <c r="M6" s="227">
        <f>'Tahmin Data'!I5</f>
        <v/>
      </c>
      <c r="N6" s="227">
        <f>'Tahmin Data'!K5</f>
        <v/>
      </c>
      <c r="O6" s="227">
        <f>'Tahmin Data'!M5</f>
        <v/>
      </c>
      <c r="P6" s="227">
        <f>'Tahmin Data'!O5</f>
        <v/>
      </c>
      <c r="Q6" s="227">
        <f>'Tahmin Data'!Q5</f>
        <v/>
      </c>
      <c r="R6" s="227">
        <f>'Tahmin Data'!S5</f>
        <v/>
      </c>
      <c r="S6" s="227">
        <f>'Tahmin Data'!U5</f>
        <v/>
      </c>
      <c r="T6" s="227">
        <f>'Tahmin Data'!W5</f>
        <v/>
      </c>
      <c r="U6" s="227">
        <f>G6</f>
        <v/>
      </c>
      <c r="V6" s="204">
        <f>'Bütçe aylık-Eur'!N7</f>
        <v/>
      </c>
      <c r="W6" s="229">
        <f>IF(U6&gt;V6,ABS((U6-V6)/V6),-ABS((V6-U6)/V6))</f>
        <v/>
      </c>
      <c r="Y6" s="158" t="inlineStr">
        <is>
          <t>Ebitda %</t>
        </is>
      </c>
      <c r="Z6" s="167">
        <f>C69</f>
        <v/>
      </c>
      <c r="AA6" s="167">
        <f>D69</f>
        <v/>
      </c>
      <c r="AB6" s="479">
        <f>IF(Z6&gt;AA6,ABS((Z6-AA6)/AA6),-ABS((AA6-Z6)/AA6))</f>
        <v/>
      </c>
      <c r="AC6" s="167" t="n"/>
      <c r="AD6" s="167">
        <f>G69</f>
        <v/>
      </c>
      <c r="AE6" s="167">
        <f>H69</f>
        <v/>
      </c>
      <c r="AF6" s="479">
        <f>IF(AD6&gt;AE6,ABS((AD6-AE6)/AE6),-ABS((AE6-AD6)/AE6))</f>
        <v/>
      </c>
      <c r="AG6" s="483" t="n"/>
      <c r="AH6" s="158" t="inlineStr">
        <is>
          <t>Vergi Öncesi Kar</t>
        </is>
      </c>
      <c r="AI6" s="480">
        <f>'Tahmin Data'!L84</f>
        <v/>
      </c>
      <c r="AJ6" s="480">
        <f>'Tahmin Data'!N84</f>
        <v/>
      </c>
      <c r="AK6" s="480">
        <f>'C-TRY'!AI189</f>
        <v/>
      </c>
      <c r="AL6" s="481">
        <f>IF(AJ6&gt;AK6,ABS((AJ6-AK6)/AK6),-ABS((AK6-AJ6)/AK6))</f>
        <v/>
      </c>
      <c r="AN6" s="158" t="inlineStr">
        <is>
          <t>EBIT</t>
        </is>
      </c>
      <c r="AO6" s="165">
        <f>AO4-AO5</f>
        <v/>
      </c>
      <c r="AP6" s="165">
        <f>AP4-AP5</f>
        <v/>
      </c>
    </row>
    <row r="7" ht="10.5" customHeight="1" thickBot="1">
      <c r="B7" s="228" t="inlineStr">
        <is>
          <t xml:space="preserve">İnci GS Yuasa </t>
        </is>
      </c>
      <c r="C7" s="227">
        <f>'A -Döviz'!C12</f>
        <v/>
      </c>
      <c r="D7" s="227">
        <f>'A -Döviz'!B12</f>
        <v/>
      </c>
      <c r="E7" s="229">
        <f>IF(C7&gt;D7,ABS((C7-D7)/D7),-ABS((D7-C7)/D7))</f>
        <v/>
      </c>
      <c r="F7" s="230" t="n"/>
      <c r="G7" s="227">
        <f>'C-Döviz'!C12</f>
        <v/>
      </c>
      <c r="H7" s="227">
        <f>'C-Döviz'!B12</f>
        <v/>
      </c>
      <c r="I7" s="229">
        <f>IF(G7&gt;H7,ABS((G7-H7)/H7),-ABS((H7-G7)/H7))</f>
        <v/>
      </c>
      <c r="J7" s="225" t="n"/>
      <c r="K7" s="226">
        <f>B7</f>
        <v/>
      </c>
      <c r="L7" s="227">
        <f>'Tahmin Data'!G3/0.4</f>
        <v/>
      </c>
      <c r="M7" s="227">
        <f>'Tahmin Data'!I3/0.4</f>
        <v/>
      </c>
      <c r="N7" s="227">
        <f>'Tahmin Data'!K3/0.4</f>
        <v/>
      </c>
      <c r="O7" s="227">
        <f>'Tahmin Data'!M3/0.4</f>
        <v/>
      </c>
      <c r="P7" s="227">
        <f>'Tahmin Data'!O3/0.4</f>
        <v/>
      </c>
      <c r="Q7" s="227">
        <f>'Tahmin Data'!Q3/0.4</f>
        <v/>
      </c>
      <c r="R7" s="227">
        <f>'Tahmin Data'!S3/0.4</f>
        <v/>
      </c>
      <c r="S7" s="227">
        <f>'Tahmin Data'!U3/0.4</f>
        <v/>
      </c>
      <c r="T7" s="227">
        <f>'Tahmin Data'!W3/0.4</f>
        <v/>
      </c>
      <c r="U7" s="227">
        <f>G7</f>
        <v/>
      </c>
      <c r="V7" s="204">
        <f>'Bütçe aylık-Eur'!N8</f>
        <v/>
      </c>
      <c r="W7" s="229">
        <f>IF(U7&gt;V7,ABS((U7-V7)/V7),-ABS((V7-U7)/V7))</f>
        <v/>
      </c>
      <c r="Y7" s="158" t="inlineStr">
        <is>
          <t>Vergi Öncesi Kar</t>
        </is>
      </c>
      <c r="Z7" s="478">
        <f>C134</f>
        <v/>
      </c>
      <c r="AA7" s="478">
        <f>D134</f>
        <v/>
      </c>
      <c r="AB7" s="479">
        <f>IF(Z7&gt;AA7,ABS((Z7-AA7)/AA7),-ABS((AA7-Z7)/AA7))</f>
        <v/>
      </c>
      <c r="AC7" s="482" t="n"/>
      <c r="AD7" s="478">
        <f>G134</f>
        <v/>
      </c>
      <c r="AE7" s="478">
        <f>H134</f>
        <v/>
      </c>
      <c r="AF7" s="479">
        <f>IF(AD7&gt;AE7,ABS((AD7-AE7)/AE7),-ABS((AE7-AD7)/AE7))</f>
        <v/>
      </c>
      <c r="AG7" s="162" t="n"/>
      <c r="AH7" s="169" t="inlineStr">
        <is>
          <t>Operasyonel Nakit</t>
        </is>
      </c>
      <c r="AI7" s="484">
        <f>'Tahmin Data'!L140</f>
        <v/>
      </c>
      <c r="AJ7" s="484">
        <f>'Tahmin Data'!N140</f>
        <v/>
      </c>
      <c r="AK7" s="484">
        <f>'C-TRY'!AI291</f>
        <v/>
      </c>
      <c r="AL7" s="485">
        <f>IF(AJ7&gt;AK7,ABS((AJ7-AK7)/AK7),-ABS((AK7-AJ7)/AK7))</f>
        <v/>
      </c>
    </row>
    <row r="8" ht="10.5" customHeight="1">
      <c r="B8" s="228" t="inlineStr">
        <is>
          <t xml:space="preserve">Yusen İnci Loj. </t>
        </is>
      </c>
      <c r="C8" s="227">
        <f>'A -Döviz'!C13</f>
        <v/>
      </c>
      <c r="D8" s="227">
        <f>'A -Döviz'!B13</f>
        <v/>
      </c>
      <c r="E8" s="229">
        <f>IF(C8&gt;D8,ABS((C8-D8)/D8),-ABS((D8-C8)/D8))</f>
        <v/>
      </c>
      <c r="F8" s="230" t="n"/>
      <c r="G8" s="227">
        <f>'C-Döviz'!C13</f>
        <v/>
      </c>
      <c r="H8" s="227">
        <f>'C-Döviz'!B13</f>
        <v/>
      </c>
      <c r="I8" s="229">
        <f>IF(G8&gt;H8,ABS((G8-H8)/H8),-ABS((H8-G8)/H8))</f>
        <v/>
      </c>
      <c r="J8" s="225" t="n"/>
      <c r="K8" s="226">
        <f>B8</f>
        <v/>
      </c>
      <c r="L8" s="227">
        <f>'Tahmin Data'!G10/0.4</f>
        <v/>
      </c>
      <c r="M8" s="227">
        <f>'Tahmin Data'!I10/0.4</f>
        <v/>
      </c>
      <c r="N8" s="227">
        <f>'Tahmin Data'!K10/0.4</f>
        <v/>
      </c>
      <c r="O8" s="227">
        <f>'Tahmin Data'!M10/0.4</f>
        <v/>
      </c>
      <c r="P8" s="227">
        <f>'Tahmin Data'!O10/0.4</f>
        <v/>
      </c>
      <c r="Q8" s="227">
        <f>'Tahmin Data'!Q10/0.4</f>
        <v/>
      </c>
      <c r="R8" s="227">
        <f>'Tahmin Data'!S10/0.4</f>
        <v/>
      </c>
      <c r="S8" s="227">
        <f>'Tahmin Data'!U10/0.4</f>
        <v/>
      </c>
      <c r="T8" s="227">
        <f>'Tahmin Data'!W10/0.4</f>
        <v/>
      </c>
      <c r="U8" s="227">
        <f>G8</f>
        <v/>
      </c>
      <c r="V8" s="204">
        <f>'Bütçe aylık-Eur'!N9</f>
        <v/>
      </c>
      <c r="W8" s="229">
        <f>IF(U8&gt;V8,ABS((U8-V8)/V8),-ABS((V8-U8)/V8))</f>
        <v/>
      </c>
      <c r="Y8" s="158" t="inlineStr">
        <is>
          <t>Operasyonel Nakit</t>
        </is>
      </c>
      <c r="Z8" s="478">
        <f>C173</f>
        <v/>
      </c>
      <c r="AA8" s="478">
        <f>D173</f>
        <v/>
      </c>
      <c r="AB8" s="479">
        <f>IF(Z8&gt;AA8,ABS((Z8-AA8)/AA8),-ABS((AA8-Z8)/AA8))</f>
        <v/>
      </c>
      <c r="AC8" s="482" t="n"/>
      <c r="AD8" s="478">
        <f>G173</f>
        <v/>
      </c>
      <c r="AE8" s="478">
        <f>H173</f>
        <v/>
      </c>
      <c r="AF8" s="479">
        <f>IF(AD8&gt;AE8,ABS((AD8-AE8)/AE8),-ABS((AE8-AD8)/AE8))</f>
        <v/>
      </c>
      <c r="AG8" s="162" t="n"/>
      <c r="AO8" s="172" t="n"/>
    </row>
    <row r="9" ht="10.5" customHeight="1">
      <c r="B9" s="228" t="inlineStr">
        <is>
          <t xml:space="preserve">Jantaş </t>
        </is>
      </c>
      <c r="C9" s="227">
        <f>'A -Döviz'!C14</f>
        <v/>
      </c>
      <c r="D9" s="227">
        <f>'A -Döviz'!B14</f>
        <v/>
      </c>
      <c r="E9" s="229">
        <f>IF(C9&gt;D9,ABS((C9-D9)/D9),-ABS((D9-C9)/D9))</f>
        <v/>
      </c>
      <c r="F9" s="230" t="n"/>
      <c r="G9" s="227">
        <f>'C-Döviz'!C14</f>
        <v/>
      </c>
      <c r="H9" s="227">
        <f>'C-Döviz'!B14</f>
        <v/>
      </c>
      <c r="I9" s="229">
        <f>IF(G9&gt;H9,ABS((G9-H9)/H9),-ABS((H9-G9)/H9))</f>
        <v/>
      </c>
      <c r="J9" s="225" t="n"/>
      <c r="K9" s="226">
        <f>B9</f>
        <v/>
      </c>
      <c r="L9" s="227">
        <f>'Tahmin Data'!G9/0.4</f>
        <v/>
      </c>
      <c r="M9" s="227">
        <f>'Tahmin Data'!I9/0.4</f>
        <v/>
      </c>
      <c r="N9" s="227">
        <f>'Tahmin Data'!K9/0.4</f>
        <v/>
      </c>
      <c r="O9" s="227">
        <f>'Tahmin Data'!M9/0.4</f>
        <v/>
      </c>
      <c r="P9" s="227">
        <f>'Tahmin Data'!O9/0.4</f>
        <v/>
      </c>
      <c r="Q9" s="227">
        <f>'Tahmin Data'!Q9/0.4</f>
        <v/>
      </c>
      <c r="R9" s="227">
        <f>'Tahmin Data'!S9/0.4</f>
        <v/>
      </c>
      <c r="S9" s="227">
        <f>'Tahmin Data'!U9/0.4</f>
        <v/>
      </c>
      <c r="T9" s="227">
        <f>'Tahmin Data'!W9/0.4</f>
        <v/>
      </c>
      <c r="U9" s="227">
        <f>G9</f>
        <v/>
      </c>
      <c r="V9" s="204">
        <f>'Bütçe aylık-Eur'!N10</f>
        <v/>
      </c>
      <c r="W9" s="229">
        <f>IF(U9&gt;V9,ABS((U9-V9)/V9),-ABS((V9-U9)/V9))</f>
        <v/>
      </c>
      <c r="Y9" s="158" t="inlineStr">
        <is>
          <t>Yatırım</t>
        </is>
      </c>
      <c r="Z9" s="478">
        <f>C186</f>
        <v/>
      </c>
      <c r="AA9" s="478">
        <f>D186</f>
        <v/>
      </c>
      <c r="AB9" s="479" t="n">
        <v>0</v>
      </c>
      <c r="AC9" s="482" t="n"/>
      <c r="AD9" s="478">
        <f>G186</f>
        <v/>
      </c>
      <c r="AE9" s="478">
        <f>H186</f>
        <v/>
      </c>
      <c r="AF9" s="479">
        <f>IF(AD9&gt;AE9,ABS((AD9-AE9)/AE9),-ABS((AE9-AD9)/AE9))</f>
        <v/>
      </c>
      <c r="AG9" s="162" t="n"/>
      <c r="AJ9" s="486" t="n"/>
    </row>
    <row r="10" ht="10.5" customHeight="1" thickBot="1">
      <c r="B10" s="228" t="inlineStr">
        <is>
          <t xml:space="preserve">Çelik </t>
        </is>
      </c>
      <c r="C10" s="227">
        <f>'A -Döviz'!C15</f>
        <v/>
      </c>
      <c r="D10" s="227">
        <f>'A -Döviz'!B15</f>
        <v/>
      </c>
      <c r="E10" s="229">
        <f>IF(C10&gt;D10,ABS((C10-D10)/D10),-ABS((D10-C10)/D10))</f>
        <v/>
      </c>
      <c r="F10" s="230" t="n"/>
      <c r="G10" s="227">
        <f>'C-Döviz'!C15</f>
        <v/>
      </c>
      <c r="H10" s="227">
        <f>'C-Döviz'!B15</f>
        <v/>
      </c>
      <c r="I10" s="229">
        <f>IF(G10&gt;H10,ABS((G10-H10)/H10),-ABS((H10-G10)/H10))</f>
        <v/>
      </c>
      <c r="J10" s="225" t="n"/>
      <c r="K10" s="226">
        <f>B10</f>
        <v/>
      </c>
      <c r="L10" s="227">
        <f>'Tahmin Data'!G8/0.4</f>
        <v/>
      </c>
      <c r="M10" s="227">
        <f>'Tahmin Data'!I8/0.4</f>
        <v/>
      </c>
      <c r="N10" s="227">
        <f>'Tahmin Data'!K8/0.4</f>
        <v/>
      </c>
      <c r="O10" s="227">
        <f>'Tahmin Data'!M8/0.4</f>
        <v/>
      </c>
      <c r="P10" s="227">
        <f>'Tahmin Data'!O8/0.4</f>
        <v/>
      </c>
      <c r="Q10" s="227">
        <f>'Tahmin Data'!Q8/0.4</f>
        <v/>
      </c>
      <c r="R10" s="227">
        <f>'Tahmin Data'!S8/0.4</f>
        <v/>
      </c>
      <c r="S10" s="227">
        <f>'Tahmin Data'!U8/0.4</f>
        <v/>
      </c>
      <c r="T10" s="227">
        <f>'Tahmin Data'!W8/0.4</f>
        <v/>
      </c>
      <c r="U10" s="227">
        <f>G10</f>
        <v/>
      </c>
      <c r="V10" s="204">
        <f>'Bütçe aylık-Eur'!N11</f>
        <v/>
      </c>
      <c r="W10" s="229">
        <f>IF(U10&gt;V10,ABS((U10-V10)/V10),-ABS((V10-U10)/V10))</f>
        <v/>
      </c>
      <c r="Y10" s="169" t="inlineStr">
        <is>
          <t>Net Finansal Nakit (Borç)</t>
        </is>
      </c>
      <c r="Z10" s="487">
        <f>C212</f>
        <v/>
      </c>
      <c r="AA10" s="487">
        <f>D212</f>
        <v/>
      </c>
      <c r="AB10" s="479">
        <f>IF(Z10&gt;AA10,ABS((Z10-AA10)/AA10),-ABS((AA10-Z10)/AA10))</f>
        <v/>
      </c>
      <c r="AC10" s="482" t="n"/>
      <c r="AD10" s="487">
        <f>G212</f>
        <v/>
      </c>
      <c r="AE10" s="487">
        <f>H212</f>
        <v/>
      </c>
      <c r="AF10" s="479">
        <f>IF(AD10&gt;AE10,ABS((AD10-AE10)/AE10),-ABS((AE10-AD10)/AE10))</f>
        <v/>
      </c>
      <c r="AG10" s="162" t="n"/>
      <c r="AJ10" s="486" t="n"/>
    </row>
    <row r="11" ht="10.5" customHeight="1" thickBot="1">
      <c r="B11" s="228" t="inlineStr">
        <is>
          <t xml:space="preserve">Alüminyum </t>
        </is>
      </c>
      <c r="C11" s="227">
        <f>'A -Döviz'!C16</f>
        <v/>
      </c>
      <c r="D11" s="227">
        <f>'A -Döviz'!B16</f>
        <v/>
      </c>
      <c r="E11" s="229">
        <f>IF(C11&gt;D11,ABS((C11-D11)/D11),-ABS((D11-C11)/D11))</f>
        <v/>
      </c>
      <c r="F11" s="230" t="n"/>
      <c r="G11" s="227">
        <f>'C-Döviz'!C16</f>
        <v/>
      </c>
      <c r="H11" s="227">
        <f>'C-Döviz'!B16</f>
        <v/>
      </c>
      <c r="I11" s="229">
        <f>IF(G11&gt;H11,ABS((G11-H11)/H11),-ABS((H11-G11)/H11))</f>
        <v/>
      </c>
      <c r="J11" s="225" t="n"/>
      <c r="K11" s="231">
        <f>B11</f>
        <v/>
      </c>
      <c r="L11" s="232">
        <f>'Tahmin Data'!G7/0.4</f>
        <v/>
      </c>
      <c r="M11" s="232">
        <f>'Tahmin Data'!I7/0.4</f>
        <v/>
      </c>
      <c r="N11" s="232">
        <f>'Tahmin Data'!K7/0.4</f>
        <v/>
      </c>
      <c r="O11" s="232">
        <f>'Tahmin Data'!M7/0.4</f>
        <v/>
      </c>
      <c r="P11" s="232">
        <f>'Tahmin Data'!O7/0.4</f>
        <v/>
      </c>
      <c r="Q11" s="232">
        <f>'Tahmin Data'!Q7/0.4</f>
        <v/>
      </c>
      <c r="R11" s="232">
        <f>'Tahmin Data'!S7/0.4</f>
        <v/>
      </c>
      <c r="S11" s="232">
        <f>'Tahmin Data'!U7/0.4</f>
        <v/>
      </c>
      <c r="T11" s="232">
        <f>'Tahmin Data'!W7/0.4</f>
        <v/>
      </c>
      <c r="U11" s="232">
        <f>G11</f>
        <v/>
      </c>
      <c r="V11" s="205">
        <f>'Bütçe aylık-Eur'!N12</f>
        <v/>
      </c>
      <c r="W11" s="264">
        <f>IF(U11&gt;V11,ABS((U11-V11)/V11),-ABS((V11-U11)/V11))</f>
        <v/>
      </c>
      <c r="Y11" s="175" t="n"/>
      <c r="Z11" s="175" t="n"/>
      <c r="AA11" s="175" t="n"/>
      <c r="AB11" s="176" t="n"/>
      <c r="AD11" s="175" t="n"/>
      <c r="AF11" s="176" t="n"/>
      <c r="AH11" s="147" t="n"/>
      <c r="AI11" s="147" t="n"/>
      <c r="AJ11" s="147" t="n"/>
      <c r="AK11" s="147" t="n"/>
      <c r="AL11" s="147" t="n"/>
      <c r="AN11" s="177" t="n"/>
    </row>
    <row r="12" ht="10.5" customHeight="1" thickBot="1">
      <c r="B12" s="233" t="inlineStr">
        <is>
          <t xml:space="preserve">Kombine </t>
        </is>
      </c>
      <c r="C12" s="234">
        <f>'A -Döviz'!C6</f>
        <v/>
      </c>
      <c r="D12" s="234">
        <f>'A -Döviz'!B6</f>
        <v/>
      </c>
      <c r="E12" s="488">
        <f>IF(C12&gt;D12,ABS((C12-D12)/D12),-ABS((D12-C12)/D12))</f>
        <v/>
      </c>
      <c r="F12" s="235" t="n"/>
      <c r="G12" s="236">
        <f>'C-Döviz'!C6</f>
        <v/>
      </c>
      <c r="H12" s="236">
        <f>'C-Döviz'!B6</f>
        <v/>
      </c>
      <c r="I12" s="260">
        <f>IF(G12&gt;H12,ABS((G12-H12)/H12),-ABS((H12-G12)/H12))</f>
        <v/>
      </c>
      <c r="J12" s="237" t="n"/>
      <c r="K12" s="251" t="inlineStr">
        <is>
          <t xml:space="preserve">Kombine </t>
        </is>
      </c>
      <c r="L12" s="248">
        <f>SUM('Tahmin Data'!G3:G10)</f>
        <v/>
      </c>
      <c r="M12" s="248">
        <f>SUM('Tahmin Data'!I3:I10)</f>
        <v/>
      </c>
      <c r="N12" s="248">
        <f>SUM('Tahmin Data'!K3:K10)</f>
        <v/>
      </c>
      <c r="O12" s="248">
        <f>SUM('Tahmin Data'!M3:M10)</f>
        <v/>
      </c>
      <c r="P12" s="248">
        <f>SUM('Tahmin Data'!O3:O10)</f>
        <v/>
      </c>
      <c r="Q12" s="248">
        <f>SUM('Tahmin Data'!Q3:Q10)</f>
        <v/>
      </c>
      <c r="R12" s="248">
        <f>SUM('Tahmin Data'!S3:S10)</f>
        <v/>
      </c>
      <c r="S12" s="248">
        <f>SUM('Tahmin Data'!U3:U10)</f>
        <v/>
      </c>
      <c r="T12" s="248">
        <f>SUM('Tahmin Data'!W3:W10)</f>
        <v/>
      </c>
      <c r="U12" s="248">
        <f t="array" ref="U12">SUM(U4:U6,(U7:U11)*0.4)</f>
        <v/>
      </c>
      <c r="V12" s="248">
        <f>'Bütçe aylık-Eur'!N4</f>
        <v/>
      </c>
      <c r="W12" s="489">
        <f>IF(U12&gt;V12,ABS((U12-V12)/V12),-ABS((V12-U12)/V12))</f>
        <v/>
      </c>
      <c r="Y12" s="453">
        <f>B5</f>
        <v/>
      </c>
      <c r="Z12" s="453" t="inlineStr">
        <is>
          <t>AYLIK</t>
        </is>
      </c>
      <c r="AC12" s="152" t="n"/>
      <c r="AD12" s="453" t="n"/>
      <c r="AE12" s="453" t="inlineStr">
        <is>
          <t>KÜMÜLATİF</t>
        </is>
      </c>
      <c r="AF12" s="453" t="n"/>
      <c r="AG12" s="153" t="n"/>
      <c r="AH12" s="453">
        <f>Y12</f>
        <v/>
      </c>
      <c r="AI12" s="453" t="n"/>
      <c r="AJ12" s="453" t="inlineStr">
        <is>
          <t>Yıl Sonu Tahmini</t>
        </is>
      </c>
    </row>
    <row r="13" ht="10.5" customHeight="1" thickBot="1" thickTop="1">
      <c r="B13" s="158" t="n"/>
      <c r="C13" s="196" t="n"/>
      <c r="D13" s="196" t="n"/>
      <c r="E13" s="194" t="n"/>
      <c r="F13" s="197" t="n"/>
      <c r="G13" s="196" t="n"/>
      <c r="H13" s="196" t="n"/>
      <c r="I13" s="194" t="n"/>
      <c r="J13" s="194" t="n"/>
      <c r="K13" s="252" t="inlineStr">
        <is>
          <t>Toplam</t>
        </is>
      </c>
      <c r="L13" s="239">
        <f>SUM(L4:L11)</f>
        <v/>
      </c>
      <c r="M13" s="239">
        <f>SUM(M4:M11)</f>
        <v/>
      </c>
      <c r="N13" s="239">
        <f>SUM(N4:N11)</f>
        <v/>
      </c>
      <c r="O13" s="239">
        <f>SUM(O4:O11)</f>
        <v/>
      </c>
      <c r="P13" s="239">
        <f>SUM(P4:P11)</f>
        <v/>
      </c>
      <c r="Q13" s="239">
        <f>SUM(Q4:Q11)</f>
        <v/>
      </c>
      <c r="R13" s="239">
        <f>SUM(R4:R11)</f>
        <v/>
      </c>
      <c r="S13" s="239">
        <f>SUM(S4:S11)</f>
        <v/>
      </c>
      <c r="T13" s="239">
        <f>SUM(T4:T11)</f>
        <v/>
      </c>
      <c r="U13" s="239">
        <f>SUM(U4:U11)</f>
        <v/>
      </c>
      <c r="V13" s="239">
        <f>SUM(V4:V11)</f>
        <v/>
      </c>
      <c r="W13" s="490">
        <f>IF(U13&gt;V13,ABS((U13-V13)/V13),-ABS((V13-U13)/V13))</f>
        <v/>
      </c>
      <c r="Y13" s="453" t="inlineStr">
        <is>
          <t xml:space="preserve"> (TRY)</t>
        </is>
      </c>
      <c r="Z13" s="453" t="inlineStr">
        <is>
          <t>Gerçekleşen</t>
        </is>
      </c>
      <c r="AA13" s="453" t="inlineStr">
        <is>
          <t>Bütçe</t>
        </is>
      </c>
      <c r="AB13" s="453" t="inlineStr">
        <is>
          <t>Sapma %</t>
        </is>
      </c>
      <c r="AC13" s="152" t="n"/>
      <c r="AD13" s="453" t="inlineStr">
        <is>
          <t>Gerçekleşen</t>
        </is>
      </c>
      <c r="AE13" s="453" t="inlineStr">
        <is>
          <t>Bütçe</t>
        </is>
      </c>
      <c r="AF13" s="453" t="inlineStr">
        <is>
          <t>Sapma %</t>
        </is>
      </c>
      <c r="AG13" s="153" t="n"/>
      <c r="AH13" s="453" t="inlineStr">
        <is>
          <t>(TRY)</t>
        </is>
      </c>
      <c r="AI13" s="453">
        <f>$AI$3</f>
        <v/>
      </c>
      <c r="AJ13" s="453">
        <f>$AJ$3</f>
        <v/>
      </c>
      <c r="AK13" s="453" t="inlineStr">
        <is>
          <t>Bütçe</t>
        </is>
      </c>
      <c r="AL13" s="453" t="inlineStr">
        <is>
          <t>Sapma %</t>
        </is>
      </c>
    </row>
    <row r="14" ht="10.5" customHeight="1">
      <c r="B14" s="158" t="n"/>
      <c r="C14" s="196" t="n"/>
      <c r="D14" s="196" t="n"/>
      <c r="E14" s="194" t="n"/>
      <c r="F14" s="197" t="n"/>
      <c r="G14" s="196" t="n"/>
      <c r="H14" s="196" t="n"/>
      <c r="I14" s="194" t="n"/>
      <c r="J14" s="194" t="n"/>
      <c r="K14" s="202" t="n"/>
      <c r="L14" s="194" t="n"/>
      <c r="M14" s="194" t="n"/>
      <c r="N14" s="194" t="n"/>
      <c r="O14" s="194" t="n"/>
      <c r="P14" s="194" t="n"/>
      <c r="Q14" s="194" t="n"/>
      <c r="R14" s="194" t="n"/>
      <c r="S14" s="194" t="n"/>
      <c r="T14" s="194" t="n"/>
      <c r="U14" s="194" t="n"/>
      <c r="V14" s="194" t="n"/>
      <c r="Y14" s="158" t="inlineStr">
        <is>
          <t>Satışlar</t>
        </is>
      </c>
      <c r="Z14" s="478">
        <f>C5</f>
        <v/>
      </c>
      <c r="AA14" s="478">
        <f>D5</f>
        <v/>
      </c>
      <c r="AB14" s="479">
        <f>IF(Z14&gt;AA14,ABS((Z14-AA14)/AA14),-ABS((AA14-Z14)/AA14))</f>
        <v/>
      </c>
      <c r="AC14" s="482" t="n"/>
      <c r="AD14" s="478">
        <f>G5</f>
        <v/>
      </c>
      <c r="AE14" s="478">
        <f>H5</f>
        <v/>
      </c>
      <c r="AF14" s="479">
        <f>IF(AD14&gt;AE14,ABS((AD14-AE14)/AE14),-ABS((AE14-AD14)/AE14))</f>
        <v/>
      </c>
      <c r="AG14" s="162" t="n"/>
      <c r="AH14" s="158" t="inlineStr">
        <is>
          <t>Satışlar</t>
        </is>
      </c>
      <c r="AI14" s="480">
        <f>'Tahmin Data'!L6</f>
        <v/>
      </c>
      <c r="AJ14" s="480">
        <f>'Tahmin Data'!N6</f>
        <v/>
      </c>
      <c r="AK14" s="480">
        <f>'C-TRY'!AI10</f>
        <v/>
      </c>
      <c r="AL14" s="481">
        <f>IF(AJ14&gt;AK14,ABS((AJ14-AK14)/AK14),-ABS((AK14-AJ14)/AK14))</f>
        <v/>
      </c>
    </row>
    <row r="15" ht="12.5" customHeight="1">
      <c r="B15" s="209" t="inlineStr">
        <is>
          <t>Brüt Kar (Avro)</t>
        </is>
      </c>
      <c r="C15" s="451" t="inlineStr">
        <is>
          <t>AYLIK</t>
        </is>
      </c>
      <c r="F15" s="451" t="n"/>
      <c r="G15" s="451" t="n"/>
      <c r="H15" s="451" t="inlineStr">
        <is>
          <t>KÜMÜLATİF</t>
        </is>
      </c>
      <c r="I15" s="451" t="n"/>
      <c r="J15" s="195" t="n"/>
      <c r="K15" s="214" t="inlineStr">
        <is>
          <t>Brut Kar Tahmin (Avro)</t>
        </is>
      </c>
      <c r="L15" s="214" t="n"/>
      <c r="M15" s="214" t="n"/>
      <c r="N15" s="214" t="n"/>
      <c r="O15" s="451" t="n"/>
      <c r="P15" s="451" t="n"/>
      <c r="Q15" s="451" t="n"/>
      <c r="R15" s="451" t="n"/>
      <c r="S15" s="451" t="n"/>
      <c r="T15" s="451" t="n"/>
      <c r="U15" s="451" t="n"/>
      <c r="V15" s="194" t="n"/>
      <c r="Y15" s="158" t="inlineStr">
        <is>
          <t>Ebitda</t>
        </is>
      </c>
      <c r="Z15" s="478">
        <f>C83</f>
        <v/>
      </c>
      <c r="AA15" s="478">
        <f>D83</f>
        <v/>
      </c>
      <c r="AB15" s="479">
        <f>IF(Z15&gt;AA15,ABS((Z15-AA15)/AA15),-ABS((AA15-Z15)/AA15))</f>
        <v/>
      </c>
      <c r="AC15" s="482" t="n"/>
      <c r="AD15" s="478">
        <f>G83</f>
        <v/>
      </c>
      <c r="AE15" s="478">
        <f>H83</f>
        <v/>
      </c>
      <c r="AF15" s="479">
        <f>IF(AD15&gt;AE15,ABS((AD15-AE15)/AE15),-ABS((AE15-AD15)/AE15))</f>
        <v/>
      </c>
      <c r="AG15" s="162" t="n"/>
      <c r="AH15" s="158" t="inlineStr">
        <is>
          <t>Ebitda</t>
        </is>
      </c>
      <c r="AI15" s="480">
        <f>'Tahmin Data'!L62</f>
        <v/>
      </c>
      <c r="AJ15" s="480">
        <f>'Tahmin Data'!N62</f>
        <v/>
      </c>
      <c r="AK15" s="480">
        <f>'C-TRY'!AI140</f>
        <v/>
      </c>
      <c r="AL15" s="481">
        <f>IF(AJ15&gt;AK15,ABS((AJ15-AK15)/AK15),-ABS((AK15-AJ15)/AK15))</f>
        <v/>
      </c>
    </row>
    <row r="16" ht="10.5" customHeight="1" thickBot="1">
      <c r="B16" s="169" t="n"/>
      <c r="C16" s="211" t="inlineStr">
        <is>
          <t>Gerçekleşen</t>
        </is>
      </c>
      <c r="D16" s="211" t="inlineStr">
        <is>
          <t>Bütçe</t>
        </is>
      </c>
      <c r="E16" s="211" t="inlineStr">
        <is>
          <t>Sapma %</t>
        </is>
      </c>
      <c r="F16" s="211" t="n"/>
      <c r="G16" s="211" t="inlineStr">
        <is>
          <t>Gerçekleşen</t>
        </is>
      </c>
      <c r="H16" s="211" t="inlineStr">
        <is>
          <t>Bütçe</t>
        </is>
      </c>
      <c r="I16" s="211" t="inlineStr">
        <is>
          <t>Sapma %</t>
        </is>
      </c>
      <c r="J16" s="152" t="n"/>
      <c r="K16" s="218" t="n"/>
      <c r="L16" s="219" t="inlineStr">
        <is>
          <t>Mart</t>
        </is>
      </c>
      <c r="M16" s="219" t="inlineStr">
        <is>
          <t>Nisan</t>
        </is>
      </c>
      <c r="N16" s="219" t="inlineStr">
        <is>
          <t>Mayıs</t>
        </is>
      </c>
      <c r="O16" s="219" t="inlineStr">
        <is>
          <t>Haziran</t>
        </is>
      </c>
      <c r="P16" s="219" t="inlineStr">
        <is>
          <t>Temmuz</t>
        </is>
      </c>
      <c r="Q16" s="219" t="inlineStr">
        <is>
          <t>Ağustos</t>
        </is>
      </c>
      <c r="R16" s="219" t="inlineStr">
        <is>
          <t>Eylül</t>
        </is>
      </c>
      <c r="S16" s="219" t="inlineStr">
        <is>
          <t>Ekim</t>
        </is>
      </c>
      <c r="T16" s="219" t="inlineStr">
        <is>
          <t>Kasım</t>
        </is>
      </c>
      <c r="U16" s="219" t="inlineStr">
        <is>
          <t>Gerçekleşen</t>
        </is>
      </c>
      <c r="V16" s="250" t="inlineStr">
        <is>
          <t>Bütçe</t>
        </is>
      </c>
      <c r="W16" s="262" t="inlineStr">
        <is>
          <t>Sapma %</t>
        </is>
      </c>
      <c r="Y16" s="158" t="inlineStr">
        <is>
          <t>Ebitda %</t>
        </is>
      </c>
      <c r="Z16" s="167">
        <f>C70</f>
        <v/>
      </c>
      <c r="AA16" s="167">
        <f>D70</f>
        <v/>
      </c>
      <c r="AB16" s="479">
        <f>IF(Z16&gt;AA16,ABS((Z16-AA16)/AA16),-ABS((AA16-Z16)/AA16))</f>
        <v/>
      </c>
      <c r="AC16" s="167" t="n"/>
      <c r="AD16" s="167">
        <f>G70</f>
        <v/>
      </c>
      <c r="AE16" s="167">
        <f>H70</f>
        <v/>
      </c>
      <c r="AF16" s="479">
        <f>IF(AD16&gt;AE16,ABS((AD16-AE16)/AE16),-ABS((AE16-AD16)/AE16))</f>
        <v/>
      </c>
      <c r="AG16" s="483" t="n"/>
      <c r="AH16" s="158" t="inlineStr">
        <is>
          <t>Vergi Öncesi Kar</t>
        </is>
      </c>
      <c r="AI16" s="480">
        <f>'Tahmin Data'!L86</f>
        <v/>
      </c>
      <c r="AJ16" s="480">
        <f>'Tahmin Data'!N86</f>
        <v/>
      </c>
      <c r="AK16" s="480">
        <f>'C-TRY'!AI190</f>
        <v/>
      </c>
      <c r="AL16" s="481">
        <f>IF(AJ16&gt;AK16,ABS((AJ16-AK16)/AK16),-ABS((AK16-AJ16)/AK16))</f>
        <v/>
      </c>
    </row>
    <row r="17" ht="10.5" customHeight="1" thickBot="1" thickTop="1">
      <c r="B17" s="149" t="inlineStr">
        <is>
          <t xml:space="preserve">İnci Holding  </t>
        </is>
      </c>
      <c r="C17" s="156">
        <f>'A -Döviz'!C36</f>
        <v/>
      </c>
      <c r="D17" s="156">
        <f>'A -Döviz'!B36</f>
        <v/>
      </c>
      <c r="E17" s="224">
        <f>IF(C17&gt;D17,ABS((C17-D17)/D17),-ABS((D17-C17)/D17))</f>
        <v/>
      </c>
      <c r="F17" s="155" t="n"/>
      <c r="G17" s="156">
        <f>'C-Döviz'!C36</f>
        <v/>
      </c>
      <c r="H17" s="156">
        <f>'C-Döviz'!B36</f>
        <v/>
      </c>
      <c r="I17" s="224">
        <f>IF(G17&gt;H17,ABS((G17-H17)/H17),-ABS((H17-G17)/H17))</f>
        <v/>
      </c>
      <c r="J17" s="157" t="n"/>
      <c r="K17" s="226">
        <f>B17</f>
        <v/>
      </c>
      <c r="L17" s="227">
        <f>'Tahmin Data'!G20</f>
        <v/>
      </c>
      <c r="M17" s="227">
        <f>'Tahmin Data'!I20</f>
        <v/>
      </c>
      <c r="N17" s="227">
        <f>'Tahmin Data'!K20</f>
        <v/>
      </c>
      <c r="O17" s="227">
        <f>'Tahmin Data'!M20</f>
        <v/>
      </c>
      <c r="P17" s="227">
        <f>'Tahmin Data'!O20</f>
        <v/>
      </c>
      <c r="Q17" s="227">
        <f>'Tahmin Data'!Q20</f>
        <v/>
      </c>
      <c r="R17" s="227">
        <f>'Tahmin Data'!S20</f>
        <v/>
      </c>
      <c r="S17" s="227">
        <f>'Tahmin Data'!U20</f>
        <v/>
      </c>
      <c r="T17" s="227">
        <f>'Tahmin Data'!W20</f>
        <v/>
      </c>
      <c r="U17" s="318">
        <f>G17</f>
        <v/>
      </c>
      <c r="V17" s="213">
        <f>'Bütçe aylık-Eur'!N27</f>
        <v/>
      </c>
      <c r="W17" s="224">
        <f>IF(U17&gt;V17,ABS((U17-V17)/V17),-ABS((V17-U17)/V17))</f>
        <v/>
      </c>
      <c r="Y17" s="158" t="inlineStr">
        <is>
          <t>Vergi Öncesi Kar</t>
        </is>
      </c>
      <c r="Z17" s="478">
        <f>C135</f>
        <v/>
      </c>
      <c r="AA17" s="478">
        <f>D135</f>
        <v/>
      </c>
      <c r="AB17" s="479">
        <f>IF(Z17&gt;AA17,ABS((Z17-AA17)/AA17),-ABS((AA17-Z17)/AA17))</f>
        <v/>
      </c>
      <c r="AC17" s="482" t="n"/>
      <c r="AD17" s="478">
        <f>G135</f>
        <v/>
      </c>
      <c r="AE17" s="478">
        <f>H135</f>
        <v/>
      </c>
      <c r="AF17" s="479">
        <f>IF(AD17&gt;AE17,ABS((AD17-AE17)/AE17),-ABS((AE17-AD17)/AE17))</f>
        <v/>
      </c>
      <c r="AG17" s="162" t="n"/>
      <c r="AH17" s="169" t="inlineStr">
        <is>
          <t>Operasyonel Nakit</t>
        </is>
      </c>
      <c r="AI17" s="484">
        <f>'Tahmin Data'!L142</f>
        <v/>
      </c>
      <c r="AJ17" s="484">
        <f>'Tahmin Data'!N142</f>
        <v/>
      </c>
      <c r="AK17" s="484">
        <f>'C-TRY'!AI292</f>
        <v/>
      </c>
      <c r="AL17" s="485">
        <f>IF(AJ17&gt;AK17,ABS((AJ17-AK17)/AK17),-ABS((AK17-AJ17)/AK17))</f>
        <v/>
      </c>
    </row>
    <row r="18" ht="10.5" customHeight="1">
      <c r="B18" s="149" t="inlineStr">
        <is>
          <t xml:space="preserve">ISM </t>
        </is>
      </c>
      <c r="C18" s="156">
        <f>'A -Döviz'!C37</f>
        <v/>
      </c>
      <c r="D18" s="156">
        <f>'A -Döviz'!B37</f>
        <v/>
      </c>
      <c r="E18" s="229">
        <f>IF(C18&gt;D18,ABS((C18-D18)/D18),-ABS((D18-C18)/D18))</f>
        <v/>
      </c>
      <c r="F18" s="155" t="n"/>
      <c r="G18" s="156">
        <f>'C-Döviz'!C37</f>
        <v/>
      </c>
      <c r="H18" s="156">
        <f>'C-Döviz'!B37</f>
        <v/>
      </c>
      <c r="I18" s="229">
        <f>IF(G18&gt;H18,ABS((G18-H18)/H18),-ABS((H18-G18)/H18))</f>
        <v/>
      </c>
      <c r="J18" s="157" t="n"/>
      <c r="K18" s="226">
        <f>B18</f>
        <v/>
      </c>
      <c r="L18" s="227">
        <f>'Tahmin Data'!G22</f>
        <v/>
      </c>
      <c r="M18" s="227">
        <f>'Tahmin Data'!I22</f>
        <v/>
      </c>
      <c r="N18" s="227">
        <f>'Tahmin Data'!K22</f>
        <v/>
      </c>
      <c r="O18" s="227">
        <f>'Tahmin Data'!M22</f>
        <v/>
      </c>
      <c r="P18" s="227">
        <f>'Tahmin Data'!O22</f>
        <v/>
      </c>
      <c r="Q18" s="227">
        <f>'Tahmin Data'!Q22</f>
        <v/>
      </c>
      <c r="R18" s="227">
        <f>'Tahmin Data'!S22</f>
        <v/>
      </c>
      <c r="S18" s="227">
        <f>'Tahmin Data'!U22</f>
        <v/>
      </c>
      <c r="T18" s="227">
        <f>'Tahmin Data'!W22</f>
        <v/>
      </c>
      <c r="U18" s="227">
        <f>G18</f>
        <v/>
      </c>
      <c r="V18" s="204">
        <f>'Bütçe aylık-Eur'!N28</f>
        <v/>
      </c>
      <c r="W18" s="229">
        <f>IF(U18&gt;V18,ABS((U18-V18)/V18),-ABS((V18-U18)/V18))</f>
        <v/>
      </c>
      <c r="Y18" s="158" t="inlineStr">
        <is>
          <t>Operasyonel Nakit</t>
        </is>
      </c>
      <c r="Z18" s="478">
        <f>C174</f>
        <v/>
      </c>
      <c r="AA18" s="478">
        <f>D174</f>
        <v/>
      </c>
      <c r="AB18" s="479">
        <f>IF(Z18&gt;AA18,ABS((Z18-AA18)/AA18),-ABS((AA18-Z18)/AA18))</f>
        <v/>
      </c>
      <c r="AC18" s="482" t="n"/>
      <c r="AD18" s="478">
        <f>G174</f>
        <v/>
      </c>
      <c r="AE18" s="478">
        <f>H174</f>
        <v/>
      </c>
      <c r="AF18" s="479">
        <f>IF(AD18&gt;AE18,ABS((AD18-AE18)/AE18),-ABS((AE18-AD18)/AE18))</f>
        <v/>
      </c>
      <c r="AG18" s="162" t="n"/>
      <c r="AI18" s="486" t="n"/>
      <c r="AJ18" s="486" t="n"/>
    </row>
    <row r="19" ht="10.5" customHeight="1">
      <c r="B19" s="149" t="inlineStr">
        <is>
          <t xml:space="preserve">İncitaş </t>
        </is>
      </c>
      <c r="C19" s="156">
        <f>'A -Döviz'!C38</f>
        <v/>
      </c>
      <c r="D19" s="156">
        <f>'A -Döviz'!B38</f>
        <v/>
      </c>
      <c r="E19" s="229">
        <f>IF(C19&gt;D19,ABS((C19-D19)/D19),-ABS((D19-C19)/D19))</f>
        <v/>
      </c>
      <c r="F19" s="155" t="n"/>
      <c r="G19" s="156">
        <f>'C-Döviz'!C38</f>
        <v/>
      </c>
      <c r="H19" s="156">
        <f>'C-Döviz'!B38</f>
        <v/>
      </c>
      <c r="I19" s="229">
        <f>IF(G19&gt;H19,ABS((G19-H19)/H19),-ABS((H19-G19)/H19))</f>
        <v/>
      </c>
      <c r="J19" s="157" t="n"/>
      <c r="K19" s="226">
        <f>B19</f>
        <v/>
      </c>
      <c r="L19" s="227">
        <f>'Tahmin Data'!G21</f>
        <v/>
      </c>
      <c r="M19" s="227">
        <f>'Tahmin Data'!I21</f>
        <v/>
      </c>
      <c r="N19" s="227">
        <f>'Tahmin Data'!K21</f>
        <v/>
      </c>
      <c r="O19" s="227">
        <f>'Tahmin Data'!M21</f>
        <v/>
      </c>
      <c r="P19" s="227">
        <f>'Tahmin Data'!O21</f>
        <v/>
      </c>
      <c r="Q19" s="227">
        <f>'Tahmin Data'!Q21</f>
        <v/>
      </c>
      <c r="R19" s="227">
        <f>'Tahmin Data'!S21</f>
        <v/>
      </c>
      <c r="S19" s="227">
        <f>'Tahmin Data'!U21</f>
        <v/>
      </c>
      <c r="T19" s="227">
        <f>'Tahmin Data'!W21</f>
        <v/>
      </c>
      <c r="U19" s="227">
        <f>G19</f>
        <v/>
      </c>
      <c r="V19" s="204">
        <f>'Bütçe aylık-Eur'!N29</f>
        <v/>
      </c>
      <c r="W19" s="229">
        <f>IF(U19&gt;V19,ABS((U19-V19)/V19),-ABS((V19-U19)/V19))</f>
        <v/>
      </c>
      <c r="Y19" s="158" t="inlineStr">
        <is>
          <t>Yatırım</t>
        </is>
      </c>
      <c r="Z19" s="478">
        <f>C187</f>
        <v/>
      </c>
      <c r="AA19" s="478">
        <f>D187</f>
        <v/>
      </c>
      <c r="AB19" s="479">
        <f>IF(Z19&gt;AA19,ABS((Z19-AA19)/AA19),-ABS((AA19-Z19)/AA19))</f>
        <v/>
      </c>
      <c r="AC19" s="482" t="n"/>
      <c r="AD19" s="478">
        <f>G187</f>
        <v/>
      </c>
      <c r="AE19" s="478">
        <f>H187</f>
        <v/>
      </c>
      <c r="AF19" s="479">
        <f>IF(AD19&gt;AE19,ABS((AD19-AE19)/AE19),-ABS((AE19-AD19)/AE19))</f>
        <v/>
      </c>
      <c r="AG19" s="162" t="n"/>
    </row>
    <row r="20" ht="10.5" customHeight="1" thickBot="1">
      <c r="B20" s="149" t="inlineStr">
        <is>
          <t xml:space="preserve">İnci GS Yuasa </t>
        </is>
      </c>
      <c r="C20" s="156">
        <f>'A -Döviz'!C39</f>
        <v/>
      </c>
      <c r="D20" s="156">
        <f>'A -Döviz'!B39</f>
        <v/>
      </c>
      <c r="E20" s="229">
        <f>IF(C20&gt;D20,ABS((C20-D20)/D20),-ABS((D20-C20)/D20))</f>
        <v/>
      </c>
      <c r="F20" s="155" t="n"/>
      <c r="G20" s="156">
        <f>'C-Döviz'!C39</f>
        <v/>
      </c>
      <c r="H20" s="156">
        <f>'C-Döviz'!B39</f>
        <v/>
      </c>
      <c r="I20" s="229">
        <f>IF(G20&gt;H20,ABS((G20-H20)/H20),-ABS((H20-G20)/H20))</f>
        <v/>
      </c>
      <c r="J20" s="157" t="n"/>
      <c r="K20" s="226">
        <f>B20</f>
        <v/>
      </c>
      <c r="L20" s="227">
        <f>'Tahmin Data'!G19/0.4</f>
        <v/>
      </c>
      <c r="M20" s="227">
        <f>'Tahmin Data'!I19/0.4</f>
        <v/>
      </c>
      <c r="N20" s="227">
        <f>'Tahmin Data'!K19/0.4</f>
        <v/>
      </c>
      <c r="O20" s="227">
        <f>'Tahmin Data'!M19/0.4</f>
        <v/>
      </c>
      <c r="P20" s="227">
        <f>'Tahmin Data'!O19/0.4</f>
        <v/>
      </c>
      <c r="Q20" s="227">
        <f>'Tahmin Data'!Q19/0.4</f>
        <v/>
      </c>
      <c r="R20" s="227">
        <f>'Tahmin Data'!S19/0.4</f>
        <v/>
      </c>
      <c r="S20" s="227">
        <f>'Tahmin Data'!U19/0.4</f>
        <v/>
      </c>
      <c r="T20" s="227">
        <f>'Tahmin Data'!W19/0.4</f>
        <v/>
      </c>
      <c r="U20" s="227">
        <f>G20</f>
        <v/>
      </c>
      <c r="V20" s="204">
        <f>'Bütçe aylık-Eur'!N30</f>
        <v/>
      </c>
      <c r="W20" s="229">
        <f>IF(U20&gt;V20,ABS((U20-V20)/V20),-ABS((V20-U20)/V20))</f>
        <v/>
      </c>
      <c r="Y20" s="169" t="inlineStr">
        <is>
          <t>Net Finansal Nakit (Borç)</t>
        </is>
      </c>
      <c r="Z20" s="487">
        <f>C213</f>
        <v/>
      </c>
      <c r="AA20" s="487">
        <f>D213</f>
        <v/>
      </c>
      <c r="AB20" s="491">
        <f>IF(Z20&gt;AA20,ABS((Z20-AA20)/AA20),-ABS((AA20-Z20)/AA20))</f>
        <v/>
      </c>
      <c r="AC20" s="482" t="n"/>
      <c r="AD20" s="487">
        <f>G213</f>
        <v/>
      </c>
      <c r="AE20" s="487">
        <f>H213</f>
        <v/>
      </c>
      <c r="AF20" s="491">
        <f>IF(AD20&gt;AE20,ABS((AD20-AE20)/AE20),-ABS((AE20-AD20)/AE20))</f>
        <v/>
      </c>
      <c r="AG20" s="162" t="n"/>
    </row>
    <row r="21" ht="10.5" customHeight="1">
      <c r="B21" s="149" t="inlineStr">
        <is>
          <t xml:space="preserve">Yusen İnci Loj. </t>
        </is>
      </c>
      <c r="C21" s="156">
        <f>'A -Döviz'!C40</f>
        <v/>
      </c>
      <c r="D21" s="156">
        <f>'A -Döviz'!B40</f>
        <v/>
      </c>
      <c r="E21" s="229">
        <f>IF(C21&gt;D21,ABS((C21-D21)/D21),-ABS((D21-C21)/D21))</f>
        <v/>
      </c>
      <c r="F21" s="155" t="n"/>
      <c r="G21" s="156">
        <f>'C-Döviz'!C40</f>
        <v/>
      </c>
      <c r="H21" s="156">
        <f>'C-Döviz'!B40</f>
        <v/>
      </c>
      <c r="I21" s="229">
        <f>IF(G21&gt;H21,ABS((G21-H21)/H21),-ABS((H21-G21)/H21))</f>
        <v/>
      </c>
      <c r="J21" s="157" t="n"/>
      <c r="K21" s="226">
        <f>B21</f>
        <v/>
      </c>
      <c r="L21" s="227">
        <f>'Tahmin Data'!G26/0.4</f>
        <v/>
      </c>
      <c r="M21" s="227">
        <f>'Tahmin Data'!I26/0.4</f>
        <v/>
      </c>
      <c r="N21" s="227">
        <f>'Tahmin Data'!K26/0.4</f>
        <v/>
      </c>
      <c r="O21" s="227">
        <f>'Tahmin Data'!M26/0.4</f>
        <v/>
      </c>
      <c r="P21" s="227">
        <f>'Tahmin Data'!O26/0.4</f>
        <v/>
      </c>
      <c r="Q21" s="227">
        <f>'Tahmin Data'!Q26/0.4</f>
        <v/>
      </c>
      <c r="R21" s="227">
        <f>'Tahmin Data'!S26/0.4</f>
        <v/>
      </c>
      <c r="S21" s="227">
        <f>'Tahmin Data'!U26/0.4</f>
        <v/>
      </c>
      <c r="T21" s="227">
        <f>'Tahmin Data'!W26/0.4</f>
        <v/>
      </c>
      <c r="U21" s="227">
        <f>G21</f>
        <v/>
      </c>
      <c r="V21" s="204">
        <f>'Bütçe aylık-Eur'!N31</f>
        <v/>
      </c>
      <c r="W21" s="229">
        <f>IF(U21&gt;V21,ABS((U21-V21)/V21),-ABS((V21-U21)/V21))</f>
        <v/>
      </c>
    </row>
    <row r="22" ht="10.5" customHeight="1">
      <c r="B22" s="149" t="inlineStr">
        <is>
          <t xml:space="preserve">Jantaş </t>
        </is>
      </c>
      <c r="C22" s="156">
        <f>'A -Döviz'!C41</f>
        <v/>
      </c>
      <c r="D22" s="156">
        <f>'A -Döviz'!B41</f>
        <v/>
      </c>
      <c r="E22" s="229">
        <f>IF(C22&gt;D22,ABS((C22-D22)/D22),-ABS((D22-C22)/D22))</f>
        <v/>
      </c>
      <c r="F22" s="155" t="n"/>
      <c r="G22" s="156">
        <f>'C-Döviz'!C41</f>
        <v/>
      </c>
      <c r="H22" s="156">
        <f>'C-Döviz'!B41</f>
        <v/>
      </c>
      <c r="I22" s="229">
        <f>IF(G22&gt;H22,ABS((G22-H22)/H22),-ABS((H22-G22)/H22))</f>
        <v/>
      </c>
      <c r="J22" s="157" t="n"/>
      <c r="K22" s="226">
        <f>B22</f>
        <v/>
      </c>
      <c r="L22" s="227">
        <f>'Tahmin Data'!G25/0.4</f>
        <v/>
      </c>
      <c r="M22" s="227">
        <f>'Tahmin Data'!I25/0.4</f>
        <v/>
      </c>
      <c r="N22" s="227">
        <f>'Tahmin Data'!K25/0.4</f>
        <v/>
      </c>
      <c r="O22" s="227">
        <f>'Tahmin Data'!M25/0.4</f>
        <v/>
      </c>
      <c r="P22" s="227">
        <f>'Tahmin Data'!O25/0.4</f>
        <v/>
      </c>
      <c r="Q22" s="227">
        <f>'Tahmin Data'!Q25/0.4</f>
        <v/>
      </c>
      <c r="R22" s="227">
        <f>'Tahmin Data'!S25/0.4</f>
        <v/>
      </c>
      <c r="S22" s="227">
        <f>'Tahmin Data'!U25/0.4</f>
        <v/>
      </c>
      <c r="T22" s="227">
        <f>'Tahmin Data'!W25/0.4</f>
        <v/>
      </c>
      <c r="U22" s="227">
        <f>G22</f>
        <v/>
      </c>
      <c r="V22" s="204">
        <f>'Bütçe aylık-Eur'!N32</f>
        <v/>
      </c>
      <c r="W22" s="229">
        <f>IF(U22&gt;V22,ABS((U22-V22)/V22),-ABS((V22-U22)/V22))</f>
        <v/>
      </c>
      <c r="Y22" s="453">
        <f>B6</f>
        <v/>
      </c>
      <c r="Z22" s="453" t="inlineStr">
        <is>
          <t>AYLIK</t>
        </is>
      </c>
      <c r="AC22" s="152" t="n"/>
      <c r="AD22" s="453" t="n"/>
      <c r="AE22" s="453" t="inlineStr">
        <is>
          <t>KÜMÜLATİF</t>
        </is>
      </c>
      <c r="AF22" s="453" t="n"/>
      <c r="AG22" s="153" t="n"/>
      <c r="AH22" s="453">
        <f>Y22</f>
        <v/>
      </c>
      <c r="AI22" s="453" t="n"/>
      <c r="AJ22" s="453" t="inlineStr">
        <is>
          <t>Yıl Sonu Tahmini</t>
        </is>
      </c>
    </row>
    <row r="23" ht="10.5" customHeight="1">
      <c r="B23" s="149" t="inlineStr">
        <is>
          <t xml:space="preserve">Çelik </t>
        </is>
      </c>
      <c r="C23" s="156">
        <f>'A -Döviz'!C42</f>
        <v/>
      </c>
      <c r="D23" s="156">
        <f>'A -Döviz'!B42</f>
        <v/>
      </c>
      <c r="E23" s="229">
        <f>IF(C23&gt;D23,ABS((C23-D23)/D23),-ABS((D23-C23)/D23))</f>
        <v/>
      </c>
      <c r="F23" s="155" t="n"/>
      <c r="G23" s="156">
        <f>'C-Döviz'!C42</f>
        <v/>
      </c>
      <c r="H23" s="156">
        <f>'C-Döviz'!B42</f>
        <v/>
      </c>
      <c r="I23" s="229">
        <f>IF(G23&gt;H23,ABS((G23-H23)/H23),-ABS((H23-G23)/H23))</f>
        <v/>
      </c>
      <c r="J23" s="157" t="n"/>
      <c r="K23" s="226">
        <f>B23</f>
        <v/>
      </c>
      <c r="L23" s="227">
        <f>'Tahmin Data'!G24/0.4</f>
        <v/>
      </c>
      <c r="M23" s="227">
        <f>'Tahmin Data'!I24/0.4</f>
        <v/>
      </c>
      <c r="N23" s="227">
        <f>'Tahmin Data'!K24/0.4</f>
        <v/>
      </c>
      <c r="O23" s="227">
        <f>'Tahmin Data'!M24/0.4</f>
        <v/>
      </c>
      <c r="P23" s="227">
        <f>'Tahmin Data'!O24/0.4</f>
        <v/>
      </c>
      <c r="Q23" s="227">
        <f>'Tahmin Data'!Q24/0.4</f>
        <v/>
      </c>
      <c r="R23" s="227">
        <f>'Tahmin Data'!S24/0.4</f>
        <v/>
      </c>
      <c r="S23" s="227">
        <f>'Tahmin Data'!U24/0.4</f>
        <v/>
      </c>
      <c r="T23" s="227">
        <f>'Tahmin Data'!W24/0.4</f>
        <v/>
      </c>
      <c r="U23" s="227">
        <f>G23</f>
        <v/>
      </c>
      <c r="V23" s="204">
        <f>'Bütçe aylık-Eur'!N33</f>
        <v/>
      </c>
      <c r="W23" s="229">
        <f>IF(U23&gt;V23,ABS((U23-V23)/V23),-ABS((V23-U23)/V23))</f>
        <v/>
      </c>
      <c r="Y23" s="453" t="inlineStr">
        <is>
          <t xml:space="preserve"> (TRY)</t>
        </is>
      </c>
      <c r="Z23" s="453" t="inlineStr">
        <is>
          <t>Gerçekleşen</t>
        </is>
      </c>
      <c r="AA23" s="453" t="inlineStr">
        <is>
          <t>Bütçe</t>
        </is>
      </c>
      <c r="AB23" s="453" t="inlineStr">
        <is>
          <t>Sapma %</t>
        </is>
      </c>
      <c r="AC23" s="152" t="n"/>
      <c r="AD23" s="453" t="inlineStr">
        <is>
          <t>Gerçekleşen</t>
        </is>
      </c>
      <c r="AE23" s="453" t="inlineStr">
        <is>
          <t>Bütçe</t>
        </is>
      </c>
      <c r="AF23" s="453" t="inlineStr">
        <is>
          <t>Sapma %</t>
        </is>
      </c>
      <c r="AG23" s="153" t="n"/>
      <c r="AH23" s="453" t="inlineStr">
        <is>
          <t>(TRY)</t>
        </is>
      </c>
      <c r="AI23" s="453">
        <f>$AI$3</f>
        <v/>
      </c>
      <c r="AJ23" s="453">
        <f>$AJ$3</f>
        <v/>
      </c>
      <c r="AK23" s="453" t="inlineStr">
        <is>
          <t>Bütçe</t>
        </is>
      </c>
      <c r="AL23" s="453" t="inlineStr">
        <is>
          <t>Sapma %</t>
        </is>
      </c>
    </row>
    <row r="24" ht="10.5" customHeight="1" thickBot="1">
      <c r="B24" s="149" t="inlineStr">
        <is>
          <t xml:space="preserve">Alüminyum </t>
        </is>
      </c>
      <c r="C24" s="156">
        <f>'A -Döviz'!C43</f>
        <v/>
      </c>
      <c r="D24" s="156">
        <f>'A -Döviz'!B43</f>
        <v/>
      </c>
      <c r="E24" s="229">
        <f>IF(C24&gt;D24,ABS((C24-D24)/D24),-ABS((D24-C24)/D24))</f>
        <v/>
      </c>
      <c r="F24" s="155" t="n"/>
      <c r="G24" s="156">
        <f>'C-Döviz'!C43</f>
        <v/>
      </c>
      <c r="H24" s="156">
        <f>'C-Döviz'!B43</f>
        <v/>
      </c>
      <c r="I24" s="229">
        <f>IF(G24&gt;H24,ABS((G24-H24)/H24),-ABS((H24-G24)/H24))</f>
        <v/>
      </c>
      <c r="J24" s="157" t="n"/>
      <c r="K24" s="231">
        <f>B24</f>
        <v/>
      </c>
      <c r="L24" s="232">
        <f>'Tahmin Data'!G23/0.4</f>
        <v/>
      </c>
      <c r="M24" s="232">
        <f>'Tahmin Data'!I23/0.4</f>
        <v/>
      </c>
      <c r="N24" s="232">
        <f>'Tahmin Data'!K23/0.4</f>
        <v/>
      </c>
      <c r="O24" s="232">
        <f>'Tahmin Data'!M23/0.4</f>
        <v/>
      </c>
      <c r="P24" s="232">
        <f>'Tahmin Data'!O23/0.4</f>
        <v/>
      </c>
      <c r="Q24" s="232">
        <f>'Tahmin Data'!Q23/0.4</f>
        <v/>
      </c>
      <c r="R24" s="232">
        <f>'Tahmin Data'!S23/0.4</f>
        <v/>
      </c>
      <c r="S24" s="232">
        <f>'Tahmin Data'!U23/0.4</f>
        <v/>
      </c>
      <c r="T24" s="232">
        <f>'Tahmin Data'!W23/0.4</f>
        <v/>
      </c>
      <c r="U24" s="232">
        <f>G24</f>
        <v/>
      </c>
      <c r="V24" s="205">
        <f>'Bütçe aylık-Eur'!N34</f>
        <v/>
      </c>
      <c r="W24" s="264">
        <f>IF(U24&gt;V24,ABS((U24-V24)/V24),-ABS((V24-U24)/V24))</f>
        <v/>
      </c>
      <c r="Y24" s="158" t="inlineStr">
        <is>
          <t>Satışlar</t>
        </is>
      </c>
      <c r="Z24" s="478">
        <f>C6</f>
        <v/>
      </c>
      <c r="AA24" s="478">
        <f>D6</f>
        <v/>
      </c>
      <c r="AB24" s="479">
        <f>IF(Z24&gt;AA24,ABS((Z24-AA24)/AA24),-ABS((AA24-Z24)/AA24))</f>
        <v/>
      </c>
      <c r="AC24" s="482" t="n"/>
      <c r="AD24" s="478">
        <f>G6</f>
        <v/>
      </c>
      <c r="AE24" s="478">
        <f>H6</f>
        <v/>
      </c>
      <c r="AF24" s="479">
        <f>IF(AD24&gt;AE24,ABS((AD24-AE24)/AE24),-ABS((AE24-AD24)/AE24))</f>
        <v/>
      </c>
      <c r="AG24" s="183" t="n"/>
      <c r="AH24" s="158" t="inlineStr">
        <is>
          <t>Satışlar</t>
        </is>
      </c>
      <c r="AI24" s="480">
        <f>'Tahmin Data'!L5</f>
        <v/>
      </c>
      <c r="AJ24" s="480">
        <f>'Tahmin Data'!N5</f>
        <v/>
      </c>
      <c r="AK24" s="480">
        <f>'C-TRY'!AI11</f>
        <v/>
      </c>
      <c r="AL24" s="492">
        <f>IF(AJ24&gt;AK24,ABS((AJ24-AK24)/AK24),-ABS((AK24-AJ24)/AK24))</f>
        <v/>
      </c>
    </row>
    <row r="25" ht="10.5" customHeight="1" thickBot="1">
      <c r="B25" s="169" t="inlineStr">
        <is>
          <t xml:space="preserve">Kombine </t>
        </is>
      </c>
      <c r="C25" s="192">
        <f>'A -Döviz'!C32</f>
        <v/>
      </c>
      <c r="D25" s="192">
        <f>'A -Döviz'!B32</f>
        <v/>
      </c>
      <c r="E25" s="488">
        <f>IF(C25&gt;D25,ABS((C25-D25)/D25),-ABS((D25-C25)/D25))</f>
        <v/>
      </c>
      <c r="F25" s="154" t="n"/>
      <c r="G25" s="192">
        <f>'C-Döviz'!C32</f>
        <v/>
      </c>
      <c r="H25" s="192">
        <f>'C-Döviz'!B32</f>
        <v/>
      </c>
      <c r="I25" s="260">
        <f>IF(G25&gt;H25,ABS((G25-H25)/H25),-ABS((H25-G25)/H25))</f>
        <v/>
      </c>
      <c r="J25" s="194" t="n"/>
      <c r="K25" s="263" t="inlineStr">
        <is>
          <t xml:space="preserve">Kombine </t>
        </is>
      </c>
      <c r="L25" s="248">
        <f>SUM('Tahmin Data'!G19:G26)</f>
        <v/>
      </c>
      <c r="M25" s="248">
        <f>SUM('Tahmin Data'!I19:I26)</f>
        <v/>
      </c>
      <c r="N25" s="248">
        <f>SUM('Tahmin Data'!K19:K26)</f>
        <v/>
      </c>
      <c r="O25" s="248">
        <f>SUM('Tahmin Data'!M19:M26)</f>
        <v/>
      </c>
      <c r="P25" s="248">
        <f>SUM('Tahmin Data'!O19:O26)</f>
        <v/>
      </c>
      <c r="Q25" s="248">
        <f>SUM('Tahmin Data'!Q19:Q26)</f>
        <v/>
      </c>
      <c r="R25" s="248">
        <f>SUM('Tahmin Data'!S19:S26)</f>
        <v/>
      </c>
      <c r="S25" s="248">
        <f>SUM('Tahmin Data'!U19:U26)</f>
        <v/>
      </c>
      <c r="T25" s="248">
        <f>SUM('Tahmin Data'!W19:W26)</f>
        <v/>
      </c>
      <c r="U25" s="248">
        <f t="array" ref="U25">SUM(U17:U19,(U20:U24)*0.4)</f>
        <v/>
      </c>
      <c r="V25" s="248">
        <f>'Bütçe aylık-Eur'!N26</f>
        <v/>
      </c>
      <c r="W25" s="265">
        <f>IF(U25&gt;V25,ABS((U25-V25)/V25),-ABS((V25-U25)/V25))</f>
        <v/>
      </c>
      <c r="Y25" s="158" t="inlineStr">
        <is>
          <t>Ebitda</t>
        </is>
      </c>
      <c r="Z25" s="478">
        <f>C84</f>
        <v/>
      </c>
      <c r="AA25" s="478">
        <f>D84</f>
        <v/>
      </c>
      <c r="AB25" s="479">
        <f>IF(Z25&gt;AA25,ABS((Z25-AA25)/AA25),-ABS((AA25-Z25)/AA25))</f>
        <v/>
      </c>
      <c r="AC25" s="482" t="n"/>
      <c r="AD25" s="478">
        <f>G84</f>
        <v/>
      </c>
      <c r="AE25" s="478">
        <f>H84</f>
        <v/>
      </c>
      <c r="AF25" s="479">
        <f>IF(AD25&gt;AE25,ABS((AD25-AE25)/AE25),-ABS((AE25-AD25)/AE25))</f>
        <v/>
      </c>
      <c r="AG25" s="183" t="n"/>
      <c r="AH25" s="158" t="inlineStr">
        <is>
          <t>Ebitda</t>
        </is>
      </c>
      <c r="AI25" s="480">
        <f>'Tahmin Data'!L61</f>
        <v/>
      </c>
      <c r="AJ25" s="480">
        <f>'Tahmin Data'!N61</f>
        <v/>
      </c>
      <c r="AK25" s="480">
        <f>'C-TRY'!AI141</f>
        <v/>
      </c>
      <c r="AL25" s="481">
        <f>IF(AJ25&gt;AK25,ABS((AJ25-AK25)/AK25),-ABS((AK25-AJ25)/AK25))</f>
        <v/>
      </c>
    </row>
    <row r="26" ht="10.5" customHeight="1" thickBot="1">
      <c r="B26" s="158" t="n"/>
      <c r="C26" s="196" t="n"/>
      <c r="D26" s="196" t="n"/>
      <c r="E26" s="194" t="n"/>
      <c r="F26" s="197" t="n"/>
      <c r="G26" s="196" t="n"/>
      <c r="H26" s="196" t="n"/>
      <c r="I26" s="194" t="n"/>
      <c r="J26" s="194" t="n"/>
      <c r="K26" s="249" t="inlineStr">
        <is>
          <t>Toplam</t>
        </is>
      </c>
      <c r="L26" s="239">
        <f>SUM(L17:L24)</f>
        <v/>
      </c>
      <c r="M26" s="239">
        <f>SUM(M17:M24)</f>
        <v/>
      </c>
      <c r="N26" s="239">
        <f>SUM(N17:N24)</f>
        <v/>
      </c>
      <c r="O26" s="239">
        <f>SUM(O17:O24)</f>
        <v/>
      </c>
      <c r="P26" s="239">
        <f>SUM(P17:P24)</f>
        <v/>
      </c>
      <c r="Q26" s="239">
        <f>SUM(Q17:Q24)</f>
        <v/>
      </c>
      <c r="R26" s="239">
        <f>SUM(R17:R24)</f>
        <v/>
      </c>
      <c r="S26" s="239">
        <f>SUM(S17:S24)</f>
        <v/>
      </c>
      <c r="T26" s="239">
        <f>SUM(T17:T24)</f>
        <v/>
      </c>
      <c r="U26" s="239">
        <f>SUM(U17:U24)</f>
        <v/>
      </c>
      <c r="V26" s="239">
        <f>SUM(V17:V24)</f>
        <v/>
      </c>
      <c r="W26" s="266">
        <f>IF(U26&gt;V26,ABS((U26-V26)/V26),-ABS((V26-U26)/V26))</f>
        <v/>
      </c>
      <c r="Y26" s="158" t="inlineStr">
        <is>
          <t>Ebitda %</t>
        </is>
      </c>
      <c r="Z26" s="167">
        <f>C71</f>
        <v/>
      </c>
      <c r="AA26" s="167">
        <f>D71</f>
        <v/>
      </c>
      <c r="AB26" s="479">
        <f>IF(Z26&gt;AA26,ABS((Z26-AA26)/AA26),-ABS((AA26-Z26)/AA26))</f>
        <v/>
      </c>
      <c r="AC26" s="167" t="n"/>
      <c r="AD26" s="493">
        <f>G71</f>
        <v/>
      </c>
      <c r="AE26" s="493">
        <f>H71</f>
        <v/>
      </c>
      <c r="AF26" s="479">
        <f>IF(AD26&gt;AE26,ABS((AD26-AE26)/AE26),-ABS((AE26-AD26)/AE26))</f>
        <v/>
      </c>
      <c r="AG26" s="183" t="n"/>
      <c r="AH26" s="158" t="inlineStr">
        <is>
          <t>Vergi Öncesi Kar</t>
        </is>
      </c>
      <c r="AI26" s="480">
        <f>'Tahmin Data'!L85</f>
        <v/>
      </c>
      <c r="AJ26" s="480">
        <f>'Tahmin Data'!N85</f>
        <v/>
      </c>
      <c r="AK26" s="480">
        <f>'C-TRY'!AI191</f>
        <v/>
      </c>
      <c r="AL26" s="481">
        <f>IF(AJ26&gt;AK26,ABS((AJ26-AK26)/AK26),-ABS((AK26-AJ26)/AK26))</f>
        <v/>
      </c>
    </row>
    <row r="27" ht="10.5" customHeight="1" thickBot="1">
      <c r="B27" s="158" t="n"/>
      <c r="C27" s="196" t="n"/>
      <c r="D27" s="196" t="n"/>
      <c r="E27" s="194" t="n"/>
      <c r="F27" s="197" t="n"/>
      <c r="G27" s="196" t="n"/>
      <c r="H27" s="196" t="n"/>
      <c r="I27" s="194" t="n"/>
      <c r="J27" s="194" t="n"/>
      <c r="K27" s="202" t="n"/>
      <c r="L27" s="194" t="n"/>
      <c r="M27" s="194" t="n"/>
      <c r="N27" s="194" t="n"/>
      <c r="O27" s="194" t="n"/>
      <c r="P27" s="194" t="n"/>
      <c r="Q27" s="194" t="n"/>
      <c r="R27" s="194" t="n"/>
      <c r="S27" s="194" t="n"/>
      <c r="T27" s="194" t="n"/>
      <c r="U27" s="194" t="n"/>
      <c r="V27" s="194" t="n"/>
      <c r="Y27" s="158" t="inlineStr">
        <is>
          <t>Vergi Öncesi Kar</t>
        </is>
      </c>
      <c r="Z27" s="478">
        <f>C136</f>
        <v/>
      </c>
      <c r="AA27" s="478">
        <f>D136</f>
        <v/>
      </c>
      <c r="AB27" s="479">
        <f>IF(Z27&gt;AA27,ABS((Z27-AA27)/AA27),-ABS((AA27-Z27)/AA27))</f>
        <v/>
      </c>
      <c r="AC27" s="482" t="n"/>
      <c r="AD27" s="478">
        <f>G136</f>
        <v/>
      </c>
      <c r="AE27" s="478">
        <f>H136</f>
        <v/>
      </c>
      <c r="AF27" s="479">
        <f>IF(AD27&gt;AE27,ABS((AD27-AE27)/AE27),-ABS((AE27-AD27)/AE27))</f>
        <v/>
      </c>
      <c r="AG27" s="183" t="n"/>
      <c r="AH27" s="169" t="inlineStr">
        <is>
          <t>Operasyonel Nakit</t>
        </is>
      </c>
      <c r="AI27" s="484">
        <f>'Tahmin Data'!L141</f>
        <v/>
      </c>
      <c r="AJ27" s="484">
        <f>'Tahmin Data'!N141</f>
        <v/>
      </c>
      <c r="AK27" s="484">
        <f>'C-TRY'!AI293</f>
        <v/>
      </c>
      <c r="AL27" s="494">
        <f>IF(AJ27&gt;AK27,ABS((AJ27-AK27)/AK27),-ABS((AK27-AJ27)/AK27))</f>
        <v/>
      </c>
    </row>
    <row r="28" ht="10.5" customHeight="1">
      <c r="B28" s="209" t="inlineStr">
        <is>
          <t>Brüt Kar Marjı</t>
        </is>
      </c>
      <c r="C28" s="451" t="inlineStr">
        <is>
          <t>AYLIK</t>
        </is>
      </c>
      <c r="F28" s="451" t="n"/>
      <c r="G28" s="451" t="n"/>
      <c r="H28" s="451" t="inlineStr">
        <is>
          <t>KÜMÜLATİF</t>
        </is>
      </c>
      <c r="I28" s="451" t="n"/>
      <c r="J28" s="195" t="n"/>
      <c r="K28" s="214" t="inlineStr">
        <is>
          <t>Brut Kar Marjı Sene Sonu Tahmin</t>
        </is>
      </c>
      <c r="L28" s="214" t="n"/>
      <c r="M28" s="214" t="n"/>
      <c r="N28" s="214" t="n"/>
      <c r="O28" s="451" t="n"/>
      <c r="P28" s="451" t="n"/>
      <c r="Q28" s="451" t="n"/>
      <c r="R28" s="451" t="n"/>
      <c r="S28" s="451" t="n"/>
      <c r="T28" s="451" t="n"/>
      <c r="U28" s="451" t="n"/>
      <c r="V28" s="195" t="n"/>
      <c r="Y28" s="158" t="inlineStr">
        <is>
          <t>Operasyonel Nakit</t>
        </is>
      </c>
      <c r="Z28" s="478">
        <f>C175</f>
        <v/>
      </c>
      <c r="AA28" s="478">
        <f>D175</f>
        <v/>
      </c>
      <c r="AB28" s="479">
        <f>IF(Z28&gt;AA28,ABS((Z28-AA28)/AA28),-ABS((AA28-Z28)/AA28))</f>
        <v/>
      </c>
      <c r="AC28" s="482" t="n"/>
      <c r="AD28" s="478">
        <f>G175</f>
        <v/>
      </c>
      <c r="AE28" s="478">
        <f>H175</f>
        <v/>
      </c>
      <c r="AF28" s="479">
        <f>IF(AD28&gt;AE28,ABS((AD28-AE28)/AE28),-ABS((AE28-AD28)/AE28))</f>
        <v/>
      </c>
      <c r="AG28" s="183" t="n"/>
    </row>
    <row r="29" ht="10.5" customHeight="1" thickBot="1">
      <c r="B29" s="169" t="n"/>
      <c r="C29" s="211" t="inlineStr">
        <is>
          <t>Gerçekleşen</t>
        </is>
      </c>
      <c r="D29" s="211" t="inlineStr">
        <is>
          <t>Bütçe</t>
        </is>
      </c>
      <c r="E29" s="211" t="inlineStr">
        <is>
          <t>Sapma %</t>
        </is>
      </c>
      <c r="F29" s="211" t="n"/>
      <c r="G29" s="211" t="inlineStr">
        <is>
          <t>Gexçekleşen</t>
        </is>
      </c>
      <c r="H29" s="211" t="inlineStr">
        <is>
          <t>Bütçe</t>
        </is>
      </c>
      <c r="I29" s="211" t="inlineStr">
        <is>
          <t>Sapma %</t>
        </is>
      </c>
      <c r="J29" s="152" t="n"/>
      <c r="K29" s="169" t="n"/>
      <c r="L29" s="211" t="inlineStr">
        <is>
          <t>Mart</t>
        </is>
      </c>
      <c r="M29" s="211" t="inlineStr">
        <is>
          <t>Nisan</t>
        </is>
      </c>
      <c r="N29" s="211" t="inlineStr">
        <is>
          <t>Mayıs</t>
        </is>
      </c>
      <c r="O29" s="219" t="inlineStr">
        <is>
          <t>Haziran</t>
        </is>
      </c>
      <c r="P29" s="219" t="inlineStr">
        <is>
          <t>Temmuz</t>
        </is>
      </c>
      <c r="Q29" s="219" t="inlineStr">
        <is>
          <t>Ağustos</t>
        </is>
      </c>
      <c r="R29" s="219" t="inlineStr">
        <is>
          <t>Eylül</t>
        </is>
      </c>
      <c r="S29" s="219" t="inlineStr">
        <is>
          <t>Ekim</t>
        </is>
      </c>
      <c r="T29" s="219" t="inlineStr">
        <is>
          <t>Kasım</t>
        </is>
      </c>
      <c r="U29" s="219" t="inlineStr">
        <is>
          <t>Gerçekleşen</t>
        </is>
      </c>
      <c r="V29" s="219" t="inlineStr">
        <is>
          <t>Bütçe</t>
        </is>
      </c>
      <c r="W29" s="262" t="inlineStr">
        <is>
          <t>Sapma %</t>
        </is>
      </c>
      <c r="Y29" s="158" t="inlineStr">
        <is>
          <t>Yatırım</t>
        </is>
      </c>
      <c r="Z29" s="478">
        <f>C188</f>
        <v/>
      </c>
      <c r="AA29" s="478">
        <f>D188</f>
        <v/>
      </c>
      <c r="AB29" s="479" t="n">
        <v>0</v>
      </c>
      <c r="AC29" s="482" t="n"/>
      <c r="AD29" s="478">
        <f>G188</f>
        <v/>
      </c>
      <c r="AE29" s="478">
        <f>H188</f>
        <v/>
      </c>
      <c r="AF29" s="479" t="n">
        <v>0</v>
      </c>
      <c r="AG29" s="183" t="n"/>
      <c r="AH29" s="486" t="n"/>
    </row>
    <row r="30" ht="10.5" customHeight="1" thickBot="1" thickTop="1">
      <c r="B30" s="206" t="inlineStr">
        <is>
          <t xml:space="preserve">İnci Holding  </t>
        </is>
      </c>
      <c r="C30" s="207" t="n"/>
      <c r="D30" s="207" t="n"/>
      <c r="E30" s="224" t="n"/>
      <c r="F30" s="208" t="n"/>
      <c r="G30" s="207" t="n"/>
      <c r="H30" s="207" t="n"/>
      <c r="I30" s="224" t="n"/>
      <c r="J30" s="157" t="n"/>
      <c r="K30" s="212">
        <f>B30</f>
        <v/>
      </c>
      <c r="L30" s="213" t="n"/>
      <c r="M30" s="213" t="n"/>
      <c r="N30" s="213" t="n"/>
      <c r="O30" s="227" t="n"/>
      <c r="P30" s="227" t="n"/>
      <c r="Q30" s="227" t="n"/>
      <c r="R30" s="227" t="n"/>
      <c r="S30" s="227" t="n"/>
      <c r="T30" s="227" t="n"/>
      <c r="U30" s="227" t="n"/>
      <c r="V30" s="227" t="n"/>
      <c r="Y30" s="169" t="inlineStr">
        <is>
          <t>Net Finansal Nakit (Borç)</t>
        </is>
      </c>
      <c r="Z30" s="487">
        <f>C214</f>
        <v/>
      </c>
      <c r="AA30" s="487">
        <f>D214</f>
        <v/>
      </c>
      <c r="AB30" s="491">
        <f>IF(Z30&gt;AA30,ABS((Z30-AA30)/AA30),-ABS((AA30-Z30)/AA30))</f>
        <v/>
      </c>
      <c r="AC30" s="482" t="n"/>
      <c r="AD30" s="487">
        <f>G214</f>
        <v/>
      </c>
      <c r="AE30" s="487">
        <f>H214</f>
        <v/>
      </c>
      <c r="AF30" s="491">
        <f>IF(AD30&gt;AE30,ABS((AD30-AE30)/AE30),-ABS((AE30-AD30)/AE30))</f>
        <v/>
      </c>
      <c r="AG30" s="183" t="n"/>
    </row>
    <row r="31" ht="10.5" customHeight="1">
      <c r="A31" s="178" t="n"/>
      <c r="B31" s="149" t="inlineStr">
        <is>
          <t xml:space="preserve">ISM </t>
        </is>
      </c>
      <c r="C31" s="157">
        <f>C18/C5</f>
        <v/>
      </c>
      <c r="D31" s="157">
        <f>D18/D5</f>
        <v/>
      </c>
      <c r="E31" s="229">
        <f>C31-D31</f>
        <v/>
      </c>
      <c r="F31" s="155" t="n"/>
      <c r="G31" s="157">
        <f>G18/G5</f>
        <v/>
      </c>
      <c r="H31" s="157">
        <f>H18/H5</f>
        <v/>
      </c>
      <c r="I31" s="229">
        <f>G31-H31</f>
        <v/>
      </c>
      <c r="J31" s="157" t="n"/>
      <c r="K31" s="200">
        <f>B31</f>
        <v/>
      </c>
      <c r="L31" s="241">
        <f>L18/L5</f>
        <v/>
      </c>
      <c r="M31" s="241">
        <f>M18/M5</f>
        <v/>
      </c>
      <c r="N31" s="241">
        <f>N18/N5</f>
        <v/>
      </c>
      <c r="O31" s="241">
        <f>O18/O5</f>
        <v/>
      </c>
      <c r="P31" s="241">
        <f>P18/P5</f>
        <v/>
      </c>
      <c r="Q31" s="241">
        <f>Q18/Q5</f>
        <v/>
      </c>
      <c r="R31" s="241">
        <f>R18/R5</f>
        <v/>
      </c>
      <c r="S31" s="241">
        <f>S18/S5</f>
        <v/>
      </c>
      <c r="T31" s="241">
        <f>T18/T5</f>
        <v/>
      </c>
      <c r="U31" s="241">
        <f>U18/U5</f>
        <v/>
      </c>
      <c r="V31" s="241">
        <f>V18/V5</f>
        <v/>
      </c>
      <c r="W31" s="479">
        <f>U31-V31</f>
        <v/>
      </c>
    </row>
    <row r="32">
      <c r="B32" s="149" t="inlineStr">
        <is>
          <t xml:space="preserve">İncitaş </t>
        </is>
      </c>
      <c r="C32" s="157">
        <f>C19/C6</f>
        <v/>
      </c>
      <c r="D32" s="157">
        <f>D19/D6</f>
        <v/>
      </c>
      <c r="E32" s="229">
        <f>C32-D32</f>
        <v/>
      </c>
      <c r="F32" s="155" t="n"/>
      <c r="G32" s="157">
        <f>G19/G6</f>
        <v/>
      </c>
      <c r="H32" s="157">
        <f>H19/H6</f>
        <v/>
      </c>
      <c r="I32" s="229">
        <f>G32-H32</f>
        <v/>
      </c>
      <c r="J32" s="157" t="n"/>
      <c r="K32" s="200">
        <f>B32</f>
        <v/>
      </c>
      <c r="L32" s="241">
        <f>L19/L6</f>
        <v/>
      </c>
      <c r="M32" s="241">
        <f>M19/M6</f>
        <v/>
      </c>
      <c r="N32" s="241">
        <f>N19/N6</f>
        <v/>
      </c>
      <c r="O32" s="241">
        <f>O19/O6</f>
        <v/>
      </c>
      <c r="P32" s="241">
        <f>P19/P6</f>
        <v/>
      </c>
      <c r="Q32" s="241">
        <f>Q19/Q6</f>
        <v/>
      </c>
      <c r="R32" s="241">
        <f>R19/R6</f>
        <v/>
      </c>
      <c r="S32" s="241">
        <f>S19/S6</f>
        <v/>
      </c>
      <c r="T32" s="241">
        <f>T19/T6</f>
        <v/>
      </c>
      <c r="U32" s="241">
        <f>U19/U6</f>
        <v/>
      </c>
      <c r="V32" s="241">
        <f>V19/V6</f>
        <v/>
      </c>
      <c r="W32" s="479">
        <f>U32-V32</f>
        <v/>
      </c>
      <c r="Y32" s="453">
        <f>B7</f>
        <v/>
      </c>
      <c r="Z32" s="453" t="inlineStr">
        <is>
          <t>AYLIK</t>
        </is>
      </c>
      <c r="AC32" s="152" t="n"/>
      <c r="AD32" s="453" t="n"/>
      <c r="AE32" s="453" t="inlineStr">
        <is>
          <t>KÜMÜLATİF</t>
        </is>
      </c>
      <c r="AF32" s="453" t="n"/>
      <c r="AG32" s="153" t="n"/>
      <c r="AH32" s="453">
        <f>Y32</f>
        <v/>
      </c>
      <c r="AI32" s="453" t="n"/>
      <c r="AJ32" s="453" t="inlineStr">
        <is>
          <t>Yıl Sonu Tahmini</t>
        </is>
      </c>
    </row>
    <row r="33" ht="10.5" customHeight="1">
      <c r="B33" s="149" t="inlineStr">
        <is>
          <t xml:space="preserve">İnci GS Yuasa </t>
        </is>
      </c>
      <c r="C33" s="157">
        <f>C20/C7</f>
        <v/>
      </c>
      <c r="D33" s="157">
        <f>D20/D7</f>
        <v/>
      </c>
      <c r="E33" s="229">
        <f>C33-D33</f>
        <v/>
      </c>
      <c r="F33" s="155" t="n"/>
      <c r="G33" s="157">
        <f>G20/G7</f>
        <v/>
      </c>
      <c r="H33" s="157">
        <f>H20/H7</f>
        <v/>
      </c>
      <c r="I33" s="229">
        <f>G33-H33</f>
        <v/>
      </c>
      <c r="J33" s="157" t="n"/>
      <c r="K33" s="200">
        <f>B33</f>
        <v/>
      </c>
      <c r="L33" s="241">
        <f>L20/L7</f>
        <v/>
      </c>
      <c r="M33" s="241">
        <f>M20/M7</f>
        <v/>
      </c>
      <c r="N33" s="241">
        <f>N20/N7</f>
        <v/>
      </c>
      <c r="O33" s="241">
        <f>O20/O7</f>
        <v/>
      </c>
      <c r="P33" s="241">
        <f>P20/P7</f>
        <v/>
      </c>
      <c r="Q33" s="241">
        <f>Q20/Q7</f>
        <v/>
      </c>
      <c r="R33" s="241">
        <f>R20/R7</f>
        <v/>
      </c>
      <c r="S33" s="241">
        <f>S20/S7</f>
        <v/>
      </c>
      <c r="T33" s="241">
        <f>T20/T7</f>
        <v/>
      </c>
      <c r="U33" s="241">
        <f>U20/U7</f>
        <v/>
      </c>
      <c r="V33" s="241">
        <f>V20/V7</f>
        <v/>
      </c>
      <c r="W33" s="479">
        <f>U33-V33</f>
        <v/>
      </c>
      <c r="Y33" s="453" t="inlineStr">
        <is>
          <t xml:space="preserve"> (TRY)</t>
        </is>
      </c>
      <c r="Z33" s="453" t="inlineStr">
        <is>
          <t>Gerçekleşen</t>
        </is>
      </c>
      <c r="AA33" s="453" t="inlineStr">
        <is>
          <t>Bütçe</t>
        </is>
      </c>
      <c r="AB33" s="453" t="inlineStr">
        <is>
          <t>Sapma %</t>
        </is>
      </c>
      <c r="AC33" s="152" t="n"/>
      <c r="AD33" s="453" t="inlineStr">
        <is>
          <t>Gerçekleşen</t>
        </is>
      </c>
      <c r="AE33" s="453" t="inlineStr">
        <is>
          <t>Bütçe</t>
        </is>
      </c>
      <c r="AF33" s="453" t="inlineStr">
        <is>
          <t>Sapma %</t>
        </is>
      </c>
      <c r="AG33" s="153" t="n"/>
      <c r="AH33" s="453" t="inlineStr">
        <is>
          <t>(TRY)</t>
        </is>
      </c>
      <c r="AI33" s="453">
        <f>$AI$3</f>
        <v/>
      </c>
      <c r="AJ33" s="453">
        <f>$AJ$3</f>
        <v/>
      </c>
      <c r="AK33" s="453" t="inlineStr">
        <is>
          <t>Bütçe</t>
        </is>
      </c>
      <c r="AL33" s="453" t="inlineStr">
        <is>
          <t>Sapma %</t>
        </is>
      </c>
    </row>
    <row r="34" ht="10.5" customHeight="1">
      <c r="B34" s="149" t="inlineStr">
        <is>
          <t xml:space="preserve">Yusen İnci Loj. </t>
        </is>
      </c>
      <c r="C34" s="157">
        <f>C21/C8</f>
        <v/>
      </c>
      <c r="D34" s="157">
        <f>D21/D8</f>
        <v/>
      </c>
      <c r="E34" s="229">
        <f>C34-D34</f>
        <v/>
      </c>
      <c r="F34" s="155" t="n"/>
      <c r="G34" s="157">
        <f>G21/G8</f>
        <v/>
      </c>
      <c r="H34" s="157">
        <f>H21/H8</f>
        <v/>
      </c>
      <c r="I34" s="229">
        <f>G34-H34</f>
        <v/>
      </c>
      <c r="J34" s="157" t="n"/>
      <c r="K34" s="200">
        <f>B34</f>
        <v/>
      </c>
      <c r="L34" s="241">
        <f>L21/L8</f>
        <v/>
      </c>
      <c r="M34" s="241">
        <f>M21/M8</f>
        <v/>
      </c>
      <c r="N34" s="241">
        <f>N21/N8</f>
        <v/>
      </c>
      <c r="O34" s="241">
        <f>O21/O8</f>
        <v/>
      </c>
      <c r="P34" s="241">
        <f>P21/P8</f>
        <v/>
      </c>
      <c r="Q34" s="241">
        <f>Q21/Q8</f>
        <v/>
      </c>
      <c r="R34" s="241">
        <f>R21/R8</f>
        <v/>
      </c>
      <c r="S34" s="241">
        <f>S21/S8</f>
        <v/>
      </c>
      <c r="T34" s="241">
        <f>T21/T8</f>
        <v/>
      </c>
      <c r="U34" s="241">
        <f>U21/U8</f>
        <v/>
      </c>
      <c r="V34" s="241">
        <f>V21/V8</f>
        <v/>
      </c>
      <c r="W34" s="479">
        <f>U34-V34</f>
        <v/>
      </c>
      <c r="Y34" s="158" t="inlineStr">
        <is>
          <t>Satışlar</t>
        </is>
      </c>
      <c r="Z34" s="478">
        <f>C7</f>
        <v/>
      </c>
      <c r="AA34" s="478">
        <f>D7</f>
        <v/>
      </c>
      <c r="AB34" s="479">
        <f>IF(Z34&gt;AA34,ABS((Z34-AA34)/AA34),-ABS((AA34-Z34)/AA34))</f>
        <v/>
      </c>
      <c r="AC34" s="482" t="n"/>
      <c r="AD34" s="478">
        <f>G7</f>
        <v/>
      </c>
      <c r="AE34" s="478">
        <f>H7</f>
        <v/>
      </c>
      <c r="AF34" s="479">
        <f>IF(AD34&gt;AE34,ABS((AD34-AE34)/AE34),-ABS((AE34-AD34)/AE34))</f>
        <v/>
      </c>
      <c r="AG34" s="162" t="n"/>
      <c r="AH34" s="158" t="inlineStr">
        <is>
          <t>Satışlar</t>
        </is>
      </c>
      <c r="AI34" s="480">
        <f>'Tahmin Data'!L3/0.4</f>
        <v/>
      </c>
      <c r="AJ34" s="480">
        <f>'Tahmin Data'!N3/0.4</f>
        <v/>
      </c>
      <c r="AK34" s="480">
        <f>'C-TRY'!AI12</f>
        <v/>
      </c>
      <c r="AL34" s="492">
        <f>IF(AJ34&gt;AK34,ABS((AJ34-AK34)/AK34),-ABS((AK34-AJ34)/AK34))</f>
        <v/>
      </c>
    </row>
    <row r="35" ht="10.5" customHeight="1">
      <c r="B35" s="149" t="inlineStr">
        <is>
          <t xml:space="preserve">Jantaş </t>
        </is>
      </c>
      <c r="C35" s="157">
        <f>C22/C9</f>
        <v/>
      </c>
      <c r="D35" s="157">
        <f>D22/D9</f>
        <v/>
      </c>
      <c r="E35" s="229">
        <f>C35-D35</f>
        <v/>
      </c>
      <c r="F35" s="155" t="n"/>
      <c r="G35" s="157">
        <f>G22/G9</f>
        <v/>
      </c>
      <c r="H35" s="157">
        <f>H22/H9</f>
        <v/>
      </c>
      <c r="I35" s="229">
        <f>G35-H35</f>
        <v/>
      </c>
      <c r="J35" s="157" t="n"/>
      <c r="K35" s="200">
        <f>B35</f>
        <v/>
      </c>
      <c r="L35" s="241">
        <f>L22/L9</f>
        <v/>
      </c>
      <c r="M35" s="241">
        <f>M22/M9</f>
        <v/>
      </c>
      <c r="N35" s="241">
        <f>N22/N9</f>
        <v/>
      </c>
      <c r="O35" s="241">
        <f>O22/O9</f>
        <v/>
      </c>
      <c r="P35" s="241">
        <f>P22/P9</f>
        <v/>
      </c>
      <c r="Q35" s="241">
        <f>Q22/Q9</f>
        <v/>
      </c>
      <c r="R35" s="241">
        <f>R22/R9</f>
        <v/>
      </c>
      <c r="S35" s="241">
        <f>S22/S9</f>
        <v/>
      </c>
      <c r="T35" s="241">
        <f>T22/T9</f>
        <v/>
      </c>
      <c r="U35" s="241">
        <f>U22/U9</f>
        <v/>
      </c>
      <c r="V35" s="241">
        <f>V22/V9</f>
        <v/>
      </c>
      <c r="W35" s="479">
        <f>U35-V35</f>
        <v/>
      </c>
      <c r="Y35" s="158" t="inlineStr">
        <is>
          <t>Ebitda</t>
        </is>
      </c>
      <c r="Z35" s="478">
        <f>C85</f>
        <v/>
      </c>
      <c r="AA35" s="478">
        <f>D85</f>
        <v/>
      </c>
      <c r="AB35" s="479">
        <f>IF(Z35&gt;AA35,ABS((Z35-AA35)/AA35),-ABS((AA35-Z35)/AA35))</f>
        <v/>
      </c>
      <c r="AC35" s="482" t="n"/>
      <c r="AD35" s="478">
        <f>G85</f>
        <v/>
      </c>
      <c r="AE35" s="478">
        <f>H85</f>
        <v/>
      </c>
      <c r="AF35" s="479">
        <f>IF(AD35&gt;AE35,ABS((AD35-AE35)/AE35),-ABS((AE35-AD35)/AE35))</f>
        <v/>
      </c>
      <c r="AG35" s="162" t="n"/>
      <c r="AH35" s="158" t="inlineStr">
        <is>
          <t>Ebitda</t>
        </is>
      </c>
      <c r="AI35" s="480">
        <f>'Tahmin Data'!L59/0.4</f>
        <v/>
      </c>
      <c r="AJ35" s="480">
        <f>'Tahmin Data'!N59/0.4</f>
        <v/>
      </c>
      <c r="AK35" s="480">
        <f>'C-TRY'!AI142</f>
        <v/>
      </c>
      <c r="AL35" s="481">
        <f>IF(AJ35&gt;AK35,ABS((AJ35-AK35)/AK35),-ABS((AK35-AJ35)/AK35))</f>
        <v/>
      </c>
    </row>
    <row r="36" ht="10.5" customHeight="1">
      <c r="B36" s="149" t="inlineStr">
        <is>
          <t xml:space="preserve">Çelik </t>
        </is>
      </c>
      <c r="C36" s="157">
        <f>C23/C10</f>
        <v/>
      </c>
      <c r="D36" s="157">
        <f>D23/D10</f>
        <v/>
      </c>
      <c r="E36" s="229">
        <f>C36-D36</f>
        <v/>
      </c>
      <c r="F36" s="155" t="n"/>
      <c r="G36" s="157">
        <f>G23/G10</f>
        <v/>
      </c>
      <c r="H36" s="157">
        <f>H23/H10</f>
        <v/>
      </c>
      <c r="I36" s="229">
        <f>G36-H36</f>
        <v/>
      </c>
      <c r="J36" s="157" t="n"/>
      <c r="K36" s="200">
        <f>B36</f>
        <v/>
      </c>
      <c r="L36" s="241">
        <f>L23/L10</f>
        <v/>
      </c>
      <c r="M36" s="241">
        <f>M23/M10</f>
        <v/>
      </c>
      <c r="N36" s="241">
        <f>N23/N10</f>
        <v/>
      </c>
      <c r="O36" s="241">
        <f>O23/O10</f>
        <v/>
      </c>
      <c r="P36" s="241">
        <f>P23/P10</f>
        <v/>
      </c>
      <c r="Q36" s="241">
        <f>Q23/Q10</f>
        <v/>
      </c>
      <c r="R36" s="241">
        <f>R23/R10</f>
        <v/>
      </c>
      <c r="S36" s="241">
        <f>S23/S10</f>
        <v/>
      </c>
      <c r="T36" s="241">
        <f>T23/T10</f>
        <v/>
      </c>
      <c r="U36" s="241">
        <f>U23/U10</f>
        <v/>
      </c>
      <c r="V36" s="241">
        <f>V23/V10</f>
        <v/>
      </c>
      <c r="W36" s="479">
        <f>U36-V36</f>
        <v/>
      </c>
      <c r="Y36" s="158" t="inlineStr">
        <is>
          <t>Ebitda %</t>
        </is>
      </c>
      <c r="Z36" s="493">
        <f>C72</f>
        <v/>
      </c>
      <c r="AA36" s="493">
        <f>D72</f>
        <v/>
      </c>
      <c r="AB36" s="479">
        <f>IF(Z36&gt;AA36,ABS((Z36-AA36)/AA36),-ABS((AA36-Z36)/AA36))</f>
        <v/>
      </c>
      <c r="AC36" s="167" t="n"/>
      <c r="AD36" s="493">
        <f>G72</f>
        <v/>
      </c>
      <c r="AE36" s="493">
        <f>H72</f>
        <v/>
      </c>
      <c r="AF36" s="479">
        <f>IF(AD36&gt;AE36,ABS((AD36-AE36)/AE36),-ABS((AE36-AD36)/AE36))</f>
        <v/>
      </c>
      <c r="AG36" s="483" t="n"/>
      <c r="AH36" s="158" t="inlineStr">
        <is>
          <t>Vergi Öncesi Kar</t>
        </is>
      </c>
      <c r="AI36" s="480">
        <f>'Tahmin Data'!L83/0.4</f>
        <v/>
      </c>
      <c r="AJ36" s="480">
        <f>'Tahmin Data'!N83/0.4</f>
        <v/>
      </c>
      <c r="AK36" s="480">
        <f>'C-TRY'!AI192</f>
        <v/>
      </c>
      <c r="AL36" s="481">
        <f>IF(AJ36&gt;AK36,ABS((AJ36-AK36)/AK36),-ABS((AK36-AJ36)/AK36))</f>
        <v/>
      </c>
    </row>
    <row r="37" ht="10.5" customHeight="1" thickBot="1">
      <c r="B37" s="149" t="inlineStr">
        <is>
          <t xml:space="preserve">Alüminyum </t>
        </is>
      </c>
      <c r="C37" s="157">
        <f>C24/C11</f>
        <v/>
      </c>
      <c r="D37" s="157">
        <f>D24/D11</f>
        <v/>
      </c>
      <c r="E37" s="229">
        <f>C37-D37</f>
        <v/>
      </c>
      <c r="F37" s="155" t="n"/>
      <c r="G37" s="157">
        <f>G24/G11</f>
        <v/>
      </c>
      <c r="H37" s="157">
        <f>H24/H11</f>
        <v/>
      </c>
      <c r="I37" s="229">
        <f>G37-H37</f>
        <v/>
      </c>
      <c r="J37" s="157" t="n"/>
      <c r="K37" s="201">
        <f>B37</f>
        <v/>
      </c>
      <c r="L37" s="242">
        <f>L24/L11</f>
        <v/>
      </c>
      <c r="M37" s="242">
        <f>M24/M11</f>
        <v/>
      </c>
      <c r="N37" s="242">
        <f>N24/N11</f>
        <v/>
      </c>
      <c r="O37" s="242">
        <f>O24/O11</f>
        <v/>
      </c>
      <c r="P37" s="242">
        <f>P24/P11</f>
        <v/>
      </c>
      <c r="Q37" s="242">
        <f>Q24/Q11</f>
        <v/>
      </c>
      <c r="R37" s="242">
        <f>R24/R11</f>
        <v/>
      </c>
      <c r="S37" s="242">
        <f>S24/S11</f>
        <v/>
      </c>
      <c r="T37" s="242">
        <f>T24/T11</f>
        <v/>
      </c>
      <c r="U37" s="242">
        <f>U24/U11</f>
        <v/>
      </c>
      <c r="V37" s="242">
        <f>V24/V11</f>
        <v/>
      </c>
      <c r="W37" s="491">
        <f>U37-V37</f>
        <v/>
      </c>
      <c r="Y37" s="158" t="inlineStr">
        <is>
          <t>Vergi Öncesi Kar</t>
        </is>
      </c>
      <c r="Z37" s="478">
        <f>C137</f>
        <v/>
      </c>
      <c r="AA37" s="478">
        <f>D137</f>
        <v/>
      </c>
      <c r="AB37" s="479">
        <f>IF(Z37&gt;AA37,ABS((Z37-AA37)/AA37),-ABS((AA37-Z37)/AA37))</f>
        <v/>
      </c>
      <c r="AC37" s="482" t="n"/>
      <c r="AD37" s="478">
        <f>G137</f>
        <v/>
      </c>
      <c r="AE37" s="478">
        <f>H137</f>
        <v/>
      </c>
      <c r="AF37" s="479">
        <f>IF(AD37&gt;AE37,ABS((AD37-AE37)/AE37),-ABS((AE37-AD37)/AE37))</f>
        <v/>
      </c>
      <c r="AG37" s="162" t="n"/>
      <c r="AH37" s="169" t="inlineStr">
        <is>
          <t>Operasyonel Nakit</t>
        </is>
      </c>
      <c r="AI37" s="484">
        <f>'Tahmin Data'!L139/0.4</f>
        <v/>
      </c>
      <c r="AJ37" s="484">
        <f>'Tahmin Data'!N139/0.4</f>
        <v/>
      </c>
      <c r="AK37" s="484">
        <f>'C-TRY'!AI294</f>
        <v/>
      </c>
      <c r="AL37" s="485">
        <f>IF(AJ37&gt;AK37,ABS((AJ37-AK37)/AK37),-ABS((AK37-AJ37)/AK37))</f>
        <v/>
      </c>
    </row>
    <row r="38" ht="10.5" customHeight="1" thickBot="1">
      <c r="B38" s="169" t="inlineStr">
        <is>
          <t xml:space="preserve">Kombine </t>
        </is>
      </c>
      <c r="C38" s="198">
        <f>C25/C12</f>
        <v/>
      </c>
      <c r="D38" s="198">
        <f>D25/D12</f>
        <v/>
      </c>
      <c r="E38" s="488">
        <f>C38-D38</f>
        <v/>
      </c>
      <c r="F38" s="193" t="n"/>
      <c r="G38" s="198">
        <f>G25/G12</f>
        <v/>
      </c>
      <c r="H38" s="198">
        <f>H25/H12</f>
        <v/>
      </c>
      <c r="I38" s="260">
        <f>G38-H38</f>
        <v/>
      </c>
      <c r="J38" s="194" t="n"/>
      <c r="K38" s="238" t="inlineStr">
        <is>
          <t xml:space="preserve">Kombine </t>
        </is>
      </c>
      <c r="L38" s="243">
        <f>L25/L12</f>
        <v/>
      </c>
      <c r="M38" s="243">
        <f>M25/M12</f>
        <v/>
      </c>
      <c r="N38" s="243">
        <f>N25/N12</f>
        <v/>
      </c>
      <c r="O38" s="243">
        <f>O25/O12</f>
        <v/>
      </c>
      <c r="P38" s="243">
        <f>P25/P12</f>
        <v/>
      </c>
      <c r="Q38" s="243">
        <f>Q25/Q12</f>
        <v/>
      </c>
      <c r="R38" s="243">
        <f>R25/R12</f>
        <v/>
      </c>
      <c r="S38" s="243">
        <f>S25/S12</f>
        <v/>
      </c>
      <c r="T38" s="243">
        <f>T25/T12</f>
        <v/>
      </c>
      <c r="U38" s="243">
        <f>U25/U12</f>
        <v/>
      </c>
      <c r="V38" s="243">
        <f>V25/V12</f>
        <v/>
      </c>
      <c r="W38" s="243">
        <f>U38-V38</f>
        <v/>
      </c>
      <c r="Y38" s="158" t="inlineStr">
        <is>
          <t>Operasyonel Nakit</t>
        </is>
      </c>
      <c r="Z38" s="478">
        <f>C176</f>
        <v/>
      </c>
      <c r="AA38" s="478">
        <f>D176</f>
        <v/>
      </c>
      <c r="AB38" s="479">
        <f>IF(Z38&gt;AA38,ABS((Z38-AA38)/AA38),-ABS((AA38-Z38)/AA38))</f>
        <v/>
      </c>
      <c r="AC38" s="482" t="n"/>
      <c r="AD38" s="478">
        <f>G176</f>
        <v/>
      </c>
      <c r="AE38" s="478">
        <f>H176</f>
        <v/>
      </c>
      <c r="AF38" s="479">
        <f>IF(AD38&gt;AE38,ABS((AD38-AE38)/AE38),-ABS((AE38-AD38)/AE38))</f>
        <v/>
      </c>
      <c r="AG38" s="162" t="n"/>
    </row>
    <row r="39" ht="10.5" customHeight="1">
      <c r="B39" s="158" t="n"/>
      <c r="C39" s="196" t="n"/>
      <c r="D39" s="196" t="n"/>
      <c r="E39" s="194" t="n"/>
      <c r="F39" s="197" t="n"/>
      <c r="G39" s="196" t="n"/>
      <c r="H39" s="196" t="n"/>
      <c r="I39" s="194" t="n"/>
      <c r="J39" s="194" t="n"/>
      <c r="K39" s="202" t="n"/>
      <c r="L39" s="194" t="n"/>
      <c r="M39" s="194" t="n"/>
      <c r="N39" s="194" t="n"/>
      <c r="O39" s="194" t="n"/>
      <c r="P39" s="194" t="n"/>
      <c r="Q39" s="194" t="n"/>
      <c r="R39" s="194" t="n"/>
      <c r="S39" s="194" t="n"/>
      <c r="T39" s="194" t="n"/>
      <c r="U39" s="194" t="n"/>
      <c r="V39" s="194" t="n"/>
      <c r="W39" s="479" t="n"/>
      <c r="Y39" s="158" t="inlineStr">
        <is>
          <t>Yatırım</t>
        </is>
      </c>
      <c r="Z39" s="478">
        <f>C189</f>
        <v/>
      </c>
      <c r="AA39" s="478">
        <f>D189</f>
        <v/>
      </c>
      <c r="AB39" s="479">
        <f>IF(Z39&gt;AA39,ABS((Z39-AA39)/AA39),-ABS((AA39-Z39)/AA39))</f>
        <v/>
      </c>
      <c r="AC39" s="482" t="n"/>
      <c r="AD39" s="478">
        <f>G189</f>
        <v/>
      </c>
      <c r="AE39" s="478">
        <f>H189</f>
        <v/>
      </c>
      <c r="AF39" s="479">
        <f>IF(AD39&gt;AE39,ABS((AD39-AE39)/AE39),-ABS((AE39-AD39)/AE39))</f>
        <v/>
      </c>
      <c r="AG39" s="162" t="n"/>
    </row>
    <row r="40" ht="10.5" customHeight="1" thickBot="1">
      <c r="B40" s="158" t="n"/>
      <c r="C40" s="196" t="n"/>
      <c r="D40" s="196" t="n"/>
      <c r="E40" s="194" t="n"/>
      <c r="F40" s="197" t="n"/>
      <c r="G40" s="196" t="n"/>
      <c r="H40" s="196" t="n"/>
      <c r="I40" s="194" t="n"/>
      <c r="J40" s="194" t="n"/>
      <c r="K40" s="214" t="n"/>
      <c r="L40" s="214" t="n"/>
      <c r="M40" s="214" t="n"/>
      <c r="N40" s="214" t="n"/>
      <c r="O40" s="194" t="n"/>
      <c r="P40" s="194" t="n"/>
      <c r="Q40" s="194" t="n"/>
      <c r="R40" s="194" t="n"/>
      <c r="S40" s="194" t="n"/>
      <c r="T40" s="194" t="n"/>
      <c r="U40" s="194" t="n"/>
      <c r="V40" s="194" t="n"/>
      <c r="Y40" s="169" t="inlineStr">
        <is>
          <t>Net Finansal Nakit (Borç)</t>
        </is>
      </c>
      <c r="Z40" s="487">
        <f>C215</f>
        <v/>
      </c>
      <c r="AA40" s="487">
        <f>D215</f>
        <v/>
      </c>
      <c r="AB40" s="491">
        <f>IF(Z40&gt;AA40,ABS((Z40-AA40)/AA40),-ABS((AA40-Z40)/AA40))</f>
        <v/>
      </c>
      <c r="AC40" s="482" t="n"/>
      <c r="AD40" s="487">
        <f>G215</f>
        <v/>
      </c>
      <c r="AE40" s="487">
        <f>H215</f>
        <v/>
      </c>
      <c r="AF40" s="491">
        <f>IF(AD40&gt;AE40,ABS((AD40-AE40)/AE40),-ABS((AE40-AD40)/AE40))</f>
        <v/>
      </c>
      <c r="AG40" s="162" t="n"/>
    </row>
    <row r="41" ht="10.5" customHeight="1">
      <c r="B41" s="209" t="inlineStr">
        <is>
          <t>GYG  (Avro)</t>
        </is>
      </c>
      <c r="C41" s="451" t="inlineStr">
        <is>
          <t>AYLIK</t>
        </is>
      </c>
      <c r="D41" s="451" t="n"/>
      <c r="E41" s="451" t="n"/>
      <c r="F41" s="451" t="n"/>
      <c r="G41" s="451" t="n"/>
      <c r="H41" s="451" t="inlineStr">
        <is>
          <t>KÜMÜLATİF</t>
        </is>
      </c>
      <c r="I41" s="451" t="n"/>
      <c r="J41" s="195" t="n"/>
      <c r="K41" s="214" t="inlineStr">
        <is>
          <t>GYG Tahmin (Avro)</t>
        </is>
      </c>
      <c r="L41" s="214" t="n"/>
      <c r="M41" s="214" t="n"/>
      <c r="N41" s="214" t="n"/>
      <c r="O41" s="451" t="n"/>
      <c r="P41" s="451" t="n"/>
      <c r="Q41" s="451" t="n"/>
      <c r="R41" s="451" t="n"/>
      <c r="S41" s="451" t="n"/>
      <c r="T41" s="451" t="n"/>
      <c r="U41" s="451" t="n"/>
      <c r="V41" s="195" t="n"/>
    </row>
    <row r="42" ht="10.5" customHeight="1" thickBot="1">
      <c r="B42" s="169" t="n"/>
      <c r="C42" s="211" t="inlineStr">
        <is>
          <t>Gerçekleşen</t>
        </is>
      </c>
      <c r="D42" s="211" t="inlineStr">
        <is>
          <t>Bütçe</t>
        </is>
      </c>
      <c r="E42" s="211" t="inlineStr">
        <is>
          <t>Sapma %</t>
        </is>
      </c>
      <c r="F42" s="211" t="n"/>
      <c r="G42" s="211">
        <f>C42</f>
        <v/>
      </c>
      <c r="H42" s="211" t="inlineStr">
        <is>
          <t>Bütçe</t>
        </is>
      </c>
      <c r="I42" s="211" t="inlineStr">
        <is>
          <t>Sapma %</t>
        </is>
      </c>
      <c r="J42" s="152" t="n"/>
      <c r="K42" s="218" t="n"/>
      <c r="L42" s="219">
        <f>L146</f>
        <v/>
      </c>
      <c r="M42" s="219">
        <f>M146</f>
        <v/>
      </c>
      <c r="N42" s="219">
        <f>N146</f>
        <v/>
      </c>
      <c r="O42" s="219" t="inlineStr">
        <is>
          <t>Haziran</t>
        </is>
      </c>
      <c r="P42" s="219" t="inlineStr">
        <is>
          <t>Temmuz</t>
        </is>
      </c>
      <c r="Q42" s="219" t="inlineStr">
        <is>
          <t>Ağustos</t>
        </is>
      </c>
      <c r="R42" s="219" t="inlineStr">
        <is>
          <t>Eylül</t>
        </is>
      </c>
      <c r="S42" s="219" t="inlineStr">
        <is>
          <t>Ekim</t>
        </is>
      </c>
      <c r="T42" s="219" t="inlineStr">
        <is>
          <t>Kasım</t>
        </is>
      </c>
      <c r="U42" s="219" t="inlineStr">
        <is>
          <t>Gerçekleşen</t>
        </is>
      </c>
      <c r="V42" s="250" t="inlineStr">
        <is>
          <t>Bütçe</t>
        </is>
      </c>
      <c r="W42" s="262" t="inlineStr">
        <is>
          <t>Sapma %</t>
        </is>
      </c>
      <c r="Y42" s="453">
        <f>B8</f>
        <v/>
      </c>
      <c r="Z42" s="453" t="inlineStr">
        <is>
          <t>AYLIK</t>
        </is>
      </c>
      <c r="AC42" s="152" t="n"/>
      <c r="AD42" s="453" t="n"/>
      <c r="AE42" s="453" t="inlineStr">
        <is>
          <t>KÜMÜLATİF</t>
        </is>
      </c>
      <c r="AF42" s="453" t="n"/>
      <c r="AG42" s="153" t="n"/>
      <c r="AH42" s="453">
        <f>Y42</f>
        <v/>
      </c>
      <c r="AI42" s="453" t="n"/>
      <c r="AJ42" s="453" t="inlineStr">
        <is>
          <t>Yıl Sonu Tahmini</t>
        </is>
      </c>
    </row>
    <row r="43" ht="10.5" customHeight="1" thickTop="1">
      <c r="B43" s="149" t="inlineStr">
        <is>
          <t xml:space="preserve">İnci Holding  </t>
        </is>
      </c>
      <c r="C43" s="156">
        <f>'A -Döviz'!C91</f>
        <v/>
      </c>
      <c r="D43" s="156">
        <f>'A -Döviz'!B91</f>
        <v/>
      </c>
      <c r="E43" s="224">
        <f>IF(C43&gt;D43,ABS((C43-D43)/D43),-ABS((D43-C43)/D43))</f>
        <v/>
      </c>
      <c r="F43" s="155" t="n"/>
      <c r="G43" s="156">
        <f>'C-Döviz'!C91</f>
        <v/>
      </c>
      <c r="H43" s="156">
        <f>'C-Döviz'!B91</f>
        <v/>
      </c>
      <c r="I43" s="224">
        <f>IF(G43&gt;H43,ABS((G43-H43)/H43),-ABS((H43-G43)/H43))</f>
        <v/>
      </c>
      <c r="J43" s="157" t="n"/>
      <c r="K43" s="226">
        <f>B43</f>
        <v/>
      </c>
      <c r="L43" s="227">
        <f>'Tahmin Data'!G28</f>
        <v/>
      </c>
      <c r="M43" s="227">
        <f>'Tahmin Data'!I28</f>
        <v/>
      </c>
      <c r="N43" s="227">
        <f>'Tahmin Data'!K28</f>
        <v/>
      </c>
      <c r="O43" s="227">
        <f>'Tahmin Data'!M28</f>
        <v/>
      </c>
      <c r="P43" s="227">
        <f>'Tahmin Data'!O28</f>
        <v/>
      </c>
      <c r="Q43" s="227">
        <f>'Tahmin Data'!Q28</f>
        <v/>
      </c>
      <c r="R43" s="227">
        <f>'Tahmin Data'!S28</f>
        <v/>
      </c>
      <c r="S43" s="227">
        <f>'Tahmin Data'!U28</f>
        <v/>
      </c>
      <c r="T43" s="227">
        <f>'Tahmin Data'!W28</f>
        <v/>
      </c>
      <c r="U43" s="318">
        <f>-G43</f>
        <v/>
      </c>
      <c r="V43" s="213">
        <f>'Bütçe aylık-Eur'!N38</f>
        <v/>
      </c>
      <c r="W43" s="224">
        <f>IF(U43&gt;V43,ABS((U43-V43)/V43),-ABS((V43-U43)/V43))</f>
        <v/>
      </c>
      <c r="Y43" s="453" t="inlineStr">
        <is>
          <t xml:space="preserve"> (TRY)</t>
        </is>
      </c>
      <c r="Z43" s="453" t="inlineStr">
        <is>
          <t>Gerçekleşen</t>
        </is>
      </c>
      <c r="AA43" s="453" t="inlineStr">
        <is>
          <t>Bütçe</t>
        </is>
      </c>
      <c r="AB43" s="453" t="inlineStr">
        <is>
          <t>Sapma %</t>
        </is>
      </c>
      <c r="AC43" s="152" t="n"/>
      <c r="AD43" s="453" t="inlineStr">
        <is>
          <t>Gerçekleşen</t>
        </is>
      </c>
      <c r="AE43" s="453" t="inlineStr">
        <is>
          <t>Bütçe</t>
        </is>
      </c>
      <c r="AF43" s="453" t="inlineStr">
        <is>
          <t>Sapma %</t>
        </is>
      </c>
      <c r="AG43" s="153" t="n"/>
      <c r="AH43" s="453" t="inlineStr">
        <is>
          <t>(TRY)</t>
        </is>
      </c>
      <c r="AI43" s="453">
        <f>$AI$3</f>
        <v/>
      </c>
      <c r="AJ43" s="453">
        <f>$AJ$3</f>
        <v/>
      </c>
      <c r="AK43" s="453" t="inlineStr">
        <is>
          <t>Bütçe</t>
        </is>
      </c>
      <c r="AL43" s="453" t="inlineStr">
        <is>
          <t>Sapma %</t>
        </is>
      </c>
    </row>
    <row r="44" ht="10.5" customHeight="1">
      <c r="B44" s="149" t="inlineStr">
        <is>
          <t xml:space="preserve">ISM </t>
        </is>
      </c>
      <c r="C44" s="156">
        <f>'A -Döviz'!C92</f>
        <v/>
      </c>
      <c r="D44" s="156">
        <f>'A -Döviz'!B92</f>
        <v/>
      </c>
      <c r="E44" s="229">
        <f>IF(C44&gt;D44,ABS((C44-D44)/D44),-ABS((D44-C44)/D44))</f>
        <v/>
      </c>
      <c r="F44" s="155" t="n"/>
      <c r="G44" s="156">
        <f>'C-Döviz'!C92</f>
        <v/>
      </c>
      <c r="H44" s="156">
        <f>'C-Döviz'!B92</f>
        <v/>
      </c>
      <c r="I44" s="229">
        <f>IF(G44&gt;H44,ABS((G44-H44)/H44),-ABS((H44-G44)/H44))</f>
        <v/>
      </c>
      <c r="J44" s="157" t="n"/>
      <c r="K44" s="226">
        <f>B44</f>
        <v/>
      </c>
      <c r="L44" s="227">
        <f>'Tahmin Data'!G30</f>
        <v/>
      </c>
      <c r="M44" s="227">
        <f>'Tahmin Data'!I30</f>
        <v/>
      </c>
      <c r="N44" s="227">
        <f>'Tahmin Data'!K30</f>
        <v/>
      </c>
      <c r="O44" s="227">
        <f>'Tahmin Data'!M30</f>
        <v/>
      </c>
      <c r="P44" s="227">
        <f>'Tahmin Data'!O30</f>
        <v/>
      </c>
      <c r="Q44" s="227">
        <f>'Tahmin Data'!Q30</f>
        <v/>
      </c>
      <c r="R44" s="227">
        <f>'Tahmin Data'!S30</f>
        <v/>
      </c>
      <c r="S44" s="227">
        <f>'Tahmin Data'!U30</f>
        <v/>
      </c>
      <c r="T44" s="227">
        <f>'Tahmin Data'!W30</f>
        <v/>
      </c>
      <c r="U44" s="227">
        <f>-G44</f>
        <v/>
      </c>
      <c r="V44" s="204">
        <f>'Bütçe aylık-Eur'!N39</f>
        <v/>
      </c>
      <c r="W44" s="229">
        <f>IF(U44&gt;V44,ABS((U44-V44)/V44),-ABS((V44-U44)/V44))</f>
        <v/>
      </c>
      <c r="Y44" s="158" t="inlineStr">
        <is>
          <t>Satışlar</t>
        </is>
      </c>
      <c r="Z44" s="478">
        <f>C8</f>
        <v/>
      </c>
      <c r="AA44" s="478">
        <f>D8</f>
        <v/>
      </c>
      <c r="AB44" s="479">
        <f>IF(Z44&gt;AA44,ABS((Z44-AA44)/AA44),-ABS((AA44-Z44)/AA44))</f>
        <v/>
      </c>
      <c r="AC44" s="482" t="n"/>
      <c r="AD44" s="478">
        <f>G8</f>
        <v/>
      </c>
      <c r="AE44" s="478">
        <f>H8</f>
        <v/>
      </c>
      <c r="AF44" s="481">
        <f>IF(AD44&gt;AE44,ABS((AD44-AE44)/AE44),-ABS((AE44-AD44)/AE44))</f>
        <v/>
      </c>
      <c r="AG44" s="162" t="n"/>
      <c r="AH44" s="158" t="inlineStr">
        <is>
          <t>Satışlar</t>
        </is>
      </c>
      <c r="AI44" s="480">
        <f>'Tahmin Data'!L10/0.4</f>
        <v/>
      </c>
      <c r="AJ44" s="480">
        <f>'Tahmin Data'!N10/0.4</f>
        <v/>
      </c>
      <c r="AK44" s="480">
        <f>'C-TRY'!AI13</f>
        <v/>
      </c>
      <c r="AL44" s="481">
        <f>IF(AJ44&gt;AK44,ABS((AJ44-AK44)/AK44),-ABS((AK44-AJ44)/AK44))</f>
        <v/>
      </c>
    </row>
    <row r="45" ht="10.5" customHeight="1">
      <c r="B45" s="149" t="inlineStr">
        <is>
          <t xml:space="preserve">İncitaş </t>
        </is>
      </c>
      <c r="C45" s="156">
        <f>'A -Döviz'!C93</f>
        <v/>
      </c>
      <c r="D45" s="156">
        <f>'A -Döviz'!B93</f>
        <v/>
      </c>
      <c r="E45" s="229">
        <f>IF(C45&gt;D45,ABS((C45-D45)/D45),-ABS((D45-C45)/D45))</f>
        <v/>
      </c>
      <c r="F45" s="155" t="n"/>
      <c r="G45" s="156">
        <f>'C-Döviz'!C93</f>
        <v/>
      </c>
      <c r="H45" s="156">
        <f>'C-Döviz'!B93</f>
        <v/>
      </c>
      <c r="I45" s="229">
        <f>IF(G45&gt;H45,ABS((G45-H45)/H45),-ABS((H45-G45)/H45))</f>
        <v/>
      </c>
      <c r="J45" s="157" t="n"/>
      <c r="K45" s="226">
        <f>B45</f>
        <v/>
      </c>
      <c r="L45" s="227">
        <f>'Tahmin Data'!G29</f>
        <v/>
      </c>
      <c r="M45" s="227">
        <f>'Tahmin Data'!I29</f>
        <v/>
      </c>
      <c r="N45" s="227">
        <f>'Tahmin Data'!K29</f>
        <v/>
      </c>
      <c r="O45" s="227">
        <f>'Tahmin Data'!M29</f>
        <v/>
      </c>
      <c r="P45" s="227">
        <f>'Tahmin Data'!O29</f>
        <v/>
      </c>
      <c r="Q45" s="227">
        <f>'Tahmin Data'!Q29</f>
        <v/>
      </c>
      <c r="R45" s="227">
        <f>'Tahmin Data'!S29</f>
        <v/>
      </c>
      <c r="S45" s="227">
        <f>'Tahmin Data'!U29</f>
        <v/>
      </c>
      <c r="T45" s="227">
        <f>'Tahmin Data'!W29</f>
        <v/>
      </c>
      <c r="U45" s="227">
        <f>-G45</f>
        <v/>
      </c>
      <c r="V45" s="204">
        <f>'Bütçe aylık-Eur'!N40</f>
        <v/>
      </c>
      <c r="W45" s="229">
        <f>IF(U45&gt;V45,ABS((U45-V45)/V45),-ABS((V45-U45)/V45))</f>
        <v/>
      </c>
      <c r="Y45" s="158" t="inlineStr">
        <is>
          <t>Ebitda</t>
        </is>
      </c>
      <c r="Z45" s="478">
        <f>C86</f>
        <v/>
      </c>
      <c r="AA45" s="478">
        <f>D86</f>
        <v/>
      </c>
      <c r="AB45" s="479">
        <f>IF(Z45&gt;AA45,ABS((Z45-AA45)/AA45),-ABS((AA45-Z45)/AA45))</f>
        <v/>
      </c>
      <c r="AC45" s="482" t="n"/>
      <c r="AD45" s="478">
        <f>G86</f>
        <v/>
      </c>
      <c r="AE45" s="478">
        <f>H86</f>
        <v/>
      </c>
      <c r="AF45" s="481">
        <f>IF(AD45&gt;AE45,ABS((AD45-AE45)/AE45),-ABS((AE45-AD45)/AE45))</f>
        <v/>
      </c>
      <c r="AG45" s="162" t="n"/>
      <c r="AH45" s="158" t="inlineStr">
        <is>
          <t>Ebitda</t>
        </is>
      </c>
      <c r="AI45" s="480">
        <f>'Tahmin Data'!L66/0.4</f>
        <v/>
      </c>
      <c r="AJ45" s="480">
        <f>'Tahmin Data'!N66/0.4</f>
        <v/>
      </c>
      <c r="AK45" s="480">
        <f>'C-TRY'!AI143</f>
        <v/>
      </c>
      <c r="AL45" s="481">
        <f>IF(AJ45&gt;AK45,ABS((AJ45-AK45)/AK45),-ABS((AK45-AJ45)/AK45))</f>
        <v/>
      </c>
    </row>
    <row r="46" ht="10.5" customHeight="1">
      <c r="B46" s="149" t="inlineStr">
        <is>
          <t xml:space="preserve">İnci GS Yuasa </t>
        </is>
      </c>
      <c r="C46" s="156">
        <f>'A -Döviz'!C94</f>
        <v/>
      </c>
      <c r="D46" s="156">
        <f>'A -Döviz'!B94</f>
        <v/>
      </c>
      <c r="E46" s="229">
        <f>IF(C46&gt;D46,ABS((C46-D46)/D46),-ABS((D46-C46)/D46))</f>
        <v/>
      </c>
      <c r="F46" s="155" t="n"/>
      <c r="G46" s="156">
        <f>'C-Döviz'!C94</f>
        <v/>
      </c>
      <c r="H46" s="156">
        <f>'C-Döviz'!B94</f>
        <v/>
      </c>
      <c r="I46" s="229">
        <f>IF(G46&gt;H46,ABS((G46-H46)/H46),-ABS((H46-G46)/H46))</f>
        <v/>
      </c>
      <c r="J46" s="157" t="n"/>
      <c r="K46" s="226">
        <f>B46</f>
        <v/>
      </c>
      <c r="L46" s="227">
        <f>'Tahmin Data'!G27/0.4</f>
        <v/>
      </c>
      <c r="M46" s="227">
        <f>'Tahmin Data'!I27/0.4</f>
        <v/>
      </c>
      <c r="N46" s="227">
        <f>'Tahmin Data'!K27/0.4</f>
        <v/>
      </c>
      <c r="O46" s="227">
        <f>'Tahmin Data'!M27/0.4</f>
        <v/>
      </c>
      <c r="P46" s="227">
        <f>'Tahmin Data'!O27/0.4</f>
        <v/>
      </c>
      <c r="Q46" s="227">
        <f>'Tahmin Data'!Q27/0.4</f>
        <v/>
      </c>
      <c r="R46" s="227">
        <f>'Tahmin Data'!S27/0.4</f>
        <v/>
      </c>
      <c r="S46" s="227">
        <f>'Tahmin Data'!U27/0.4</f>
        <v/>
      </c>
      <c r="T46" s="227">
        <f>'Tahmin Data'!W27/0.4</f>
        <v/>
      </c>
      <c r="U46" s="227">
        <f>-G46</f>
        <v/>
      </c>
      <c r="V46" s="204">
        <f>'Bütçe aylık-Eur'!N41</f>
        <v/>
      </c>
      <c r="W46" s="229">
        <f>IF(U46&gt;V46,ABS((U46-V46)/V46),-ABS((V46-U46)/V46))</f>
        <v/>
      </c>
      <c r="Y46" s="158" t="inlineStr">
        <is>
          <t>Ebitda %</t>
        </is>
      </c>
      <c r="Z46" s="493">
        <f>C73</f>
        <v/>
      </c>
      <c r="AA46" s="493">
        <f>D73</f>
        <v/>
      </c>
      <c r="AB46" s="479">
        <f>IF(Z46&gt;AA46,ABS((Z46-AA46)/AA46),-ABS((AA46-Z46)/AA46))</f>
        <v/>
      </c>
      <c r="AC46" s="167" t="n"/>
      <c r="AD46" s="493">
        <f>G73</f>
        <v/>
      </c>
      <c r="AE46" s="493">
        <f>H73</f>
        <v/>
      </c>
      <c r="AF46" s="479">
        <f>IF(AD46&gt;AE46,ABS((AD46-AE46)/AE46),-ABS((AE46-AD46)/AE46))</f>
        <v/>
      </c>
      <c r="AG46" s="483" t="n"/>
      <c r="AH46" s="158" t="inlineStr">
        <is>
          <t>Vergi Öncesi Kar</t>
        </is>
      </c>
      <c r="AI46" s="480">
        <f>'Tahmin Data'!L90/0.4</f>
        <v/>
      </c>
      <c r="AJ46" s="480">
        <f>'Tahmin Data'!N90/0.4</f>
        <v/>
      </c>
      <c r="AK46" s="480">
        <f>'C-TRY'!AI193</f>
        <v/>
      </c>
      <c r="AL46" s="492">
        <f>IF(AJ46&gt;AK46,ABS((AJ46-AK46)/AK46),-ABS((AK46-AJ46)/AK46))</f>
        <v/>
      </c>
    </row>
    <row r="47" ht="10.5" customHeight="1" thickBot="1">
      <c r="B47" s="149" t="inlineStr">
        <is>
          <t xml:space="preserve">Yusen İnci Loj. </t>
        </is>
      </c>
      <c r="C47" s="156">
        <f>'A -Döviz'!C95</f>
        <v/>
      </c>
      <c r="D47" s="156">
        <f>'A -Döviz'!B95</f>
        <v/>
      </c>
      <c r="E47" s="229">
        <f>IF(C47&gt;D47,ABS((C47-D47)/D47),-ABS((D47-C47)/D47))</f>
        <v/>
      </c>
      <c r="F47" s="155" t="n"/>
      <c r="G47" s="156">
        <f>'C-Döviz'!C95</f>
        <v/>
      </c>
      <c r="H47" s="156">
        <f>'C-Döviz'!B95</f>
        <v/>
      </c>
      <c r="I47" s="229">
        <f>IF(G47&gt;H47,ABS((G47-H47)/H47),-ABS((H47-G47)/H47))</f>
        <v/>
      </c>
      <c r="J47" s="157" t="n"/>
      <c r="K47" s="226">
        <f>B47</f>
        <v/>
      </c>
      <c r="L47" s="227">
        <f>'Tahmin Data'!G34/0.4</f>
        <v/>
      </c>
      <c r="M47" s="227">
        <f>'Tahmin Data'!I34/0.4</f>
        <v/>
      </c>
      <c r="N47" s="227">
        <f>'Tahmin Data'!K34/0.4</f>
        <v/>
      </c>
      <c r="O47" s="227">
        <f>'Tahmin Data'!M34/0.4</f>
        <v/>
      </c>
      <c r="P47" s="227">
        <f>'Tahmin Data'!O34/0.4</f>
        <v/>
      </c>
      <c r="Q47" s="227">
        <f>'Tahmin Data'!Q34/0.4</f>
        <v/>
      </c>
      <c r="R47" s="227">
        <f>'Tahmin Data'!S34/0.4</f>
        <v/>
      </c>
      <c r="S47" s="227">
        <f>'Tahmin Data'!U34/0.4</f>
        <v/>
      </c>
      <c r="T47" s="227">
        <f>'Tahmin Data'!W34/0.4</f>
        <v/>
      </c>
      <c r="U47" s="227">
        <f>-G47</f>
        <v/>
      </c>
      <c r="V47" s="204">
        <f>'Bütçe aylık-Eur'!N42</f>
        <v/>
      </c>
      <c r="W47" s="229">
        <f>IF(U47&gt;V47,ABS((U47-V47)/V47),-ABS((V47-U47)/V47))</f>
        <v/>
      </c>
      <c r="Y47" s="158" t="inlineStr">
        <is>
          <t>Vergi Öncesi Kar</t>
        </is>
      </c>
      <c r="Z47" s="478">
        <f>C138</f>
        <v/>
      </c>
      <c r="AA47" s="478">
        <f>D138</f>
        <v/>
      </c>
      <c r="AB47" s="479">
        <f>IF(Z47&gt;AA47,ABS((Z47-AA47)/AA47),-ABS((AA47-Z47)/AA47))</f>
        <v/>
      </c>
      <c r="AC47" s="482" t="n"/>
      <c r="AD47" s="478">
        <f>G138</f>
        <v/>
      </c>
      <c r="AE47" s="478">
        <f>H138</f>
        <v/>
      </c>
      <c r="AF47" s="479">
        <f>IF(AD47&gt;AE47,ABS((AD47-AE47)/AE47),-ABS((AE47-AD47)/AE47))</f>
        <v/>
      </c>
      <c r="AG47" s="162" t="n"/>
      <c r="AH47" s="169" t="inlineStr">
        <is>
          <t>Operasyonel Nakit</t>
        </is>
      </c>
      <c r="AI47" s="484">
        <f>'Tahmin Data'!L146/0.4</f>
        <v/>
      </c>
      <c r="AJ47" s="484">
        <f>'Tahmin Data'!N146/0.4</f>
        <v/>
      </c>
      <c r="AK47" s="484">
        <f>'C-TRY'!AI295</f>
        <v/>
      </c>
      <c r="AL47" s="495">
        <f>IF(AJ47&gt;AK47,ABS((AJ47-AK47)/AK47),-ABS((AK47-AJ47)/AK47))</f>
        <v/>
      </c>
    </row>
    <row r="48" ht="10.5" customHeight="1">
      <c r="B48" s="149" t="inlineStr">
        <is>
          <t xml:space="preserve">Jantaş </t>
        </is>
      </c>
      <c r="C48" s="156">
        <f>'A -Döviz'!C96</f>
        <v/>
      </c>
      <c r="D48" s="156">
        <f>'A -Döviz'!B96</f>
        <v/>
      </c>
      <c r="E48" s="229">
        <f>IF(C48&gt;D48,ABS((C48-D48)/D48),-ABS((D48-C48)/D48))</f>
        <v/>
      </c>
      <c r="F48" s="155" t="n"/>
      <c r="G48" s="156">
        <f>'C-Döviz'!C96</f>
        <v/>
      </c>
      <c r="H48" s="156">
        <f>'C-Döviz'!B96</f>
        <v/>
      </c>
      <c r="I48" s="229">
        <f>IF(G48&gt;H48,ABS((G48-H48)/H48),-ABS((H48-G48)/H48))</f>
        <v/>
      </c>
      <c r="J48" s="157" t="n"/>
      <c r="K48" s="226">
        <f>B48</f>
        <v/>
      </c>
      <c r="L48" s="227">
        <f>'Tahmin Data'!G33/0.4</f>
        <v/>
      </c>
      <c r="M48" s="227">
        <f>'Tahmin Data'!I33/0.4</f>
        <v/>
      </c>
      <c r="N48" s="227">
        <f>'Tahmin Data'!K33/0.4</f>
        <v/>
      </c>
      <c r="O48" s="227">
        <f>'Tahmin Data'!M33/0.4</f>
        <v/>
      </c>
      <c r="P48" s="227">
        <f>'Tahmin Data'!O33/0.4</f>
        <v/>
      </c>
      <c r="Q48" s="227">
        <f>'Tahmin Data'!Q33/0.4</f>
        <v/>
      </c>
      <c r="R48" s="227">
        <f>'Tahmin Data'!S33/0.4</f>
        <v/>
      </c>
      <c r="S48" s="227">
        <f>'Tahmin Data'!U33/0.4</f>
        <v/>
      </c>
      <c r="T48" s="227">
        <f>'Tahmin Data'!W33/0.4</f>
        <v/>
      </c>
      <c r="U48" s="227">
        <f>-G48</f>
        <v/>
      </c>
      <c r="V48" s="204">
        <f>'Bütçe aylık-Eur'!N43</f>
        <v/>
      </c>
      <c r="W48" s="229">
        <f>IF(U48&gt;V48,ABS((U48-V48)/V48),-ABS((V48-U48)/V48))</f>
        <v/>
      </c>
      <c r="X48" s="244" t="n"/>
      <c r="Y48" s="158" t="inlineStr">
        <is>
          <t>Operasyonel Nakit</t>
        </is>
      </c>
      <c r="Z48" s="478">
        <f>C177</f>
        <v/>
      </c>
      <c r="AA48" s="478">
        <f>D177</f>
        <v/>
      </c>
      <c r="AB48" s="479">
        <f>IF(Z48&gt;AA48,ABS((Z48-AA48)/AA48),-ABS((AA48-Z48)/AA48))</f>
        <v/>
      </c>
      <c r="AC48" s="482" t="n"/>
      <c r="AD48" s="478">
        <f>G177</f>
        <v/>
      </c>
      <c r="AE48" s="478">
        <f>H177</f>
        <v/>
      </c>
      <c r="AF48" s="481">
        <f>IF(AD48&gt;AE48,ABS((AD48-AE48)/AE48),-ABS((AE48-AD48)/AE48))</f>
        <v/>
      </c>
      <c r="AG48" s="162" t="n"/>
    </row>
    <row r="49" ht="10.5" customHeight="1">
      <c r="B49" s="149" t="inlineStr">
        <is>
          <t xml:space="preserve">Çelik </t>
        </is>
      </c>
      <c r="C49" s="156">
        <f>'A -Döviz'!C97</f>
        <v/>
      </c>
      <c r="D49" s="156">
        <f>'A -Döviz'!B97</f>
        <v/>
      </c>
      <c r="E49" s="229">
        <f>IF(C49&gt;D49,ABS((C49-D49)/D49),-ABS((D49-C49)/D49))</f>
        <v/>
      </c>
      <c r="F49" s="155" t="n"/>
      <c r="G49" s="156">
        <f>'C-Döviz'!C97</f>
        <v/>
      </c>
      <c r="H49" s="156">
        <f>'C-Döviz'!B97</f>
        <v/>
      </c>
      <c r="I49" s="229">
        <f>IF(G49&gt;H49,ABS((G49-H49)/H49),-ABS((H49-G49)/H49))</f>
        <v/>
      </c>
      <c r="J49" s="157" t="n"/>
      <c r="K49" s="226">
        <f>B49</f>
        <v/>
      </c>
      <c r="L49" s="227">
        <f>'Tahmin Data'!G32/0.4</f>
        <v/>
      </c>
      <c r="M49" s="227">
        <f>'Tahmin Data'!I32/0.4</f>
        <v/>
      </c>
      <c r="N49" s="227">
        <f>'Tahmin Data'!K32/0.4</f>
        <v/>
      </c>
      <c r="O49" s="227">
        <f>'Tahmin Data'!M32/0.4</f>
        <v/>
      </c>
      <c r="P49" s="227">
        <f>'Tahmin Data'!O32/0.4</f>
        <v/>
      </c>
      <c r="Q49" s="227">
        <f>'Tahmin Data'!Q32/0.4</f>
        <v/>
      </c>
      <c r="R49" s="227">
        <f>'Tahmin Data'!S32/0.4</f>
        <v/>
      </c>
      <c r="S49" s="227">
        <f>'Tahmin Data'!U32/0.4</f>
        <v/>
      </c>
      <c r="T49" s="227">
        <f>'Tahmin Data'!W32/0.4</f>
        <v/>
      </c>
      <c r="U49" s="227">
        <f>-G49</f>
        <v/>
      </c>
      <c r="V49" s="204">
        <f>'Bütçe aylık-Eur'!N44</f>
        <v/>
      </c>
      <c r="W49" s="229">
        <f>IF(U49&gt;V49,ABS((U49-V49)/V49),-ABS((V49-U49)/V49))</f>
        <v/>
      </c>
      <c r="Y49" s="158" t="inlineStr">
        <is>
          <t>Yatırım</t>
        </is>
      </c>
      <c r="Z49" s="478">
        <f>C190</f>
        <v/>
      </c>
      <c r="AA49" s="478">
        <f>D190</f>
        <v/>
      </c>
      <c r="AB49" s="479">
        <f>IF(Z49&gt;AA49,ABS((Z49-AA49)/AA49),-ABS((AA49-Z49)/AA49))</f>
        <v/>
      </c>
      <c r="AC49" s="482" t="n"/>
      <c r="AD49" s="478">
        <f>G190</f>
        <v/>
      </c>
      <c r="AE49" s="478">
        <f>H190</f>
        <v/>
      </c>
      <c r="AF49" s="481">
        <f>IF(AD49&gt;AE49,ABS((AD49-AE49)/AE49),-ABS((AE49-AD49)/AE49))</f>
        <v/>
      </c>
      <c r="AG49" s="162" t="n"/>
    </row>
    <row r="50" ht="10.5" customHeight="1" thickBot="1">
      <c r="B50" s="149" t="inlineStr">
        <is>
          <t xml:space="preserve">Alüminyum </t>
        </is>
      </c>
      <c r="C50" s="156">
        <f>'A -Döviz'!C98</f>
        <v/>
      </c>
      <c r="D50" s="156">
        <f>'A -Döviz'!B98</f>
        <v/>
      </c>
      <c r="E50" s="229">
        <f>IF(C50&gt;D50,ABS((C50-D50)/D50),-ABS((D50-C50)/D50))</f>
        <v/>
      </c>
      <c r="F50" s="155" t="n"/>
      <c r="G50" s="156">
        <f>'C-Döviz'!C98</f>
        <v/>
      </c>
      <c r="H50" s="156">
        <f>'C-Döviz'!B98</f>
        <v/>
      </c>
      <c r="I50" s="229">
        <f>IF(G50&gt;H50,ABS((G50-H50)/H50),-ABS((H50-G50)/H50))</f>
        <v/>
      </c>
      <c r="J50" s="157" t="n"/>
      <c r="K50" s="231">
        <f>B50</f>
        <v/>
      </c>
      <c r="L50" s="232">
        <f>'Tahmin Data'!G31/0.4</f>
        <v/>
      </c>
      <c r="M50" s="232">
        <f>'Tahmin Data'!I31/0.4</f>
        <v/>
      </c>
      <c r="N50" s="232">
        <f>'Tahmin Data'!K31/0.4</f>
        <v/>
      </c>
      <c r="O50" s="232">
        <f>'Tahmin Data'!M31/0.4</f>
        <v/>
      </c>
      <c r="P50" s="232">
        <f>'Tahmin Data'!O31/0.4</f>
        <v/>
      </c>
      <c r="Q50" s="232">
        <f>'Tahmin Data'!Q31/0.4</f>
        <v/>
      </c>
      <c r="R50" s="232">
        <f>'Tahmin Data'!S31/0.4</f>
        <v/>
      </c>
      <c r="S50" s="232">
        <f>'Tahmin Data'!U31/0.4</f>
        <v/>
      </c>
      <c r="T50" s="232">
        <f>'Tahmin Data'!W31/0.4</f>
        <v/>
      </c>
      <c r="U50" s="232">
        <f>-G50</f>
        <v/>
      </c>
      <c r="V50" s="205">
        <f>'Bütçe aylık-Eur'!N45</f>
        <v/>
      </c>
      <c r="W50" s="264">
        <f>IF(U50&gt;V50,ABS((U50-V50)/V50),-ABS((V50-U50)/V50))</f>
        <v/>
      </c>
      <c r="Y50" s="169" t="inlineStr">
        <is>
          <t>Net Finansal Nakit (Borç)</t>
        </is>
      </c>
      <c r="Z50" s="487">
        <f>C216</f>
        <v/>
      </c>
      <c r="AA50" s="487">
        <f>D216</f>
        <v/>
      </c>
      <c r="AB50" s="491">
        <f>IF(Z50&gt;AA50,ABS((Z50-AA50)/AA50),-ABS((AA50-Z50)/AA50))</f>
        <v/>
      </c>
      <c r="AC50" s="482" t="n"/>
      <c r="AD50" s="487">
        <f>G216</f>
        <v/>
      </c>
      <c r="AE50" s="487">
        <f>H216</f>
        <v/>
      </c>
      <c r="AF50" s="491">
        <f>IF(AD50&gt;AE50,ABS((AD50-AE50)/AE50),-ABS((AE50-AD50)/AE50))</f>
        <v/>
      </c>
      <c r="AG50" s="162" t="n"/>
    </row>
    <row r="51" ht="10.5" customHeight="1" thickBot="1">
      <c r="B51" s="169" t="inlineStr">
        <is>
          <t xml:space="preserve">Kombine </t>
        </is>
      </c>
      <c r="C51" s="192">
        <f>'A -Döviz'!C88</f>
        <v/>
      </c>
      <c r="D51" s="192">
        <f>'A -Döviz'!B88</f>
        <v/>
      </c>
      <c r="E51" s="488">
        <f>IF(C51&gt;D51,ABS((C51-D51)/D51),-ABS((D51-C51)/D51))</f>
        <v/>
      </c>
      <c r="F51" s="154" t="n"/>
      <c r="G51" s="192">
        <f>'C-Döviz'!C88</f>
        <v/>
      </c>
      <c r="H51" s="192">
        <f>'C-Döviz'!B88</f>
        <v/>
      </c>
      <c r="I51" s="260">
        <f>IF(G51&gt;H51,ABS((G51-H51)/H51),-ABS((H51-G51)/H51))</f>
        <v/>
      </c>
      <c r="J51" s="194" t="n"/>
      <c r="K51" s="263" t="inlineStr">
        <is>
          <t xml:space="preserve">Kombine </t>
        </is>
      </c>
      <c r="L51" s="248">
        <f>SUM('Tahmin Data'!G27:G34)</f>
        <v/>
      </c>
      <c r="M51" s="248">
        <f>SUM('Tahmin Data'!I27:I34)</f>
        <v/>
      </c>
      <c r="N51" s="248">
        <f>SUM('Tahmin Data'!K27:K34)</f>
        <v/>
      </c>
      <c r="O51" s="248">
        <f>SUM('Tahmin Data'!M27:M34)</f>
        <v/>
      </c>
      <c r="P51" s="248">
        <f>SUM('Tahmin Data'!O27:O34)</f>
        <v/>
      </c>
      <c r="Q51" s="248">
        <f>SUM('Tahmin Data'!Q27:Q34)</f>
        <v/>
      </c>
      <c r="R51" s="248">
        <f>SUM('Tahmin Data'!S27:S34)</f>
        <v/>
      </c>
      <c r="S51" s="248">
        <f>SUM('Tahmin Data'!U27:U34)</f>
        <v/>
      </c>
      <c r="T51" s="248">
        <f>SUM('Tahmin Data'!W27:W34)</f>
        <v/>
      </c>
      <c r="U51" s="248">
        <f t="array" ref="U51">SUM(U43:U45,(U46:U50)*0.4)</f>
        <v/>
      </c>
      <c r="V51" s="248">
        <f>'Bütçe aylık-Eur'!N37</f>
        <v/>
      </c>
      <c r="W51" s="229">
        <f>IF(U51&gt;V51,ABS((U51-V51)/V51),-ABS((V51-U51)/V51))</f>
        <v/>
      </c>
    </row>
    <row r="52" ht="10.5" customHeight="1" thickBot="1">
      <c r="K52" s="249" t="inlineStr">
        <is>
          <t>Toplam</t>
        </is>
      </c>
      <c r="L52" s="239">
        <f>SUM(L43:L50)</f>
        <v/>
      </c>
      <c r="M52" s="239">
        <f>SUM(M43:M50)</f>
        <v/>
      </c>
      <c r="N52" s="239">
        <f>SUM(N43:N50)</f>
        <v/>
      </c>
      <c r="O52" s="239">
        <f>SUM(O43:O50)</f>
        <v/>
      </c>
      <c r="P52" s="239">
        <f>SUM(P43:P50)</f>
        <v/>
      </c>
      <c r="Q52" s="239">
        <f>SUM(Q43:Q50)</f>
        <v/>
      </c>
      <c r="R52" s="239">
        <f>SUM(R43:R50)</f>
        <v/>
      </c>
      <c r="S52" s="239">
        <f>SUM(S43:S50)</f>
        <v/>
      </c>
      <c r="T52" s="239">
        <f>SUM(T43:T50)</f>
        <v/>
      </c>
      <c r="U52" s="239">
        <f>SUM(U43:U50)</f>
        <v/>
      </c>
      <c r="V52" s="239">
        <f>SUM(V43:V50)</f>
        <v/>
      </c>
      <c r="W52" s="264">
        <f>IF(U52&gt;V52,ABS((U52-V52)/V52),-ABS((V52-U52)/V52))</f>
        <v/>
      </c>
      <c r="Y52" s="453">
        <f>B11</f>
        <v/>
      </c>
      <c r="Z52" s="453" t="inlineStr">
        <is>
          <t>AYLIK</t>
        </is>
      </c>
      <c r="AC52" s="152" t="n"/>
      <c r="AD52" s="453" t="n"/>
      <c r="AE52" s="453" t="inlineStr">
        <is>
          <t>KÜMÜLATİF</t>
        </is>
      </c>
      <c r="AF52" s="453" t="n"/>
      <c r="AG52" s="153" t="n"/>
      <c r="AH52" s="453">
        <f>Y52</f>
        <v/>
      </c>
      <c r="AI52" s="453" t="n"/>
      <c r="AJ52" s="453" t="inlineStr">
        <is>
          <t>Yıl Sonu Tahmini</t>
        </is>
      </c>
    </row>
    <row r="53" ht="10.5" customHeight="1">
      <c r="V53" s="194" t="n"/>
      <c r="Y53" s="453" t="inlineStr">
        <is>
          <t>(EUR)</t>
        </is>
      </c>
      <c r="Z53" s="453" t="inlineStr">
        <is>
          <t>Gerçekleşen</t>
        </is>
      </c>
      <c r="AA53" s="453" t="inlineStr">
        <is>
          <t>Bütçe</t>
        </is>
      </c>
      <c r="AB53" s="453" t="inlineStr">
        <is>
          <t>Sapma %</t>
        </is>
      </c>
      <c r="AC53" s="152" t="n"/>
      <c r="AD53" s="453" t="inlineStr">
        <is>
          <t>Gerçekleşen</t>
        </is>
      </c>
      <c r="AE53" s="453" t="inlineStr">
        <is>
          <t>Bütçe</t>
        </is>
      </c>
      <c r="AF53" s="453" t="inlineStr">
        <is>
          <t>Sapma %</t>
        </is>
      </c>
      <c r="AG53" s="153" t="n"/>
      <c r="AH53" s="453" t="inlineStr">
        <is>
          <t>(EUR)</t>
        </is>
      </c>
      <c r="AI53" s="453">
        <f>$AI$3</f>
        <v/>
      </c>
      <c r="AJ53" s="453">
        <f>$AJ$3</f>
        <v/>
      </c>
      <c r="AK53" s="453" t="inlineStr">
        <is>
          <t>Bütçe</t>
        </is>
      </c>
      <c r="AL53" s="453" t="inlineStr">
        <is>
          <t>Sapma %</t>
        </is>
      </c>
    </row>
    <row r="54" ht="10.5" customHeight="1">
      <c r="B54" s="209" t="inlineStr">
        <is>
          <t>EBIT (Avro)</t>
        </is>
      </c>
      <c r="C54" s="451" t="inlineStr">
        <is>
          <t>AYLIK</t>
        </is>
      </c>
      <c r="F54" s="451" t="n"/>
      <c r="G54" s="451" t="n"/>
      <c r="H54" s="451" t="inlineStr">
        <is>
          <t>KÜMÜLATİF</t>
        </is>
      </c>
      <c r="I54" s="451" t="n"/>
      <c r="J54" s="195" t="n"/>
      <c r="K54" s="214" t="inlineStr">
        <is>
          <t>EBIT Tahmin (Avro)</t>
        </is>
      </c>
      <c r="L54" s="214" t="n"/>
      <c r="M54" s="214" t="n"/>
      <c r="N54" s="214" t="n"/>
      <c r="O54" s="451" t="n"/>
      <c r="P54" s="451" t="n"/>
      <c r="Q54" s="451" t="n"/>
      <c r="R54" s="451" t="n"/>
      <c r="S54" s="451" t="n"/>
      <c r="T54" s="451" t="n"/>
      <c r="U54" s="451" t="n"/>
      <c r="V54" s="195" t="n"/>
      <c r="Y54" s="158" t="inlineStr">
        <is>
          <t>Satışlar</t>
        </is>
      </c>
      <c r="Z54" s="496">
        <f>C11</f>
        <v/>
      </c>
      <c r="AA54" s="496">
        <f>D11</f>
        <v/>
      </c>
      <c r="AB54" s="479">
        <f>IF(Z54&gt;AA54,ABS((Z54-AA54)/AA54),-ABS((AA54-Z54)/AA54))</f>
        <v/>
      </c>
      <c r="AC54" s="482" t="n"/>
      <c r="AD54" s="496">
        <f>G11</f>
        <v/>
      </c>
      <c r="AE54" s="496">
        <f>H11</f>
        <v/>
      </c>
      <c r="AF54" s="479">
        <f>IF(AD54&gt;AE54,ABS((AD54-AE54)/AE54),-ABS((AE54-AD54)/AE54))</f>
        <v/>
      </c>
      <c r="AG54" s="162" t="n"/>
      <c r="AH54" s="158" t="inlineStr">
        <is>
          <t>Satışlar</t>
        </is>
      </c>
      <c r="AI54" s="497">
        <f>'Tahmin Data'!K7/0.4</f>
        <v/>
      </c>
      <c r="AJ54" s="497">
        <f>'Tahmin Data'!M7/0.4</f>
        <v/>
      </c>
      <c r="AK54" s="497">
        <f>'C-Döviz'!AI16</f>
        <v/>
      </c>
      <c r="AL54" s="492">
        <f>IF(AJ54&gt;AK54,ABS((AJ54-AK54)/AK54),-ABS((AK54-AJ54)/AK54))</f>
        <v/>
      </c>
    </row>
    <row r="55" ht="10.5" customHeight="1" thickBot="1">
      <c r="B55" s="169" t="n"/>
      <c r="C55" s="211" t="inlineStr">
        <is>
          <t>Gerçekleşen</t>
        </is>
      </c>
      <c r="D55" s="211" t="inlineStr">
        <is>
          <t>Bütçe</t>
        </is>
      </c>
      <c r="E55" s="211" t="inlineStr">
        <is>
          <t>Sapma %</t>
        </is>
      </c>
      <c r="F55" s="211" t="n"/>
      <c r="G55" s="211">
        <f>C55</f>
        <v/>
      </c>
      <c r="H55" s="211" t="inlineStr">
        <is>
          <t>Bütçe</t>
        </is>
      </c>
      <c r="I55" s="211" t="inlineStr">
        <is>
          <t>Sapma %</t>
        </is>
      </c>
      <c r="J55" s="152" t="n"/>
      <c r="K55" s="218" t="n"/>
      <c r="L55" s="219">
        <f>L3</f>
        <v/>
      </c>
      <c r="M55" s="219">
        <f>M3</f>
        <v/>
      </c>
      <c r="N55" s="219">
        <f>N3</f>
        <v/>
      </c>
      <c r="O55" s="219" t="inlineStr">
        <is>
          <t>Haziran</t>
        </is>
      </c>
      <c r="P55" s="219" t="inlineStr">
        <is>
          <t>Temmuz</t>
        </is>
      </c>
      <c r="Q55" s="219" t="inlineStr">
        <is>
          <t>Ağustos</t>
        </is>
      </c>
      <c r="R55" s="219" t="inlineStr">
        <is>
          <t>Eylül</t>
        </is>
      </c>
      <c r="S55" s="219" t="inlineStr">
        <is>
          <t>Ekim</t>
        </is>
      </c>
      <c r="T55" s="219" t="inlineStr">
        <is>
          <t>Kasım</t>
        </is>
      </c>
      <c r="U55" s="219" t="inlineStr">
        <is>
          <t>Gerçekleşen</t>
        </is>
      </c>
      <c r="V55" s="250" t="inlineStr">
        <is>
          <t>Bütçe</t>
        </is>
      </c>
      <c r="W55" s="262" t="inlineStr">
        <is>
          <t>Sapma %</t>
        </is>
      </c>
      <c r="Y55" s="158" t="inlineStr">
        <is>
          <t>Ebitda</t>
        </is>
      </c>
      <c r="Z55" s="496">
        <f>C89</f>
        <v/>
      </c>
      <c r="AA55" s="496">
        <f>D89</f>
        <v/>
      </c>
      <c r="AB55" s="479">
        <f>IF(Z55&gt;AA55,ABS((Z55-AA55)/AA55),-ABS((AA55-Z55)/AA55))</f>
        <v/>
      </c>
      <c r="AC55" s="482" t="n"/>
      <c r="AD55" s="496">
        <f>G89</f>
        <v/>
      </c>
      <c r="AE55" s="496">
        <f>H89</f>
        <v/>
      </c>
      <c r="AF55" s="479">
        <f>IF(AD55&gt;AE55,ABS((AD55-AE55)/AE55),-ABS((AE55-AD55)/AE55))</f>
        <v/>
      </c>
      <c r="AG55" s="162" t="n"/>
      <c r="AH55" s="158" t="inlineStr">
        <is>
          <t>Ebitda</t>
        </is>
      </c>
      <c r="AI55" s="497">
        <f>'Tahmin Data'!K63/0.4</f>
        <v/>
      </c>
      <c r="AJ55" s="497">
        <f>'Tahmin Data'!M63/0.4</f>
        <v/>
      </c>
      <c r="AK55" s="497">
        <f>'C-Döviz'!AI146</f>
        <v/>
      </c>
      <c r="AL55" s="481">
        <f>IF(AJ55&gt;AK55,ABS((AJ55-AK55)/AK55),-ABS((AK55-AJ55)/AK55))</f>
        <v/>
      </c>
    </row>
    <row r="56" ht="10.5" customHeight="1" thickTop="1">
      <c r="B56" s="149" t="inlineStr">
        <is>
          <t xml:space="preserve">İnci Holding  </t>
        </is>
      </c>
      <c r="C56" s="156">
        <f>'A -Döviz'!C115</f>
        <v/>
      </c>
      <c r="D56" s="156">
        <f>'A -Döviz'!B115</f>
        <v/>
      </c>
      <c r="E56" s="224">
        <f>IF(C56&gt;D56,ABS((C56-D56)/D56),-ABS((D56-C56)/D56))</f>
        <v/>
      </c>
      <c r="F56" s="155" t="n"/>
      <c r="G56" s="156">
        <f>'C-Döviz'!C115</f>
        <v/>
      </c>
      <c r="H56" s="156">
        <f>'C-Döviz'!B115</f>
        <v/>
      </c>
      <c r="I56" s="224">
        <f>IF(G56&gt;H56,ABS((G56-H56)/H56),-ABS((H56-G56)/H56))</f>
        <v/>
      </c>
      <c r="J56" s="157" t="n"/>
      <c r="K56" s="226">
        <f>B56</f>
        <v/>
      </c>
      <c r="L56" s="227">
        <f>'Tahmin Data'!G44</f>
        <v/>
      </c>
      <c r="M56" s="227">
        <f>'Tahmin Data'!I44</f>
        <v/>
      </c>
      <c r="N56" s="227">
        <f>'Tahmin Data'!K44</f>
        <v/>
      </c>
      <c r="O56" s="227">
        <f>'Tahmin Data'!M44</f>
        <v/>
      </c>
      <c r="P56" s="227">
        <f>'Tahmin Data'!O44</f>
        <v/>
      </c>
      <c r="Q56" s="227">
        <f>'Tahmin Data'!Q44</f>
        <v/>
      </c>
      <c r="R56" s="227">
        <f>'Tahmin Data'!S44</f>
        <v/>
      </c>
      <c r="S56" s="227">
        <f>'Tahmin Data'!U44</f>
        <v/>
      </c>
      <c r="T56" s="227">
        <f>'Tahmin Data'!W44</f>
        <v/>
      </c>
      <c r="U56" s="318">
        <f>G56</f>
        <v/>
      </c>
      <c r="V56" s="213">
        <f>'Bütçe aylık-Eur'!N60</f>
        <v/>
      </c>
      <c r="W56" s="224">
        <f>IF(U56&gt;V56,ABS((U56-V56)/V56),-ABS((V56-U56)/V56))</f>
        <v/>
      </c>
      <c r="Y56" s="158" t="inlineStr">
        <is>
          <t>Ebitda %</t>
        </is>
      </c>
      <c r="Z56" s="493">
        <f>C76</f>
        <v/>
      </c>
      <c r="AA56" s="493">
        <f>D76</f>
        <v/>
      </c>
      <c r="AB56" s="479">
        <f>IF(Z56&gt;AA56,ABS((Z56-AA56)/AA56),-ABS((AA56-Z56)/AA56))</f>
        <v/>
      </c>
      <c r="AC56" s="167" t="n"/>
      <c r="AD56" s="493">
        <f>G76</f>
        <v/>
      </c>
      <c r="AE56" s="493">
        <f>H76</f>
        <v/>
      </c>
      <c r="AF56" s="479">
        <f>IF(AD56&gt;AE56,ABS((AD56-AE56)/AE56),-ABS((AE56-AD56)/AE56))</f>
        <v/>
      </c>
      <c r="AG56" s="483" t="n"/>
      <c r="AH56" s="158" t="inlineStr">
        <is>
          <t>Vergi Öncesi Kar</t>
        </is>
      </c>
      <c r="AI56" s="497">
        <f>'Tahmin Data'!K87/0.4</f>
        <v/>
      </c>
      <c r="AJ56" s="497">
        <f>'Tahmin Data'!M87/0.4</f>
        <v/>
      </c>
      <c r="AK56" s="497">
        <f>'C-Döviz'!AI196</f>
        <v/>
      </c>
      <c r="AL56" s="481">
        <f>IF(AJ56&gt;AK56,ABS((AJ56-AK56)/AK56),-ABS((AK56-AJ56)/AK56))</f>
        <v/>
      </c>
    </row>
    <row r="57" ht="10.5" customHeight="1" thickBot="1">
      <c r="B57" s="149" t="inlineStr">
        <is>
          <t xml:space="preserve">ISM </t>
        </is>
      </c>
      <c r="C57" s="156">
        <f>'A -Döviz'!C116</f>
        <v/>
      </c>
      <c r="D57" s="156">
        <f>'A -Döviz'!B116</f>
        <v/>
      </c>
      <c r="E57" s="229">
        <f>IF(C57&gt;D57,ABS((C57-D57)/D57),-ABS((D57-C57)/D57))</f>
        <v/>
      </c>
      <c r="F57" s="155" t="n"/>
      <c r="G57" s="156">
        <f>'C-Döviz'!C116</f>
        <v/>
      </c>
      <c r="H57" s="156">
        <f>'C-Döviz'!B116</f>
        <v/>
      </c>
      <c r="I57" s="229">
        <f>IF(G57&gt;H57,ABS((G57-H57)/H57),-ABS((H57-G57)/H57))</f>
        <v/>
      </c>
      <c r="J57" s="157" t="n"/>
      <c r="K57" s="226">
        <f>B57</f>
        <v/>
      </c>
      <c r="L57" s="227">
        <f>'Tahmin Data'!G46</f>
        <v/>
      </c>
      <c r="M57" s="227">
        <f>'Tahmin Data'!I46</f>
        <v/>
      </c>
      <c r="N57" s="227">
        <f>'Tahmin Data'!K46</f>
        <v/>
      </c>
      <c r="O57" s="227">
        <f>'Tahmin Data'!M46</f>
        <v/>
      </c>
      <c r="P57" s="227">
        <f>'Tahmin Data'!O46</f>
        <v/>
      </c>
      <c r="Q57" s="227">
        <f>'Tahmin Data'!Q46</f>
        <v/>
      </c>
      <c r="R57" s="227">
        <f>'Tahmin Data'!S46</f>
        <v/>
      </c>
      <c r="S57" s="227">
        <f>'Tahmin Data'!U46</f>
        <v/>
      </c>
      <c r="T57" s="227">
        <f>'Tahmin Data'!W46</f>
        <v/>
      </c>
      <c r="U57" s="227">
        <f>G57</f>
        <v/>
      </c>
      <c r="V57" s="204">
        <f>'Bütçe aylık-Eur'!N61</f>
        <v/>
      </c>
      <c r="W57" s="229">
        <f>IF(U57&gt;V57,ABS((U57-V57)/V57),-ABS((V57-U57)/V57))</f>
        <v/>
      </c>
      <c r="Y57" s="158" t="inlineStr">
        <is>
          <t>Vergi Öncesi Kar</t>
        </is>
      </c>
      <c r="Z57" s="496">
        <f>C141</f>
        <v/>
      </c>
      <c r="AA57" s="496">
        <f>D141</f>
        <v/>
      </c>
      <c r="AB57" s="479">
        <f>IF(Z57&gt;AA57,ABS((Z57-AA57)/AA57),-ABS((AA57-Z57)/AA57))</f>
        <v/>
      </c>
      <c r="AC57" s="482" t="n"/>
      <c r="AD57" s="496">
        <f>G141</f>
        <v/>
      </c>
      <c r="AE57" s="496">
        <f>H141</f>
        <v/>
      </c>
      <c r="AF57" s="479">
        <f>IF(AD57&gt;AE57,ABS((AD57-AE57)/AE57),-ABS((AE57-AD57)/AE57))</f>
        <v/>
      </c>
      <c r="AG57" s="162" t="n"/>
      <c r="AH57" s="169" t="inlineStr">
        <is>
          <t>Operasyonel Nakit</t>
        </is>
      </c>
      <c r="AI57" s="498">
        <f>'Tahmin Data'!K143/0.4</f>
        <v/>
      </c>
      <c r="AJ57" s="498">
        <f>'Tahmin Data'!M143/0.4</f>
        <v/>
      </c>
      <c r="AK57" s="498">
        <f>'C-Döviz'!AI298</f>
        <v/>
      </c>
      <c r="AL57" s="499">
        <f>IF(AJ57&gt;AK57,ABS((AJ57-AK57)/AK57),-ABS((AK57-AJ57)/AK57))</f>
        <v/>
      </c>
    </row>
    <row r="58" ht="10.5" customHeight="1">
      <c r="B58" s="149" t="inlineStr">
        <is>
          <t xml:space="preserve">İncitaş </t>
        </is>
      </c>
      <c r="C58" s="156">
        <f>'A -Döviz'!C117</f>
        <v/>
      </c>
      <c r="D58" s="156">
        <f>'A -Döviz'!B117</f>
        <v/>
      </c>
      <c r="E58" s="229">
        <f>IF(C58&gt;D58,ABS((C58-D58)/D58),-ABS((D58-C58)/D58))</f>
        <v/>
      </c>
      <c r="F58" s="155" t="n"/>
      <c r="G58" s="156">
        <f>'C-Döviz'!C117</f>
        <v/>
      </c>
      <c r="H58" s="156">
        <f>'C-Döviz'!B117</f>
        <v/>
      </c>
      <c r="I58" s="229">
        <f>IF(G58&gt;H58,ABS((G58-H58)/H58),-ABS((H58-G58)/H58))</f>
        <v/>
      </c>
      <c r="J58" s="157" t="n"/>
      <c r="K58" s="226">
        <f>B58</f>
        <v/>
      </c>
      <c r="L58" s="227">
        <f>'Tahmin Data'!G45</f>
        <v/>
      </c>
      <c r="M58" s="227">
        <f>'Tahmin Data'!I45</f>
        <v/>
      </c>
      <c r="N58" s="227">
        <f>'Tahmin Data'!K45</f>
        <v/>
      </c>
      <c r="O58" s="227">
        <f>'Tahmin Data'!M45</f>
        <v/>
      </c>
      <c r="P58" s="227">
        <f>'Tahmin Data'!O45</f>
        <v/>
      </c>
      <c r="Q58" s="227">
        <f>'Tahmin Data'!Q45</f>
        <v/>
      </c>
      <c r="R58" s="227">
        <f>'Tahmin Data'!S45</f>
        <v/>
      </c>
      <c r="S58" s="227">
        <f>'Tahmin Data'!U45</f>
        <v/>
      </c>
      <c r="T58" s="227">
        <f>'Tahmin Data'!W45</f>
        <v/>
      </c>
      <c r="U58" s="227">
        <f>G58</f>
        <v/>
      </c>
      <c r="V58" s="204">
        <f>'Bütçe aylık-Eur'!N62</f>
        <v/>
      </c>
      <c r="W58" s="229">
        <f>IF(U58&gt;V58,ABS((U58-V58)/V58),-ABS((V58-U58)/V58))</f>
        <v/>
      </c>
      <c r="Y58" s="158" t="inlineStr">
        <is>
          <t>Operasyonel Nakit</t>
        </is>
      </c>
      <c r="Z58" s="496">
        <f>C180</f>
        <v/>
      </c>
      <c r="AA58" s="496">
        <f>D180</f>
        <v/>
      </c>
      <c r="AB58" s="479">
        <f>IF(Z58&gt;AA58,ABS((Z58-AA58)/AA58),-ABS((AA58-Z58)/AA58))</f>
        <v/>
      </c>
      <c r="AC58" s="482" t="n"/>
      <c r="AD58" s="496">
        <f>G180</f>
        <v/>
      </c>
      <c r="AE58" s="496">
        <f>H180</f>
        <v/>
      </c>
      <c r="AF58" s="479">
        <f>IF(AD58&gt;AE58,ABS((AD58-AE58)/AE58),-ABS((AE58-AD58)/AE58))</f>
        <v/>
      </c>
      <c r="AG58" s="162" t="n"/>
    </row>
    <row r="59" ht="10.5" customHeight="1">
      <c r="B59" s="149" t="inlineStr">
        <is>
          <t xml:space="preserve">İnci GS Yuasa </t>
        </is>
      </c>
      <c r="C59" s="156">
        <f>'A -Döviz'!C118</f>
        <v/>
      </c>
      <c r="D59" s="156">
        <f>'A -Döviz'!B118</f>
        <v/>
      </c>
      <c r="E59" s="229">
        <f>IF(C59&gt;D59,ABS((C59-D59)/D59),-ABS((D59-C59)/D59))</f>
        <v/>
      </c>
      <c r="F59" s="155" t="n"/>
      <c r="G59" s="156">
        <f>'C-Döviz'!C118</f>
        <v/>
      </c>
      <c r="H59" s="156">
        <f>'C-Döviz'!B118</f>
        <v/>
      </c>
      <c r="I59" s="229">
        <f>IF(G59&gt;H59,ABS((G59-H59)/H59),-ABS((H59-G59)/H59))</f>
        <v/>
      </c>
      <c r="J59" s="157" t="n"/>
      <c r="K59" s="226">
        <f>B59</f>
        <v/>
      </c>
      <c r="L59" s="227">
        <f>'Tahmin Data'!G43/0.4</f>
        <v/>
      </c>
      <c r="M59" s="227">
        <f>'Tahmin Data'!I43/0.4</f>
        <v/>
      </c>
      <c r="N59" s="227">
        <f>'Tahmin Data'!K43/0.4</f>
        <v/>
      </c>
      <c r="O59" s="227">
        <f>'Tahmin Data'!M43/0.4</f>
        <v/>
      </c>
      <c r="P59" s="227">
        <f>'Tahmin Data'!O43/0.4</f>
        <v/>
      </c>
      <c r="Q59" s="227">
        <f>'Tahmin Data'!Q43/0.4</f>
        <v/>
      </c>
      <c r="R59" s="227">
        <f>'Tahmin Data'!S43/0.4</f>
        <v/>
      </c>
      <c r="S59" s="227">
        <f>'Tahmin Data'!U43/0.4</f>
        <v/>
      </c>
      <c r="T59" s="227">
        <f>'Tahmin Data'!W43/0.4</f>
        <v/>
      </c>
      <c r="U59" s="227">
        <f>G59</f>
        <v/>
      </c>
      <c r="V59" s="204">
        <f>'Bütçe aylık-Eur'!N63</f>
        <v/>
      </c>
      <c r="W59" s="229">
        <f>IF(U59&gt;V59,ABS((U59-V59)/V59),-ABS((V59-U59)/V59))</f>
        <v/>
      </c>
      <c r="Y59" s="158" t="inlineStr">
        <is>
          <t>Yatırım</t>
        </is>
      </c>
      <c r="Z59" s="496">
        <f>C193</f>
        <v/>
      </c>
      <c r="AA59" s="496">
        <f>D193</f>
        <v/>
      </c>
      <c r="AB59" s="479">
        <f>IF(Z59&gt;AA59,ABS((Z59-AA59)/AA59),-ABS((AA59-Z59)/AA59))</f>
        <v/>
      </c>
      <c r="AC59" s="482" t="n"/>
      <c r="AD59" s="496">
        <f>G193</f>
        <v/>
      </c>
      <c r="AE59" s="496">
        <f>H193</f>
        <v/>
      </c>
      <c r="AF59" s="479">
        <f>IF(AD59&gt;AE59,ABS((AD59-AE59)/AE59),-ABS((AE59-AD59)/AE59))</f>
        <v/>
      </c>
      <c r="AG59" s="162" t="n"/>
    </row>
    <row r="60" ht="10.5" customHeight="1" thickBot="1">
      <c r="A60" s="157" t="n"/>
      <c r="B60" s="149" t="inlineStr">
        <is>
          <t xml:space="preserve">Yusen İnci Loj. </t>
        </is>
      </c>
      <c r="C60" s="156">
        <f>'A -Döviz'!C119</f>
        <v/>
      </c>
      <c r="D60" s="156">
        <f>'A -Döviz'!B119</f>
        <v/>
      </c>
      <c r="E60" s="229">
        <f>IF(C60&gt;D60,ABS((C60-D60)/D60),-ABS((D60-C60)/D60))</f>
        <v/>
      </c>
      <c r="F60" s="155" t="n"/>
      <c r="G60" s="156">
        <f>'C-Döviz'!C119</f>
        <v/>
      </c>
      <c r="H60" s="156">
        <f>'C-Döviz'!B119</f>
        <v/>
      </c>
      <c r="I60" s="229">
        <f>IF(G60&gt;H60,ABS((G60-H60)/H60),-ABS((H60-G60)/H60))</f>
        <v/>
      </c>
      <c r="J60" s="157" t="n"/>
      <c r="K60" s="226">
        <f>B60</f>
        <v/>
      </c>
      <c r="L60" s="227">
        <f>'Tahmin Data'!G50/0.4</f>
        <v/>
      </c>
      <c r="M60" s="227">
        <f>'Tahmin Data'!I50/0.4</f>
        <v/>
      </c>
      <c r="N60" s="227">
        <f>'Tahmin Data'!K50/0.4</f>
        <v/>
      </c>
      <c r="O60" s="227">
        <f>'Tahmin Data'!M50/0.4</f>
        <v/>
      </c>
      <c r="P60" s="227">
        <f>'Tahmin Data'!O50/0.4</f>
        <v/>
      </c>
      <c r="Q60" s="227">
        <f>'Tahmin Data'!Q50/0.4</f>
        <v/>
      </c>
      <c r="R60" s="227">
        <f>'Tahmin Data'!S50/0.4</f>
        <v/>
      </c>
      <c r="S60" s="227">
        <f>'Tahmin Data'!U50/0.4</f>
        <v/>
      </c>
      <c r="T60" s="227">
        <f>'Tahmin Data'!W50/0.4</f>
        <v/>
      </c>
      <c r="U60" s="227">
        <f>G60</f>
        <v/>
      </c>
      <c r="V60" s="204">
        <f>'Bütçe aylık-Eur'!N64</f>
        <v/>
      </c>
      <c r="W60" s="229">
        <f>IF(U60&gt;V60,ABS((U60-V60)/V60),-ABS((V60-U60)/V60))</f>
        <v/>
      </c>
      <c r="Y60" s="169" t="inlineStr">
        <is>
          <t>Net Finansal Nakit (Borç)</t>
        </is>
      </c>
      <c r="Z60" s="500">
        <f>C219</f>
        <v/>
      </c>
      <c r="AA60" s="500">
        <f>D219</f>
        <v/>
      </c>
      <c r="AB60" s="491">
        <f>IF(Z60&gt;AA60,ABS((Z60-AA60)/AA60),-ABS((AA60-Z60)/AA60))</f>
        <v/>
      </c>
      <c r="AC60" s="482" t="n"/>
      <c r="AD60" s="500">
        <f>G219</f>
        <v/>
      </c>
      <c r="AE60" s="500">
        <f>H219</f>
        <v/>
      </c>
      <c r="AF60" s="491">
        <f>IF(AD60&gt;AE60,ABS((AD60-AE60)/AE60),-ABS((AE60-AD60)/AE60))</f>
        <v/>
      </c>
      <c r="AG60" s="162" t="n"/>
    </row>
    <row r="61" ht="10.5" customHeight="1">
      <c r="A61" s="157" t="n"/>
      <c r="B61" s="149" t="inlineStr">
        <is>
          <t xml:space="preserve">Jantaş </t>
        </is>
      </c>
      <c r="C61" s="156">
        <f>'A -Döviz'!C120</f>
        <v/>
      </c>
      <c r="D61" s="156">
        <f>'A -Döviz'!B120</f>
        <v/>
      </c>
      <c r="E61" s="229">
        <f>IF(C61&gt;D61,ABS((C61-D61)/D61),-ABS((D61-C61)/D61))</f>
        <v/>
      </c>
      <c r="F61" s="155" t="n"/>
      <c r="G61" s="156">
        <f>'C-Döviz'!C120</f>
        <v/>
      </c>
      <c r="H61" s="156">
        <f>'C-Döviz'!B120</f>
        <v/>
      </c>
      <c r="I61" s="229">
        <f>IF(G61&gt;H61,ABS((G61-H61)/H61),-ABS((H61-G61)/H61))</f>
        <v/>
      </c>
      <c r="J61" s="157" t="n"/>
      <c r="K61" s="226">
        <f>B61</f>
        <v/>
      </c>
      <c r="L61" s="227">
        <f>'Tahmin Data'!G49/0.4</f>
        <v/>
      </c>
      <c r="M61" s="227">
        <f>'Tahmin Data'!I49/0.4</f>
        <v/>
      </c>
      <c r="N61" s="227">
        <f>'Tahmin Data'!K49/0.4</f>
        <v/>
      </c>
      <c r="O61" s="227">
        <f>'Tahmin Data'!M49/0.4</f>
        <v/>
      </c>
      <c r="P61" s="227">
        <f>'Tahmin Data'!O49/0.4</f>
        <v/>
      </c>
      <c r="Q61" s="227">
        <f>'Tahmin Data'!Q49/0.4</f>
        <v/>
      </c>
      <c r="R61" s="227">
        <f>'Tahmin Data'!S49/0.4</f>
        <v/>
      </c>
      <c r="S61" s="227">
        <f>'Tahmin Data'!U49/0.4</f>
        <v/>
      </c>
      <c r="T61" s="227">
        <f>'Tahmin Data'!W49/0.4</f>
        <v/>
      </c>
      <c r="U61" s="227">
        <f>G61</f>
        <v/>
      </c>
      <c r="V61" s="204">
        <f>'Bütçe aylık-Eur'!N65</f>
        <v/>
      </c>
      <c r="W61" s="229">
        <f>IF(U61&gt;V61,ABS((U61-V61)/V61),-ABS((V61-U61)/V61))</f>
        <v/>
      </c>
    </row>
    <row r="62">
      <c r="A62" s="157" t="n"/>
      <c r="B62" s="149" t="inlineStr">
        <is>
          <t xml:space="preserve">Çelik </t>
        </is>
      </c>
      <c r="C62" s="156">
        <f>'A -Döviz'!C121</f>
        <v/>
      </c>
      <c r="D62" s="156">
        <f>'A -Döviz'!B121</f>
        <v/>
      </c>
      <c r="E62" s="229">
        <f>IF(C62&gt;D62,ABS((C62-D62)/D62),-ABS((D62-C62)/D62))</f>
        <v/>
      </c>
      <c r="F62" s="155" t="n"/>
      <c r="G62" s="156">
        <f>'C-Döviz'!C121</f>
        <v/>
      </c>
      <c r="H62" s="156">
        <f>'C-Döviz'!B121</f>
        <v/>
      </c>
      <c r="I62" s="229">
        <f>IF(G62&gt;H62,ABS((G62-H62)/H62),-ABS((H62-G62)/H62))</f>
        <v/>
      </c>
      <c r="J62" s="157" t="n"/>
      <c r="K62" s="226">
        <f>B62</f>
        <v/>
      </c>
      <c r="L62" s="227">
        <f>'Tahmin Data'!G48/0.4</f>
        <v/>
      </c>
      <c r="M62" s="227">
        <f>'Tahmin Data'!I48/0.4</f>
        <v/>
      </c>
      <c r="N62" s="227">
        <f>'Tahmin Data'!K48/0.4</f>
        <v/>
      </c>
      <c r="O62" s="227">
        <f>'Tahmin Data'!M48/0.4</f>
        <v/>
      </c>
      <c r="P62" s="227">
        <f>'Tahmin Data'!O48/0.4</f>
        <v/>
      </c>
      <c r="Q62" s="227">
        <f>'Tahmin Data'!Q48/0.4</f>
        <v/>
      </c>
      <c r="R62" s="227">
        <f>'Tahmin Data'!S48/0.4</f>
        <v/>
      </c>
      <c r="S62" s="227">
        <f>'Tahmin Data'!U48/0.4</f>
        <v/>
      </c>
      <c r="T62" s="227">
        <f>'Tahmin Data'!W48/0.4</f>
        <v/>
      </c>
      <c r="U62" s="227">
        <f>G62</f>
        <v/>
      </c>
      <c r="V62" s="204">
        <f>'Bütçe aylık-Eur'!N66</f>
        <v/>
      </c>
      <c r="W62" s="229">
        <f>IF(U62&gt;V62,ABS((U62-V62)/V62),-ABS((V62-U62)/V62))</f>
        <v/>
      </c>
      <c r="Y62" s="453">
        <f>B10</f>
        <v/>
      </c>
      <c r="Z62" s="453" t="inlineStr">
        <is>
          <t>AYLIK</t>
        </is>
      </c>
      <c r="AC62" s="152" t="n"/>
      <c r="AD62" s="453" t="n"/>
      <c r="AE62" s="453" t="inlineStr">
        <is>
          <t>KÜMÜLATİF</t>
        </is>
      </c>
      <c r="AF62" s="453" t="n"/>
      <c r="AG62" s="153" t="n"/>
      <c r="AH62" s="453">
        <f>Y62</f>
        <v/>
      </c>
      <c r="AI62" s="453" t="n"/>
      <c r="AJ62" s="453" t="inlineStr">
        <is>
          <t>Yıl Sonu Tahmini</t>
        </is>
      </c>
    </row>
    <row r="63" ht="10.5" customHeight="1" thickBot="1">
      <c r="A63" s="157" t="n"/>
      <c r="B63" s="149" t="inlineStr">
        <is>
          <t xml:space="preserve">Alüminyum </t>
        </is>
      </c>
      <c r="C63" s="156">
        <f>'A -Döviz'!C122</f>
        <v/>
      </c>
      <c r="D63" s="156">
        <f>'A -Döviz'!B122</f>
        <v/>
      </c>
      <c r="E63" s="229">
        <f>IF(C63&gt;D63,ABS((C63-D63)/D63),-ABS((D63-C63)/D63))</f>
        <v/>
      </c>
      <c r="F63" s="155" t="n"/>
      <c r="G63" s="156">
        <f>'C-Döviz'!C122</f>
        <v/>
      </c>
      <c r="H63" s="156">
        <f>'C-Döviz'!B122</f>
        <v/>
      </c>
      <c r="I63" s="229">
        <f>IF(G63&gt;H63,ABS((G63-H63)/H63),-ABS((H63-G63)/H63))</f>
        <v/>
      </c>
      <c r="J63" s="157" t="n"/>
      <c r="K63" s="231">
        <f>B63</f>
        <v/>
      </c>
      <c r="L63" s="232">
        <f>'Tahmin Data'!G47/0.4</f>
        <v/>
      </c>
      <c r="M63" s="232">
        <f>'Tahmin Data'!I47/0.4</f>
        <v/>
      </c>
      <c r="N63" s="232">
        <f>'Tahmin Data'!K47/0.4</f>
        <v/>
      </c>
      <c r="O63" s="232">
        <f>'Tahmin Data'!M47/0.4</f>
        <v/>
      </c>
      <c r="P63" s="232">
        <f>'Tahmin Data'!O47/0.4</f>
        <v/>
      </c>
      <c r="Q63" s="232">
        <f>'Tahmin Data'!Q47/0.4</f>
        <v/>
      </c>
      <c r="R63" s="232">
        <f>'Tahmin Data'!S47/0.4</f>
        <v/>
      </c>
      <c r="S63" s="232">
        <f>'Tahmin Data'!U47/0.4</f>
        <v/>
      </c>
      <c r="T63" s="232">
        <f>'Tahmin Data'!W47/0.4</f>
        <v/>
      </c>
      <c r="U63" s="232">
        <f>G63</f>
        <v/>
      </c>
      <c r="V63" s="205">
        <f>'Bütçe aylık-Eur'!N67</f>
        <v/>
      </c>
      <c r="W63" s="264">
        <f>IF(U63&gt;V63,ABS((U63-V63)/V63),-ABS((V63-U63)/V63))</f>
        <v/>
      </c>
      <c r="Y63" s="453" t="inlineStr">
        <is>
          <t>(EUR)</t>
        </is>
      </c>
      <c r="Z63" s="453" t="inlineStr">
        <is>
          <t>Gerçekleşen</t>
        </is>
      </c>
      <c r="AA63" s="453" t="inlineStr">
        <is>
          <t>Bütçe</t>
        </is>
      </c>
      <c r="AB63" s="453" t="inlineStr">
        <is>
          <t>Sapma %</t>
        </is>
      </c>
      <c r="AC63" s="152" t="n"/>
      <c r="AD63" s="453" t="inlineStr">
        <is>
          <t>Gerçekleşen</t>
        </is>
      </c>
      <c r="AE63" s="453" t="inlineStr">
        <is>
          <t>Bütçe</t>
        </is>
      </c>
      <c r="AF63" s="453" t="inlineStr">
        <is>
          <t>Sapma %</t>
        </is>
      </c>
      <c r="AG63" s="153" t="n"/>
      <c r="AH63" s="453" t="inlineStr">
        <is>
          <t>(EUR)</t>
        </is>
      </c>
      <c r="AI63" s="453">
        <f>$AI$3</f>
        <v/>
      </c>
      <c r="AJ63" s="453">
        <f>$AJ$3</f>
        <v/>
      </c>
      <c r="AK63" s="453" t="inlineStr">
        <is>
          <t>Bütçe</t>
        </is>
      </c>
      <c r="AL63" s="453" t="inlineStr">
        <is>
          <t>Sapma %</t>
        </is>
      </c>
    </row>
    <row r="64" ht="10.5" customHeight="1" thickBot="1">
      <c r="A64" s="157" t="n"/>
      <c r="B64" s="169" t="inlineStr">
        <is>
          <t xml:space="preserve">Kombine </t>
        </is>
      </c>
      <c r="C64" s="192">
        <f>'A -Döviz'!C112</f>
        <v/>
      </c>
      <c r="D64" s="192">
        <f>'A -Döviz'!B112</f>
        <v/>
      </c>
      <c r="E64" s="488">
        <f>IF(C64&gt;D64,ABS((C64-D64)/D64),-ABS((D64-C64)/D64))</f>
        <v/>
      </c>
      <c r="F64" s="154" t="n"/>
      <c r="G64" s="192">
        <f>'C-Döviz'!C112</f>
        <v/>
      </c>
      <c r="H64" s="192">
        <f>'C-Döviz'!B112</f>
        <v/>
      </c>
      <c r="I64" s="260">
        <f>IF(G64&gt;H64,ABS((G64-H64)/H64),-ABS((H64-G64)/H64))</f>
        <v/>
      </c>
      <c r="J64" s="194" t="n"/>
      <c r="K64" s="263" t="inlineStr">
        <is>
          <t>Kombine</t>
        </is>
      </c>
      <c r="L64" s="248">
        <f>SUM('Tahmin Data'!G43:G50)</f>
        <v/>
      </c>
      <c r="M64" s="248">
        <f>SUM('Tahmin Data'!I43:I50)</f>
        <v/>
      </c>
      <c r="N64" s="248">
        <f>SUM('Tahmin Data'!K43:K50)</f>
        <v/>
      </c>
      <c r="O64" s="248">
        <f>SUM('Tahmin Data'!M43:M50)</f>
        <v/>
      </c>
      <c r="P64" s="248">
        <f>SUM('Tahmin Data'!O43:O50)</f>
        <v/>
      </c>
      <c r="Q64" s="248">
        <f>SUM('Tahmin Data'!Q43:Q50)</f>
        <v/>
      </c>
      <c r="R64" s="248">
        <f>SUM('Tahmin Data'!S43:S50)</f>
        <v/>
      </c>
      <c r="S64" s="248">
        <f>SUM('Tahmin Data'!U43:U50)</f>
        <v/>
      </c>
      <c r="T64" s="248">
        <f>SUM('Tahmin Data'!W43:W50)</f>
        <v/>
      </c>
      <c r="U64" s="248">
        <f t="array" ref="U64">SUM(U56:U58,(U59:U63)*0.4)</f>
        <v/>
      </c>
      <c r="V64" s="248">
        <f>'Bütçe aylık-Eur'!N59</f>
        <v/>
      </c>
      <c r="W64" s="229">
        <f>IF(U64&gt;V64,ABS((U64-V64)/V64),-ABS((V64-U64)/V64))</f>
        <v/>
      </c>
      <c r="Y64" s="158" t="inlineStr">
        <is>
          <t>Satışlar</t>
        </is>
      </c>
      <c r="Z64" s="496">
        <f>C10</f>
        <v/>
      </c>
      <c r="AA64" s="496">
        <f>D10</f>
        <v/>
      </c>
      <c r="AB64" s="479">
        <f>IF(Z64&gt;AA64,ABS((Z64-AA64)/AA64),-ABS((AA64-Z64)/AA64))</f>
        <v/>
      </c>
      <c r="AC64" s="482" t="n"/>
      <c r="AD64" s="496">
        <f>G10</f>
        <v/>
      </c>
      <c r="AE64" s="496">
        <f>H10</f>
        <v/>
      </c>
      <c r="AF64" s="479">
        <f>IF(AD64&gt;AE64,ABS((AD64-AE64)/AE64),-ABS((AE64-AD64)/AE64))</f>
        <v/>
      </c>
      <c r="AG64" s="162" t="n"/>
      <c r="AH64" s="158" t="inlineStr">
        <is>
          <t>Satışlar</t>
        </is>
      </c>
      <c r="AI64" s="497">
        <f>'Tahmin Data'!K8/0.4</f>
        <v/>
      </c>
      <c r="AJ64" s="497">
        <f>'Tahmin Data'!M8/0.4</f>
        <v/>
      </c>
      <c r="AK64" s="497">
        <f>'C-Döviz'!AI15</f>
        <v/>
      </c>
      <c r="AL64" s="481">
        <f>IF(AJ64&gt;AK64,ABS((AJ64-AK64)/AK64),-ABS((AK64-AJ64)/AK64))</f>
        <v/>
      </c>
    </row>
    <row r="65" ht="10.5" customHeight="1" thickBot="1">
      <c r="A65" s="157" t="n"/>
      <c r="K65" s="249" t="inlineStr">
        <is>
          <t>Toplam</t>
        </is>
      </c>
      <c r="L65" s="239">
        <f>SUM(L56:L63)</f>
        <v/>
      </c>
      <c r="M65" s="239">
        <f>SUM(M56:M63)</f>
        <v/>
      </c>
      <c r="N65" s="239">
        <f>SUM(N56:N63)</f>
        <v/>
      </c>
      <c r="O65" s="239">
        <f>SUM(O56:O63)</f>
        <v/>
      </c>
      <c r="P65" s="239">
        <f>SUM(P56:P63)</f>
        <v/>
      </c>
      <c r="Q65" s="239">
        <f>SUM(Q56:Q63)</f>
        <v/>
      </c>
      <c r="R65" s="239">
        <f>SUM(R56:R63)</f>
        <v/>
      </c>
      <c r="S65" s="239">
        <f>SUM(S56:S63)</f>
        <v/>
      </c>
      <c r="T65" s="239">
        <f>SUM(T56:T63)</f>
        <v/>
      </c>
      <c r="U65" s="239">
        <f>SUM(U56:U63)</f>
        <v/>
      </c>
      <c r="V65" s="239">
        <f>SUM(V56:V63)</f>
        <v/>
      </c>
      <c r="W65" s="264">
        <f>IF(U65&gt;V65,ABS((U65-V65)/V65),-ABS((V65-U65)/V65))</f>
        <v/>
      </c>
      <c r="Y65" s="158" t="inlineStr">
        <is>
          <t>Ebitda</t>
        </is>
      </c>
      <c r="Z65" s="496">
        <f>C88</f>
        <v/>
      </c>
      <c r="AA65" s="496">
        <f>D88</f>
        <v/>
      </c>
      <c r="AB65" s="479">
        <f>IF(Z65&gt;AA65,ABS((Z65-AA65)/AA65),-ABS((AA65-Z65)/AA65))</f>
        <v/>
      </c>
      <c r="AC65" s="482" t="n"/>
      <c r="AD65" s="496">
        <f>G88</f>
        <v/>
      </c>
      <c r="AE65" s="496">
        <f>H88</f>
        <v/>
      </c>
      <c r="AF65" s="479">
        <f>IF(AD65&gt;AE65,ABS((AD65-AE65)/AE65),-ABS((AE65-AD65)/AE65))</f>
        <v/>
      </c>
      <c r="AG65" s="162" t="n"/>
      <c r="AH65" s="158" t="inlineStr">
        <is>
          <t>Ebitda</t>
        </is>
      </c>
      <c r="AI65" s="497">
        <f>'Tahmin Data'!K64/0.4</f>
        <v/>
      </c>
      <c r="AJ65" s="497">
        <f>'Tahmin Data'!M64/0.4</f>
        <v/>
      </c>
      <c r="AK65" s="497">
        <f>'C-Döviz'!AI145</f>
        <v/>
      </c>
      <c r="AL65" s="492">
        <f>IF(AJ65&gt;AK65,ABS((AJ65-AK65)/AK65),-ABS((AK65-AJ65)/AK65))</f>
        <v/>
      </c>
    </row>
    <row r="66" ht="10.5" customHeight="1">
      <c r="A66" s="157" t="n"/>
      <c r="V66" s="194" t="n"/>
      <c r="Y66" s="158" t="inlineStr">
        <is>
          <t>Ebitda %</t>
        </is>
      </c>
      <c r="Z66" s="493">
        <f>C75</f>
        <v/>
      </c>
      <c r="AA66" s="493">
        <f>D75</f>
        <v/>
      </c>
      <c r="AB66" s="479">
        <f>IF(Z66&gt;AA66,ABS((Z66-AA66)/AA66),-ABS((AA66-Z66)/AA66))</f>
        <v/>
      </c>
      <c r="AC66" s="167" t="n"/>
      <c r="AD66" s="493">
        <f>G75</f>
        <v/>
      </c>
      <c r="AE66" s="493">
        <f>H75</f>
        <v/>
      </c>
      <c r="AF66" s="479">
        <f>IF(AD66&gt;AE66,ABS((AD66-AE66)/AE66),-ABS((AE66-AD66)/AE66))</f>
        <v/>
      </c>
      <c r="AG66" s="483" t="n"/>
      <c r="AH66" s="158" t="inlineStr">
        <is>
          <t>Vergi Öncesi Kar</t>
        </is>
      </c>
      <c r="AI66" s="497">
        <f>'Tahmin Data'!K88/0.4</f>
        <v/>
      </c>
      <c r="AJ66" s="497">
        <f>'Tahmin Data'!M88/0.4</f>
        <v/>
      </c>
      <c r="AK66" s="497">
        <f>'C-Döviz'!AI195</f>
        <v/>
      </c>
      <c r="AL66" s="492">
        <f>IF(AJ66&gt;AK66,ABS((AJ66-AK66)/AK66),-ABS((AK66-AJ66)/AK66))</f>
        <v/>
      </c>
    </row>
    <row r="67" ht="10.5" customHeight="1" thickBot="1">
      <c r="A67" s="157" t="n"/>
      <c r="B67" s="209" t="inlineStr">
        <is>
          <t>EBIT Marjı</t>
        </is>
      </c>
      <c r="C67" s="451" t="inlineStr">
        <is>
          <t>AYLIK</t>
        </is>
      </c>
      <c r="F67" s="451" t="n"/>
      <c r="G67" s="451" t="n"/>
      <c r="H67" s="451" t="inlineStr">
        <is>
          <t>KÜMÜLATİF</t>
        </is>
      </c>
      <c r="I67" s="451" t="n"/>
      <c r="J67" s="195" t="n"/>
      <c r="K67" s="214" t="inlineStr">
        <is>
          <t>EBIT Marjı Tahmin</t>
        </is>
      </c>
      <c r="L67" s="214" t="n"/>
      <c r="M67" s="214" t="n"/>
      <c r="N67" s="214" t="n"/>
      <c r="O67" s="451" t="n"/>
      <c r="P67" s="451" t="n"/>
      <c r="Q67" s="451" t="n"/>
      <c r="R67" s="451" t="n"/>
      <c r="S67" s="451" t="n"/>
      <c r="T67" s="451" t="n"/>
      <c r="U67" s="451" t="n"/>
      <c r="V67" s="195" t="n"/>
      <c r="Y67" s="158" t="inlineStr">
        <is>
          <t>Vergi Öncesi Kar</t>
        </is>
      </c>
      <c r="Z67" s="496">
        <f>C140</f>
        <v/>
      </c>
      <c r="AA67" s="496">
        <f>D140</f>
        <v/>
      </c>
      <c r="AB67" s="479">
        <f>IF(Z67&gt;AA67,ABS((Z67-AA67)/AA67),-ABS((AA67-Z67)/AA67))</f>
        <v/>
      </c>
      <c r="AC67" s="482" t="n"/>
      <c r="AD67" s="496">
        <f>G140</f>
        <v/>
      </c>
      <c r="AE67" s="496">
        <f>H140</f>
        <v/>
      </c>
      <c r="AF67" s="479">
        <f>IF(AD67&gt;AE67,ABS((AD67-AE67)/AE67),-ABS((AE67-AD67)/AE67))</f>
        <v/>
      </c>
      <c r="AG67" s="162" t="n"/>
      <c r="AH67" s="169" t="inlineStr">
        <is>
          <t>Operasyonel Nakit</t>
        </is>
      </c>
      <c r="AI67" s="498">
        <f>'Tahmin Data'!K144/0.4</f>
        <v/>
      </c>
      <c r="AJ67" s="498">
        <f>'Tahmin Data'!M144/0.4</f>
        <v/>
      </c>
      <c r="AK67" s="498">
        <f>'C-Döviz'!AI297</f>
        <v/>
      </c>
      <c r="AL67" s="499">
        <f>IF(AJ67&gt;AK67,ABS((AJ67-AK67)/AK67),-ABS((AK67-AJ67)/AK67))</f>
        <v/>
      </c>
    </row>
    <row r="68" ht="10.5" customHeight="1" thickBot="1">
      <c r="A68" s="157" t="n"/>
      <c r="B68" s="169" t="n"/>
      <c r="C68" s="211" t="inlineStr">
        <is>
          <t>Gerçekleşen</t>
        </is>
      </c>
      <c r="D68" s="211" t="inlineStr">
        <is>
          <t>Bütçe</t>
        </is>
      </c>
      <c r="E68" s="211" t="inlineStr">
        <is>
          <t>Sapma %</t>
        </is>
      </c>
      <c r="F68" s="211" t="n"/>
      <c r="G68" s="211">
        <f>C68</f>
        <v/>
      </c>
      <c r="H68" s="211" t="inlineStr">
        <is>
          <t>Bütçe</t>
        </is>
      </c>
      <c r="I68" s="211" t="inlineStr">
        <is>
          <t>Sapma %</t>
        </is>
      </c>
      <c r="J68" s="152" t="n"/>
      <c r="K68" s="169" t="n"/>
      <c r="L68" s="211">
        <f>L81</f>
        <v/>
      </c>
      <c r="M68" s="211">
        <f>M81</f>
        <v/>
      </c>
      <c r="N68" s="211">
        <f>N81</f>
        <v/>
      </c>
      <c r="O68" s="219" t="inlineStr">
        <is>
          <t>Haziran</t>
        </is>
      </c>
      <c r="P68" s="219" t="inlineStr">
        <is>
          <t>Temmuz</t>
        </is>
      </c>
      <c r="Q68" s="219" t="inlineStr">
        <is>
          <t>Ağustos</t>
        </is>
      </c>
      <c r="R68" s="219" t="inlineStr">
        <is>
          <t>Eylül</t>
        </is>
      </c>
      <c r="S68" s="219" t="inlineStr">
        <is>
          <t>Ekim</t>
        </is>
      </c>
      <c r="T68" s="219" t="inlineStr">
        <is>
          <t>Kasım</t>
        </is>
      </c>
      <c r="U68" s="219" t="inlineStr">
        <is>
          <t>Gerçekleşen</t>
        </is>
      </c>
      <c r="V68" s="219" t="inlineStr">
        <is>
          <t>Bütçe</t>
        </is>
      </c>
      <c r="W68" s="262" t="inlineStr">
        <is>
          <t>Sapma %</t>
        </is>
      </c>
      <c r="Y68" s="158" t="inlineStr">
        <is>
          <t>Operasyonel Nakit</t>
        </is>
      </c>
      <c r="Z68" s="496">
        <f>C179</f>
        <v/>
      </c>
      <c r="AA68" s="496">
        <f>D179</f>
        <v/>
      </c>
      <c r="AB68" s="479">
        <f>IF(Z68&gt;AA68,ABS((Z68-AA68)/AA68),-ABS((AA68-Z68)/AA68))</f>
        <v/>
      </c>
      <c r="AC68" s="482" t="n"/>
      <c r="AD68" s="496">
        <f>G179</f>
        <v/>
      </c>
      <c r="AE68" s="496">
        <f>H179</f>
        <v/>
      </c>
      <c r="AF68" s="479">
        <f>IF(AD68&gt;AE68,ABS((AD68-AE68)/AE68),-ABS((AE68-AD68)/AE68))</f>
        <v/>
      </c>
      <c r="AG68" s="162" t="n"/>
    </row>
    <row r="69" ht="10.5" customHeight="1" thickTop="1">
      <c r="B69" s="149" t="inlineStr">
        <is>
          <t xml:space="preserve">İnci Holding  </t>
        </is>
      </c>
      <c r="C69" s="255">
        <f>C56/C4</f>
        <v/>
      </c>
      <c r="D69" s="255">
        <f>D56/D4</f>
        <v/>
      </c>
      <c r="E69" s="256">
        <f>C69-D69</f>
        <v/>
      </c>
      <c r="F69" s="255" t="n"/>
      <c r="G69" s="255">
        <f>G56/G4</f>
        <v/>
      </c>
      <c r="H69" s="255">
        <f>H56/H4</f>
        <v/>
      </c>
      <c r="I69" s="256">
        <f>G69-H69</f>
        <v/>
      </c>
      <c r="J69" s="157" t="n"/>
      <c r="K69" s="200">
        <f>B69</f>
        <v/>
      </c>
      <c r="L69" s="240">
        <f>L56/L4</f>
        <v/>
      </c>
      <c r="M69" s="240">
        <f>M56/M4</f>
        <v/>
      </c>
      <c r="N69" s="240">
        <f>N56/N4</f>
        <v/>
      </c>
      <c r="O69" s="240">
        <f>O56/O4</f>
        <v/>
      </c>
      <c r="P69" s="240">
        <f>P56/P4</f>
        <v/>
      </c>
      <c r="Q69" s="240">
        <f>Q56/Q4</f>
        <v/>
      </c>
      <c r="R69" s="240">
        <f>R56/R4</f>
        <v/>
      </c>
      <c r="S69" s="240">
        <f>S56/S4</f>
        <v/>
      </c>
      <c r="T69" s="240">
        <f>T56/T4</f>
        <v/>
      </c>
      <c r="U69" s="240">
        <f>U56/U4</f>
        <v/>
      </c>
      <c r="V69" s="240">
        <f>V56/V4</f>
        <v/>
      </c>
      <c r="W69" s="240">
        <f>U69-V69</f>
        <v/>
      </c>
      <c r="Y69" s="158" t="inlineStr">
        <is>
          <t>Yatırım</t>
        </is>
      </c>
      <c r="Z69" s="496">
        <f>C192</f>
        <v/>
      </c>
      <c r="AA69" s="496">
        <f>D192</f>
        <v/>
      </c>
      <c r="AB69" s="479">
        <f>IF(Z69&gt;AA69,ABS((Z69-AA69)/AA69),-ABS((AA69-Z69)/AA69))</f>
        <v/>
      </c>
      <c r="AC69" s="482" t="n"/>
      <c r="AD69" s="496">
        <f>G192</f>
        <v/>
      </c>
      <c r="AE69" s="496">
        <f>H192</f>
        <v/>
      </c>
      <c r="AF69" s="479">
        <f>IF(AD69&gt;AE69,ABS((AD69-AE69)/AE69),-ABS((AE69-AD69)/AE69))</f>
        <v/>
      </c>
      <c r="AG69" s="162" t="n"/>
    </row>
    <row r="70" ht="10.5" customHeight="1" thickBot="1">
      <c r="B70" s="149" t="inlineStr">
        <is>
          <t xml:space="preserve">ISM </t>
        </is>
      </c>
      <c r="C70" s="255">
        <f>C57/C5</f>
        <v/>
      </c>
      <c r="D70" s="255">
        <f>D57/D5</f>
        <v/>
      </c>
      <c r="E70" s="257">
        <f>C70-D70</f>
        <v/>
      </c>
      <c r="F70" s="255" t="n"/>
      <c r="G70" s="255">
        <f>G57/G5</f>
        <v/>
      </c>
      <c r="H70" s="255">
        <f>H57/H5</f>
        <v/>
      </c>
      <c r="I70" s="257">
        <f>G70-H70</f>
        <v/>
      </c>
      <c r="J70" s="157" t="n"/>
      <c r="K70" s="200">
        <f>B70</f>
        <v/>
      </c>
      <c r="L70" s="241">
        <f>L57/L5</f>
        <v/>
      </c>
      <c r="M70" s="241">
        <f>M57/M5</f>
        <v/>
      </c>
      <c r="N70" s="241">
        <f>N57/N5</f>
        <v/>
      </c>
      <c r="O70" s="241">
        <f>O57/O5</f>
        <v/>
      </c>
      <c r="P70" s="241">
        <f>P57/P5</f>
        <v/>
      </c>
      <c r="Q70" s="241">
        <f>Q57/Q5</f>
        <v/>
      </c>
      <c r="R70" s="241">
        <f>R57/R5</f>
        <v/>
      </c>
      <c r="S70" s="241">
        <f>S57/S5</f>
        <v/>
      </c>
      <c r="T70" s="241">
        <f>T57/T5</f>
        <v/>
      </c>
      <c r="U70" s="241">
        <f>U57/U5</f>
        <v/>
      </c>
      <c r="V70" s="241">
        <f>V57/V5</f>
        <v/>
      </c>
      <c r="W70" s="241">
        <f>U70-V70</f>
        <v/>
      </c>
      <c r="Y70" s="169" t="inlineStr">
        <is>
          <t>Net Finansal Nakit (Borç)</t>
        </is>
      </c>
      <c r="Z70" s="500">
        <f>C218</f>
        <v/>
      </c>
      <c r="AA70" s="500">
        <f>D218</f>
        <v/>
      </c>
      <c r="AB70" s="491">
        <f>IF(Z70&gt;AA70,ABS((Z70-AA70)/AA70),-ABS((AA70-Z70)/AA70))</f>
        <v/>
      </c>
      <c r="AC70" s="482" t="n"/>
      <c r="AD70" s="500">
        <f>G218</f>
        <v/>
      </c>
      <c r="AE70" s="500">
        <f>H218</f>
        <v/>
      </c>
      <c r="AF70" s="491">
        <f>IF(AD70&gt;AE70,ABS((AD70-AE70)/AE70),-ABS((AE70-AD70)/AE70))</f>
        <v/>
      </c>
      <c r="AG70" s="162" t="n"/>
    </row>
    <row r="71" ht="10.5" customHeight="1">
      <c r="B71" s="149" t="inlineStr">
        <is>
          <t xml:space="preserve">İncitaş </t>
        </is>
      </c>
      <c r="C71" s="255">
        <f>C58/C6</f>
        <v/>
      </c>
      <c r="D71" s="255">
        <f>D58/D6</f>
        <v/>
      </c>
      <c r="E71" s="257">
        <f>C71-D71</f>
        <v/>
      </c>
      <c r="F71" s="255" t="n"/>
      <c r="G71" s="255">
        <f>G58/G6</f>
        <v/>
      </c>
      <c r="H71" s="255">
        <f>H58/H6</f>
        <v/>
      </c>
      <c r="I71" s="257">
        <f>G71-H71</f>
        <v/>
      </c>
      <c r="J71" s="157" t="n"/>
      <c r="K71" s="200">
        <f>B71</f>
        <v/>
      </c>
      <c r="L71" s="241">
        <f>L58/L6</f>
        <v/>
      </c>
      <c r="M71" s="241">
        <f>M58/M6</f>
        <v/>
      </c>
      <c r="N71" s="241">
        <f>N58/N6</f>
        <v/>
      </c>
      <c r="O71" s="241">
        <f>O58/O6</f>
        <v/>
      </c>
      <c r="P71" s="241">
        <f>P58/P6</f>
        <v/>
      </c>
      <c r="Q71" s="241">
        <f>Q58/Q6</f>
        <v/>
      </c>
      <c r="R71" s="241">
        <f>R58/R6</f>
        <v/>
      </c>
      <c r="S71" s="241">
        <f>S58/S6</f>
        <v/>
      </c>
      <c r="T71" s="241">
        <f>T58/T6</f>
        <v/>
      </c>
      <c r="U71" s="241">
        <f>U58/U6</f>
        <v/>
      </c>
      <c r="V71" s="241">
        <f>V58/V6</f>
        <v/>
      </c>
      <c r="W71" s="241">
        <f>U71-V71</f>
        <v/>
      </c>
    </row>
    <row r="72" ht="10.5" customHeight="1">
      <c r="B72" s="149" t="inlineStr">
        <is>
          <t xml:space="preserve">İnci GS Yuasa </t>
        </is>
      </c>
      <c r="C72" s="255">
        <f>C59/C7</f>
        <v/>
      </c>
      <c r="D72" s="255">
        <f>D59/D7</f>
        <v/>
      </c>
      <c r="E72" s="257">
        <f>C72-D72</f>
        <v/>
      </c>
      <c r="F72" s="255" t="n"/>
      <c r="G72" s="255">
        <f>G59/G7</f>
        <v/>
      </c>
      <c r="H72" s="255">
        <f>H59/H7</f>
        <v/>
      </c>
      <c r="I72" s="257">
        <f>G72-H72</f>
        <v/>
      </c>
      <c r="J72" s="157" t="n"/>
      <c r="K72" s="200">
        <f>B72</f>
        <v/>
      </c>
      <c r="L72" s="241">
        <f>L59/L7</f>
        <v/>
      </c>
      <c r="M72" s="241">
        <f>M59/M7</f>
        <v/>
      </c>
      <c r="N72" s="241">
        <f>N59/N7</f>
        <v/>
      </c>
      <c r="O72" s="241">
        <f>O59/O7</f>
        <v/>
      </c>
      <c r="P72" s="241">
        <f>P59/P7</f>
        <v/>
      </c>
      <c r="Q72" s="241">
        <f>Q59/Q7</f>
        <v/>
      </c>
      <c r="R72" s="241">
        <f>R59/R7</f>
        <v/>
      </c>
      <c r="S72" s="241">
        <f>S59/S7</f>
        <v/>
      </c>
      <c r="T72" s="241">
        <f>T59/T7</f>
        <v/>
      </c>
      <c r="U72" s="241">
        <f>U59/U7</f>
        <v/>
      </c>
      <c r="V72" s="241">
        <f>V59/V7</f>
        <v/>
      </c>
      <c r="W72" s="241">
        <f>U72-V72</f>
        <v/>
      </c>
      <c r="Y72" s="453">
        <f>B9</f>
        <v/>
      </c>
      <c r="Z72" s="453" t="inlineStr">
        <is>
          <t>AYLIK</t>
        </is>
      </c>
      <c r="AC72" s="152" t="n"/>
      <c r="AD72" s="453" t="n"/>
      <c r="AE72" s="453" t="inlineStr">
        <is>
          <t>KÜMÜLATİF</t>
        </is>
      </c>
      <c r="AF72" s="453" t="n"/>
      <c r="AG72" s="153" t="n"/>
      <c r="AH72" s="453">
        <f>Y72</f>
        <v/>
      </c>
      <c r="AI72" s="453" t="n"/>
      <c r="AJ72" s="453" t="inlineStr">
        <is>
          <t>Yıl Sonu Tahmini</t>
        </is>
      </c>
    </row>
    <row r="73" ht="10.5" customHeight="1">
      <c r="B73" s="149" t="inlineStr">
        <is>
          <t xml:space="preserve">Yusen İnci Loj. </t>
        </is>
      </c>
      <c r="C73" s="255">
        <f>C60/C8</f>
        <v/>
      </c>
      <c r="D73" s="255">
        <f>D60/D8</f>
        <v/>
      </c>
      <c r="E73" s="257">
        <f>C73-D73</f>
        <v/>
      </c>
      <c r="F73" s="255" t="n"/>
      <c r="G73" s="255">
        <f>G60/G8</f>
        <v/>
      </c>
      <c r="H73" s="255">
        <f>H60/H8</f>
        <v/>
      </c>
      <c r="I73" s="257">
        <f>G73-H73</f>
        <v/>
      </c>
      <c r="J73" s="157" t="n"/>
      <c r="K73" s="200">
        <f>B73</f>
        <v/>
      </c>
      <c r="L73" s="241">
        <f>L60/L8</f>
        <v/>
      </c>
      <c r="M73" s="241">
        <f>M60/M8</f>
        <v/>
      </c>
      <c r="N73" s="241">
        <f>N60/N8</f>
        <v/>
      </c>
      <c r="O73" s="241">
        <f>O60/O8</f>
        <v/>
      </c>
      <c r="P73" s="241">
        <f>P60/P8</f>
        <v/>
      </c>
      <c r="Q73" s="241">
        <f>Q60/Q8</f>
        <v/>
      </c>
      <c r="R73" s="241">
        <f>R60/R8</f>
        <v/>
      </c>
      <c r="S73" s="241">
        <f>S60/S8</f>
        <v/>
      </c>
      <c r="T73" s="241">
        <f>T60/T8</f>
        <v/>
      </c>
      <c r="U73" s="241">
        <f>U60/U8</f>
        <v/>
      </c>
      <c r="V73" s="241">
        <f>V60/V8</f>
        <v/>
      </c>
      <c r="W73" s="241">
        <f>U73-V73</f>
        <v/>
      </c>
      <c r="Y73" s="453" t="inlineStr">
        <is>
          <t>(EUR)</t>
        </is>
      </c>
      <c r="Z73" s="453" t="inlineStr">
        <is>
          <t>Gerçekleşen</t>
        </is>
      </c>
      <c r="AA73" s="453" t="inlineStr">
        <is>
          <t>Bütçe</t>
        </is>
      </c>
      <c r="AB73" s="453" t="inlineStr">
        <is>
          <t>Sapma %</t>
        </is>
      </c>
      <c r="AC73" s="152" t="n"/>
      <c r="AD73" s="453" t="inlineStr">
        <is>
          <t>Gerçekleşen</t>
        </is>
      </c>
      <c r="AE73" s="453" t="inlineStr">
        <is>
          <t>Bütçe</t>
        </is>
      </c>
      <c r="AF73" s="453" t="inlineStr">
        <is>
          <t>Sapma %</t>
        </is>
      </c>
      <c r="AG73" s="153" t="n"/>
      <c r="AH73" s="453" t="inlineStr">
        <is>
          <t>(EUR)</t>
        </is>
      </c>
      <c r="AI73" s="453">
        <f>$AI$3</f>
        <v/>
      </c>
      <c r="AJ73" s="453">
        <f>$AJ$3</f>
        <v/>
      </c>
      <c r="AK73" s="453" t="inlineStr">
        <is>
          <t>Bütçe</t>
        </is>
      </c>
      <c r="AL73" s="453" t="inlineStr">
        <is>
          <t>Sapma %</t>
        </is>
      </c>
    </row>
    <row r="74">
      <c r="B74" s="149" t="inlineStr">
        <is>
          <t xml:space="preserve">Jantaş </t>
        </is>
      </c>
      <c r="C74" s="255">
        <f>C61/C9</f>
        <v/>
      </c>
      <c r="D74" s="255">
        <f>D61/D9</f>
        <v/>
      </c>
      <c r="E74" s="257">
        <f>C74-D74</f>
        <v/>
      </c>
      <c r="F74" s="255" t="n"/>
      <c r="G74" s="255">
        <f>G61/G9</f>
        <v/>
      </c>
      <c r="H74" s="255">
        <f>H61/H9</f>
        <v/>
      </c>
      <c r="I74" s="257">
        <f>G74-H74</f>
        <v/>
      </c>
      <c r="J74" s="157" t="n"/>
      <c r="K74" s="200">
        <f>B74</f>
        <v/>
      </c>
      <c r="L74" s="241">
        <f>L61/L9</f>
        <v/>
      </c>
      <c r="M74" s="241">
        <f>M61/M9</f>
        <v/>
      </c>
      <c r="N74" s="241">
        <f>N61/N9</f>
        <v/>
      </c>
      <c r="O74" s="241">
        <f>O61/O9</f>
        <v/>
      </c>
      <c r="P74" s="241">
        <f>P61/P9</f>
        <v/>
      </c>
      <c r="Q74" s="241">
        <f>Q61/Q9</f>
        <v/>
      </c>
      <c r="R74" s="241">
        <f>R61/R9</f>
        <v/>
      </c>
      <c r="S74" s="241">
        <f>S61/S9</f>
        <v/>
      </c>
      <c r="T74" s="241">
        <f>T61/T9</f>
        <v/>
      </c>
      <c r="U74" s="241">
        <f>U61/U9</f>
        <v/>
      </c>
      <c r="V74" s="241">
        <f>V61/V9</f>
        <v/>
      </c>
      <c r="W74" s="241">
        <f>U74-V74</f>
        <v/>
      </c>
      <c r="Y74" s="158" t="inlineStr">
        <is>
          <t>Satışlar</t>
        </is>
      </c>
      <c r="Z74" s="496">
        <f>C9</f>
        <v/>
      </c>
      <c r="AA74" s="496">
        <f>D9</f>
        <v/>
      </c>
      <c r="AB74" s="479">
        <f>IF(Z74&gt;AA74,ABS((Z74-AA74)/AA74),-ABS((AA74-Z74)/AA74))</f>
        <v/>
      </c>
      <c r="AC74" s="482" t="n"/>
      <c r="AD74" s="496">
        <f>G9</f>
        <v/>
      </c>
      <c r="AE74" s="496">
        <f>H9</f>
        <v/>
      </c>
      <c r="AF74" s="479">
        <f>IF(AD74&gt;AE74,ABS((AD74-AE74)/AE74),-ABS((AE74-AD74)/AE74))</f>
        <v/>
      </c>
      <c r="AG74" s="162" t="n"/>
      <c r="AH74" s="158" t="inlineStr">
        <is>
          <t>Satışlar</t>
        </is>
      </c>
      <c r="AI74" s="497">
        <f>'Tahmin Data'!K9/0.4</f>
        <v/>
      </c>
      <c r="AJ74" s="497">
        <f>'Tahmin Data'!M9/0.4</f>
        <v/>
      </c>
      <c r="AK74" s="497">
        <f>'C-Döviz'!AI14</f>
        <v/>
      </c>
      <c r="AL74" s="481">
        <f>IF(AJ74&gt;AK74,ABS((AJ74-AK74)/AK74),-ABS((AK74-AJ74)/AK74))</f>
        <v/>
      </c>
    </row>
    <row r="75" ht="10.5" customHeight="1">
      <c r="B75" s="149" t="inlineStr">
        <is>
          <t xml:space="preserve">Çelik </t>
        </is>
      </c>
      <c r="C75" s="255">
        <f>C62/C10</f>
        <v/>
      </c>
      <c r="D75" s="255">
        <f>D62/D10</f>
        <v/>
      </c>
      <c r="E75" s="257">
        <f>C75-D75</f>
        <v/>
      </c>
      <c r="F75" s="255" t="n"/>
      <c r="G75" s="255">
        <f>G62/G10</f>
        <v/>
      </c>
      <c r="H75" s="255">
        <f>H62/H10</f>
        <v/>
      </c>
      <c r="I75" s="257">
        <f>G75-H75</f>
        <v/>
      </c>
      <c r="J75" s="157" t="n"/>
      <c r="K75" s="200">
        <f>B75</f>
        <v/>
      </c>
      <c r="L75" s="241">
        <f>L62/L10</f>
        <v/>
      </c>
      <c r="M75" s="241">
        <f>M62/M10</f>
        <v/>
      </c>
      <c r="N75" s="241">
        <f>N62/N10</f>
        <v/>
      </c>
      <c r="O75" s="241">
        <f>O62/O10</f>
        <v/>
      </c>
      <c r="P75" s="241">
        <f>P62/P10</f>
        <v/>
      </c>
      <c r="Q75" s="241">
        <f>Q62/Q10</f>
        <v/>
      </c>
      <c r="R75" s="241">
        <f>R62/R10</f>
        <v/>
      </c>
      <c r="S75" s="241">
        <f>S62/S10</f>
        <v/>
      </c>
      <c r="T75" s="241">
        <f>T62/T10</f>
        <v/>
      </c>
      <c r="U75" s="241">
        <f>U62/U10</f>
        <v/>
      </c>
      <c r="V75" s="241">
        <f>V62/V10</f>
        <v/>
      </c>
      <c r="W75" s="241">
        <f>U75-V75</f>
        <v/>
      </c>
      <c r="Y75" s="158" t="inlineStr">
        <is>
          <t>Ebitda</t>
        </is>
      </c>
      <c r="Z75" s="496">
        <f>C87</f>
        <v/>
      </c>
      <c r="AA75" s="496">
        <f>D87</f>
        <v/>
      </c>
      <c r="AB75" s="479">
        <f>IF(Z75&gt;AA75,ABS((Z75-AA75)/AA75),-ABS((AA75-Z75)/AA75))</f>
        <v/>
      </c>
      <c r="AC75" s="482" t="n"/>
      <c r="AD75" s="496">
        <f>G87</f>
        <v/>
      </c>
      <c r="AE75" s="496">
        <f>H87</f>
        <v/>
      </c>
      <c r="AF75" s="479">
        <f>IF(AD75&gt;AE75,ABS((AD75-AE75)/AE75),-ABS((AE75-AD75)/AE75))</f>
        <v/>
      </c>
      <c r="AG75" s="162" t="n"/>
      <c r="AH75" s="158" t="inlineStr">
        <is>
          <t>Ebitda</t>
        </is>
      </c>
      <c r="AI75" s="497">
        <f>'Tahmin Data'!K65/0.4</f>
        <v/>
      </c>
      <c r="AJ75" s="497">
        <f>'Tahmin Data'!M65/0.4</f>
        <v/>
      </c>
      <c r="AK75" s="497">
        <f>'C-Döviz'!AI144</f>
        <v/>
      </c>
      <c r="AL75" s="481">
        <f>IF(AJ75&gt;AK75,ABS((AJ75-AK75)/AK75),-ABS((AK75-AJ75)/AK75))</f>
        <v/>
      </c>
    </row>
    <row r="76" ht="10.5" customHeight="1" thickBot="1">
      <c r="B76" s="149" t="inlineStr">
        <is>
          <t xml:space="preserve">Alüminyum </t>
        </is>
      </c>
      <c r="C76" s="255">
        <f>C63/C11</f>
        <v/>
      </c>
      <c r="D76" s="255">
        <f>D63/D11</f>
        <v/>
      </c>
      <c r="E76" s="257">
        <f>C76-D76</f>
        <v/>
      </c>
      <c r="F76" s="255" t="n"/>
      <c r="G76" s="255">
        <f>G63/G11</f>
        <v/>
      </c>
      <c r="H76" s="255">
        <f>H63/H11</f>
        <v/>
      </c>
      <c r="I76" s="257">
        <f>G76-H76</f>
        <v/>
      </c>
      <c r="J76" s="157" t="n"/>
      <c r="K76" s="201">
        <f>B76</f>
        <v/>
      </c>
      <c r="L76" s="242">
        <f>L63/L11</f>
        <v/>
      </c>
      <c r="M76" s="242">
        <f>M63/M11</f>
        <v/>
      </c>
      <c r="N76" s="242">
        <f>N63/N11</f>
        <v/>
      </c>
      <c r="O76" s="242">
        <f>O63/O11</f>
        <v/>
      </c>
      <c r="P76" s="242">
        <f>P63/P11</f>
        <v/>
      </c>
      <c r="Q76" s="242">
        <f>Q63/Q11</f>
        <v/>
      </c>
      <c r="R76" s="242">
        <f>R63/R11</f>
        <v/>
      </c>
      <c r="S76" s="242">
        <f>S63/S11</f>
        <v/>
      </c>
      <c r="T76" s="242">
        <f>T63/T11</f>
        <v/>
      </c>
      <c r="U76" s="242">
        <f>U63/U11</f>
        <v/>
      </c>
      <c r="V76" s="242">
        <f>V63/V11</f>
        <v/>
      </c>
      <c r="W76" s="242">
        <f>U76-V76</f>
        <v/>
      </c>
      <c r="Y76" s="158" t="inlineStr">
        <is>
          <t>Ebitda %</t>
        </is>
      </c>
      <c r="Z76" s="493">
        <f>C74</f>
        <v/>
      </c>
      <c r="AA76" s="493">
        <f>D74</f>
        <v/>
      </c>
      <c r="AB76" s="479">
        <f>IF(Z76&gt;AA76,ABS((Z76-AA76)/AA76),-ABS((AA76-Z76)/AA76))</f>
        <v/>
      </c>
      <c r="AC76" s="167" t="n"/>
      <c r="AD76" s="493">
        <f>G74</f>
        <v/>
      </c>
      <c r="AE76" s="493">
        <f>H74</f>
        <v/>
      </c>
      <c r="AF76" s="479">
        <f>IF(AD76&gt;AE76,ABS((AD76-AE76)/AE76),-ABS((AE76-AD76)/AE76))</f>
        <v/>
      </c>
      <c r="AG76" s="483" t="n"/>
      <c r="AH76" s="158" t="inlineStr">
        <is>
          <t>Vergi Öncesi Kar</t>
        </is>
      </c>
      <c r="AI76" s="497">
        <f>'Tahmin Data'!K89/0.4</f>
        <v/>
      </c>
      <c r="AJ76" s="497">
        <f>'Tahmin Data'!M89/0.4</f>
        <v/>
      </c>
      <c r="AK76" s="497">
        <f>'C-Döviz'!AI194</f>
        <v/>
      </c>
      <c r="AL76" s="481">
        <f>IF(AJ76&gt;AK76,ABS((AJ76-AK76)/AK76),-ABS((AK76-AJ76)/AK76))</f>
        <v/>
      </c>
    </row>
    <row r="77" ht="10.5" customHeight="1" thickBot="1">
      <c r="B77" s="169" t="inlineStr">
        <is>
          <t xml:space="preserve">Kombine </t>
        </is>
      </c>
      <c r="C77" s="258">
        <f>C64/C12</f>
        <v/>
      </c>
      <c r="D77" s="258">
        <f>D64/D12</f>
        <v/>
      </c>
      <c r="E77" s="259">
        <f>C77-D77</f>
        <v/>
      </c>
      <c r="F77" s="258" t="n"/>
      <c r="G77" s="258">
        <f>G64/G12</f>
        <v/>
      </c>
      <c r="H77" s="258">
        <f>H64/H12</f>
        <v/>
      </c>
      <c r="I77" s="259">
        <f>G77-H77</f>
        <v/>
      </c>
      <c r="J77" s="194" t="n"/>
      <c r="K77" s="238" t="inlineStr">
        <is>
          <t xml:space="preserve">Kombine </t>
        </is>
      </c>
      <c r="L77" s="243">
        <f>L64/L12</f>
        <v/>
      </c>
      <c r="M77" s="243">
        <f>M64/M12</f>
        <v/>
      </c>
      <c r="N77" s="243">
        <f>N64/N12</f>
        <v/>
      </c>
      <c r="O77" s="243">
        <f>O64/O12</f>
        <v/>
      </c>
      <c r="P77" s="243">
        <f>P64/P12</f>
        <v/>
      </c>
      <c r="Q77" s="243">
        <f>Q64/Q12</f>
        <v/>
      </c>
      <c r="R77" s="243">
        <f>R64/R12</f>
        <v/>
      </c>
      <c r="S77" s="243">
        <f>S64/S12</f>
        <v/>
      </c>
      <c r="T77" s="243">
        <f>T64/T12</f>
        <v/>
      </c>
      <c r="U77" s="243">
        <f>U64/U12</f>
        <v/>
      </c>
      <c r="V77" s="243">
        <f>V64/V12</f>
        <v/>
      </c>
      <c r="W77" s="243">
        <f>U77-V77</f>
        <v/>
      </c>
      <c r="Y77" s="158" t="inlineStr">
        <is>
          <t>Vergi Öncesi Kar</t>
        </is>
      </c>
      <c r="Z77" s="496">
        <f>C139</f>
        <v/>
      </c>
      <c r="AA77" s="496">
        <f>D139</f>
        <v/>
      </c>
      <c r="AB77" s="479">
        <f>IF(Z77&gt;AA77,ABS((Z77-AA77)/AA77),-ABS((AA77-Z77)/AA77))</f>
        <v/>
      </c>
      <c r="AC77" s="482" t="n"/>
      <c r="AD77" s="496">
        <f>G139</f>
        <v/>
      </c>
      <c r="AE77" s="496">
        <f>H139</f>
        <v/>
      </c>
      <c r="AF77" s="479">
        <f>IF(AD77&gt;AE77,ABS((AD77-AE77)/AE77),-ABS((AE77-AD77)/AE77))</f>
        <v/>
      </c>
      <c r="AG77" s="162" t="n"/>
      <c r="AH77" s="169" t="inlineStr">
        <is>
          <t>Operasyonel Nakit</t>
        </is>
      </c>
      <c r="AI77" s="498">
        <f>'Tahmin Data'!K145/0.4</f>
        <v/>
      </c>
      <c r="AJ77" s="498">
        <f>'Tahmin Data'!M145/0.4</f>
        <v/>
      </c>
      <c r="AK77" s="498">
        <f>'C-Döviz'!AI296</f>
        <v/>
      </c>
      <c r="AL77" s="499">
        <f>IF(AJ77&gt;AK77,ABS((AJ77-AK77)/AK77),-ABS((AK77-AJ77)/AK77))</f>
        <v/>
      </c>
    </row>
    <row r="78" ht="10.5" customHeight="1">
      <c r="V78" s="194" t="n"/>
      <c r="Y78" s="158" t="inlineStr">
        <is>
          <t>Operasyonel Nakit</t>
        </is>
      </c>
      <c r="Z78" s="496">
        <f>C178</f>
        <v/>
      </c>
      <c r="AA78" s="496">
        <f>D178</f>
        <v/>
      </c>
      <c r="AB78" s="479">
        <f>IF(Z78&gt;AA78,ABS((Z78-AA78)/AA78),-ABS((AA78-Z78)/AA78))</f>
        <v/>
      </c>
      <c r="AC78" s="482" t="n"/>
      <c r="AD78" s="496">
        <f>G178</f>
        <v/>
      </c>
      <c r="AE78" s="496">
        <f>H178</f>
        <v/>
      </c>
      <c r="AF78" s="479">
        <f>IF(AD78&gt;AE78,ABS((AD78-AE78)/AE78),-ABS((AE78-AD78)/AE78))</f>
        <v/>
      </c>
      <c r="AG78" s="162" t="n"/>
    </row>
    <row r="79" ht="10.5" customHeight="1">
      <c r="V79" s="194" t="n"/>
      <c r="Y79" s="158" t="inlineStr">
        <is>
          <t>Yatırım</t>
        </is>
      </c>
      <c r="Z79" s="496">
        <f>C191</f>
        <v/>
      </c>
      <c r="AA79" s="496">
        <f>D191</f>
        <v/>
      </c>
      <c r="AB79" s="479">
        <f>IF(Z79&gt;AA79,ABS((Z79-AA79)/AA79),-ABS((AA79-Z79)/AA79))</f>
        <v/>
      </c>
      <c r="AC79" s="482" t="n"/>
      <c r="AD79" s="496">
        <f>G191</f>
        <v/>
      </c>
      <c r="AE79" s="496">
        <f>H191</f>
        <v/>
      </c>
      <c r="AF79" s="479">
        <f>IF(AD79&gt;AE79,ABS((AD79-AE79)/AE79),-ABS((AE79-AD79)/AE79))</f>
        <v/>
      </c>
      <c r="AG79" s="162" t="n"/>
    </row>
    <row r="80" ht="13" customHeight="1" thickBot="1">
      <c r="B80" s="209" t="inlineStr">
        <is>
          <t>EBITDA (Avro)</t>
        </is>
      </c>
      <c r="C80" s="451" t="inlineStr">
        <is>
          <t>AYLIK</t>
        </is>
      </c>
      <c r="F80" s="451" t="n"/>
      <c r="G80" s="451" t="n"/>
      <c r="H80" s="451" t="inlineStr">
        <is>
          <t>KÜMÜLATİF</t>
        </is>
      </c>
      <c r="I80" s="451" t="n"/>
      <c r="J80" s="195" t="n"/>
      <c r="K80" s="214" t="inlineStr">
        <is>
          <t>EBITDA Tahmin (Avro)</t>
        </is>
      </c>
      <c r="L80" s="214" t="n"/>
      <c r="M80" s="214" t="n"/>
      <c r="N80" s="214" t="n"/>
      <c r="O80" s="451" t="n"/>
      <c r="P80" s="451" t="n"/>
      <c r="Q80" s="451" t="n"/>
      <c r="R80" s="451" t="n"/>
      <c r="S80" s="451" t="n"/>
      <c r="T80" s="451" t="n"/>
      <c r="U80" s="451" t="n"/>
      <c r="V80" s="195" t="n"/>
      <c r="Y80" s="169" t="inlineStr">
        <is>
          <t>Net Finansal Nakit (Borç)</t>
        </is>
      </c>
      <c r="Z80" s="500">
        <f>C217</f>
        <v/>
      </c>
      <c r="AA80" s="500">
        <f>D217</f>
        <v/>
      </c>
      <c r="AB80" s="491">
        <f>IF(Z80&gt;AA80,ABS((Z80-AA80)/AA80),-ABS((AA80-Z80)/AA80))</f>
        <v/>
      </c>
      <c r="AC80" s="482" t="n"/>
      <c r="AD80" s="500">
        <f>G217</f>
        <v/>
      </c>
      <c r="AE80" s="500">
        <f>H217</f>
        <v/>
      </c>
      <c r="AF80" s="491">
        <f>IF(AD80&gt;AE80,ABS((AD80-AE80)/AE80),-ABS((AE80-AD80)/AE80))</f>
        <v/>
      </c>
      <c r="AG80" s="162" t="n"/>
    </row>
    <row r="81" ht="10.5" customHeight="1" thickBot="1">
      <c r="B81" s="169" t="n"/>
      <c r="C81" s="211" t="inlineStr">
        <is>
          <t>Gerçekleşen</t>
        </is>
      </c>
      <c r="D81" s="211" t="inlineStr">
        <is>
          <t>Bütçe</t>
        </is>
      </c>
      <c r="E81" s="211" t="inlineStr">
        <is>
          <t>Sapma %</t>
        </is>
      </c>
      <c r="F81" s="211" t="n"/>
      <c r="G81" s="211">
        <f>C81</f>
        <v/>
      </c>
      <c r="H81" s="211" t="inlineStr">
        <is>
          <t>Bütçe</t>
        </is>
      </c>
      <c r="I81" s="211" t="inlineStr">
        <is>
          <t>Sapma %</t>
        </is>
      </c>
      <c r="J81" s="152" t="n"/>
      <c r="K81" s="218" t="n"/>
      <c r="L81" s="253">
        <f>L29</f>
        <v/>
      </c>
      <c r="M81" s="253">
        <f>M29</f>
        <v/>
      </c>
      <c r="N81" s="253">
        <f>N29</f>
        <v/>
      </c>
      <c r="O81" s="253" t="inlineStr">
        <is>
          <t>Haziran</t>
        </is>
      </c>
      <c r="P81" s="253" t="inlineStr">
        <is>
          <t>Temmuz</t>
        </is>
      </c>
      <c r="Q81" s="253" t="inlineStr">
        <is>
          <t>Ağustos</t>
        </is>
      </c>
      <c r="R81" s="219" t="inlineStr">
        <is>
          <t>Eylül</t>
        </is>
      </c>
      <c r="S81" s="219" t="inlineStr">
        <is>
          <t>Ekim</t>
        </is>
      </c>
      <c r="T81" s="219" t="inlineStr">
        <is>
          <t>Kasım</t>
        </is>
      </c>
      <c r="U81" s="219" t="inlineStr">
        <is>
          <t>Gerçekleşen</t>
        </is>
      </c>
      <c r="V81" s="254" t="inlineStr">
        <is>
          <t>Bütçe</t>
        </is>
      </c>
      <c r="W81" s="262" t="inlineStr">
        <is>
          <t>Sapma %</t>
        </is>
      </c>
    </row>
    <row r="82" ht="10.5" customHeight="1" thickTop="1">
      <c r="B82" s="149" t="inlineStr">
        <is>
          <t xml:space="preserve">İnci Holding  </t>
        </is>
      </c>
      <c r="C82" s="156">
        <f>'A -Döviz'!C139</f>
        <v/>
      </c>
      <c r="D82" s="156">
        <f>'A -Döviz'!B139</f>
        <v/>
      </c>
      <c r="E82" s="224">
        <f>IF(C82&gt;D82,ABS((C82-D82)/D82),-ABS((D82-C82)/D82))</f>
        <v/>
      </c>
      <c r="F82" s="155" t="n"/>
      <c r="G82" s="156">
        <f>'C-Döviz'!C139</f>
        <v/>
      </c>
      <c r="H82" s="156">
        <f>'C-Döviz'!B139</f>
        <v/>
      </c>
      <c r="I82" s="224">
        <f>IF(G82&gt;H82,ABS((G82-H82)/H82),-ABS((H82-G82)/H82))</f>
        <v/>
      </c>
      <c r="J82" s="157" t="n"/>
      <c r="K82" s="226">
        <f>B82</f>
        <v/>
      </c>
      <c r="L82" s="227">
        <f>'Tahmin Data'!G60</f>
        <v/>
      </c>
      <c r="M82" s="227">
        <f>'Tahmin Data'!I60</f>
        <v/>
      </c>
      <c r="N82" s="227">
        <f>'Tahmin Data'!K60</f>
        <v/>
      </c>
      <c r="O82" s="227">
        <f>'Tahmin Data'!M60</f>
        <v/>
      </c>
      <c r="P82" s="227">
        <f>'Tahmin Data'!O60</f>
        <v/>
      </c>
      <c r="Q82" s="227">
        <f>'Tahmin Data'!Q60</f>
        <v/>
      </c>
      <c r="R82" s="227">
        <f>'Tahmin Data'!S60</f>
        <v/>
      </c>
      <c r="S82" s="227">
        <f>'Tahmin Data'!U60</f>
        <v/>
      </c>
      <c r="T82" s="227">
        <f>'Tahmin Data'!W60</f>
        <v/>
      </c>
      <c r="U82" s="318">
        <f>G82</f>
        <v/>
      </c>
      <c r="V82" s="213">
        <f>'Bütçe aylık-Eur'!N82</f>
        <v/>
      </c>
      <c r="W82" s="224">
        <f>IF(U82&gt;V82,ABS((U82-V82)/V82),-ABS((V82-U82)/V82))</f>
        <v/>
      </c>
      <c r="Y82" s="453" t="inlineStr">
        <is>
          <t>Maxion</t>
        </is>
      </c>
      <c r="Z82" s="453" t="inlineStr">
        <is>
          <t>AYLIK</t>
        </is>
      </c>
      <c r="AC82" s="152" t="n"/>
      <c r="AD82" s="453" t="n"/>
      <c r="AE82" s="453" t="inlineStr">
        <is>
          <t>KÜMÜLATİF</t>
        </is>
      </c>
      <c r="AF82" s="453" t="n"/>
      <c r="AG82" s="153" t="n"/>
      <c r="AH82" s="453">
        <f>Y82</f>
        <v/>
      </c>
      <c r="AI82" s="453" t="n"/>
      <c r="AJ82" s="453" t="inlineStr">
        <is>
          <t>Yıl Sonu Tahmini</t>
        </is>
      </c>
    </row>
    <row r="83" ht="10.5" customHeight="1">
      <c r="B83" s="149" t="inlineStr">
        <is>
          <t xml:space="preserve">ISM </t>
        </is>
      </c>
      <c r="C83" s="156">
        <f>'A -Döviz'!C140</f>
        <v/>
      </c>
      <c r="D83" s="156">
        <f>'A -Döviz'!B140</f>
        <v/>
      </c>
      <c r="E83" s="229">
        <f>IF(C83&gt;D83,ABS((C83-D83)/D83),-ABS((D83-C83)/D83))</f>
        <v/>
      </c>
      <c r="F83" s="155" t="n"/>
      <c r="G83" s="156">
        <f>'C-Döviz'!C140</f>
        <v/>
      </c>
      <c r="H83" s="156">
        <f>'C-Döviz'!B140</f>
        <v/>
      </c>
      <c r="I83" s="229">
        <f>IF(G83&gt;H83,ABS((G83-H83)/H83),-ABS((H83-G83)/H83))</f>
        <v/>
      </c>
      <c r="J83" s="157" t="n"/>
      <c r="K83" s="226">
        <f>B83</f>
        <v/>
      </c>
      <c r="L83" s="227">
        <f>'Tahmin Data'!G62</f>
        <v/>
      </c>
      <c r="M83" s="227">
        <f>'Tahmin Data'!I62</f>
        <v/>
      </c>
      <c r="N83" s="227">
        <f>'Tahmin Data'!K62</f>
        <v/>
      </c>
      <c r="O83" s="227">
        <f>'Tahmin Data'!M62</f>
        <v/>
      </c>
      <c r="P83" s="227">
        <f>'Tahmin Data'!O62</f>
        <v/>
      </c>
      <c r="Q83" s="227">
        <f>'Tahmin Data'!Q62</f>
        <v/>
      </c>
      <c r="R83" s="227">
        <f>'Tahmin Data'!S62</f>
        <v/>
      </c>
      <c r="S83" s="227">
        <f>'Tahmin Data'!U62</f>
        <v/>
      </c>
      <c r="T83" s="227">
        <f>'Tahmin Data'!W62</f>
        <v/>
      </c>
      <c r="U83" s="227">
        <f>G83</f>
        <v/>
      </c>
      <c r="V83" s="204">
        <f>'Bütçe aylık-Eur'!N83</f>
        <v/>
      </c>
      <c r="W83" s="229">
        <f>IF(U83&gt;V83,ABS((U83-V83)/V83),-ABS((V83-U83)/V83))</f>
        <v/>
      </c>
      <c r="Y83" s="453" t="inlineStr">
        <is>
          <t>(EUR)</t>
        </is>
      </c>
      <c r="Z83" s="453" t="inlineStr">
        <is>
          <t>Gerçekleşen</t>
        </is>
      </c>
      <c r="AA83" s="453" t="inlineStr">
        <is>
          <t>Bütçe</t>
        </is>
      </c>
      <c r="AB83" s="453" t="inlineStr">
        <is>
          <t>Sapma %</t>
        </is>
      </c>
      <c r="AC83" s="152" t="n"/>
      <c r="AD83" s="453" t="inlineStr">
        <is>
          <t>Gerçekleşen</t>
        </is>
      </c>
      <c r="AE83" s="453" t="inlineStr">
        <is>
          <t>Bütçe</t>
        </is>
      </c>
      <c r="AF83" s="453" t="inlineStr">
        <is>
          <t>Sapma %</t>
        </is>
      </c>
      <c r="AG83" s="153" t="n"/>
      <c r="AH83" s="453" t="inlineStr">
        <is>
          <t>(EUR)</t>
        </is>
      </c>
      <c r="AI83" s="453">
        <f>$AI$3</f>
        <v/>
      </c>
      <c r="AJ83" s="453">
        <f>$AJ$3</f>
        <v/>
      </c>
      <c r="AK83" s="453" t="inlineStr">
        <is>
          <t>Bütçe</t>
        </is>
      </c>
      <c r="AL83" s="453" t="inlineStr">
        <is>
          <t>Sapma %</t>
        </is>
      </c>
    </row>
    <row r="84" ht="10.5" customHeight="1">
      <c r="B84" s="149" t="inlineStr">
        <is>
          <t xml:space="preserve">İncitaş </t>
        </is>
      </c>
      <c r="C84" s="156">
        <f>'A -Döviz'!C141</f>
        <v/>
      </c>
      <c r="D84" s="156">
        <f>'A -Döviz'!B141</f>
        <v/>
      </c>
      <c r="E84" s="229">
        <f>IF(C84&gt;D84,ABS((C84-D84)/D84),-ABS((D84-C84)/D84))</f>
        <v/>
      </c>
      <c r="F84" s="155" t="n"/>
      <c r="G84" s="156">
        <f>'C-Döviz'!C141</f>
        <v/>
      </c>
      <c r="H84" s="156">
        <f>'C-Döviz'!B141</f>
        <v/>
      </c>
      <c r="I84" s="229">
        <f>IF(G84&gt;H84,ABS((G84-H84)/H84),-ABS((H84-G84)/H84))</f>
        <v/>
      </c>
      <c r="J84" s="157" t="n"/>
      <c r="K84" s="226">
        <f>B84</f>
        <v/>
      </c>
      <c r="L84" s="227">
        <f>'Tahmin Data'!G61</f>
        <v/>
      </c>
      <c r="M84" s="227">
        <f>'Tahmin Data'!I61</f>
        <v/>
      </c>
      <c r="N84" s="227">
        <f>'Tahmin Data'!K61</f>
        <v/>
      </c>
      <c r="O84" s="227">
        <f>'Tahmin Data'!M61</f>
        <v/>
      </c>
      <c r="P84" s="227">
        <f>'Tahmin Data'!O61</f>
        <v/>
      </c>
      <c r="Q84" s="227">
        <f>'Tahmin Data'!Q61</f>
        <v/>
      </c>
      <c r="R84" s="227">
        <f>'Tahmin Data'!S61</f>
        <v/>
      </c>
      <c r="S84" s="227">
        <f>'Tahmin Data'!U61</f>
        <v/>
      </c>
      <c r="T84" s="227">
        <f>'Tahmin Data'!W61</f>
        <v/>
      </c>
      <c r="U84" s="227">
        <f>G84</f>
        <v/>
      </c>
      <c r="V84" s="204">
        <f>'Bütçe aylık-Eur'!N84</f>
        <v/>
      </c>
      <c r="W84" s="229">
        <f>IF(U84&gt;V84,ABS((U84-V84)/V84),-ABS((V84-U84)/V84))</f>
        <v/>
      </c>
      <c r="Y84" s="158" t="inlineStr">
        <is>
          <t>Satışlar</t>
        </is>
      </c>
      <c r="Z84" s="496">
        <f>Z54+Z64+Z74</f>
        <v/>
      </c>
      <c r="AA84" s="496">
        <f>AA54+AA64+AA74</f>
        <v/>
      </c>
      <c r="AB84" s="479">
        <f>IF(Z84&gt;AA84,ABS((Z84-AA84)/AA84),-ABS((AA84-Z84)/AA84))</f>
        <v/>
      </c>
      <c r="AC84" s="482" t="n"/>
      <c r="AD84" s="496">
        <f>AD54+AD64+AD74</f>
        <v/>
      </c>
      <c r="AE84" s="496">
        <f>AE54+AE64+AE74</f>
        <v/>
      </c>
      <c r="AF84" s="479">
        <f>IF(AD84&gt;AE84,ABS((AD84-AE84)/AE84),-ABS((AE84-AD84)/AE84))</f>
        <v/>
      </c>
      <c r="AG84" s="162" t="n"/>
      <c r="AH84" s="158" t="inlineStr">
        <is>
          <t>Satışlar</t>
        </is>
      </c>
      <c r="AI84" s="497">
        <f>AI64+AI74+AI54</f>
        <v/>
      </c>
      <c r="AJ84" s="497">
        <f>AJ64+AJ74+AJ54</f>
        <v/>
      </c>
      <c r="AK84" s="497">
        <f>AK64+AK74+AK54</f>
        <v/>
      </c>
      <c r="AL84" s="481">
        <f>IF(AJ84&gt;AK84,ABS((AJ84-AK84)/AK84),-ABS((AK84-AJ84)/AK84))</f>
        <v/>
      </c>
    </row>
    <row r="85" ht="10.5" customHeight="1">
      <c r="B85" s="149" t="inlineStr">
        <is>
          <t xml:space="preserve">İnci GS Yuasa </t>
        </is>
      </c>
      <c r="C85" s="156">
        <f>'A -Döviz'!C142</f>
        <v/>
      </c>
      <c r="D85" s="156">
        <f>'A -Döviz'!B142</f>
        <v/>
      </c>
      <c r="E85" s="229">
        <f>IF(C85&gt;D85,ABS((C85-D85)/D85),-ABS((D85-C85)/D85))</f>
        <v/>
      </c>
      <c r="F85" s="155" t="n"/>
      <c r="G85" s="156">
        <f>'C-Döviz'!C142</f>
        <v/>
      </c>
      <c r="H85" s="156">
        <f>'C-Döviz'!B142</f>
        <v/>
      </c>
      <c r="I85" s="229">
        <f>IF(G85&gt;H85,ABS((G85-H85)/H85),-ABS((H85-G85)/H85))</f>
        <v/>
      </c>
      <c r="J85" s="157" t="n"/>
      <c r="K85" s="226">
        <f>B85</f>
        <v/>
      </c>
      <c r="L85" s="227">
        <f>'Tahmin Data'!G59/0.4</f>
        <v/>
      </c>
      <c r="M85" s="227">
        <f>'Tahmin Data'!I59/0.4</f>
        <v/>
      </c>
      <c r="N85" s="227">
        <f>'Tahmin Data'!K59/0.4</f>
        <v/>
      </c>
      <c r="O85" s="227">
        <f>'Tahmin Data'!M59/0.4</f>
        <v/>
      </c>
      <c r="P85" s="227">
        <f>'Tahmin Data'!O59/0.4</f>
        <v/>
      </c>
      <c r="Q85" s="227">
        <f>'Tahmin Data'!Q59/0.4</f>
        <v/>
      </c>
      <c r="R85" s="227">
        <f>'Tahmin Data'!S59/0.4</f>
        <v/>
      </c>
      <c r="S85" s="227">
        <f>'Tahmin Data'!U59/0.4</f>
        <v/>
      </c>
      <c r="T85" s="227">
        <f>'Tahmin Data'!W59/0.4</f>
        <v/>
      </c>
      <c r="U85" s="227">
        <f>G85</f>
        <v/>
      </c>
      <c r="V85" s="204">
        <f>'Bütçe aylık-Eur'!N85</f>
        <v/>
      </c>
      <c r="W85" s="229">
        <f>IF(U85&gt;V85,ABS((U85-V85)/V85),-ABS((V85-U85)/V85))</f>
        <v/>
      </c>
      <c r="Y85" s="158" t="inlineStr">
        <is>
          <t>Ebitda</t>
        </is>
      </c>
      <c r="Z85" s="496">
        <f>Z55+Z65+Z75</f>
        <v/>
      </c>
      <c r="AA85" s="496">
        <f>AA55+AA65+AA75</f>
        <v/>
      </c>
      <c r="AB85" s="479">
        <f>IF(Z85&gt;AA85,ABS((Z85-AA85)/AA85),-ABS((AA85-Z85)/AA85))</f>
        <v/>
      </c>
      <c r="AC85" s="482" t="n"/>
      <c r="AD85" s="496">
        <f>AD55+AD65+AD75</f>
        <v/>
      </c>
      <c r="AE85" s="496">
        <f>AE55+AE65+AE75</f>
        <v/>
      </c>
      <c r="AF85" s="479">
        <f>IF(AD85&gt;AE85,ABS((AD85-AE85)/AE85),-ABS((AE85-AD85)/AE85))</f>
        <v/>
      </c>
      <c r="AG85" s="162" t="n"/>
      <c r="AH85" s="158" t="inlineStr">
        <is>
          <t>Ebitda</t>
        </is>
      </c>
      <c r="AI85" s="497">
        <f>AI65+AI75+AI55</f>
        <v/>
      </c>
      <c r="AJ85" s="497">
        <f>AJ65+AJ75+AJ55</f>
        <v/>
      </c>
      <c r="AK85" s="497">
        <f>AK65+AK75+AK55</f>
        <v/>
      </c>
      <c r="AL85" s="481">
        <f>IF(AJ85&gt;AK85,ABS((AJ85-AK85)/AK85),-ABS((AK85-AJ85)/AK85))</f>
        <v/>
      </c>
    </row>
    <row r="86">
      <c r="B86" s="149" t="inlineStr">
        <is>
          <t xml:space="preserve">Yusen İnci Loj. </t>
        </is>
      </c>
      <c r="C86" s="156">
        <f>'A -Döviz'!C143</f>
        <v/>
      </c>
      <c r="D86" s="156">
        <f>'A -Döviz'!B143</f>
        <v/>
      </c>
      <c r="E86" s="229">
        <f>IF(C86&gt;D86,ABS((C86-D86)/D86),-ABS((D86-C86)/D86))</f>
        <v/>
      </c>
      <c r="F86" s="155" t="n"/>
      <c r="G86" s="156">
        <f>'C-Döviz'!C143</f>
        <v/>
      </c>
      <c r="H86" s="156">
        <f>'C-Döviz'!B143</f>
        <v/>
      </c>
      <c r="I86" s="229">
        <f>IF(G86&gt;H86,ABS((G86-H86)/H86),-ABS((H86-G86)/H86))</f>
        <v/>
      </c>
      <c r="J86" s="157" t="n"/>
      <c r="K86" s="226">
        <f>B86</f>
        <v/>
      </c>
      <c r="L86" s="227">
        <f>'Tahmin Data'!G66/0.4</f>
        <v/>
      </c>
      <c r="M86" s="227">
        <f>'Tahmin Data'!I66/0.4</f>
        <v/>
      </c>
      <c r="N86" s="227">
        <f>'Tahmin Data'!K66/0.4</f>
        <v/>
      </c>
      <c r="O86" s="227">
        <f>'Tahmin Data'!M66/0.4</f>
        <v/>
      </c>
      <c r="P86" s="227">
        <f>'Tahmin Data'!O66/0.4</f>
        <v/>
      </c>
      <c r="Q86" s="227">
        <f>'Tahmin Data'!Q66/0.4</f>
        <v/>
      </c>
      <c r="R86" s="227">
        <f>'Tahmin Data'!S66/0.4</f>
        <v/>
      </c>
      <c r="S86" s="227">
        <f>'Tahmin Data'!U66/0.4</f>
        <v/>
      </c>
      <c r="T86" s="227">
        <f>'Tahmin Data'!W66/0.4</f>
        <v/>
      </c>
      <c r="U86" s="227">
        <f>G86</f>
        <v/>
      </c>
      <c r="V86" s="204">
        <f>'Bütçe aylık-Eur'!N86</f>
        <v/>
      </c>
      <c r="W86" s="229">
        <f>IF(U86&gt;V86,ABS((U86-V86)/V86),-ABS((V86-U86)/V86))</f>
        <v/>
      </c>
      <c r="Y86" s="158" t="inlineStr">
        <is>
          <t>Ebitda %</t>
        </is>
      </c>
      <c r="Z86" s="493">
        <f>Z85/Z84</f>
        <v/>
      </c>
      <c r="AA86" s="493">
        <f>AA85/AA84</f>
        <v/>
      </c>
      <c r="AB86" s="479">
        <f>IF(Z86&gt;AA86,ABS((Z86-AA86)/AA86),-ABS((AA86-Z86)/AA86))</f>
        <v/>
      </c>
      <c r="AC86" s="167" t="n"/>
      <c r="AD86" s="493">
        <f>AD85/AD84</f>
        <v/>
      </c>
      <c r="AE86" s="493">
        <f>AE85/AE84</f>
        <v/>
      </c>
      <c r="AF86" s="479">
        <f>IF(AD86&gt;AE86,ABS((AD86-AE86)/AE86),-ABS((AE86-AD86)/AE86))</f>
        <v/>
      </c>
      <c r="AG86" s="483" t="n"/>
      <c r="AH86" s="158" t="inlineStr">
        <is>
          <t>Vergi Öncesi Kar</t>
        </is>
      </c>
      <c r="AI86" s="497">
        <f>AI66+AI76+AI56</f>
        <v/>
      </c>
      <c r="AJ86" s="497">
        <f>AJ66+AJ76+AJ56</f>
        <v/>
      </c>
      <c r="AK86" s="497">
        <f>AK66+AK76+AK56</f>
        <v/>
      </c>
      <c r="AL86" s="492">
        <f>IF(AJ86&gt;AK86,ABS((AJ86-AK86)/AK86),-ABS((AK86-AJ86)/AK86))</f>
        <v/>
      </c>
    </row>
    <row r="87" ht="10.5" customHeight="1" thickBot="1">
      <c r="B87" s="149" t="inlineStr">
        <is>
          <t xml:space="preserve">Jantaş </t>
        </is>
      </c>
      <c r="C87" s="156">
        <f>'A -Döviz'!C144</f>
        <v/>
      </c>
      <c r="D87" s="156">
        <f>'A -Döviz'!B144</f>
        <v/>
      </c>
      <c r="E87" s="229">
        <f>IF(C87&gt;D87,ABS((C87-D87)/D87),-ABS((D87-C87)/D87))</f>
        <v/>
      </c>
      <c r="F87" s="155" t="n"/>
      <c r="G87" s="156">
        <f>'C-Döviz'!C144</f>
        <v/>
      </c>
      <c r="H87" s="156">
        <f>'C-Döviz'!B144</f>
        <v/>
      </c>
      <c r="I87" s="229">
        <f>IF(G87&gt;H87,ABS((G87-H87)/H87),-ABS((H87-G87)/H87))</f>
        <v/>
      </c>
      <c r="J87" s="157" t="n"/>
      <c r="K87" s="226">
        <f>B87</f>
        <v/>
      </c>
      <c r="L87" s="227">
        <f>'Tahmin Data'!G65/0.4</f>
        <v/>
      </c>
      <c r="M87" s="227">
        <f>'Tahmin Data'!I65/0.4</f>
        <v/>
      </c>
      <c r="N87" s="227">
        <f>'Tahmin Data'!K65/0.4</f>
        <v/>
      </c>
      <c r="O87" s="227">
        <f>'Tahmin Data'!M65/0.4</f>
        <v/>
      </c>
      <c r="P87" s="227">
        <f>'Tahmin Data'!O65/0.4</f>
        <v/>
      </c>
      <c r="Q87" s="227">
        <f>'Tahmin Data'!Q65/0.4</f>
        <v/>
      </c>
      <c r="R87" s="227">
        <f>'Tahmin Data'!S65/0.4</f>
        <v/>
      </c>
      <c r="S87" s="227">
        <f>'Tahmin Data'!U65/0.4</f>
        <v/>
      </c>
      <c r="T87" s="227">
        <f>'Tahmin Data'!W65/0.4</f>
        <v/>
      </c>
      <c r="U87" s="227">
        <f>G87</f>
        <v/>
      </c>
      <c r="V87" s="204">
        <f>'Bütçe aylık-Eur'!N87</f>
        <v/>
      </c>
      <c r="W87" s="229">
        <f>IF(U87&gt;V87,ABS((U87-V87)/V87),-ABS((V87-U87)/V87))</f>
        <v/>
      </c>
      <c r="Y87" s="158" t="inlineStr">
        <is>
          <t>Vergi Öncesi Kar</t>
        </is>
      </c>
      <c r="Z87" s="496">
        <f>Z57+Z67+Z77</f>
        <v/>
      </c>
      <c r="AA87" s="496">
        <f>AA57+AA67+AA77</f>
        <v/>
      </c>
      <c r="AB87" s="479">
        <f>IF(Z87&gt;AA87,ABS((Z87-AA87)/AA87),-ABS((AA87-Z87)/AA87))</f>
        <v/>
      </c>
      <c r="AC87" s="482" t="n"/>
      <c r="AD87" s="496">
        <f>AD57+AD67+AD77</f>
        <v/>
      </c>
      <c r="AE87" s="496">
        <f>AE57+AE67+AE77</f>
        <v/>
      </c>
      <c r="AF87" s="479">
        <f>IF(AD87&gt;AE87,ABS((AD87-AE87)/AE87),-ABS((AE87-AD87)/AE87))</f>
        <v/>
      </c>
      <c r="AG87" s="162" t="n"/>
      <c r="AH87" s="169" t="inlineStr">
        <is>
          <t>Operasyonel Nakit</t>
        </is>
      </c>
      <c r="AI87" s="498">
        <f>AI67+AI77+AI57</f>
        <v/>
      </c>
      <c r="AJ87" s="498">
        <f>AJ67+AJ77+AJ57</f>
        <v/>
      </c>
      <c r="AK87" s="498">
        <f>AK67+AK77+AK57</f>
        <v/>
      </c>
      <c r="AL87" s="494">
        <f>IF(AJ87&gt;AK87,ABS((AJ87-AK87)/AK87),-ABS((AK87-AJ87)/AK87))</f>
        <v/>
      </c>
    </row>
    <row r="88" ht="10.5" customHeight="1">
      <c r="B88" s="149" t="inlineStr">
        <is>
          <t xml:space="preserve">Çelik </t>
        </is>
      </c>
      <c r="C88" s="156">
        <f>'A -Döviz'!C145</f>
        <v/>
      </c>
      <c r="D88" s="156">
        <f>'A -Döviz'!B145</f>
        <v/>
      </c>
      <c r="E88" s="229">
        <f>IF(C88&gt;D88,ABS((C88-D88)/D88),-ABS((D88-C88)/D88))</f>
        <v/>
      </c>
      <c r="F88" s="155" t="n"/>
      <c r="G88" s="156">
        <f>'C-Döviz'!C145</f>
        <v/>
      </c>
      <c r="H88" s="156">
        <f>'C-Döviz'!B145</f>
        <v/>
      </c>
      <c r="I88" s="229">
        <f>IF(G88&gt;H88,ABS((G88-H88)/H88),-ABS((H88-G88)/H88))</f>
        <v/>
      </c>
      <c r="J88" s="157" t="n"/>
      <c r="K88" s="226">
        <f>B88</f>
        <v/>
      </c>
      <c r="L88" s="227">
        <f>'Tahmin Data'!G64/0.4</f>
        <v/>
      </c>
      <c r="M88" s="227">
        <f>'Tahmin Data'!I64/0.4</f>
        <v/>
      </c>
      <c r="N88" s="227">
        <f>'Tahmin Data'!K64/0.4</f>
        <v/>
      </c>
      <c r="O88" s="227">
        <f>'Tahmin Data'!M64/0.4</f>
        <v/>
      </c>
      <c r="P88" s="227">
        <f>'Tahmin Data'!O64/0.4</f>
        <v/>
      </c>
      <c r="Q88" s="227">
        <f>'Tahmin Data'!Q64/0.4</f>
        <v/>
      </c>
      <c r="R88" s="227">
        <f>'Tahmin Data'!S64/0.4</f>
        <v/>
      </c>
      <c r="S88" s="227">
        <f>'Tahmin Data'!U64/0.4</f>
        <v/>
      </c>
      <c r="T88" s="227">
        <f>'Tahmin Data'!W64/0.4</f>
        <v/>
      </c>
      <c r="U88" s="227">
        <f>G88</f>
        <v/>
      </c>
      <c r="V88" s="204">
        <f>'Bütçe aylık-Eur'!N88</f>
        <v/>
      </c>
      <c r="W88" s="229">
        <f>IF(U88&gt;V88,ABS((U88-V88)/V88),-ABS((V88-U88)/V88))</f>
        <v/>
      </c>
      <c r="Y88" s="158" t="inlineStr">
        <is>
          <t>Operasyonel Nakit</t>
        </is>
      </c>
      <c r="Z88" s="496">
        <f>Z58+Z68+Z78</f>
        <v/>
      </c>
      <c r="AA88" s="496">
        <f>AA58+AA68+AA78</f>
        <v/>
      </c>
      <c r="AB88" s="479">
        <f>IF(Z88&gt;AA88,ABS((Z88-AA88)/AA88),-ABS((AA88-Z88)/AA88))</f>
        <v/>
      </c>
      <c r="AC88" s="482" t="n"/>
      <c r="AD88" s="496">
        <f>AD58+AD68+AD78</f>
        <v/>
      </c>
      <c r="AE88" s="496">
        <f>AE58+AE68+AE78</f>
        <v/>
      </c>
      <c r="AF88" s="479">
        <f>IF(AD88&gt;AE88,ABS((AD88-AE88)/AE88),-ABS((AE88-AD88)/AE88))</f>
        <v/>
      </c>
      <c r="AG88" s="162" t="n"/>
    </row>
    <row r="89" ht="10.5" customHeight="1" thickBot="1">
      <c r="B89" s="149" t="inlineStr">
        <is>
          <t xml:space="preserve">Alüminyum </t>
        </is>
      </c>
      <c r="C89" s="156">
        <f>'A -Döviz'!C146</f>
        <v/>
      </c>
      <c r="D89" s="156">
        <f>'A -Döviz'!B146</f>
        <v/>
      </c>
      <c r="E89" s="229">
        <f>IF(C89&gt;D89,ABS((C89-D89)/D89),-ABS((D89-C89)/D89))</f>
        <v/>
      </c>
      <c r="F89" s="155" t="n"/>
      <c r="G89" s="156">
        <f>'C-Döviz'!C146</f>
        <v/>
      </c>
      <c r="H89" s="156">
        <f>'C-Döviz'!B146</f>
        <v/>
      </c>
      <c r="I89" s="229">
        <f>IF(G89&gt;H89,ABS((G89-H89)/H89),-ABS((H89-G89)/H89))</f>
        <v/>
      </c>
      <c r="J89" s="157" t="n"/>
      <c r="K89" s="231">
        <f>B89</f>
        <v/>
      </c>
      <c r="L89" s="232">
        <f>'Tahmin Data'!G63/0.4</f>
        <v/>
      </c>
      <c r="M89" s="232">
        <f>'Tahmin Data'!I63/0.4</f>
        <v/>
      </c>
      <c r="N89" s="232">
        <f>'Tahmin Data'!K63/0.4</f>
        <v/>
      </c>
      <c r="O89" s="232">
        <f>'Tahmin Data'!M63/0.4</f>
        <v/>
      </c>
      <c r="P89" s="232">
        <f>'Tahmin Data'!O63/0.4</f>
        <v/>
      </c>
      <c r="Q89" s="232">
        <f>'Tahmin Data'!Q63/0.4</f>
        <v/>
      </c>
      <c r="R89" s="232">
        <f>'Tahmin Data'!S63/0.4</f>
        <v/>
      </c>
      <c r="S89" s="232">
        <f>'Tahmin Data'!U63/0.4</f>
        <v/>
      </c>
      <c r="T89" s="232">
        <f>'Tahmin Data'!W63/0.4</f>
        <v/>
      </c>
      <c r="U89" s="232">
        <f>G89</f>
        <v/>
      </c>
      <c r="V89" s="205">
        <f>'Bütçe aylık-Eur'!N89</f>
        <v/>
      </c>
      <c r="W89" s="264">
        <f>IF(U89&gt;V89,ABS((U89-V89)/V89),-ABS((V89-U89)/V89))</f>
        <v/>
      </c>
      <c r="Y89" s="158" t="inlineStr">
        <is>
          <t>Yatırım</t>
        </is>
      </c>
      <c r="Z89" s="496">
        <f>Z59+Z69+Z79</f>
        <v/>
      </c>
      <c r="AA89" s="496">
        <f>AA59+AA69+AA79</f>
        <v/>
      </c>
      <c r="AB89" s="479">
        <f>IF(Z89&gt;AA89,ABS((Z89-AA89)/AA89),-ABS((AA89-Z89)/AA89))</f>
        <v/>
      </c>
      <c r="AC89" s="482" t="n"/>
      <c r="AD89" s="496">
        <f>AD59+AD69+AD79</f>
        <v/>
      </c>
      <c r="AE89" s="496">
        <f>AE59+AE69+AE79</f>
        <v/>
      </c>
      <c r="AF89" s="479">
        <f>IF(AD89&gt;AE89,ABS((AD89-AE89)/AE89),-ABS((AE89-AD89)/AE89))</f>
        <v/>
      </c>
      <c r="AG89" s="162" t="n"/>
    </row>
    <row r="90" ht="10.5" customHeight="1" thickBot="1">
      <c r="B90" s="169" t="inlineStr">
        <is>
          <t xml:space="preserve">Kombine </t>
        </is>
      </c>
      <c r="C90" s="192">
        <f>'A -Döviz'!C136</f>
        <v/>
      </c>
      <c r="D90" s="192">
        <f>'A -Döviz'!B136</f>
        <v/>
      </c>
      <c r="E90" s="488">
        <f>IF(C90&gt;D90,ABS((C90-D90)/D90),-ABS((D90-C90)/D90))</f>
        <v/>
      </c>
      <c r="F90" s="154" t="n"/>
      <c r="G90" s="192">
        <f>'C-Döviz'!C136</f>
        <v/>
      </c>
      <c r="H90" s="192">
        <f>'C-Döviz'!B136</f>
        <v/>
      </c>
      <c r="I90" s="260">
        <f>IF(G90&gt;H90,ABS((G90-H90)/H90),-ABS((H90-G90)/H90))</f>
        <v/>
      </c>
      <c r="J90" s="194" t="n"/>
      <c r="K90" s="263" t="inlineStr">
        <is>
          <t>Kombine</t>
        </is>
      </c>
      <c r="L90" s="248">
        <f>SUM('Tahmin Data'!G59:G66)</f>
        <v/>
      </c>
      <c r="M90" s="248">
        <f>SUM('Tahmin Data'!I59:I66)</f>
        <v/>
      </c>
      <c r="N90" s="248">
        <f>SUM('Tahmin Data'!K59:K66)</f>
        <v/>
      </c>
      <c r="O90" s="248">
        <f>SUM('Tahmin Data'!M59:M66)</f>
        <v/>
      </c>
      <c r="P90" s="248">
        <f>SUM('Tahmin Data'!O59:O66)</f>
        <v/>
      </c>
      <c r="Q90" s="248">
        <f>SUM('Tahmin Data'!Q59:Q66)</f>
        <v/>
      </c>
      <c r="R90" s="248">
        <f>SUM('Tahmin Data'!S59:S66)</f>
        <v/>
      </c>
      <c r="S90" s="248">
        <f>SUM('Tahmin Data'!U59:U66)</f>
        <v/>
      </c>
      <c r="T90" s="248">
        <f>SUM('Tahmin Data'!W59:W66)</f>
        <v/>
      </c>
      <c r="U90" s="248">
        <f t="array" ref="U90">SUM(U82:U84,(U85:U89)*0.4)</f>
        <v/>
      </c>
      <c r="V90" s="248">
        <f>'Bütçe aylık-Eur'!N81</f>
        <v/>
      </c>
      <c r="W90" s="229">
        <f>IF(U90&gt;V90,ABS((U90-V90)/V90),-ABS((V90-U90)/V90))</f>
        <v/>
      </c>
      <c r="Y90" s="169" t="inlineStr">
        <is>
          <t>Net Finansal Nakit (Borç)</t>
        </is>
      </c>
      <c r="Z90" s="500">
        <f>Z60+Z70+Z80</f>
        <v/>
      </c>
      <c r="AA90" s="500">
        <f>AA60+AA70+AA80</f>
        <v/>
      </c>
      <c r="AB90" s="491">
        <f>IF(Z90&gt;AA90,ABS((Z90-AA90)/AA90),-ABS((AA90-Z90)/AA90))</f>
        <v/>
      </c>
      <c r="AC90" s="482" t="n"/>
      <c r="AD90" s="500">
        <f>AD60+AD70+AD80</f>
        <v/>
      </c>
      <c r="AE90" s="500">
        <f>AE60+AE70+AE80</f>
        <v/>
      </c>
      <c r="AF90" s="491">
        <f>IF(AD90&gt;AE90,ABS((AD90-AE90)/AE90),-ABS((AE90-AD90)/AE90))</f>
        <v/>
      </c>
      <c r="AG90" s="162" t="n"/>
    </row>
    <row r="91" ht="10.5" customHeight="1" thickBot="1">
      <c r="K91" s="249" t="inlineStr">
        <is>
          <t>Toplam</t>
        </is>
      </c>
      <c r="L91" s="239">
        <f>SUM(L82:L89)</f>
        <v/>
      </c>
      <c r="M91" s="239">
        <f>SUM(M82:M89)</f>
        <v/>
      </c>
      <c r="N91" s="239">
        <f>SUM(N82:N89)</f>
        <v/>
      </c>
      <c r="O91" s="239">
        <f>SUM(O82:O89)</f>
        <v/>
      </c>
      <c r="P91" s="239">
        <f>SUM(P82:P89)</f>
        <v/>
      </c>
      <c r="Q91" s="239">
        <f>SUM(Q82:Q89)</f>
        <v/>
      </c>
      <c r="R91" s="239">
        <f>SUM(R82:R89)</f>
        <v/>
      </c>
      <c r="S91" s="239">
        <f>SUM(S82:S89)</f>
        <v/>
      </c>
      <c r="T91" s="239">
        <f>SUM(T82:T89)</f>
        <v/>
      </c>
      <c r="U91" s="239">
        <f>SUM(U82:U89)</f>
        <v/>
      </c>
      <c r="V91" s="239">
        <f>SUM(V82:V89)</f>
        <v/>
      </c>
      <c r="W91" s="264">
        <f>IF(U91&gt;V91,ABS((U91-V91)/V91),-ABS((V91-U91)/V91))</f>
        <v/>
      </c>
    </row>
    <row r="92" ht="10.5" customHeight="1">
      <c r="V92" s="194" t="n"/>
      <c r="Y92" s="453" t="inlineStr">
        <is>
          <t xml:space="preserve">Kombine </t>
        </is>
      </c>
      <c r="Z92" s="453" t="inlineStr">
        <is>
          <t>AYLIK</t>
        </is>
      </c>
      <c r="AC92" s="152" t="n"/>
      <c r="AD92" s="453" t="n"/>
      <c r="AE92" s="453" t="inlineStr">
        <is>
          <t>KÜMÜLATİF</t>
        </is>
      </c>
      <c r="AF92" s="453" t="n"/>
      <c r="AG92" s="153" t="n"/>
      <c r="AH92" s="453" t="inlineStr">
        <is>
          <t>Kombine</t>
        </is>
      </c>
      <c r="AI92" s="453" t="n"/>
      <c r="AJ92" s="453" t="inlineStr">
        <is>
          <t>Yıl Sonu Tahmini</t>
        </is>
      </c>
    </row>
    <row r="93" ht="10.5" customHeight="1">
      <c r="B93" s="209" t="inlineStr">
        <is>
          <t>EBITDA Marjı</t>
        </is>
      </c>
      <c r="C93" s="451" t="inlineStr">
        <is>
          <t>AYLIK</t>
        </is>
      </c>
      <c r="F93" s="451" t="n"/>
      <c r="G93" s="451" t="n"/>
      <c r="H93" s="451" t="inlineStr">
        <is>
          <t>KÜMÜLATİF</t>
        </is>
      </c>
      <c r="I93" s="451" t="n"/>
      <c r="J93" s="195" t="n"/>
      <c r="K93" s="214" t="inlineStr">
        <is>
          <t>EBITDA Marjı Tahmin</t>
        </is>
      </c>
      <c r="L93" s="214" t="n"/>
      <c r="M93" s="214" t="n"/>
      <c r="N93" s="214" t="n"/>
      <c r="O93" s="451" t="n"/>
      <c r="P93" s="451" t="n"/>
      <c r="Q93" s="451" t="n"/>
      <c r="R93" s="451" t="n"/>
      <c r="S93" s="451" t="n"/>
      <c r="T93" s="451" t="n"/>
      <c r="U93" s="451" t="n"/>
      <c r="V93" s="195" t="n"/>
      <c r="Y93" s="453" t="inlineStr">
        <is>
          <t>(EUR)</t>
        </is>
      </c>
      <c r="Z93" s="453" t="inlineStr">
        <is>
          <t>Gerçekleşen</t>
        </is>
      </c>
      <c r="AA93" s="453" t="inlineStr">
        <is>
          <t>Bütçe</t>
        </is>
      </c>
      <c r="AB93" s="453" t="inlineStr">
        <is>
          <t>Sapma %</t>
        </is>
      </c>
      <c r="AC93" s="152" t="n"/>
      <c r="AD93" s="453" t="inlineStr">
        <is>
          <t>Gerçekleşen</t>
        </is>
      </c>
      <c r="AE93" s="453" t="inlineStr">
        <is>
          <t>Bütçe</t>
        </is>
      </c>
      <c r="AF93" s="453" t="inlineStr">
        <is>
          <t>Sapma %</t>
        </is>
      </c>
      <c r="AG93" s="153" t="n"/>
      <c r="AH93" s="453" t="inlineStr">
        <is>
          <t>(EUR)</t>
        </is>
      </c>
      <c r="AI93" s="453">
        <f>AI3</f>
        <v/>
      </c>
      <c r="AJ93" s="453">
        <f>AJ3</f>
        <v/>
      </c>
      <c r="AK93" s="453" t="inlineStr">
        <is>
          <t>Bütçe</t>
        </is>
      </c>
      <c r="AL93" s="453" t="inlineStr">
        <is>
          <t>Sapma %</t>
        </is>
      </c>
    </row>
    <row r="94" ht="10.5" customHeight="1" thickBot="1">
      <c r="B94" s="169" t="n"/>
      <c r="C94" s="211" t="inlineStr">
        <is>
          <t>Gerçekleşen</t>
        </is>
      </c>
      <c r="D94" s="211" t="inlineStr">
        <is>
          <t>Bütçe</t>
        </is>
      </c>
      <c r="E94" s="211" t="inlineStr">
        <is>
          <t>Sapma %</t>
        </is>
      </c>
      <c r="F94" s="211" t="n"/>
      <c r="G94" s="211">
        <f>C94</f>
        <v/>
      </c>
      <c r="H94" s="211" t="inlineStr">
        <is>
          <t>Bütçe</t>
        </is>
      </c>
      <c r="I94" s="211" t="inlineStr">
        <is>
          <t>Sapma %</t>
        </is>
      </c>
      <c r="J94" s="152" t="n"/>
      <c r="K94" s="169" t="n"/>
      <c r="L94" s="211">
        <f>L107</f>
        <v/>
      </c>
      <c r="M94" s="211">
        <f>M107</f>
        <v/>
      </c>
      <c r="N94" s="211">
        <f>N107</f>
        <v/>
      </c>
      <c r="O94" s="219" t="inlineStr">
        <is>
          <t>Haziran</t>
        </is>
      </c>
      <c r="P94" s="219" t="inlineStr">
        <is>
          <t>Temmuz</t>
        </is>
      </c>
      <c r="Q94" s="219" t="inlineStr">
        <is>
          <t>Ağustos</t>
        </is>
      </c>
      <c r="R94" s="219" t="inlineStr">
        <is>
          <t>Eylül</t>
        </is>
      </c>
      <c r="S94" s="219" t="inlineStr">
        <is>
          <t>Ekim</t>
        </is>
      </c>
      <c r="T94" s="219" t="inlineStr">
        <is>
          <t>Kasım</t>
        </is>
      </c>
      <c r="U94" s="219" t="inlineStr">
        <is>
          <t>Gerçekleşen</t>
        </is>
      </c>
      <c r="V94" s="219" t="inlineStr">
        <is>
          <t>Bütçe</t>
        </is>
      </c>
      <c r="W94" s="262" t="inlineStr">
        <is>
          <t>Sapma %</t>
        </is>
      </c>
      <c r="Y94" s="158" t="inlineStr">
        <is>
          <t>Satışlar</t>
        </is>
      </c>
      <c r="Z94" s="496">
        <f>C12</f>
        <v/>
      </c>
      <c r="AA94" s="496">
        <f>D12</f>
        <v/>
      </c>
      <c r="AB94" s="479">
        <f>IF(Z94&gt;AA94,ABS((Z94-AA94)/AA94),-ABS((AA94-Z94)/AA94))</f>
        <v/>
      </c>
      <c r="AC94" s="482" t="n"/>
      <c r="AD94" s="496">
        <f>G12</f>
        <v/>
      </c>
      <c r="AE94" s="496">
        <f>H12</f>
        <v/>
      </c>
      <c r="AF94" s="479">
        <f>IF(AD94&gt;AE94,ABS((AD94-AE94)/AE94),-ABS((AE94-AD94)/AE94))</f>
        <v/>
      </c>
      <c r="AG94" s="162" t="n"/>
      <c r="AH94" s="158" t="inlineStr">
        <is>
          <t>Satışlar</t>
        </is>
      </c>
      <c r="AI94" s="497">
        <f>SUM('Tahmin Data'!K3:K10)</f>
        <v/>
      </c>
      <c r="AJ94" s="497">
        <f>SUM('Tahmin Data'!M3:M10)</f>
        <v/>
      </c>
      <c r="AK94" s="497">
        <f>'C-Döviz'!AI6</f>
        <v/>
      </c>
      <c r="AL94" s="481">
        <f>IF(AJ94&gt;AK94,ABS((AJ94-AK94)/AK94),-ABS((AK94-AJ94)/AK94))</f>
        <v/>
      </c>
    </row>
    <row r="95" ht="10.5" customHeight="1">
      <c r="B95" s="149" t="inlineStr">
        <is>
          <t xml:space="preserve">İnci Holding  </t>
        </is>
      </c>
      <c r="C95" s="157">
        <f>C82/C4</f>
        <v/>
      </c>
      <c r="D95" s="157">
        <f>D82/D4</f>
        <v/>
      </c>
      <c r="E95" s="207">
        <f>C95-D95</f>
        <v/>
      </c>
      <c r="F95" s="155" t="n"/>
      <c r="G95" s="157">
        <f>G82/G4</f>
        <v/>
      </c>
      <c r="H95" s="157">
        <f>H82/H4</f>
        <v/>
      </c>
      <c r="I95" s="207">
        <f>G95-H95</f>
        <v/>
      </c>
      <c r="J95" s="157" t="n"/>
      <c r="K95" s="200">
        <f>B95</f>
        <v/>
      </c>
      <c r="L95" s="240">
        <f>L82/L4</f>
        <v/>
      </c>
      <c r="M95" s="240">
        <f>M82/M4</f>
        <v/>
      </c>
      <c r="N95" s="240">
        <f>N82/N4</f>
        <v/>
      </c>
      <c r="O95" s="240">
        <f>O82/O4</f>
        <v/>
      </c>
      <c r="P95" s="240">
        <f>P82/P4</f>
        <v/>
      </c>
      <c r="Q95" s="240">
        <f>Q82/Q4</f>
        <v/>
      </c>
      <c r="R95" s="240">
        <f>R82/R4</f>
        <v/>
      </c>
      <c r="S95" s="240">
        <f>S82/S4</f>
        <v/>
      </c>
      <c r="T95" s="240">
        <f>T82/T4</f>
        <v/>
      </c>
      <c r="U95" s="240">
        <f>U82/U4</f>
        <v/>
      </c>
      <c r="V95" s="240">
        <f>V82/V4</f>
        <v/>
      </c>
      <c r="W95" s="479">
        <f>U95-V95</f>
        <v/>
      </c>
      <c r="Y95" s="158" t="inlineStr">
        <is>
          <t>Ebitda</t>
        </is>
      </c>
      <c r="Z95" s="496">
        <f>C90</f>
        <v/>
      </c>
      <c r="AA95" s="496">
        <f>D90</f>
        <v/>
      </c>
      <c r="AB95" s="479">
        <f>IF(Z95&gt;AA95,ABS((Z95-AA95)/AA95),-ABS((AA95-Z95)/AA95))</f>
        <v/>
      </c>
      <c r="AC95" s="482" t="n"/>
      <c r="AD95" s="496">
        <f>G90</f>
        <v/>
      </c>
      <c r="AE95" s="496">
        <f>H90</f>
        <v/>
      </c>
      <c r="AF95" s="479">
        <f>IF(AD95&gt;AE95,ABS((AD95-AE95)/AE95),-ABS((AE95-AD95)/AE95))</f>
        <v/>
      </c>
      <c r="AG95" s="162" t="n"/>
      <c r="AH95" s="158" t="inlineStr">
        <is>
          <t>Ebitda</t>
        </is>
      </c>
      <c r="AI95" s="497">
        <f>SUM('Tahmin Data'!K59:K66)</f>
        <v/>
      </c>
      <c r="AJ95" s="497">
        <f>SUM('Tahmin Data'!M59:M66)</f>
        <v/>
      </c>
      <c r="AK95" s="497">
        <f>'C-Döviz'!AI136</f>
        <v/>
      </c>
      <c r="AL95" s="481">
        <f>IF(AJ95&gt;AK95,ABS((AJ95-AK95)/AK95),-ABS((AK95-AJ95)/AK95))</f>
        <v/>
      </c>
    </row>
    <row r="96" ht="10.5" customHeight="1">
      <c r="B96" s="149" t="inlineStr">
        <is>
          <t xml:space="preserve">ISM </t>
        </is>
      </c>
      <c r="C96" s="157">
        <f>C83/C5</f>
        <v/>
      </c>
      <c r="D96" s="157">
        <f>D83/D5</f>
        <v/>
      </c>
      <c r="E96" s="157">
        <f>C96-D96</f>
        <v/>
      </c>
      <c r="F96" s="155" t="n"/>
      <c r="G96" s="157">
        <f>G83/G5</f>
        <v/>
      </c>
      <c r="H96" s="157">
        <f>H83/H5</f>
        <v/>
      </c>
      <c r="I96" s="157">
        <f>G96-H96</f>
        <v/>
      </c>
      <c r="J96" s="157" t="n"/>
      <c r="K96" s="200">
        <f>B96</f>
        <v/>
      </c>
      <c r="L96" s="241">
        <f>L83/L5</f>
        <v/>
      </c>
      <c r="M96" s="241">
        <f>M83/M5</f>
        <v/>
      </c>
      <c r="N96" s="241">
        <f>N83/N5</f>
        <v/>
      </c>
      <c r="O96" s="241">
        <f>O83/O5</f>
        <v/>
      </c>
      <c r="P96" s="241">
        <f>P83/P5</f>
        <v/>
      </c>
      <c r="Q96" s="241">
        <f>Q83/Q5</f>
        <v/>
      </c>
      <c r="R96" s="241">
        <f>R83/R5</f>
        <v/>
      </c>
      <c r="S96" s="241">
        <f>S83/S5</f>
        <v/>
      </c>
      <c r="T96" s="241">
        <f>T83/T5</f>
        <v/>
      </c>
      <c r="U96" s="241">
        <f>U83/U5</f>
        <v/>
      </c>
      <c r="V96" s="241">
        <f>V83/V5</f>
        <v/>
      </c>
      <c r="W96" s="479">
        <f>U96-V96</f>
        <v/>
      </c>
      <c r="Y96" s="158" t="inlineStr">
        <is>
          <t>Ebitda %</t>
        </is>
      </c>
      <c r="Z96" s="493">
        <f>C77</f>
        <v/>
      </c>
      <c r="AA96" s="493">
        <f>D77</f>
        <v/>
      </c>
      <c r="AB96" s="479">
        <f>IF(Z96&gt;AA96,ABS((Z96-AA96)/AA96),-ABS((AA96-Z96)/AA96))</f>
        <v/>
      </c>
      <c r="AC96" s="167" t="n"/>
      <c r="AD96" s="493">
        <f>G77</f>
        <v/>
      </c>
      <c r="AE96" s="493">
        <f>H77</f>
        <v/>
      </c>
      <c r="AF96" s="479">
        <f>IF(AD96&gt;AE96,ABS((AD96-AE96)/AE96),-ABS((AE96-AD96)/AE96))</f>
        <v/>
      </c>
      <c r="AG96" s="483" t="n"/>
      <c r="AH96" s="158" t="inlineStr">
        <is>
          <t>Vergi Öncesi Kar</t>
        </is>
      </c>
      <c r="AI96" s="497">
        <f>SUM('Tahmin Data'!K83:K90)</f>
        <v/>
      </c>
      <c r="AJ96" s="497">
        <f>SUM('Tahmin Data'!M83:M90)</f>
        <v/>
      </c>
      <c r="AK96" s="497">
        <f>'C-Döviz'!AI186</f>
        <v/>
      </c>
      <c r="AL96" s="481">
        <f>IF(AJ96&gt;AK96,ABS((AJ96-AK96)/AK96),-ABS((AK96-AJ96)/AK96))</f>
        <v/>
      </c>
    </row>
    <row r="97" ht="10.5" customHeight="1" thickBot="1">
      <c r="B97" s="149" t="inlineStr">
        <is>
          <t xml:space="preserve">İncitaş </t>
        </is>
      </c>
      <c r="C97" s="157">
        <f>C84/C6</f>
        <v/>
      </c>
      <c r="D97" s="157">
        <f>D84/D6</f>
        <v/>
      </c>
      <c r="E97" s="157">
        <f>C97-D97</f>
        <v/>
      </c>
      <c r="F97" s="155" t="n"/>
      <c r="G97" s="157">
        <f>G84/G6</f>
        <v/>
      </c>
      <c r="H97" s="157">
        <f>H84/H6</f>
        <v/>
      </c>
      <c r="I97" s="157">
        <f>G97-H97</f>
        <v/>
      </c>
      <c r="J97" s="157" t="n"/>
      <c r="K97" s="200">
        <f>B97</f>
        <v/>
      </c>
      <c r="L97" s="241">
        <f>L84/L6</f>
        <v/>
      </c>
      <c r="M97" s="241">
        <f>M84/M6</f>
        <v/>
      </c>
      <c r="N97" s="241">
        <f>N84/N6</f>
        <v/>
      </c>
      <c r="O97" s="241">
        <f>O84/O6</f>
        <v/>
      </c>
      <c r="P97" s="241">
        <f>P84/P6</f>
        <v/>
      </c>
      <c r="Q97" s="241">
        <f>Q84/Q6</f>
        <v/>
      </c>
      <c r="R97" s="241">
        <f>R84/R6</f>
        <v/>
      </c>
      <c r="S97" s="241">
        <f>S84/S6</f>
        <v/>
      </c>
      <c r="T97" s="241">
        <f>T84/T6</f>
        <v/>
      </c>
      <c r="U97" s="241">
        <f>U84/U6</f>
        <v/>
      </c>
      <c r="V97" s="241">
        <f>V84/V6</f>
        <v/>
      </c>
      <c r="W97" s="479">
        <f>U97-V97</f>
        <v/>
      </c>
      <c r="Y97" s="158" t="inlineStr">
        <is>
          <t>Vergi Öncesi Kar</t>
        </is>
      </c>
      <c r="Z97" s="496">
        <f>C142</f>
        <v/>
      </c>
      <c r="AA97" s="496">
        <f>D142</f>
        <v/>
      </c>
      <c r="AB97" s="479">
        <f>IF(Z97&gt;AA97,ABS((Z97-AA97)/AA97),-ABS((AA97-Z97)/AA97))</f>
        <v/>
      </c>
      <c r="AC97" s="482" t="n"/>
      <c r="AD97" s="496">
        <f>G142</f>
        <v/>
      </c>
      <c r="AE97" s="496">
        <f>H142</f>
        <v/>
      </c>
      <c r="AF97" s="479">
        <f>IF(AD97&gt;AE97,ABS((AD97-AE97)/AE97),-ABS((AE97-AD97)/AE97))</f>
        <v/>
      </c>
      <c r="AG97" s="162" t="n"/>
      <c r="AH97" s="169" t="inlineStr">
        <is>
          <t>Operasyonel Nakit</t>
        </is>
      </c>
      <c r="AI97" s="498">
        <f>SUM('Tahmin Data'!K139:K146)</f>
        <v/>
      </c>
      <c r="AJ97" s="498">
        <f>SUM('Tahmin Data'!M139:M146)</f>
        <v/>
      </c>
      <c r="AK97" s="498">
        <f>'C-Döviz'!AI288</f>
        <v/>
      </c>
      <c r="AL97" s="494">
        <f>IF(AJ97&gt;AK97,ABS((AJ97-AK97)/AK97),-ABS((AK97-AJ97)/AK97))</f>
        <v/>
      </c>
      <c r="AN97" s="501" t="n"/>
    </row>
    <row r="98">
      <c r="B98" s="149" t="inlineStr">
        <is>
          <t xml:space="preserve">İnci GS Yuasa </t>
        </is>
      </c>
      <c r="C98" s="157">
        <f>C85/C7</f>
        <v/>
      </c>
      <c r="D98" s="157">
        <f>D85/D7</f>
        <v/>
      </c>
      <c r="E98" s="157">
        <f>C98-D98</f>
        <v/>
      </c>
      <c r="F98" s="155" t="n"/>
      <c r="G98" s="157">
        <f>G85/G7</f>
        <v/>
      </c>
      <c r="H98" s="157">
        <f>H85/H7</f>
        <v/>
      </c>
      <c r="I98" s="157">
        <f>G98-H98</f>
        <v/>
      </c>
      <c r="J98" s="157" t="n"/>
      <c r="K98" s="200">
        <f>B98</f>
        <v/>
      </c>
      <c r="L98" s="241">
        <f>L85/L7</f>
        <v/>
      </c>
      <c r="M98" s="241">
        <f>M85/M7</f>
        <v/>
      </c>
      <c r="N98" s="241">
        <f>N85/N7</f>
        <v/>
      </c>
      <c r="O98" s="241">
        <f>O85/O7</f>
        <v/>
      </c>
      <c r="P98" s="241">
        <f>P85/P7</f>
        <v/>
      </c>
      <c r="Q98" s="241">
        <f>Q85/Q7</f>
        <v/>
      </c>
      <c r="R98" s="241">
        <f>R85/R7</f>
        <v/>
      </c>
      <c r="S98" s="241">
        <f>S85/S7</f>
        <v/>
      </c>
      <c r="T98" s="241">
        <f>T85/T7</f>
        <v/>
      </c>
      <c r="U98" s="241">
        <f>U85/U7</f>
        <v/>
      </c>
      <c r="V98" s="241">
        <f>V85/V7</f>
        <v/>
      </c>
      <c r="W98" s="479">
        <f>U98-V98</f>
        <v/>
      </c>
      <c r="Y98" s="158" t="inlineStr">
        <is>
          <t>Operasyonel Nakit</t>
        </is>
      </c>
      <c r="Z98" s="496">
        <f>C181</f>
        <v/>
      </c>
      <c r="AA98" s="496">
        <f>D181</f>
        <v/>
      </c>
      <c r="AB98" s="479">
        <f>IF(Z98&gt;AA98,ABS((Z98-AA98)/AA98),-ABS((AA98-Z98)/AA98))</f>
        <v/>
      </c>
      <c r="AC98" s="482" t="n"/>
      <c r="AD98" s="496">
        <f>G181</f>
        <v/>
      </c>
      <c r="AE98" s="496">
        <f>H181</f>
        <v/>
      </c>
      <c r="AF98" s="479">
        <f>IF(AD98&gt;AE98,ABS((AD98-AE98)/AE98),-ABS((AE98-AD98)/AE98))</f>
        <v/>
      </c>
      <c r="AG98" s="162" t="n"/>
    </row>
    <row r="99" ht="10.5" customHeight="1">
      <c r="B99" s="149" t="inlineStr">
        <is>
          <t xml:space="preserve">Yusen İnci Loj. </t>
        </is>
      </c>
      <c r="C99" s="157">
        <f>C86/C8</f>
        <v/>
      </c>
      <c r="D99" s="157">
        <f>D86/D8</f>
        <v/>
      </c>
      <c r="E99" s="157">
        <f>C99-D99</f>
        <v/>
      </c>
      <c r="F99" s="155" t="n"/>
      <c r="G99" s="157">
        <f>G86/G8</f>
        <v/>
      </c>
      <c r="H99" s="157">
        <f>H86/H8</f>
        <v/>
      </c>
      <c r="I99" s="157">
        <f>G99-H99</f>
        <v/>
      </c>
      <c r="J99" s="157" t="n"/>
      <c r="K99" s="200">
        <f>B99</f>
        <v/>
      </c>
      <c r="L99" s="241">
        <f>L86/L8</f>
        <v/>
      </c>
      <c r="M99" s="241">
        <f>M86/M8</f>
        <v/>
      </c>
      <c r="N99" s="241">
        <f>N86/N8</f>
        <v/>
      </c>
      <c r="O99" s="241">
        <f>O86/O8</f>
        <v/>
      </c>
      <c r="P99" s="241">
        <f>P86/P8</f>
        <v/>
      </c>
      <c r="Q99" s="241">
        <f>Q86/Q8</f>
        <v/>
      </c>
      <c r="R99" s="241">
        <f>R86/R8</f>
        <v/>
      </c>
      <c r="S99" s="241">
        <f>S86/S8</f>
        <v/>
      </c>
      <c r="T99" s="241">
        <f>T86/T8</f>
        <v/>
      </c>
      <c r="U99" s="241">
        <f>U86/U8</f>
        <v/>
      </c>
      <c r="V99" s="241">
        <f>V86/V8</f>
        <v/>
      </c>
      <c r="W99" s="479">
        <f>U99-V99</f>
        <v/>
      </c>
      <c r="Y99" s="158" t="inlineStr">
        <is>
          <t>Yatırım</t>
        </is>
      </c>
      <c r="Z99" s="496">
        <f>C194</f>
        <v/>
      </c>
      <c r="AA99" s="496">
        <f>D194</f>
        <v/>
      </c>
      <c r="AB99" s="479">
        <f>IF(Z99&gt;AA99,ABS((Z99-AA99)/AA99),-ABS((AA99-Z99)/AA99))</f>
        <v/>
      </c>
      <c r="AC99" s="482" t="n"/>
      <c r="AD99" s="496">
        <f>G194</f>
        <v/>
      </c>
      <c r="AE99" s="496">
        <f>H194</f>
        <v/>
      </c>
      <c r="AF99" s="479">
        <f>IF(AD99&gt;AE99,ABS((AD99-AE99)/AE99),-ABS((AE99-AD99)/AE99))</f>
        <v/>
      </c>
      <c r="AG99" s="162" t="n"/>
    </row>
    <row r="100" ht="10.5" customHeight="1" thickBot="1">
      <c r="B100" s="149" t="inlineStr">
        <is>
          <t xml:space="preserve">Jantaş </t>
        </is>
      </c>
      <c r="C100" s="157">
        <f>C87/C9</f>
        <v/>
      </c>
      <c r="D100" s="157">
        <f>D87/D9</f>
        <v/>
      </c>
      <c r="E100" s="157">
        <f>C100-D100</f>
        <v/>
      </c>
      <c r="F100" s="155" t="n"/>
      <c r="G100" s="157">
        <f>G87/G9</f>
        <v/>
      </c>
      <c r="H100" s="157">
        <f>H87/H9</f>
        <v/>
      </c>
      <c r="I100" s="157">
        <f>G100-H100</f>
        <v/>
      </c>
      <c r="J100" s="157" t="n"/>
      <c r="K100" s="200">
        <f>B100</f>
        <v/>
      </c>
      <c r="L100" s="241">
        <f>L87/L9</f>
        <v/>
      </c>
      <c r="M100" s="241">
        <f>M87/M9</f>
        <v/>
      </c>
      <c r="N100" s="241">
        <f>N87/N9</f>
        <v/>
      </c>
      <c r="O100" s="241">
        <f>O87/O9</f>
        <v/>
      </c>
      <c r="P100" s="241">
        <f>P87/P9</f>
        <v/>
      </c>
      <c r="Q100" s="241">
        <f>Q87/Q9</f>
        <v/>
      </c>
      <c r="R100" s="241">
        <f>R87/R9</f>
        <v/>
      </c>
      <c r="S100" s="241">
        <f>S87/S9</f>
        <v/>
      </c>
      <c r="T100" s="241">
        <f>T87/T9</f>
        <v/>
      </c>
      <c r="U100" s="241">
        <f>U87/U9</f>
        <v/>
      </c>
      <c r="V100" s="241">
        <f>V87/V9</f>
        <v/>
      </c>
      <c r="W100" s="479">
        <f>U100-V100</f>
        <v/>
      </c>
      <c r="Y100" s="169" t="inlineStr">
        <is>
          <t>Net Finansal Nakit (Borç)</t>
        </is>
      </c>
      <c r="Z100" s="500">
        <f>C220</f>
        <v/>
      </c>
      <c r="AA100" s="500">
        <f>D220</f>
        <v/>
      </c>
      <c r="AB100" s="491">
        <f>IF(Z100&gt;AA100,ABS((Z100-AA100)/AA100),-ABS((AA100-Z100)/AA100))</f>
        <v/>
      </c>
      <c r="AC100" s="482" t="n"/>
      <c r="AD100" s="500">
        <f>G220</f>
        <v/>
      </c>
      <c r="AE100" s="500">
        <f>H220</f>
        <v/>
      </c>
      <c r="AF100" s="491">
        <f>IF(AD100&gt;AE100,ABS((AD100-AE100)/AE100),-ABS((AE100-AD100)/AE100))</f>
        <v/>
      </c>
      <c r="AG100" s="162" t="n"/>
    </row>
    <row r="101" ht="10.5" customHeight="1">
      <c r="B101" s="149" t="inlineStr">
        <is>
          <t xml:space="preserve">Çelik </t>
        </is>
      </c>
      <c r="C101" s="157">
        <f>C88/C10</f>
        <v/>
      </c>
      <c r="D101" s="157">
        <f>D88/D10</f>
        <v/>
      </c>
      <c r="E101" s="157">
        <f>C101-D101</f>
        <v/>
      </c>
      <c r="F101" s="155" t="n"/>
      <c r="G101" s="157">
        <f>G88/G10</f>
        <v/>
      </c>
      <c r="H101" s="157">
        <f>H88/H10</f>
        <v/>
      </c>
      <c r="I101" s="157">
        <f>G101-H101</f>
        <v/>
      </c>
      <c r="J101" s="157" t="n"/>
      <c r="K101" s="200">
        <f>B101</f>
        <v/>
      </c>
      <c r="L101" s="241">
        <f>L88/L10</f>
        <v/>
      </c>
      <c r="M101" s="241">
        <f>M88/M10</f>
        <v/>
      </c>
      <c r="N101" s="241">
        <f>N88/N10</f>
        <v/>
      </c>
      <c r="O101" s="241">
        <f>O88/O10</f>
        <v/>
      </c>
      <c r="P101" s="241">
        <f>P88/P10</f>
        <v/>
      </c>
      <c r="Q101" s="241">
        <f>Q88/Q10</f>
        <v/>
      </c>
      <c r="R101" s="241">
        <f>R88/R10</f>
        <v/>
      </c>
      <c r="S101" s="241">
        <f>S88/S10</f>
        <v/>
      </c>
      <c r="T101" s="241">
        <f>T88/T10</f>
        <v/>
      </c>
      <c r="U101" s="241">
        <f>U88/U10</f>
        <v/>
      </c>
      <c r="V101" s="241">
        <f>V88/V10</f>
        <v/>
      </c>
      <c r="W101" s="479">
        <f>U101-V101</f>
        <v/>
      </c>
    </row>
    <row r="102" ht="10.5" customHeight="1" thickBot="1">
      <c r="B102" s="149" t="inlineStr">
        <is>
          <t xml:space="preserve">Alüminyum </t>
        </is>
      </c>
      <c r="C102" s="157">
        <f>C89/C11</f>
        <v/>
      </c>
      <c r="D102" s="157">
        <f>D89/D11</f>
        <v/>
      </c>
      <c r="E102" s="157">
        <f>C102-D102</f>
        <v/>
      </c>
      <c r="F102" s="155" t="n"/>
      <c r="G102" s="157">
        <f>G89/G11</f>
        <v/>
      </c>
      <c r="H102" s="157">
        <f>H89/H11</f>
        <v/>
      </c>
      <c r="I102" s="157">
        <f>G102-H102</f>
        <v/>
      </c>
      <c r="J102" s="157" t="n"/>
      <c r="K102" s="201">
        <f>B102</f>
        <v/>
      </c>
      <c r="L102" s="242">
        <f>L89/L11</f>
        <v/>
      </c>
      <c r="M102" s="242">
        <f>M89/M11</f>
        <v/>
      </c>
      <c r="N102" s="242">
        <f>N89/N11</f>
        <v/>
      </c>
      <c r="O102" s="242">
        <f>O89/O11</f>
        <v/>
      </c>
      <c r="P102" s="242">
        <f>P89/P11</f>
        <v/>
      </c>
      <c r="Q102" s="242">
        <f>Q89/Q11</f>
        <v/>
      </c>
      <c r="R102" s="242">
        <f>R89/R11</f>
        <v/>
      </c>
      <c r="S102" s="242">
        <f>S89/S11</f>
        <v/>
      </c>
      <c r="T102" s="242">
        <f>T89/T11</f>
        <v/>
      </c>
      <c r="U102" s="242">
        <f>U89/U11</f>
        <v/>
      </c>
      <c r="V102" s="242">
        <f>V89/V11</f>
        <v/>
      </c>
      <c r="W102" s="491">
        <f>U102-V102</f>
        <v/>
      </c>
    </row>
    <row r="103" ht="10.5" customHeight="1" thickBot="1">
      <c r="B103" s="169" t="inlineStr">
        <is>
          <t xml:space="preserve">Kombine </t>
        </is>
      </c>
      <c r="C103" s="193">
        <f>C90/C12</f>
        <v/>
      </c>
      <c r="D103" s="193">
        <f>D90/D12</f>
        <v/>
      </c>
      <c r="E103" s="193">
        <f>C103-D103</f>
        <v/>
      </c>
      <c r="F103" s="154" t="n"/>
      <c r="G103" s="193">
        <f>G90/G12</f>
        <v/>
      </c>
      <c r="H103" s="193">
        <f>H90/H12</f>
        <v/>
      </c>
      <c r="I103" s="193">
        <f>G103-H103</f>
        <v/>
      </c>
      <c r="J103" s="194" t="n"/>
      <c r="K103" s="238" t="inlineStr">
        <is>
          <t xml:space="preserve">Kombine </t>
        </is>
      </c>
      <c r="L103" s="243">
        <f>L90/L12</f>
        <v/>
      </c>
      <c r="M103" s="243">
        <f>M90/M12</f>
        <v/>
      </c>
      <c r="N103" s="243">
        <f>N90/N12</f>
        <v/>
      </c>
      <c r="O103" s="243">
        <f>O90/O12</f>
        <v/>
      </c>
      <c r="P103" s="243">
        <f>P90/P12</f>
        <v/>
      </c>
      <c r="Q103" s="243">
        <f>Q90/Q12</f>
        <v/>
      </c>
      <c r="R103" s="502">
        <f>R90/R12</f>
        <v/>
      </c>
      <c r="S103" s="502">
        <f>S90/S12</f>
        <v/>
      </c>
      <c r="T103" s="502">
        <f>T90/T12</f>
        <v/>
      </c>
      <c r="U103" s="502">
        <f>U90/U12</f>
        <v/>
      </c>
      <c r="V103" s="502">
        <f>V90/V12</f>
        <v/>
      </c>
      <c r="W103" s="243">
        <f>U103-V103</f>
        <v/>
      </c>
    </row>
    <row r="104" ht="10.5" customHeight="1" thickBot="1">
      <c r="K104" s="249" t="n"/>
      <c r="L104" s="239" t="n"/>
      <c r="M104" s="239" t="n"/>
      <c r="N104" s="239" t="n"/>
      <c r="O104" s="239" t="n"/>
      <c r="P104" s="239" t="n"/>
      <c r="Q104" s="239" t="n"/>
      <c r="R104" s="239" t="n"/>
      <c r="S104" s="239" t="n"/>
      <c r="T104" s="239" t="n"/>
      <c r="U104" s="239" t="n"/>
      <c r="V104" s="239" t="n"/>
    </row>
    <row r="105" ht="10.5" customHeight="1">
      <c r="V105" s="194" t="n"/>
    </row>
    <row r="106" ht="10.5" customHeight="1">
      <c r="B106" s="209" t="inlineStr">
        <is>
          <t>Finansal Gelir / Gider (Avro)</t>
        </is>
      </c>
      <c r="C106" s="451" t="inlineStr">
        <is>
          <t>AYLIK</t>
        </is>
      </c>
      <c r="F106" s="451" t="n"/>
      <c r="G106" s="451" t="n"/>
      <c r="H106" s="451" t="inlineStr">
        <is>
          <t>KÜMÜLATİF</t>
        </is>
      </c>
      <c r="I106" s="451" t="n"/>
      <c r="J106" s="195" t="n"/>
      <c r="K106" s="214" t="inlineStr">
        <is>
          <t>Finansal Gelir / Gider Tahmin  (Avro)</t>
        </is>
      </c>
      <c r="L106" s="214" t="n"/>
      <c r="M106" s="214" t="n"/>
      <c r="N106" s="214" t="n"/>
      <c r="O106" s="451" t="n"/>
      <c r="P106" s="451" t="n"/>
      <c r="Q106" s="451" t="n"/>
      <c r="R106" s="451" t="n"/>
      <c r="S106" s="451" t="n"/>
      <c r="T106" s="451" t="n"/>
      <c r="U106" s="451" t="n"/>
      <c r="V106" s="157" t="n"/>
    </row>
    <row r="107" ht="10.5" customHeight="1" thickBot="1">
      <c r="B107" s="169" t="n"/>
      <c r="C107" s="211" t="inlineStr">
        <is>
          <t>Gerçekleşen</t>
        </is>
      </c>
      <c r="D107" s="211" t="inlineStr">
        <is>
          <t>Bütçe</t>
        </is>
      </c>
      <c r="E107" s="211" t="inlineStr">
        <is>
          <t>Sapma %</t>
        </is>
      </c>
      <c r="F107" s="211" t="n"/>
      <c r="G107" s="211">
        <f>C107</f>
        <v/>
      </c>
      <c r="H107" s="211" t="inlineStr">
        <is>
          <t>Bütçe</t>
        </is>
      </c>
      <c r="I107" s="211" t="inlineStr">
        <is>
          <t>Sapma %</t>
        </is>
      </c>
      <c r="J107" s="152" t="n"/>
      <c r="K107" s="218" t="n"/>
      <c r="L107" s="219">
        <f>L42</f>
        <v/>
      </c>
      <c r="M107" s="219">
        <f>M42</f>
        <v/>
      </c>
      <c r="N107" s="219">
        <f>N42</f>
        <v/>
      </c>
      <c r="O107" s="219" t="inlineStr">
        <is>
          <t>Haziran</t>
        </is>
      </c>
      <c r="P107" s="219" t="inlineStr">
        <is>
          <t>Temmuz</t>
        </is>
      </c>
      <c r="Q107" s="219" t="inlineStr">
        <is>
          <t>Ağustos</t>
        </is>
      </c>
      <c r="R107" s="219" t="inlineStr">
        <is>
          <t>Eylül</t>
        </is>
      </c>
      <c r="S107" s="219" t="inlineStr">
        <is>
          <t>Ekim</t>
        </is>
      </c>
      <c r="T107" s="219" t="inlineStr">
        <is>
          <t>Kasım</t>
        </is>
      </c>
      <c r="U107" s="219" t="inlineStr">
        <is>
          <t>Gerçekleşen</t>
        </is>
      </c>
      <c r="V107" s="250" t="inlineStr">
        <is>
          <t>Bütçe</t>
        </is>
      </c>
      <c r="W107" s="262" t="inlineStr">
        <is>
          <t>Sapma %</t>
        </is>
      </c>
    </row>
    <row r="108" ht="10.5" customHeight="1" thickTop="1">
      <c r="B108" s="149" t="inlineStr">
        <is>
          <t xml:space="preserve">İnci Holding  </t>
        </is>
      </c>
      <c r="C108" s="156">
        <f>'A -Döviz'!C163</f>
        <v/>
      </c>
      <c r="D108" s="156">
        <f>'A -Döviz'!B163</f>
        <v/>
      </c>
      <c r="E108" s="224">
        <f>IF(C108&gt;D108,ABS((C108-D108)/D108),-ABS((D108-C108)/D108))</f>
        <v/>
      </c>
      <c r="F108" s="155" t="n"/>
      <c r="G108" s="156">
        <f>'C-Döviz'!C163</f>
        <v/>
      </c>
      <c r="H108" s="156">
        <f>'C-Döviz'!B163</f>
        <v/>
      </c>
      <c r="I108" s="224">
        <f>IF(G108&gt;H108,ABS((G108-H108)/H108),-ABS((H108-G108)/H108))</f>
        <v/>
      </c>
      <c r="J108" s="157" t="n"/>
      <c r="K108" s="226">
        <f>B108</f>
        <v/>
      </c>
      <c r="L108" s="227">
        <f>'Tahmin Data'!G68</f>
        <v/>
      </c>
      <c r="M108" s="227">
        <f>'Tahmin Data'!I68</f>
        <v/>
      </c>
      <c r="N108" s="227">
        <f>'Tahmin Data'!K68</f>
        <v/>
      </c>
      <c r="O108" s="227">
        <f>'Tahmin Data'!M68</f>
        <v/>
      </c>
      <c r="P108" s="227">
        <f>'Tahmin Data'!O68</f>
        <v/>
      </c>
      <c r="Q108" s="227">
        <f>'Tahmin Data'!Q68</f>
        <v/>
      </c>
      <c r="R108" s="227">
        <f>'Tahmin Data'!S68</f>
        <v/>
      </c>
      <c r="S108" s="227">
        <f>'Tahmin Data'!U68</f>
        <v/>
      </c>
      <c r="T108" s="227">
        <f>'Tahmin Data'!W68</f>
        <v/>
      </c>
      <c r="U108" s="318">
        <f>G108</f>
        <v/>
      </c>
      <c r="V108" s="213">
        <f>'Bütçe aylık-Eur'!N93</f>
        <v/>
      </c>
      <c r="W108" s="224">
        <f>IF(U108&gt;V108,ABS((U108-V108)/V108),-ABS((V108-U108)/V108))</f>
        <v/>
      </c>
      <c r="X108" s="162" t="n"/>
      <c r="Y108" s="162" t="n"/>
    </row>
    <row r="109" ht="10.5" customHeight="1">
      <c r="B109" s="149" t="inlineStr">
        <is>
          <t xml:space="preserve">ISM </t>
        </is>
      </c>
      <c r="C109" s="156">
        <f>'A -Döviz'!C164</f>
        <v/>
      </c>
      <c r="D109" s="156">
        <f>'A -Döviz'!B164</f>
        <v/>
      </c>
      <c r="E109" s="229">
        <f>IF(C109&gt;D109,ABS((C109-D109)/D109),-ABS((D109-C109)/D109))</f>
        <v/>
      </c>
      <c r="F109" s="155" t="n"/>
      <c r="G109" s="156">
        <f>'C-Döviz'!C164</f>
        <v/>
      </c>
      <c r="H109" s="156">
        <f>'C-Döviz'!B164</f>
        <v/>
      </c>
      <c r="I109" s="229">
        <f>IF(G109&gt;H109,ABS((G109-H109)/H109),-ABS((H109-G109)/H109))</f>
        <v/>
      </c>
      <c r="J109" s="157" t="n"/>
      <c r="K109" s="226">
        <f>B109</f>
        <v/>
      </c>
      <c r="L109" s="227">
        <f>'Tahmin Data'!G70</f>
        <v/>
      </c>
      <c r="M109" s="227">
        <f>'Tahmin Data'!I70</f>
        <v/>
      </c>
      <c r="N109" s="227">
        <f>'Tahmin Data'!K70</f>
        <v/>
      </c>
      <c r="O109" s="227">
        <f>'Tahmin Data'!M70</f>
        <v/>
      </c>
      <c r="P109" s="227">
        <f>'Tahmin Data'!O70</f>
        <v/>
      </c>
      <c r="Q109" s="227">
        <f>'Tahmin Data'!Q70</f>
        <v/>
      </c>
      <c r="R109" s="227">
        <f>'Tahmin Data'!S70</f>
        <v/>
      </c>
      <c r="S109" s="227">
        <f>'Tahmin Data'!U70</f>
        <v/>
      </c>
      <c r="T109" s="227">
        <f>'Tahmin Data'!W70</f>
        <v/>
      </c>
      <c r="U109" s="227">
        <f>G109</f>
        <v/>
      </c>
      <c r="V109" s="204">
        <f>'Bütçe aylık-Eur'!N94</f>
        <v/>
      </c>
      <c r="W109" s="229">
        <f>IF(U109&gt;V109,ABS((U109-V109)/V109),-ABS((V109-U109)/V109))</f>
        <v/>
      </c>
      <c r="X109" s="162" t="n"/>
      <c r="Y109" s="162" t="n"/>
    </row>
    <row r="110">
      <c r="B110" s="149" t="inlineStr">
        <is>
          <t xml:space="preserve">İncitaş </t>
        </is>
      </c>
      <c r="C110" s="156">
        <f>'A -Döviz'!C165</f>
        <v/>
      </c>
      <c r="D110" s="156">
        <f>'A -Döviz'!B165</f>
        <v/>
      </c>
      <c r="E110" s="229">
        <f>IF(C110&gt;D110,ABS((C110-D110)/D110),-ABS((D110-C110)/D110))</f>
        <v/>
      </c>
      <c r="F110" s="155" t="n"/>
      <c r="G110" s="156">
        <f>'C-Döviz'!C165</f>
        <v/>
      </c>
      <c r="H110" s="156">
        <f>'C-Döviz'!B165</f>
        <v/>
      </c>
      <c r="I110" s="229">
        <f>IF(G110&gt;H110,ABS((G110-H110)/H110),-ABS((H110-G110)/H110))</f>
        <v/>
      </c>
      <c r="J110" s="157" t="n"/>
      <c r="K110" s="226">
        <f>B110</f>
        <v/>
      </c>
      <c r="L110" s="227">
        <f>'Tahmin Data'!G69</f>
        <v/>
      </c>
      <c r="M110" s="227">
        <f>'Tahmin Data'!I69</f>
        <v/>
      </c>
      <c r="N110" s="227">
        <f>'Tahmin Data'!K69</f>
        <v/>
      </c>
      <c r="O110" s="227">
        <f>'Tahmin Data'!M69</f>
        <v/>
      </c>
      <c r="P110" s="227">
        <f>'Tahmin Data'!O69</f>
        <v/>
      </c>
      <c r="Q110" s="227">
        <f>'Tahmin Data'!Q69</f>
        <v/>
      </c>
      <c r="R110" s="227">
        <f>'Tahmin Data'!S69</f>
        <v/>
      </c>
      <c r="S110" s="227">
        <f>'Tahmin Data'!U69</f>
        <v/>
      </c>
      <c r="T110" s="227">
        <f>'Tahmin Data'!W69</f>
        <v/>
      </c>
      <c r="U110" s="227">
        <f>G110</f>
        <v/>
      </c>
      <c r="V110" s="204">
        <f>'Bütçe aylık-Eur'!N95</f>
        <v/>
      </c>
      <c r="W110" s="229">
        <f>IF(U110&gt;V110,ABS((U110-V110)/V110),-ABS((V110-U110)/V110))</f>
        <v/>
      </c>
      <c r="X110" s="162" t="n"/>
      <c r="Y110" s="162" t="n"/>
    </row>
    <row r="111" ht="10.5" customHeight="1">
      <c r="B111" s="149" t="inlineStr">
        <is>
          <t xml:space="preserve">İnci GS Yuasa </t>
        </is>
      </c>
      <c r="C111" s="156">
        <f>'A -Döviz'!C166</f>
        <v/>
      </c>
      <c r="D111" s="156">
        <f>'A -Döviz'!B166</f>
        <v/>
      </c>
      <c r="E111" s="229">
        <f>IF(C111&gt;D111,ABS((C111-D111)/D111),-ABS((D111-C111)/D111))</f>
        <v/>
      </c>
      <c r="F111" s="155" t="n"/>
      <c r="G111" s="156">
        <f>'C-Döviz'!C166</f>
        <v/>
      </c>
      <c r="H111" s="156">
        <f>'C-Döviz'!B166</f>
        <v/>
      </c>
      <c r="I111" s="229">
        <f>IF(G111&gt;H111,ABS((G111-H111)/H111),-ABS((H111-G111)/H111))</f>
        <v/>
      </c>
      <c r="J111" s="157" t="n"/>
      <c r="K111" s="226">
        <f>B111</f>
        <v/>
      </c>
      <c r="L111" s="227">
        <f>'Tahmin Data'!G67/0.4</f>
        <v/>
      </c>
      <c r="M111" s="227">
        <f>'Tahmin Data'!I67/0.4</f>
        <v/>
      </c>
      <c r="N111" s="227">
        <f>'Tahmin Data'!K67/0.4</f>
        <v/>
      </c>
      <c r="O111" s="227">
        <f>'Tahmin Data'!M67/0.4</f>
        <v/>
      </c>
      <c r="P111" s="227">
        <f>'Tahmin Data'!O67/0.4</f>
        <v/>
      </c>
      <c r="Q111" s="227">
        <f>'Tahmin Data'!Q67/0.4</f>
        <v/>
      </c>
      <c r="R111" s="227">
        <f>'Tahmin Data'!S67/0.4</f>
        <v/>
      </c>
      <c r="S111" s="227">
        <f>'Tahmin Data'!U67/0.4</f>
        <v/>
      </c>
      <c r="T111" s="227">
        <f>'Tahmin Data'!W67/0.4</f>
        <v/>
      </c>
      <c r="U111" s="227">
        <f>G111</f>
        <v/>
      </c>
      <c r="V111" s="204">
        <f>'Bütçe aylık-Eur'!N96</f>
        <v/>
      </c>
      <c r="W111" s="229">
        <f>IF(U111&gt;V111,ABS((U111-V111)/V111),-ABS((V111-U111)/V111))</f>
        <v/>
      </c>
      <c r="X111" s="162" t="n"/>
      <c r="Y111" s="162" t="n"/>
    </row>
    <row r="112" ht="10.5" customHeight="1">
      <c r="B112" s="149" t="inlineStr">
        <is>
          <t xml:space="preserve">Yusen İnci Loj. </t>
        </is>
      </c>
      <c r="C112" s="156">
        <f>'A -Döviz'!C167</f>
        <v/>
      </c>
      <c r="D112" s="156">
        <f>'A -Döviz'!B167</f>
        <v/>
      </c>
      <c r="E112" s="229">
        <f>IF(C112&gt;D112,ABS((C112-D112)/D112),-ABS((D112-C112)/D112))</f>
        <v/>
      </c>
      <c r="F112" s="155" t="n"/>
      <c r="G112" s="156">
        <f>'C-Döviz'!C167</f>
        <v/>
      </c>
      <c r="H112" s="156">
        <f>'C-Döviz'!B167</f>
        <v/>
      </c>
      <c r="I112" s="229">
        <f>IF(G112&gt;H112,ABS((G112-H112)/H112),-ABS((H112-G112)/H112))</f>
        <v/>
      </c>
      <c r="J112" s="157" t="n"/>
      <c r="K112" s="226">
        <f>B112</f>
        <v/>
      </c>
      <c r="L112" s="227">
        <f>'Tahmin Data'!G74/0.4</f>
        <v/>
      </c>
      <c r="M112" s="227">
        <f>'Tahmin Data'!I74/0.4</f>
        <v/>
      </c>
      <c r="N112" s="227">
        <f>'Tahmin Data'!K74/0.4</f>
        <v/>
      </c>
      <c r="O112" s="227">
        <f>'Tahmin Data'!M74/0.4</f>
        <v/>
      </c>
      <c r="P112" s="227">
        <f>'Tahmin Data'!O74/0.4</f>
        <v/>
      </c>
      <c r="Q112" s="227">
        <f>'Tahmin Data'!Q74/0.4</f>
        <v/>
      </c>
      <c r="R112" s="227">
        <f>'Tahmin Data'!S74/0.4</f>
        <v/>
      </c>
      <c r="S112" s="227">
        <f>'Tahmin Data'!U74/0.4</f>
        <v/>
      </c>
      <c r="T112" s="227">
        <f>'Tahmin Data'!W74/0.4</f>
        <v/>
      </c>
      <c r="U112" s="227">
        <f>G112</f>
        <v/>
      </c>
      <c r="V112" s="204">
        <f>'Bütçe aylık-Eur'!N97</f>
        <v/>
      </c>
      <c r="W112" s="229">
        <f>IF(U112&gt;V112,ABS((U112-V112)/V112),-ABS((V112-U112)/V112))</f>
        <v/>
      </c>
      <c r="X112" s="162" t="n"/>
      <c r="Y112" s="162" t="n"/>
    </row>
    <row r="113">
      <c r="B113" s="149" t="inlineStr">
        <is>
          <t xml:space="preserve">Jantaş </t>
        </is>
      </c>
      <c r="C113" s="156">
        <f>'A -Döviz'!C168</f>
        <v/>
      </c>
      <c r="D113" s="156">
        <f>'A -Döviz'!B168</f>
        <v/>
      </c>
      <c r="E113" s="229">
        <f>IF(C113&gt;D113,ABS((C113-D113)/D113),-ABS((D113-C113)/D113))</f>
        <v/>
      </c>
      <c r="F113" s="155" t="n"/>
      <c r="G113" s="156">
        <f>'C-Döviz'!C168</f>
        <v/>
      </c>
      <c r="H113" s="156">
        <f>'C-Döviz'!B168</f>
        <v/>
      </c>
      <c r="I113" s="229">
        <f>IF(G113&gt;H113,ABS((G113-H113)/H113),-ABS((H113-G113)/H113))</f>
        <v/>
      </c>
      <c r="J113" s="157" t="n"/>
      <c r="K113" s="226">
        <f>B113</f>
        <v/>
      </c>
      <c r="L113" s="227">
        <f>'Tahmin Data'!G73/0.4</f>
        <v/>
      </c>
      <c r="M113" s="227">
        <f>'Tahmin Data'!I73/0.4</f>
        <v/>
      </c>
      <c r="N113" s="227">
        <f>'Tahmin Data'!K73/0.4</f>
        <v/>
      </c>
      <c r="O113" s="227">
        <f>'Tahmin Data'!M73/0.4</f>
        <v/>
      </c>
      <c r="P113" s="227">
        <f>'Tahmin Data'!O73/0.4</f>
        <v/>
      </c>
      <c r="Q113" s="227">
        <f>'Tahmin Data'!Q73/0.4</f>
        <v/>
      </c>
      <c r="R113" s="227">
        <f>'Tahmin Data'!S73/0.4</f>
        <v/>
      </c>
      <c r="S113" s="227">
        <f>'Tahmin Data'!U73/0.4</f>
        <v/>
      </c>
      <c r="T113" s="227">
        <f>'Tahmin Data'!W73/0.4</f>
        <v/>
      </c>
      <c r="U113" s="227">
        <f>G113</f>
        <v/>
      </c>
      <c r="V113" s="204">
        <f>'Bütçe aylık-Eur'!N98</f>
        <v/>
      </c>
      <c r="W113" s="229">
        <f>IF(U113&gt;V113,ABS((U113-V113)/V113),-ABS((V113-U113)/V113))</f>
        <v/>
      </c>
      <c r="X113" s="162" t="n"/>
      <c r="Y113" s="162" t="n"/>
    </row>
    <row r="114">
      <c r="B114" s="149" t="inlineStr">
        <is>
          <t xml:space="preserve">Çelik </t>
        </is>
      </c>
      <c r="C114" s="156">
        <f>'A -Döviz'!C169</f>
        <v/>
      </c>
      <c r="D114" s="156">
        <f>'A -Döviz'!B169</f>
        <v/>
      </c>
      <c r="E114" s="229">
        <f>IF(C114&gt;D114,ABS((C114-D114)/D114),-ABS((D114-C114)/D114))</f>
        <v/>
      </c>
      <c r="F114" s="155" t="n"/>
      <c r="G114" s="156">
        <f>'C-Döviz'!C169</f>
        <v/>
      </c>
      <c r="H114" s="156">
        <f>'C-Döviz'!B169</f>
        <v/>
      </c>
      <c r="I114" s="229">
        <f>IF(G114&gt;H114,ABS((G114-H114)/H114),-ABS((H114-G114)/H114))</f>
        <v/>
      </c>
      <c r="J114" s="157" t="n"/>
      <c r="K114" s="226">
        <f>B114</f>
        <v/>
      </c>
      <c r="L114" s="227">
        <f>'Tahmin Data'!G72/0.4</f>
        <v/>
      </c>
      <c r="M114" s="227">
        <f>'Tahmin Data'!I72/0.4</f>
        <v/>
      </c>
      <c r="N114" s="227">
        <f>'Tahmin Data'!K72/0.4</f>
        <v/>
      </c>
      <c r="O114" s="227">
        <f>'Tahmin Data'!M72/0.4</f>
        <v/>
      </c>
      <c r="P114" s="227">
        <f>'Tahmin Data'!O72/0.4</f>
        <v/>
      </c>
      <c r="Q114" s="227">
        <f>'Tahmin Data'!Q72/0.4</f>
        <v/>
      </c>
      <c r="R114" s="227">
        <f>'Tahmin Data'!S72/0.4</f>
        <v/>
      </c>
      <c r="S114" s="227">
        <f>'Tahmin Data'!U72/0.4</f>
        <v/>
      </c>
      <c r="T114" s="227">
        <f>'Tahmin Data'!W72/0.4</f>
        <v/>
      </c>
      <c r="U114" s="227">
        <f>G114</f>
        <v/>
      </c>
      <c r="V114" s="204">
        <f>'Bütçe aylık-Eur'!N99</f>
        <v/>
      </c>
      <c r="W114" s="229">
        <f>IF(U114&gt;V114,ABS((U114-V114)/V114),-ABS((V114-U114)/V114))</f>
        <v/>
      </c>
      <c r="X114" s="162" t="n"/>
      <c r="Y114" s="162" t="n"/>
    </row>
    <row r="115" ht="10.5" customHeight="1" thickBot="1">
      <c r="B115" s="149" t="inlineStr">
        <is>
          <t xml:space="preserve">Alüminyum </t>
        </is>
      </c>
      <c r="C115" s="156">
        <f>'A -Döviz'!C170</f>
        <v/>
      </c>
      <c r="D115" s="156">
        <f>'A -Döviz'!B170</f>
        <v/>
      </c>
      <c r="E115" s="229">
        <f>IF(C115&gt;D115,ABS((C115-D115)/D115),-ABS((D115-C115)/D115))</f>
        <v/>
      </c>
      <c r="F115" s="155" t="n"/>
      <c r="G115" s="156">
        <f>'C-Döviz'!C170</f>
        <v/>
      </c>
      <c r="H115" s="156">
        <f>'C-Döviz'!B170</f>
        <v/>
      </c>
      <c r="I115" s="229">
        <f>IF(G115&gt;H115,ABS((G115-H115)/H115),-ABS((H115-G115)/H115))</f>
        <v/>
      </c>
      <c r="J115" s="157" t="n"/>
      <c r="K115" s="231">
        <f>B115</f>
        <v/>
      </c>
      <c r="L115" s="232">
        <f>'Tahmin Data'!G71/0.4</f>
        <v/>
      </c>
      <c r="M115" s="232">
        <f>'Tahmin Data'!I71/0.4</f>
        <v/>
      </c>
      <c r="N115" s="232">
        <f>'Tahmin Data'!K71/0.4</f>
        <v/>
      </c>
      <c r="O115" s="232">
        <f>'Tahmin Data'!M71/0.4</f>
        <v/>
      </c>
      <c r="P115" s="232">
        <f>'Tahmin Data'!O71/0.4</f>
        <v/>
      </c>
      <c r="Q115" s="232">
        <f>'Tahmin Data'!Q71/0.4</f>
        <v/>
      </c>
      <c r="R115" s="232">
        <f>'Tahmin Data'!S71/0.4</f>
        <v/>
      </c>
      <c r="S115" s="232">
        <f>'Tahmin Data'!U71/0.4</f>
        <v/>
      </c>
      <c r="T115" s="232">
        <f>'Tahmin Data'!W71/0.4</f>
        <v/>
      </c>
      <c r="U115" s="232">
        <f>G115</f>
        <v/>
      </c>
      <c r="V115" s="205">
        <f>'Bütçe aylık-Eur'!N100</f>
        <v/>
      </c>
      <c r="W115" s="264">
        <f>IF(U115&gt;V115,ABS((U115-V115)/V115),-ABS((V115-U115)/V115))</f>
        <v/>
      </c>
      <c r="X115" s="162" t="n"/>
      <c r="Y115" s="162" t="n"/>
    </row>
    <row r="116" ht="10.5" customHeight="1" thickBot="1">
      <c r="B116" s="169" t="inlineStr">
        <is>
          <t xml:space="preserve">Kombine </t>
        </is>
      </c>
      <c r="C116" s="192">
        <f>'A -Döviz'!C160</f>
        <v/>
      </c>
      <c r="D116" s="192">
        <f>'A -Döviz'!B160</f>
        <v/>
      </c>
      <c r="E116" s="488">
        <f>IF(C116&gt;D116,ABS((C116-D116)/D116),-ABS((D116-C116)/D116))</f>
        <v/>
      </c>
      <c r="F116" s="154" t="n"/>
      <c r="G116" s="192">
        <f>'C-Döviz'!C160</f>
        <v/>
      </c>
      <c r="H116" s="192">
        <f>'C-Döviz'!B160</f>
        <v/>
      </c>
      <c r="I116" s="260">
        <f>IF(G116&gt;H116,ABS((G116-H116)/H116),-ABS((H116-G116)/H116))</f>
        <v/>
      </c>
      <c r="J116" s="194" t="n"/>
      <c r="K116" s="263" t="inlineStr">
        <is>
          <t xml:space="preserve">Kombine </t>
        </is>
      </c>
      <c r="L116" s="248">
        <f>SUM('Tahmin Data'!G67:G74)</f>
        <v/>
      </c>
      <c r="M116" s="248">
        <f>SUM('Tahmin Data'!I67:I74)</f>
        <v/>
      </c>
      <c r="N116" s="248">
        <f>SUM('Tahmin Data'!K67:K74)</f>
        <v/>
      </c>
      <c r="O116" s="248">
        <f>SUM('Tahmin Data'!M67:M74)</f>
        <v/>
      </c>
      <c r="P116" s="248">
        <f>SUM('Tahmin Data'!O67:O74)</f>
        <v/>
      </c>
      <c r="Q116" s="248">
        <f>SUM('Tahmin Data'!Q67:Q74)</f>
        <v/>
      </c>
      <c r="R116" s="248">
        <f>SUM('Tahmin Data'!S67:S74)</f>
        <v/>
      </c>
      <c r="S116" s="248">
        <f>SUM('Tahmin Data'!U67:U74)</f>
        <v/>
      </c>
      <c r="T116" s="248">
        <f>SUM('Tahmin Data'!W67:W74)</f>
        <v/>
      </c>
      <c r="U116" s="248">
        <f t="array" ref="U116">SUM(U108:U110,(U111:U115)*0.4)</f>
        <v/>
      </c>
      <c r="V116" s="248">
        <f>'Bütçe aylık-Eur'!N92</f>
        <v/>
      </c>
      <c r="W116" s="229">
        <f>IF(U116&gt;V116,ABS((U116-V116)/V116),-ABS((V116-U116)/V116))</f>
        <v/>
      </c>
    </row>
    <row r="117" ht="10.5" customHeight="1" thickBot="1">
      <c r="B117" s="158" t="n"/>
      <c r="C117" s="194" t="n"/>
      <c r="D117" s="194" t="n"/>
      <c r="E117" s="194" t="n"/>
      <c r="F117" s="197" t="n"/>
      <c r="G117" s="194" t="n"/>
      <c r="H117" s="194" t="n"/>
      <c r="I117" s="194" t="n"/>
      <c r="J117" s="194" t="n"/>
      <c r="K117" s="249" t="inlineStr">
        <is>
          <t>Toplam</t>
        </is>
      </c>
      <c r="L117" s="239">
        <f>SUM(L108:L115)</f>
        <v/>
      </c>
      <c r="M117" s="239">
        <f>SUM(M108:M115)</f>
        <v/>
      </c>
      <c r="N117" s="239">
        <f>SUM(N108:N115)</f>
        <v/>
      </c>
      <c r="O117" s="239">
        <f>SUM(O108:O115)</f>
        <v/>
      </c>
      <c r="P117" s="239">
        <f>SUM(P108:P115)</f>
        <v/>
      </c>
      <c r="Q117" s="239">
        <f>SUM(Q108:Q115)</f>
        <v/>
      </c>
      <c r="R117" s="239">
        <f>SUM(R108:R115)</f>
        <v/>
      </c>
      <c r="S117" s="239">
        <f>SUM(S108:S115)</f>
        <v/>
      </c>
      <c r="T117" s="239">
        <f>SUM(T108:T115)</f>
        <v/>
      </c>
      <c r="U117" s="239">
        <f>SUM(U108:U115)</f>
        <v/>
      </c>
      <c r="V117" s="239">
        <f>SUM(V108:V115)</f>
        <v/>
      </c>
      <c r="W117" s="264">
        <f>IF(U117&gt;V117,ABS((U117-V117)/V117),-ABS((V117-U117)/V117))</f>
        <v/>
      </c>
    </row>
    <row r="118">
      <c r="B118" s="158" t="n"/>
      <c r="C118" s="194" t="n"/>
      <c r="D118" s="194" t="n"/>
      <c r="E118" s="194" t="n"/>
      <c r="F118" s="197" t="n"/>
      <c r="G118" s="194" t="n"/>
      <c r="H118" s="194" t="n"/>
      <c r="I118" s="194" t="n"/>
      <c r="J118" s="194" t="n"/>
      <c r="K118" s="202" t="n"/>
      <c r="L118" s="194" t="n"/>
      <c r="M118" s="194" t="n"/>
      <c r="N118" s="194" t="n"/>
      <c r="O118" s="194" t="n"/>
      <c r="P118" s="194" t="n"/>
      <c r="Q118" s="194" t="n"/>
      <c r="R118" s="194" t="n"/>
      <c r="S118" s="194" t="n"/>
      <c r="T118" s="194" t="n"/>
      <c r="U118" s="194" t="n"/>
      <c r="V118" s="194" t="n"/>
    </row>
    <row r="119" ht="12.5" customHeight="1">
      <c r="B119" s="209" t="inlineStr">
        <is>
          <t>Diğer Gelir / Gider (Avro)</t>
        </is>
      </c>
      <c r="C119" s="451" t="inlineStr">
        <is>
          <t>AYLIK</t>
        </is>
      </c>
      <c r="D119" s="451" t="n"/>
      <c r="E119" s="451" t="n"/>
      <c r="F119" s="451" t="n"/>
      <c r="G119" s="451" t="n"/>
      <c r="H119" s="451" t="inlineStr">
        <is>
          <t>KÜMÜLATİF</t>
        </is>
      </c>
      <c r="I119" s="451" t="n"/>
      <c r="J119" s="195" t="n"/>
      <c r="K119" s="214" t="inlineStr">
        <is>
          <t>Diğer Gelir / Gider Tahmin (Avro)</t>
        </is>
      </c>
      <c r="L119" s="214" t="n"/>
      <c r="M119" s="214" t="n"/>
      <c r="N119" s="214" t="n"/>
      <c r="O119" s="451" t="n"/>
      <c r="P119" s="451" t="n"/>
      <c r="Q119" s="451" t="n"/>
      <c r="R119" s="451" t="n"/>
      <c r="S119" s="451" t="n"/>
      <c r="T119" s="451" t="n"/>
      <c r="U119" s="451" t="n"/>
      <c r="V119" s="195" t="n"/>
    </row>
    <row r="120" ht="10.5" customHeight="1" thickBot="1">
      <c r="B120" s="169" t="n"/>
      <c r="C120" s="211" t="inlineStr">
        <is>
          <t>Gerçekleşen</t>
        </is>
      </c>
      <c r="D120" s="211" t="inlineStr">
        <is>
          <t>Bütçe</t>
        </is>
      </c>
      <c r="E120" s="211" t="inlineStr">
        <is>
          <t>Sapma %</t>
        </is>
      </c>
      <c r="F120" s="211" t="n"/>
      <c r="G120" s="211" t="inlineStr">
        <is>
          <t>Gerçekleşen</t>
        </is>
      </c>
      <c r="H120" s="211" t="inlineStr">
        <is>
          <t>Bütçe</t>
        </is>
      </c>
      <c r="I120" s="211" t="inlineStr">
        <is>
          <t>Sapma %</t>
        </is>
      </c>
      <c r="J120" s="152" t="n"/>
      <c r="K120" s="169" t="n"/>
      <c r="L120" s="211">
        <f>L107</f>
        <v/>
      </c>
      <c r="M120" s="211">
        <f>M107</f>
        <v/>
      </c>
      <c r="N120" s="211">
        <f>N107</f>
        <v/>
      </c>
      <c r="O120" s="219" t="inlineStr">
        <is>
          <t>Haziran</t>
        </is>
      </c>
      <c r="P120" s="219" t="inlineStr">
        <is>
          <t>Temmuz</t>
        </is>
      </c>
      <c r="Q120" s="219" t="inlineStr">
        <is>
          <t>Ağustos</t>
        </is>
      </c>
      <c r="R120" s="219" t="inlineStr">
        <is>
          <t>Eylül</t>
        </is>
      </c>
      <c r="S120" s="219" t="inlineStr">
        <is>
          <t>Ekim</t>
        </is>
      </c>
      <c r="T120" s="219" t="inlineStr">
        <is>
          <t>Kasım</t>
        </is>
      </c>
      <c r="U120" s="219" t="inlineStr">
        <is>
          <t>Gerçekleşen</t>
        </is>
      </c>
      <c r="V120" s="219" t="inlineStr">
        <is>
          <t>Bütçe</t>
        </is>
      </c>
      <c r="W120" s="262" t="inlineStr">
        <is>
          <t>Sapma %</t>
        </is>
      </c>
    </row>
    <row r="121" ht="10.5" customHeight="1" thickTop="1">
      <c r="B121" s="149" t="inlineStr">
        <is>
          <t xml:space="preserve">İnci Holding  </t>
        </is>
      </c>
      <c r="C121" s="156">
        <f>'A -Döviz'!C176</f>
        <v/>
      </c>
      <c r="D121" s="156">
        <f>'A -Döviz'!B176</f>
        <v/>
      </c>
      <c r="E121" s="224">
        <f>IF(C121&gt;D121,ABS((C121-D121)/D121),-ABS((D121-C121)/D121))</f>
        <v/>
      </c>
      <c r="F121" s="155" t="n"/>
      <c r="G121" s="156">
        <f>'C-Döviz'!C176</f>
        <v/>
      </c>
      <c r="H121" s="156">
        <f>'C-Döviz'!B176</f>
        <v/>
      </c>
      <c r="I121" s="224">
        <f>IF(G121&gt;H121,ABS((G121-H121)/H121),-ABS((H121-G121)/H121))</f>
        <v/>
      </c>
      <c r="J121" s="157" t="n"/>
      <c r="K121" s="200">
        <f>B121</f>
        <v/>
      </c>
      <c r="L121" s="204">
        <f>'Tahmin Data'!G76</f>
        <v/>
      </c>
      <c r="M121" s="204">
        <f>'Tahmin Data'!I76</f>
        <v/>
      </c>
      <c r="N121" s="204">
        <f>'Tahmin Data'!K76</f>
        <v/>
      </c>
      <c r="O121" s="204">
        <f>'Tahmin Data'!M76</f>
        <v/>
      </c>
      <c r="P121" s="204">
        <f>'Tahmin Data'!O76</f>
        <v/>
      </c>
      <c r="Q121" s="204">
        <f>'Tahmin Data'!Q76</f>
        <v/>
      </c>
      <c r="R121" s="204">
        <f>'Tahmin Data'!S76</f>
        <v/>
      </c>
      <c r="S121" s="204">
        <f>'Tahmin Data'!U76</f>
        <v/>
      </c>
      <c r="T121" s="204">
        <f>'Tahmin Data'!W76</f>
        <v/>
      </c>
      <c r="U121" s="318">
        <f>G121</f>
        <v/>
      </c>
      <c r="V121" s="204">
        <f>'Bütçe aylık-Eur'!N104</f>
        <v/>
      </c>
      <c r="W121" s="224">
        <f>IF(U121&gt;V121,ABS((U121-V121)/V121),-ABS((V121-U121)/V121))</f>
        <v/>
      </c>
    </row>
    <row r="122">
      <c r="B122" s="149" t="inlineStr">
        <is>
          <t xml:space="preserve">ISM </t>
        </is>
      </c>
      <c r="C122" s="156">
        <f>'A -Döviz'!C177</f>
        <v/>
      </c>
      <c r="D122" s="156">
        <f>'A -Döviz'!B177</f>
        <v/>
      </c>
      <c r="E122" s="229">
        <f>IF(C122&gt;D122,ABS((C122-D122)/D122),-ABS((D122-C122)/D122))</f>
        <v/>
      </c>
      <c r="F122" s="155" t="n"/>
      <c r="G122" s="156">
        <f>'C-Döviz'!C177</f>
        <v/>
      </c>
      <c r="H122" s="156">
        <f>'C-Döviz'!B177</f>
        <v/>
      </c>
      <c r="I122" s="229">
        <f>IF(G122&gt;H122,ABS((G122-H122)/H122),-ABS((H122-G122)/H122))</f>
        <v/>
      </c>
      <c r="J122" s="157" t="n"/>
      <c r="K122" s="200">
        <f>B122</f>
        <v/>
      </c>
      <c r="L122" s="204">
        <f>'Tahmin Data'!G78</f>
        <v/>
      </c>
      <c r="M122" s="204">
        <f>'Tahmin Data'!I78</f>
        <v/>
      </c>
      <c r="N122" s="204">
        <f>'Tahmin Data'!K78</f>
        <v/>
      </c>
      <c r="O122" s="204">
        <f>'Tahmin Data'!M78</f>
        <v/>
      </c>
      <c r="P122" s="204">
        <f>'Tahmin Data'!O78</f>
        <v/>
      </c>
      <c r="Q122" s="204">
        <f>'Tahmin Data'!Q78</f>
        <v/>
      </c>
      <c r="R122" s="204">
        <f>'Tahmin Data'!S78</f>
        <v/>
      </c>
      <c r="S122" s="204">
        <f>'Tahmin Data'!U78</f>
        <v/>
      </c>
      <c r="T122" s="204">
        <f>'Tahmin Data'!W78</f>
        <v/>
      </c>
      <c r="U122" s="227">
        <f>G122</f>
        <v/>
      </c>
      <c r="V122" s="204">
        <f>'Bütçe aylık-Eur'!N105</f>
        <v/>
      </c>
      <c r="W122" s="229">
        <f>IF(U122&gt;V122,ABS((U122-V122)/V122),-ABS((V122-U122)/V122))</f>
        <v/>
      </c>
    </row>
    <row r="123">
      <c r="B123" s="149" t="inlineStr">
        <is>
          <t xml:space="preserve">İncitaş </t>
        </is>
      </c>
      <c r="C123" s="156">
        <f>'A -Döviz'!C178</f>
        <v/>
      </c>
      <c r="D123" s="156">
        <f>'A -Döviz'!B178</f>
        <v/>
      </c>
      <c r="E123" s="229">
        <f>IF(C123&gt;D123,ABS((C123-D123)/D123),-ABS((D123-C123)/D123))</f>
        <v/>
      </c>
      <c r="F123" s="155" t="n"/>
      <c r="G123" s="156">
        <f>'C-Döviz'!C178</f>
        <v/>
      </c>
      <c r="H123" s="156">
        <f>'C-Döviz'!B178</f>
        <v/>
      </c>
      <c r="I123" s="229">
        <f>IF(G123&gt;H123,ABS((G123-H123)/H123),-ABS((H123-G123)/H123))</f>
        <v/>
      </c>
      <c r="J123" s="157" t="n"/>
      <c r="K123" s="200">
        <f>B123</f>
        <v/>
      </c>
      <c r="L123" s="204">
        <f>'Tahmin Data'!G77</f>
        <v/>
      </c>
      <c r="M123" s="204">
        <f>'Tahmin Data'!I77</f>
        <v/>
      </c>
      <c r="N123" s="204">
        <f>'Tahmin Data'!K77</f>
        <v/>
      </c>
      <c r="O123" s="204">
        <f>'Tahmin Data'!M77</f>
        <v/>
      </c>
      <c r="P123" s="204">
        <f>'Tahmin Data'!O77</f>
        <v/>
      </c>
      <c r="Q123" s="204">
        <f>'Tahmin Data'!Q77</f>
        <v/>
      </c>
      <c r="R123" s="204">
        <f>'Tahmin Data'!S77</f>
        <v/>
      </c>
      <c r="S123" s="204">
        <f>'Tahmin Data'!U77</f>
        <v/>
      </c>
      <c r="T123" s="204">
        <f>'Tahmin Data'!W77</f>
        <v/>
      </c>
      <c r="U123" s="227">
        <f>G123</f>
        <v/>
      </c>
      <c r="V123" s="204">
        <f>'Bütçe aylık-Eur'!N106</f>
        <v/>
      </c>
      <c r="W123" s="229">
        <f>IF(U123&gt;V123,ABS((U123-V123)/V123),-ABS((V123-U123)/V123))</f>
        <v/>
      </c>
    </row>
    <row r="124">
      <c r="B124" s="149" t="inlineStr">
        <is>
          <t xml:space="preserve">İnci GS Yuasa </t>
        </is>
      </c>
      <c r="C124" s="156">
        <f>'A -Döviz'!C179</f>
        <v/>
      </c>
      <c r="D124" s="156">
        <f>'A -Döviz'!B179</f>
        <v/>
      </c>
      <c r="E124" s="229">
        <f>IF(C124&gt;D124,ABS((C124-D124)/D124),-ABS((D124-C124)/D124))</f>
        <v/>
      </c>
      <c r="F124" s="155" t="n"/>
      <c r="G124" s="156">
        <f>'C-Döviz'!C179</f>
        <v/>
      </c>
      <c r="H124" s="156">
        <f>'C-Döviz'!B179</f>
        <v/>
      </c>
      <c r="I124" s="229">
        <f>IF(G124&gt;H124,ABS((G124-H124)/H124),-ABS((H124-G124)/H124))</f>
        <v/>
      </c>
      <c r="J124" s="157" t="n"/>
      <c r="K124" s="200">
        <f>B124</f>
        <v/>
      </c>
      <c r="L124" s="204">
        <f>'Tahmin Data'!G75/0.4</f>
        <v/>
      </c>
      <c r="M124" s="204">
        <f>'Tahmin Data'!I75/0.4</f>
        <v/>
      </c>
      <c r="N124" s="204">
        <f>'Tahmin Data'!K75/0.4</f>
        <v/>
      </c>
      <c r="O124" s="204">
        <f>'Tahmin Data'!M75/0.4</f>
        <v/>
      </c>
      <c r="P124" s="204">
        <f>'Tahmin Data'!O75/0.4</f>
        <v/>
      </c>
      <c r="Q124" s="204">
        <f>'Tahmin Data'!Q75/0.4</f>
        <v/>
      </c>
      <c r="R124" s="204">
        <f>'Tahmin Data'!S75/0.4</f>
        <v/>
      </c>
      <c r="S124" s="204">
        <f>'Tahmin Data'!U75/0.4</f>
        <v/>
      </c>
      <c r="T124" s="204">
        <f>'Tahmin Data'!W75/0.4</f>
        <v/>
      </c>
      <c r="U124" s="227">
        <f>G124</f>
        <v/>
      </c>
      <c r="V124" s="204">
        <f>'Bütçe aylık-Eur'!N107</f>
        <v/>
      </c>
      <c r="W124" s="229">
        <f>IF(U124&gt;V124,ABS((U124-V124)/V124),-ABS((V124-U124)/V124))</f>
        <v/>
      </c>
      <c r="X124" s="245" t="n"/>
    </row>
    <row r="125">
      <c r="B125" s="149" t="inlineStr">
        <is>
          <t xml:space="preserve">Yusen İnci Loj. </t>
        </is>
      </c>
      <c r="C125" s="156">
        <f>'A -Döviz'!C180</f>
        <v/>
      </c>
      <c r="D125" s="156">
        <f>'A -Döviz'!B180</f>
        <v/>
      </c>
      <c r="E125" s="229" t="n">
        <v>0</v>
      </c>
      <c r="F125" s="155" t="n"/>
      <c r="G125" s="156">
        <f>'C-Döviz'!C180</f>
        <v/>
      </c>
      <c r="H125" s="156">
        <f>'C-Döviz'!B180</f>
        <v/>
      </c>
      <c r="I125" s="229" t="n">
        <v>0</v>
      </c>
      <c r="J125" s="157" t="n"/>
      <c r="K125" s="200">
        <f>B125</f>
        <v/>
      </c>
      <c r="L125" s="204">
        <f>'Tahmin Data'!G82/0.4</f>
        <v/>
      </c>
      <c r="M125" s="204">
        <f>'Tahmin Data'!I82/0.4</f>
        <v/>
      </c>
      <c r="N125" s="204">
        <f>'Tahmin Data'!K82/0.4</f>
        <v/>
      </c>
      <c r="O125" s="204">
        <f>'Tahmin Data'!M82/0.4</f>
        <v/>
      </c>
      <c r="P125" s="204">
        <f>'Tahmin Data'!O82/0.4</f>
        <v/>
      </c>
      <c r="Q125" s="204">
        <f>'Tahmin Data'!Q82/0.4</f>
        <v/>
      </c>
      <c r="R125" s="204">
        <f>'Tahmin Data'!S82/0.4</f>
        <v/>
      </c>
      <c r="S125" s="204">
        <f>'Tahmin Data'!U82/0.4</f>
        <v/>
      </c>
      <c r="T125" s="204">
        <f>'Tahmin Data'!W82/0.4</f>
        <v/>
      </c>
      <c r="U125" s="227">
        <f>G125</f>
        <v/>
      </c>
      <c r="V125" s="204">
        <f>'Bütçe aylık-Eur'!N108</f>
        <v/>
      </c>
      <c r="W125" s="267" t="inlineStr">
        <is>
          <t>-</t>
        </is>
      </c>
      <c r="X125" s="245" t="n"/>
    </row>
    <row r="126">
      <c r="B126" s="149" t="inlineStr">
        <is>
          <t xml:space="preserve">Jantaş </t>
        </is>
      </c>
      <c r="C126" s="156">
        <f>'A -Döviz'!C181</f>
        <v/>
      </c>
      <c r="D126" s="156">
        <f>'A -Döviz'!B181</f>
        <v/>
      </c>
      <c r="E126" s="229" t="n">
        <v>0</v>
      </c>
      <c r="F126" s="155" t="n"/>
      <c r="G126" s="156">
        <f>'C-Döviz'!C181</f>
        <v/>
      </c>
      <c r="H126" s="156">
        <f>'C-Döviz'!B181</f>
        <v/>
      </c>
      <c r="I126" s="229" t="n">
        <v>0</v>
      </c>
      <c r="J126" s="157" t="n"/>
      <c r="K126" s="200">
        <f>B126</f>
        <v/>
      </c>
      <c r="L126" s="204">
        <f>'Tahmin Data'!G81/0.4</f>
        <v/>
      </c>
      <c r="M126" s="204">
        <f>'Tahmin Data'!I81/0.4</f>
        <v/>
      </c>
      <c r="N126" s="204">
        <f>'Tahmin Data'!K81/0.4</f>
        <v/>
      </c>
      <c r="O126" s="204">
        <f>'Tahmin Data'!M81/0.4</f>
        <v/>
      </c>
      <c r="P126" s="204">
        <f>'Tahmin Data'!O81/0.4</f>
        <v/>
      </c>
      <c r="Q126" s="204">
        <f>'Tahmin Data'!Q81/0.4</f>
        <v/>
      </c>
      <c r="R126" s="204">
        <f>'Tahmin Data'!S81/0.4</f>
        <v/>
      </c>
      <c r="S126" s="204">
        <f>'Tahmin Data'!U81/0.4</f>
        <v/>
      </c>
      <c r="T126" s="204">
        <f>'Tahmin Data'!W81/0.4</f>
        <v/>
      </c>
      <c r="U126" s="227">
        <f>G126</f>
        <v/>
      </c>
      <c r="V126" s="204">
        <f>'Bütçe aylık-Eur'!N109</f>
        <v/>
      </c>
      <c r="W126" s="267" t="inlineStr">
        <is>
          <t>-</t>
        </is>
      </c>
      <c r="X126" s="245" t="n"/>
    </row>
    <row r="127">
      <c r="B127" s="149" t="inlineStr">
        <is>
          <t xml:space="preserve">Çelik </t>
        </is>
      </c>
      <c r="C127" s="156">
        <f>'A -Döviz'!C182</f>
        <v/>
      </c>
      <c r="D127" s="156">
        <f>'A -Döviz'!B182</f>
        <v/>
      </c>
      <c r="E127" s="229">
        <f>IF(C127&gt;D127,ABS((C127-D127)/D127),-ABS((D127-C127)/D127))</f>
        <v/>
      </c>
      <c r="F127" s="155" t="n"/>
      <c r="G127" s="156">
        <f>'C-Döviz'!C182</f>
        <v/>
      </c>
      <c r="H127" s="156">
        <f>'C-Döviz'!B182</f>
        <v/>
      </c>
      <c r="I127" s="229">
        <f>IF(G127&gt;H127,ABS((G127-H127)/H127),-ABS((H127-G127)/H127))</f>
        <v/>
      </c>
      <c r="J127" s="157" t="n"/>
      <c r="K127" s="200">
        <f>B127</f>
        <v/>
      </c>
      <c r="L127" s="204">
        <f>'Tahmin Data'!G80/0.4</f>
        <v/>
      </c>
      <c r="M127" s="204">
        <f>'Tahmin Data'!I80/0.4</f>
        <v/>
      </c>
      <c r="N127" s="204">
        <f>'Tahmin Data'!K80/0.4</f>
        <v/>
      </c>
      <c r="O127" s="204">
        <f>'Tahmin Data'!M80/0.4</f>
        <v/>
      </c>
      <c r="P127" s="204">
        <f>'Tahmin Data'!O80/0.4</f>
        <v/>
      </c>
      <c r="Q127" s="204">
        <f>'Tahmin Data'!Q80/0.4</f>
        <v/>
      </c>
      <c r="R127" s="204">
        <f>'Tahmin Data'!S80/0.4</f>
        <v/>
      </c>
      <c r="S127" s="204">
        <f>'Tahmin Data'!U80/0.4</f>
        <v/>
      </c>
      <c r="T127" s="204">
        <f>'Tahmin Data'!W80/0.4</f>
        <v/>
      </c>
      <c r="U127" s="227">
        <f>G127</f>
        <v/>
      </c>
      <c r="V127" s="204">
        <f>'Bütçe aylık-Eur'!N110</f>
        <v/>
      </c>
      <c r="W127" s="267" t="inlineStr">
        <is>
          <t>-</t>
        </is>
      </c>
      <c r="X127" s="245" t="n"/>
    </row>
    <row r="128" ht="10.5" customHeight="1" thickBot="1">
      <c r="B128" s="149" t="inlineStr">
        <is>
          <t xml:space="preserve">Alüminyum </t>
        </is>
      </c>
      <c r="C128" s="156">
        <f>'A -Döviz'!C183</f>
        <v/>
      </c>
      <c r="D128" s="156">
        <f>'A -Döviz'!B183</f>
        <v/>
      </c>
      <c r="E128" s="229" t="n">
        <v>0</v>
      </c>
      <c r="F128" s="155" t="n"/>
      <c r="G128" s="156">
        <f>'C-Döviz'!C183</f>
        <v/>
      </c>
      <c r="H128" s="156">
        <f>'C-Döviz'!B183</f>
        <v/>
      </c>
      <c r="I128" s="229" t="n">
        <v>0</v>
      </c>
      <c r="J128" s="157" t="n"/>
      <c r="K128" s="201">
        <f>B128</f>
        <v/>
      </c>
      <c r="L128" s="205">
        <f>'Tahmin Data'!G79/0.4</f>
        <v/>
      </c>
      <c r="M128" s="205">
        <f>'Tahmin Data'!I79/0.4</f>
        <v/>
      </c>
      <c r="N128" s="205">
        <f>'Tahmin Data'!K79/0.4</f>
        <v/>
      </c>
      <c r="O128" s="205">
        <f>'Tahmin Data'!M79/0.4</f>
        <v/>
      </c>
      <c r="P128" s="205">
        <f>'Tahmin Data'!O79/0.4</f>
        <v/>
      </c>
      <c r="Q128" s="205">
        <f>'Tahmin Data'!Q79/0.4</f>
        <v/>
      </c>
      <c r="R128" s="205">
        <f>'Tahmin Data'!S79/0.4</f>
        <v/>
      </c>
      <c r="S128" s="205">
        <f>'Tahmin Data'!U79/0.4</f>
        <v/>
      </c>
      <c r="T128" s="205">
        <f>'Tahmin Data'!W79/0.4</f>
        <v/>
      </c>
      <c r="U128" s="232">
        <f>G128</f>
        <v/>
      </c>
      <c r="V128" s="205">
        <f>'Bütçe aylık-Eur'!N111</f>
        <v/>
      </c>
      <c r="W128" s="268" t="inlineStr">
        <is>
          <t>-</t>
        </is>
      </c>
      <c r="X128" s="245" t="n"/>
    </row>
    <row r="129" ht="10.5" customHeight="1" thickBot="1">
      <c r="B129" s="169" t="inlineStr">
        <is>
          <t xml:space="preserve">Kombine </t>
        </is>
      </c>
      <c r="C129" s="192">
        <f>'A -Döviz'!X173</f>
        <v/>
      </c>
      <c r="D129" s="192">
        <f>'A -Döviz'!B173</f>
        <v/>
      </c>
      <c r="E129" s="488">
        <f>IF(C129&gt;D129,ABS((C129-D129)/D129),-ABS((D129-C129)/D129))</f>
        <v/>
      </c>
      <c r="F129" s="154" t="n"/>
      <c r="G129" s="192">
        <f>'C-Döviz'!C173</f>
        <v/>
      </c>
      <c r="H129" s="192">
        <f>'C-Döviz'!B173</f>
        <v/>
      </c>
      <c r="I129" s="260">
        <f>IF(G129&gt;H129,ABS((G129-H129)/H129),-ABS((H129-G129)/H129))</f>
        <v/>
      </c>
      <c r="J129" s="194" t="n"/>
      <c r="K129" s="263" t="inlineStr">
        <is>
          <t xml:space="preserve">Kombine </t>
        </is>
      </c>
      <c r="L129" s="248">
        <f>SUM('Tahmin Data'!G75:G82)</f>
        <v/>
      </c>
      <c r="M129" s="248">
        <f>SUM('Tahmin Data'!I75:I82)</f>
        <v/>
      </c>
      <c r="N129" s="248">
        <f>SUM('Tahmin Data'!K75:K82)</f>
        <v/>
      </c>
      <c r="O129" s="248">
        <f>SUM('Tahmin Data'!M75:M82)</f>
        <v/>
      </c>
      <c r="P129" s="248">
        <f>SUM('Tahmin Data'!O75:O82)</f>
        <v/>
      </c>
      <c r="Q129" s="248">
        <f>SUM('Tahmin Data'!Q75:Q82)</f>
        <v/>
      </c>
      <c r="R129" s="248">
        <f>SUM('Tahmin Data'!S75:S82)</f>
        <v/>
      </c>
      <c r="S129" s="248">
        <f>SUM('Tahmin Data'!U75:U82)</f>
        <v/>
      </c>
      <c r="T129" s="248">
        <f>SUM('Tahmin Data'!W75:W82)</f>
        <v/>
      </c>
      <c r="U129" s="248">
        <f t="array" ref="U129">SUM(U121:U123,(U124:U128)*0.4)</f>
        <v/>
      </c>
      <c r="V129" s="248">
        <f>'Bütçe aylık-Eur'!N103</f>
        <v/>
      </c>
      <c r="W129" s="229">
        <f>IF(U129&gt;V129,ABS((U129-V129)/V129),-ABS((V129-U129)/V129))</f>
        <v/>
      </c>
      <c r="X129" s="245" t="n"/>
    </row>
    <row r="130" ht="10.5" customHeight="1" thickBot="1">
      <c r="K130" s="249" t="inlineStr">
        <is>
          <t>Toplam</t>
        </is>
      </c>
      <c r="L130" s="239">
        <f>SUM(L121:L128)</f>
        <v/>
      </c>
      <c r="M130" s="239">
        <f>SUM(M121:M128)</f>
        <v/>
      </c>
      <c r="N130" s="239">
        <f>SUM(N121:N128)</f>
        <v/>
      </c>
      <c r="O130" s="239">
        <f>SUM(O121:O128)</f>
        <v/>
      </c>
      <c r="P130" s="239">
        <f>SUM(P121:P128)</f>
        <v/>
      </c>
      <c r="Q130" s="239">
        <f>SUM(Q121:Q128)</f>
        <v/>
      </c>
      <c r="R130" s="239">
        <f>SUM(R121:R128)</f>
        <v/>
      </c>
      <c r="S130" s="239">
        <f>SUM(S121:S128)</f>
        <v/>
      </c>
      <c r="T130" s="239">
        <f>SUM(T121:T128)</f>
        <v/>
      </c>
      <c r="U130" s="239">
        <f>SUM(U121:U128)</f>
        <v/>
      </c>
      <c r="V130" s="239">
        <f>SUM(V121:V128)</f>
        <v/>
      </c>
      <c r="W130" s="264">
        <f>IF(U130&gt;V130,ABS((U130-V130)/V130),-ABS((V130-U130)/V130))</f>
        <v/>
      </c>
      <c r="X130" s="245" t="n"/>
    </row>
    <row r="131">
      <c r="V131" s="194" t="n"/>
      <c r="W131" s="245" t="n"/>
      <c r="X131" s="245" t="n"/>
    </row>
    <row r="132" ht="12.5" customHeight="1">
      <c r="B132" s="209" t="inlineStr">
        <is>
          <t>VÖK (Avro)</t>
        </is>
      </c>
      <c r="C132" s="451" t="inlineStr">
        <is>
          <t>AYLIK</t>
        </is>
      </c>
      <c r="D132" s="451" t="n"/>
      <c r="E132" s="451" t="n"/>
      <c r="F132" s="451" t="n"/>
      <c r="G132" s="451" t="n"/>
      <c r="H132" s="451" t="inlineStr">
        <is>
          <t>KÜMÜLATİF</t>
        </is>
      </c>
      <c r="I132" s="451" t="n"/>
      <c r="J132" s="195" t="n"/>
      <c r="K132" s="214" t="inlineStr">
        <is>
          <t>Vergi Öncesi Kar Tahmin (Avro)</t>
        </is>
      </c>
      <c r="L132" s="214" t="n"/>
      <c r="M132" s="214" t="n"/>
      <c r="N132" s="214" t="n"/>
      <c r="O132" s="451" t="n"/>
      <c r="P132" s="451" t="n"/>
      <c r="Q132" s="451" t="n"/>
      <c r="R132" s="451" t="n"/>
      <c r="S132" s="451" t="n"/>
      <c r="T132" s="451" t="n"/>
      <c r="U132" s="451" t="n"/>
      <c r="V132" s="195" t="n"/>
      <c r="X132" s="245" t="n"/>
    </row>
    <row r="133" ht="10.5" customHeight="1" thickBot="1">
      <c r="B133" s="169" t="n"/>
      <c r="C133" s="211" t="inlineStr">
        <is>
          <t>Gerçekleşen</t>
        </is>
      </c>
      <c r="D133" s="211" t="inlineStr">
        <is>
          <t>Bütçe</t>
        </is>
      </c>
      <c r="E133" s="211" t="inlineStr">
        <is>
          <t>Sapma %</t>
        </is>
      </c>
      <c r="F133" s="211" t="n"/>
      <c r="G133" s="211">
        <f>C133</f>
        <v/>
      </c>
      <c r="H133" s="211" t="inlineStr">
        <is>
          <t>Bütçe</t>
        </is>
      </c>
      <c r="I133" s="211" t="inlineStr">
        <is>
          <t>Sapma %</t>
        </is>
      </c>
      <c r="J133" s="152" t="n"/>
      <c r="K133" s="169" t="n"/>
      <c r="L133" s="211">
        <f>L68</f>
        <v/>
      </c>
      <c r="M133" s="211">
        <f>M68</f>
        <v/>
      </c>
      <c r="N133" s="211">
        <f>N68</f>
        <v/>
      </c>
      <c r="O133" s="219" t="inlineStr">
        <is>
          <t>Haziran</t>
        </is>
      </c>
      <c r="P133" s="219" t="inlineStr">
        <is>
          <t>Temmuz</t>
        </is>
      </c>
      <c r="Q133" s="219" t="inlineStr">
        <is>
          <t>Ağustos</t>
        </is>
      </c>
      <c r="R133" s="219" t="inlineStr">
        <is>
          <t>Eylül</t>
        </is>
      </c>
      <c r="S133" s="219" t="inlineStr">
        <is>
          <t>Ekim</t>
        </is>
      </c>
      <c r="T133" s="219" t="inlineStr">
        <is>
          <t>Kasım</t>
        </is>
      </c>
      <c r="U133" s="219" t="inlineStr">
        <is>
          <t>Gerçekleşen</t>
        </is>
      </c>
      <c r="V133" s="219" t="inlineStr">
        <is>
          <t>Bütçe</t>
        </is>
      </c>
      <c r="W133" s="262" t="inlineStr">
        <is>
          <t>Sapma %</t>
        </is>
      </c>
    </row>
    <row r="134" ht="10.5" customHeight="1" thickTop="1">
      <c r="B134" s="149" t="inlineStr">
        <is>
          <t xml:space="preserve">İnci Holding  </t>
        </is>
      </c>
      <c r="C134" s="156">
        <f>'A -Döviz'!C189</f>
        <v/>
      </c>
      <c r="D134" s="156">
        <f>'A -Döviz'!B189</f>
        <v/>
      </c>
      <c r="E134" s="224">
        <f>IF(C134&gt;D134,ABS((C134-D134)/D134),-ABS((D134-C134)/D134))</f>
        <v/>
      </c>
      <c r="F134" s="155" t="n"/>
      <c r="G134" s="156">
        <f>'C-Döviz'!C189</f>
        <v/>
      </c>
      <c r="H134" s="156">
        <f>'C-Döviz'!B189</f>
        <v/>
      </c>
      <c r="I134" s="224">
        <f>IF(G134&gt;H134,ABS((G134-H134)/H134),-ABS((H134-G134)/H134))</f>
        <v/>
      </c>
      <c r="J134" s="157" t="n"/>
      <c r="K134" s="200">
        <f>B134</f>
        <v/>
      </c>
      <c r="L134" s="204">
        <f>'Tahmin Data'!G84</f>
        <v/>
      </c>
      <c r="M134" s="204">
        <f>'Tahmin Data'!I84</f>
        <v/>
      </c>
      <c r="N134" s="204">
        <f>'Tahmin Data'!K84</f>
        <v/>
      </c>
      <c r="O134" s="204">
        <f>'Tahmin Data'!M84</f>
        <v/>
      </c>
      <c r="P134" s="204">
        <f>'Tahmin Data'!O84</f>
        <v/>
      </c>
      <c r="Q134" s="204">
        <f>'Tahmin Data'!Q84</f>
        <v/>
      </c>
      <c r="R134" s="204">
        <f>'Tahmin Data'!S84</f>
        <v/>
      </c>
      <c r="S134" s="204">
        <f>'Tahmin Data'!U84</f>
        <v/>
      </c>
      <c r="T134" s="204">
        <f>'Tahmin Data'!W84</f>
        <v/>
      </c>
      <c r="U134" s="318">
        <f>G134</f>
        <v/>
      </c>
      <c r="V134" s="204">
        <f>'Bütçe aylık-Eur'!N115</f>
        <v/>
      </c>
      <c r="W134" s="224">
        <f>IF(U134&gt;V134,ABS((U134-V134)/V134),-ABS((V134-U134)/V134))</f>
        <v/>
      </c>
    </row>
    <row r="135">
      <c r="B135" s="149" t="inlineStr">
        <is>
          <t xml:space="preserve">ISM </t>
        </is>
      </c>
      <c r="C135" s="156">
        <f>'A -Döviz'!C190</f>
        <v/>
      </c>
      <c r="D135" s="156">
        <f>'A -Döviz'!B190</f>
        <v/>
      </c>
      <c r="E135" s="229">
        <f>IF(C135&gt;D135,ABS((C135-D135)/D135),-ABS((D135-C135)/D135))</f>
        <v/>
      </c>
      <c r="F135" s="155" t="n"/>
      <c r="G135" s="156">
        <f>'C-Döviz'!C190</f>
        <v/>
      </c>
      <c r="H135" s="156">
        <f>'C-Döviz'!B190</f>
        <v/>
      </c>
      <c r="I135" s="229">
        <f>IF(G135&gt;H135,ABS((G135-H135)/H135),-ABS((H135-G135)/H135))</f>
        <v/>
      </c>
      <c r="J135" s="157" t="n"/>
      <c r="K135" s="200">
        <f>B135</f>
        <v/>
      </c>
      <c r="L135" s="204">
        <f>'Tahmin Data'!G86</f>
        <v/>
      </c>
      <c r="M135" s="204">
        <f>'Tahmin Data'!I86</f>
        <v/>
      </c>
      <c r="N135" s="204">
        <f>'Tahmin Data'!K86</f>
        <v/>
      </c>
      <c r="O135" s="204">
        <f>'Tahmin Data'!M86</f>
        <v/>
      </c>
      <c r="P135" s="204">
        <f>'Tahmin Data'!O86</f>
        <v/>
      </c>
      <c r="Q135" s="204">
        <f>'Tahmin Data'!Q86</f>
        <v/>
      </c>
      <c r="R135" s="204">
        <f>'Tahmin Data'!S86</f>
        <v/>
      </c>
      <c r="S135" s="204">
        <f>'Tahmin Data'!U86</f>
        <v/>
      </c>
      <c r="T135" s="204">
        <f>'Tahmin Data'!W86</f>
        <v/>
      </c>
      <c r="U135" s="227">
        <f>G135</f>
        <v/>
      </c>
      <c r="V135" s="204">
        <f>'Bütçe aylık-Eur'!N116</f>
        <v/>
      </c>
      <c r="W135" s="229">
        <f>IF(U135&gt;V135,ABS((U135-V135)/V135),-ABS((V135-U135)/V135))</f>
        <v/>
      </c>
    </row>
    <row r="136">
      <c r="B136" s="149" t="inlineStr">
        <is>
          <t xml:space="preserve">İncitaş </t>
        </is>
      </c>
      <c r="C136" s="156">
        <f>'A -Döviz'!C191</f>
        <v/>
      </c>
      <c r="D136" s="156">
        <f>'A -Döviz'!B191</f>
        <v/>
      </c>
      <c r="E136" s="229">
        <f>IF(C136&gt;D136,ABS((C136-D136)/D136),-ABS((D136-C136)/D136))</f>
        <v/>
      </c>
      <c r="F136" s="155" t="n"/>
      <c r="G136" s="156">
        <f>'C-Döviz'!C191</f>
        <v/>
      </c>
      <c r="H136" s="156">
        <f>'C-Döviz'!B191</f>
        <v/>
      </c>
      <c r="I136" s="229">
        <f>IF(G136&gt;H136,ABS((G136-H136)/H136),-ABS((H136-G136)/H136))</f>
        <v/>
      </c>
      <c r="J136" s="157" t="n"/>
      <c r="K136" s="200">
        <f>B136</f>
        <v/>
      </c>
      <c r="L136" s="204">
        <f>'Tahmin Data'!G85</f>
        <v/>
      </c>
      <c r="M136" s="204">
        <f>'Tahmin Data'!I85</f>
        <v/>
      </c>
      <c r="N136" s="204">
        <f>'Tahmin Data'!K85</f>
        <v/>
      </c>
      <c r="O136" s="204">
        <f>'Tahmin Data'!M85</f>
        <v/>
      </c>
      <c r="P136" s="204">
        <f>'Tahmin Data'!O85</f>
        <v/>
      </c>
      <c r="Q136" s="204">
        <f>'Tahmin Data'!Q85</f>
        <v/>
      </c>
      <c r="R136" s="204">
        <f>'Tahmin Data'!S85</f>
        <v/>
      </c>
      <c r="S136" s="204">
        <f>'Tahmin Data'!U85</f>
        <v/>
      </c>
      <c r="T136" s="204">
        <f>'Tahmin Data'!W85</f>
        <v/>
      </c>
      <c r="U136" s="227">
        <f>G136</f>
        <v/>
      </c>
      <c r="V136" s="204">
        <f>'Bütçe aylık-Eur'!N117</f>
        <v/>
      </c>
      <c r="W136" s="229">
        <f>IF(U136&gt;V136,ABS((U136-V136)/V136),-ABS((V136-U136)/V136))</f>
        <v/>
      </c>
    </row>
    <row r="137">
      <c r="B137" s="149" t="inlineStr">
        <is>
          <t xml:space="preserve">İnci GS Yuasa </t>
        </is>
      </c>
      <c r="C137" s="156">
        <f>'A -Döviz'!C192</f>
        <v/>
      </c>
      <c r="D137" s="156">
        <f>'A -Döviz'!B192</f>
        <v/>
      </c>
      <c r="E137" s="229">
        <f>IF(C137&gt;D137,ABS((C137-D137)/D137),-ABS((D137-C137)/D137))</f>
        <v/>
      </c>
      <c r="F137" s="155" t="n"/>
      <c r="G137" s="156">
        <f>'C-Döviz'!C192</f>
        <v/>
      </c>
      <c r="H137" s="156">
        <f>'C-Döviz'!B192</f>
        <v/>
      </c>
      <c r="I137" s="229">
        <f>IF(G137&gt;H137,ABS((G137-H137)/H137),-ABS((H137-G137)/H137))</f>
        <v/>
      </c>
      <c r="J137" s="157" t="n"/>
      <c r="K137" s="200">
        <f>B137</f>
        <v/>
      </c>
      <c r="L137" s="204">
        <f>'Tahmin Data'!G83/0.4</f>
        <v/>
      </c>
      <c r="M137" s="204">
        <f>'Tahmin Data'!I83/0.4</f>
        <v/>
      </c>
      <c r="N137" s="204">
        <f>'Tahmin Data'!K83</f>
        <v/>
      </c>
      <c r="O137" s="204">
        <f>'Tahmin Data'!M83</f>
        <v/>
      </c>
      <c r="P137" s="204">
        <f>'Tahmin Data'!O83</f>
        <v/>
      </c>
      <c r="Q137" s="204">
        <f>'Tahmin Data'!Q83</f>
        <v/>
      </c>
      <c r="R137" s="204">
        <f>'Tahmin Data'!S83</f>
        <v/>
      </c>
      <c r="S137" s="204">
        <f>'Tahmin Data'!U83</f>
        <v/>
      </c>
      <c r="T137" s="204">
        <f>'Tahmin Data'!W83</f>
        <v/>
      </c>
      <c r="U137" s="227">
        <f>G137</f>
        <v/>
      </c>
      <c r="V137" s="204">
        <f>'Bütçe aylık-Eur'!N118*0.4</f>
        <v/>
      </c>
      <c r="W137" s="229">
        <f>IF(U137&gt;V137,ABS((U137-V137)/V137),-ABS((V137-U137)/V137))</f>
        <v/>
      </c>
    </row>
    <row r="138">
      <c r="B138" s="149" t="inlineStr">
        <is>
          <t xml:space="preserve">Yusen İnci Loj. </t>
        </is>
      </c>
      <c r="C138" s="156">
        <f>'A -Döviz'!C193</f>
        <v/>
      </c>
      <c r="D138" s="156">
        <f>'A -Döviz'!B193</f>
        <v/>
      </c>
      <c r="E138" s="229">
        <f>IF(C138&gt;D138,ABS((C138-D138)/D138),-ABS((D138-C138)/D138))</f>
        <v/>
      </c>
      <c r="F138" s="155" t="n"/>
      <c r="G138" s="156">
        <f>'C-Döviz'!C193</f>
        <v/>
      </c>
      <c r="H138" s="156">
        <f>'C-Döviz'!B193</f>
        <v/>
      </c>
      <c r="I138" s="229">
        <f>IF(G138&gt;H138,ABS((G138-H138)/H138),-ABS((H138-G138)/H138))</f>
        <v/>
      </c>
      <c r="J138" s="157" t="n"/>
      <c r="K138" s="200">
        <f>B138</f>
        <v/>
      </c>
      <c r="L138" s="204">
        <f>'Tahmin Data'!G90/0.4</f>
        <v/>
      </c>
      <c r="M138" s="204">
        <f>'Tahmin Data'!I90/0.4</f>
        <v/>
      </c>
      <c r="N138" s="204">
        <f>'Tahmin Data'!K90/0.4</f>
        <v/>
      </c>
      <c r="O138" s="204">
        <f>'Tahmin Data'!M90/0.4</f>
        <v/>
      </c>
      <c r="P138" s="204">
        <f>'Tahmin Data'!O90/0.4</f>
        <v/>
      </c>
      <c r="Q138" s="204">
        <f>'Tahmin Data'!Q90/0.4</f>
        <v/>
      </c>
      <c r="R138" s="204">
        <f>'Tahmin Data'!S90/0.4</f>
        <v/>
      </c>
      <c r="S138" s="204">
        <f>'Tahmin Data'!U90/0.4</f>
        <v/>
      </c>
      <c r="T138" s="204">
        <f>'Tahmin Data'!W90/0.4</f>
        <v/>
      </c>
      <c r="U138" s="227">
        <f>G138</f>
        <v/>
      </c>
      <c r="V138" s="204">
        <f>'Bütçe aylık-Eur'!N119</f>
        <v/>
      </c>
      <c r="W138" s="229">
        <f>IF(U138&gt;V138,ABS((U138-V138)/V138),-ABS((V138-U138)/V138))</f>
        <v/>
      </c>
    </row>
    <row r="139">
      <c r="B139" s="149" t="inlineStr">
        <is>
          <t xml:space="preserve">Jantaş </t>
        </is>
      </c>
      <c r="C139" s="156">
        <f>'A -Döviz'!C194</f>
        <v/>
      </c>
      <c r="D139" s="156">
        <f>'A -Döviz'!B194</f>
        <v/>
      </c>
      <c r="E139" s="229">
        <f>IF(C139&gt;D139,ABS((C139-D139)/D139),-ABS((D139-C139)/D139))</f>
        <v/>
      </c>
      <c r="F139" s="155" t="n"/>
      <c r="G139" s="156">
        <f>'C-Döviz'!C194</f>
        <v/>
      </c>
      <c r="H139" s="156">
        <f>'C-Döviz'!B194</f>
        <v/>
      </c>
      <c r="I139" s="229">
        <f>IF(G139&gt;H139,ABS((G139-H139)/H139),-ABS((H139-G139)/H139))</f>
        <v/>
      </c>
      <c r="J139" s="157" t="n"/>
      <c r="K139" s="200">
        <f>B139</f>
        <v/>
      </c>
      <c r="L139" s="204">
        <f>'Tahmin Data'!G89/0.4</f>
        <v/>
      </c>
      <c r="M139" s="204">
        <f>'Tahmin Data'!I89/0.4</f>
        <v/>
      </c>
      <c r="N139" s="204">
        <f>'Tahmin Data'!K89/0.4</f>
        <v/>
      </c>
      <c r="O139" s="204">
        <f>'Tahmin Data'!M89/0.4</f>
        <v/>
      </c>
      <c r="P139" s="204">
        <f>'Tahmin Data'!O89/0.4</f>
        <v/>
      </c>
      <c r="Q139" s="204">
        <f>'Tahmin Data'!Q89/0.4</f>
        <v/>
      </c>
      <c r="R139" s="204">
        <f>'Tahmin Data'!S89/0.4</f>
        <v/>
      </c>
      <c r="S139" s="204">
        <f>'Tahmin Data'!U89/0.4</f>
        <v/>
      </c>
      <c r="T139" s="204">
        <f>'Tahmin Data'!W89/0.4</f>
        <v/>
      </c>
      <c r="U139" s="227">
        <f>G139</f>
        <v/>
      </c>
      <c r="V139" s="204">
        <f>'Bütçe aylık-Eur'!N120</f>
        <v/>
      </c>
      <c r="W139" s="229">
        <f>IF(U139&gt;V139,ABS((U139-V139)/V139),-ABS((V139-U139)/V139))</f>
        <v/>
      </c>
    </row>
    <row r="140">
      <c r="B140" s="149" t="inlineStr">
        <is>
          <t xml:space="preserve">Çelik </t>
        </is>
      </c>
      <c r="C140" s="156">
        <f>'A -Döviz'!C195</f>
        <v/>
      </c>
      <c r="D140" s="156">
        <f>'A -Döviz'!B195</f>
        <v/>
      </c>
      <c r="E140" s="229">
        <f>IF(C140&gt;D140,ABS((C140-D140)/D140),-ABS((D140-C140)/D140))</f>
        <v/>
      </c>
      <c r="F140" s="155" t="n"/>
      <c r="G140" s="156">
        <f>'C-Döviz'!C195</f>
        <v/>
      </c>
      <c r="H140" s="156">
        <f>'C-Döviz'!B195</f>
        <v/>
      </c>
      <c r="I140" s="229">
        <f>IF(G140&gt;H140,ABS((G140-H140)/H140),-ABS((H140-G140)/H140))</f>
        <v/>
      </c>
      <c r="J140" s="157" t="n"/>
      <c r="K140" s="200">
        <f>B140</f>
        <v/>
      </c>
      <c r="L140" s="204">
        <f>'Tahmin Data'!G88/0.4</f>
        <v/>
      </c>
      <c r="M140" s="204">
        <f>'Tahmin Data'!I88/0.4</f>
        <v/>
      </c>
      <c r="N140" s="204">
        <f>'Tahmin Data'!K88/0.4</f>
        <v/>
      </c>
      <c r="O140" s="204">
        <f>'Tahmin Data'!M88/0.4</f>
        <v/>
      </c>
      <c r="P140" s="204">
        <f>'Tahmin Data'!O88/0.4</f>
        <v/>
      </c>
      <c r="Q140" s="204">
        <f>'Tahmin Data'!Q88/0.4</f>
        <v/>
      </c>
      <c r="R140" s="204">
        <f>'Tahmin Data'!S88/0.4</f>
        <v/>
      </c>
      <c r="S140" s="204">
        <f>'Tahmin Data'!U88/0.4</f>
        <v/>
      </c>
      <c r="T140" s="204">
        <f>'Tahmin Data'!W88/0.4</f>
        <v/>
      </c>
      <c r="U140" s="227">
        <f>G140</f>
        <v/>
      </c>
      <c r="V140" s="204">
        <f>'Bütçe aylık-Eur'!N121</f>
        <v/>
      </c>
      <c r="W140" s="229">
        <f>IF(U140&gt;V140,ABS((U140-V140)/V140),-ABS((V140-U140)/V140))</f>
        <v/>
      </c>
    </row>
    <row r="141" ht="10.5" customHeight="1" thickBot="1">
      <c r="B141" s="149" t="inlineStr">
        <is>
          <t xml:space="preserve">Alüminyum </t>
        </is>
      </c>
      <c r="C141" s="156">
        <f>'A -Döviz'!C196</f>
        <v/>
      </c>
      <c r="D141" s="156">
        <f>'A -Döviz'!B196</f>
        <v/>
      </c>
      <c r="E141" s="229">
        <f>IF(C141&gt;D141,ABS((C141-D141)/D141),-ABS((D141-C141)/D141))</f>
        <v/>
      </c>
      <c r="F141" s="155" t="n"/>
      <c r="G141" s="156">
        <f>'C-Döviz'!C196</f>
        <v/>
      </c>
      <c r="H141" s="156">
        <f>'C-Döviz'!B196</f>
        <v/>
      </c>
      <c r="I141" s="229">
        <f>IF(G141&gt;H141,ABS((G141-H141)/H141),-ABS((H141-G141)/H141))</f>
        <v/>
      </c>
      <c r="J141" s="157" t="n"/>
      <c r="K141" s="201">
        <f>B141</f>
        <v/>
      </c>
      <c r="L141" s="205">
        <f>'Tahmin Data'!G87/0.4</f>
        <v/>
      </c>
      <c r="M141" s="205">
        <f>'Tahmin Data'!I87/0.4</f>
        <v/>
      </c>
      <c r="N141" s="205">
        <f>'Tahmin Data'!K87/0.4</f>
        <v/>
      </c>
      <c r="O141" s="205">
        <f>'Tahmin Data'!M87/0.4</f>
        <v/>
      </c>
      <c r="P141" s="205">
        <f>'Tahmin Data'!O87/0.4</f>
        <v/>
      </c>
      <c r="Q141" s="205">
        <f>'Tahmin Data'!Q87/0.4</f>
        <v/>
      </c>
      <c r="R141" s="205">
        <f>'Tahmin Data'!S87/0.4</f>
        <v/>
      </c>
      <c r="S141" s="205">
        <f>'Tahmin Data'!U87/0.4</f>
        <v/>
      </c>
      <c r="T141" s="205">
        <f>'Tahmin Data'!W87/0.4</f>
        <v/>
      </c>
      <c r="U141" s="232">
        <f>G141</f>
        <v/>
      </c>
      <c r="V141" s="205">
        <f>'Bütçe aylık-Eur'!N122</f>
        <v/>
      </c>
      <c r="W141" s="264">
        <f>IF(U141&gt;V141,ABS((U141-V141)/V141),-ABS((V141-U141)/V141))</f>
        <v/>
      </c>
    </row>
    <row r="142" ht="10.5" customHeight="1" thickBot="1">
      <c r="B142" s="169" t="inlineStr">
        <is>
          <t xml:space="preserve">Kombine </t>
        </is>
      </c>
      <c r="C142" s="192">
        <f>'A -Döviz'!C186</f>
        <v/>
      </c>
      <c r="D142" s="192">
        <f>'A -Döviz'!B186</f>
        <v/>
      </c>
      <c r="E142" s="488">
        <f>IF(C142&gt;D142,ABS((C142-D142)/D142),-ABS((D142-C142)/D142))</f>
        <v/>
      </c>
      <c r="F142" s="154" t="n"/>
      <c r="G142" s="192">
        <f>'C-Döviz'!C186</f>
        <v/>
      </c>
      <c r="H142" s="192">
        <f>'C-Döviz'!B186</f>
        <v/>
      </c>
      <c r="I142" s="260">
        <f>IF(G142&gt;H142,ABS((G142-H142)/H142),-ABS((H142-G142)/H142))</f>
        <v/>
      </c>
      <c r="J142" s="194" t="n"/>
      <c r="K142" s="263" t="inlineStr">
        <is>
          <t xml:space="preserve">Kombine </t>
        </is>
      </c>
      <c r="L142" s="248">
        <f>SUM('Tahmin Data'!G83:G90)</f>
        <v/>
      </c>
      <c r="M142" s="248">
        <f>SUM('Tahmin Data'!I83:I90)</f>
        <v/>
      </c>
      <c r="N142" s="248">
        <f>SUM('Tahmin Data'!K83:K90)</f>
        <v/>
      </c>
      <c r="O142" s="248">
        <f>SUM('Tahmin Data'!M83:M90)</f>
        <v/>
      </c>
      <c r="P142" s="248">
        <f>SUM('Tahmin Data'!O83:O90)</f>
        <v/>
      </c>
      <c r="Q142" s="248">
        <f>SUM('Tahmin Data'!Q83:Q90)</f>
        <v/>
      </c>
      <c r="R142" s="248">
        <f>SUM('Tahmin Data'!S83:S90)</f>
        <v/>
      </c>
      <c r="S142" s="248">
        <f>SUM('Tahmin Data'!U83:U90)</f>
        <v/>
      </c>
      <c r="T142" s="248">
        <f>SUM('Tahmin Data'!W83:W90)</f>
        <v/>
      </c>
      <c r="U142" s="248">
        <f t="array" ref="U142">SUM(U134:U136,(U137:U141)*0.4)</f>
        <v/>
      </c>
      <c r="V142" s="248">
        <f>'Bütçe aylık-Eur'!N114</f>
        <v/>
      </c>
      <c r="W142" s="229">
        <f>IF(U142&gt;V142,ABS((U142-V142)/V142),-ABS((V142-U142)/V142))</f>
        <v/>
      </c>
    </row>
    <row r="143" ht="10.5" customHeight="1" thickBot="1">
      <c r="B143" s="158" t="n"/>
      <c r="C143" s="196" t="n"/>
      <c r="D143" s="196" t="n"/>
      <c r="E143" s="194" t="n"/>
      <c r="F143" s="197" t="n"/>
      <c r="G143" s="196" t="n"/>
      <c r="H143" s="196" t="n"/>
      <c r="I143" s="194" t="n"/>
      <c r="J143" s="194" t="n"/>
      <c r="K143" s="249" t="inlineStr">
        <is>
          <t>Toplam</t>
        </is>
      </c>
      <c r="L143" s="239">
        <f>SUM(L134:L141)</f>
        <v/>
      </c>
      <c r="M143" s="239">
        <f>SUM(M134:M141)</f>
        <v/>
      </c>
      <c r="N143" s="239">
        <f>SUM(N134:N141)</f>
        <v/>
      </c>
      <c r="O143" s="239">
        <f>SUM(O134:O141)</f>
        <v/>
      </c>
      <c r="P143" s="239">
        <f>SUM(P134:P141)</f>
        <v/>
      </c>
      <c r="Q143" s="239">
        <f>SUM(Q134:Q141)</f>
        <v/>
      </c>
      <c r="R143" s="239">
        <f>SUM(R134:R141)</f>
        <v/>
      </c>
      <c r="S143" s="239">
        <f>SUM(S134:S141)</f>
        <v/>
      </c>
      <c r="T143" s="239">
        <f>SUM(T134:T141)</f>
        <v/>
      </c>
      <c r="U143" s="239">
        <f>SUM(U134:U141)</f>
        <v/>
      </c>
      <c r="V143" s="239">
        <f>SUM(V134:V141)</f>
        <v/>
      </c>
      <c r="W143" s="264">
        <f>IF(U143&gt;V143,ABS((U143-V143)/V143),-ABS((V143-U143)/V143))</f>
        <v/>
      </c>
    </row>
    <row r="144">
      <c r="B144" s="158" t="n"/>
      <c r="C144" s="196" t="n"/>
      <c r="D144" s="196" t="n"/>
      <c r="E144" s="194" t="n"/>
      <c r="F144" s="197" t="n"/>
      <c r="G144" s="196" t="n"/>
      <c r="H144" s="196" t="n"/>
      <c r="I144" s="194" t="n"/>
      <c r="J144" s="194" t="n"/>
      <c r="K144" s="202" t="n"/>
      <c r="L144" s="194" t="n"/>
      <c r="M144" s="194" t="n"/>
      <c r="N144" s="194" t="n"/>
      <c r="O144" s="194" t="n"/>
      <c r="P144" s="194" t="n"/>
      <c r="Q144" s="194" t="n"/>
      <c r="R144" s="194" t="n"/>
      <c r="S144" s="194" t="n"/>
      <c r="T144" s="194" t="n"/>
      <c r="U144" s="194" t="n"/>
      <c r="V144" s="194" t="n"/>
    </row>
    <row r="145" ht="12.5" customHeight="1">
      <c r="B145" s="209" t="inlineStr">
        <is>
          <t>Vergi   (Avro)</t>
        </is>
      </c>
      <c r="C145" s="451" t="inlineStr">
        <is>
          <t>AYLIK</t>
        </is>
      </c>
      <c r="D145" s="451" t="n"/>
      <c r="E145" s="451" t="n"/>
      <c r="F145" s="451" t="n"/>
      <c r="G145" s="451" t="n"/>
      <c r="H145" s="451" t="inlineStr">
        <is>
          <t>KÜMÜLATİF</t>
        </is>
      </c>
      <c r="I145" s="451" t="n"/>
      <c r="J145" s="195" t="n"/>
      <c r="K145" s="214" t="inlineStr">
        <is>
          <t>Vergi Tahmin (Avro)</t>
        </is>
      </c>
      <c r="L145" s="214" t="n"/>
      <c r="M145" s="214" t="n"/>
      <c r="N145" s="214" t="n"/>
      <c r="O145" s="451" t="n"/>
      <c r="P145" s="451" t="n"/>
      <c r="Q145" s="451" t="n"/>
      <c r="R145" s="451" t="n"/>
      <c r="S145" s="451" t="n"/>
      <c r="T145" s="451" t="n"/>
      <c r="U145" s="451" t="n"/>
      <c r="V145" s="195" t="n"/>
    </row>
    <row r="146" ht="10.5" customHeight="1" thickBot="1">
      <c r="B146" s="169" t="n"/>
      <c r="C146" s="211" t="inlineStr">
        <is>
          <t>Gerçekleşen</t>
        </is>
      </c>
      <c r="D146" s="211" t="inlineStr">
        <is>
          <t>Bütçe</t>
        </is>
      </c>
      <c r="E146" s="211" t="inlineStr">
        <is>
          <t>Sapma %</t>
        </is>
      </c>
      <c r="F146" s="211" t="n"/>
      <c r="G146" s="211">
        <f>C146</f>
        <v/>
      </c>
      <c r="H146" s="211" t="inlineStr">
        <is>
          <t>Bütçe</t>
        </is>
      </c>
      <c r="I146" s="211" t="inlineStr">
        <is>
          <t>Sapma %</t>
        </is>
      </c>
      <c r="J146" s="152" t="n"/>
      <c r="K146" s="169" t="n"/>
      <c r="L146" s="211">
        <f>L185</f>
        <v/>
      </c>
      <c r="M146" s="211">
        <f>M185</f>
        <v/>
      </c>
      <c r="N146" s="211">
        <f>N185</f>
        <v/>
      </c>
      <c r="O146" s="219" t="inlineStr">
        <is>
          <t>Haziran</t>
        </is>
      </c>
      <c r="P146" s="219" t="inlineStr">
        <is>
          <t>Temmuz</t>
        </is>
      </c>
      <c r="Q146" s="219" t="inlineStr">
        <is>
          <t>Ağustos</t>
        </is>
      </c>
      <c r="R146" s="219" t="inlineStr">
        <is>
          <t>Eylül</t>
        </is>
      </c>
      <c r="S146" s="219" t="inlineStr">
        <is>
          <t>Ekim</t>
        </is>
      </c>
      <c r="T146" s="219" t="inlineStr">
        <is>
          <t>Kasım</t>
        </is>
      </c>
      <c r="U146" s="219" t="inlineStr">
        <is>
          <t>Gerçekleşen</t>
        </is>
      </c>
      <c r="V146" s="219" t="inlineStr">
        <is>
          <t>Bütçe</t>
        </is>
      </c>
      <c r="W146" s="262" t="inlineStr">
        <is>
          <t>Sapma %</t>
        </is>
      </c>
    </row>
    <row r="147" ht="10.5" customHeight="1" thickTop="1">
      <c r="B147" s="149" t="inlineStr">
        <is>
          <t xml:space="preserve">İnci Holding  </t>
        </is>
      </c>
      <c r="C147" s="156">
        <f>'A -Döviz'!C202</f>
        <v/>
      </c>
      <c r="D147" s="156">
        <f>'A -Döviz'!B202</f>
        <v/>
      </c>
      <c r="E147" s="224">
        <f>IF(C147&gt;D147,ABS((C147-D147)/D147),-ABS((D147-C147)/D147))</f>
        <v/>
      </c>
      <c r="F147" s="155" t="n"/>
      <c r="G147" s="156">
        <f>'C-Döviz'!C202</f>
        <v/>
      </c>
      <c r="H147" s="156">
        <f>'C-Döviz'!B202</f>
        <v/>
      </c>
      <c r="I147" s="224">
        <f>IF(G147&gt;H147,ABS((G147-H147)/H147),-ABS((H147-G147)/H147))</f>
        <v/>
      </c>
      <c r="J147" s="157" t="n"/>
      <c r="K147" s="200">
        <f>B147</f>
        <v/>
      </c>
      <c r="L147" s="204">
        <f>-'Tahmin Data'!G92</f>
        <v/>
      </c>
      <c r="M147" s="204">
        <f>-'Tahmin Data'!I92</f>
        <v/>
      </c>
      <c r="N147" s="204">
        <f>-'Tahmin Data'!K92</f>
        <v/>
      </c>
      <c r="O147" s="204">
        <f>-'Tahmin Data'!M92</f>
        <v/>
      </c>
      <c r="P147" s="204">
        <f>-'Tahmin Data'!O92</f>
        <v/>
      </c>
      <c r="Q147" s="204">
        <f>-'Tahmin Data'!Q92</f>
        <v/>
      </c>
      <c r="R147" s="204">
        <f>-'Tahmin Data'!S92</f>
        <v/>
      </c>
      <c r="S147" s="204">
        <f>-'Tahmin Data'!U92</f>
        <v/>
      </c>
      <c r="T147" s="204">
        <f>-'Tahmin Data'!W92</f>
        <v/>
      </c>
      <c r="U147" s="318">
        <f>G147</f>
        <v/>
      </c>
      <c r="V147" s="204">
        <f>'Bütçe aylık-Eur'!N126</f>
        <v/>
      </c>
      <c r="W147" s="224">
        <f>IF(U147&gt;V147,ABS((U147-V147)/V147),-ABS((V147-U147)/V147))</f>
        <v/>
      </c>
    </row>
    <row r="148">
      <c r="B148" s="149" t="inlineStr">
        <is>
          <t xml:space="preserve">ISM </t>
        </is>
      </c>
      <c r="C148" s="156">
        <f>'A -Döviz'!C203</f>
        <v/>
      </c>
      <c r="D148" s="156">
        <f>'A -Döviz'!B203</f>
        <v/>
      </c>
      <c r="E148" s="229">
        <f>IF(C148&gt;D148,ABS((C148-D148)/D148),-ABS((D148-C148)/D148))</f>
        <v/>
      </c>
      <c r="F148" s="155" t="n"/>
      <c r="G148" s="156">
        <f>'C-Döviz'!C203</f>
        <v/>
      </c>
      <c r="H148" s="156">
        <f>'C-Döviz'!B203</f>
        <v/>
      </c>
      <c r="I148" s="229">
        <f>IF(G148&gt;H148,ABS((G148-H148)/H148),-ABS((H148-G148)/H148))</f>
        <v/>
      </c>
      <c r="J148" s="157" t="n"/>
      <c r="K148" s="200">
        <f>B148</f>
        <v/>
      </c>
      <c r="L148" s="204">
        <f>-'Tahmin Data'!G94</f>
        <v/>
      </c>
      <c r="M148" s="204">
        <f>-'Tahmin Data'!I94</f>
        <v/>
      </c>
      <c r="N148" s="204">
        <f>-'Tahmin Data'!K94</f>
        <v/>
      </c>
      <c r="O148" s="204">
        <f>-'Tahmin Data'!M94</f>
        <v/>
      </c>
      <c r="P148" s="204">
        <f>-'Tahmin Data'!O94</f>
        <v/>
      </c>
      <c r="Q148" s="204">
        <f>-'Tahmin Data'!Q94</f>
        <v/>
      </c>
      <c r="R148" s="204">
        <f>-'Tahmin Data'!S94</f>
        <v/>
      </c>
      <c r="S148" s="204">
        <f>-'Tahmin Data'!U94</f>
        <v/>
      </c>
      <c r="T148" s="204">
        <f>-'Tahmin Data'!W94</f>
        <v/>
      </c>
      <c r="U148" s="227">
        <f>G148</f>
        <v/>
      </c>
      <c r="V148" s="204">
        <f>'Bütçe aylık-Eur'!N127</f>
        <v/>
      </c>
      <c r="W148" s="229">
        <f>IF(U148&gt;V148,ABS((U148-V148)/V148),-ABS((V148-U148)/V148))</f>
        <v/>
      </c>
      <c r="X148" s="162" t="n"/>
      <c r="Y148" s="162" t="n"/>
      <c r="AA148" s="162" t="n"/>
      <c r="AB148" s="162" t="n"/>
      <c r="AC148" s="162" t="n"/>
    </row>
    <row r="149">
      <c r="B149" s="149" t="inlineStr">
        <is>
          <t xml:space="preserve">İncitaş </t>
        </is>
      </c>
      <c r="C149" s="156">
        <f>'A -Döviz'!C204</f>
        <v/>
      </c>
      <c r="D149" s="156">
        <f>'A -Döviz'!B204</f>
        <v/>
      </c>
      <c r="E149" s="229">
        <f>IF(C149&gt;D149,ABS((C149-D149)/D149),-ABS((D149-C149)/D149))</f>
        <v/>
      </c>
      <c r="F149" s="155" t="n"/>
      <c r="G149" s="156">
        <f>'C-Döviz'!C204</f>
        <v/>
      </c>
      <c r="H149" s="156">
        <f>'C-Döviz'!B204</f>
        <v/>
      </c>
      <c r="I149" s="229">
        <f>IF(G149&gt;H149,ABS((G149-H149)/H149),-ABS((H149-G149)/H149))</f>
        <v/>
      </c>
      <c r="J149" s="157" t="n"/>
      <c r="K149" s="200">
        <f>B149</f>
        <v/>
      </c>
      <c r="L149" s="204">
        <f>-'Tahmin Data'!G93</f>
        <v/>
      </c>
      <c r="M149" s="204">
        <f>-'Tahmin Data'!I93</f>
        <v/>
      </c>
      <c r="N149" s="204">
        <f>-'Tahmin Data'!K93</f>
        <v/>
      </c>
      <c r="O149" s="204">
        <f>-'Tahmin Data'!M93</f>
        <v/>
      </c>
      <c r="P149" s="204">
        <f>-'Tahmin Data'!O93</f>
        <v/>
      </c>
      <c r="Q149" s="204">
        <f>-'Tahmin Data'!Q93</f>
        <v/>
      </c>
      <c r="R149" s="204">
        <f>-'Tahmin Data'!S93</f>
        <v/>
      </c>
      <c r="S149" s="204">
        <f>-'Tahmin Data'!U93</f>
        <v/>
      </c>
      <c r="T149" s="204">
        <f>-'Tahmin Data'!W93</f>
        <v/>
      </c>
      <c r="U149" s="227">
        <f>G149</f>
        <v/>
      </c>
      <c r="V149" s="204">
        <f>'Bütçe aylık-Eur'!N128</f>
        <v/>
      </c>
      <c r="W149" s="229">
        <f>IF(U149&gt;V149,ABS((U149-V149)/V149),-ABS((V149-U149)/V149))</f>
        <v/>
      </c>
      <c r="X149" s="162" t="n"/>
      <c r="Y149" s="162" t="n"/>
      <c r="AA149" s="162" t="n"/>
      <c r="AB149" s="162" t="n"/>
      <c r="AC149" s="162" t="n"/>
    </row>
    <row r="150">
      <c r="B150" s="149" t="inlineStr">
        <is>
          <t xml:space="preserve">İnci GS Yuasa </t>
        </is>
      </c>
      <c r="C150" s="156">
        <f>'A -Döviz'!C205</f>
        <v/>
      </c>
      <c r="D150" s="156">
        <f>'A -Döviz'!B205</f>
        <v/>
      </c>
      <c r="E150" s="229" t="n">
        <v>0</v>
      </c>
      <c r="F150" s="155" t="n"/>
      <c r="G150" s="156">
        <f>'C-Döviz'!C205</f>
        <v/>
      </c>
      <c r="H150" s="156">
        <f>'C-Döviz'!B205</f>
        <v/>
      </c>
      <c r="I150" s="229" t="n">
        <v>0</v>
      </c>
      <c r="J150" s="157" t="n"/>
      <c r="K150" s="200">
        <f>B150</f>
        <v/>
      </c>
      <c r="L150" s="204">
        <f>-'Tahmin Data'!G91/0.4</f>
        <v/>
      </c>
      <c r="M150" s="204">
        <f>-'Tahmin Data'!I91/0.4</f>
        <v/>
      </c>
      <c r="N150" s="204">
        <f>-'Tahmin Data'!K91/0.4</f>
        <v/>
      </c>
      <c r="O150" s="204">
        <f>-'Tahmin Data'!M91/0.4</f>
        <v/>
      </c>
      <c r="P150" s="204">
        <f>-'Tahmin Data'!O91/0.4</f>
        <v/>
      </c>
      <c r="Q150" s="204">
        <f>-'Tahmin Data'!Q91/0.4</f>
        <v/>
      </c>
      <c r="R150" s="204">
        <f>-'Tahmin Data'!S91/0.4</f>
        <v/>
      </c>
      <c r="S150" s="204">
        <f>-'Tahmin Data'!U91/0.4</f>
        <v/>
      </c>
      <c r="T150" s="204">
        <f>-'Tahmin Data'!W91/0.4</f>
        <v/>
      </c>
      <c r="U150" s="227">
        <f>G150</f>
        <v/>
      </c>
      <c r="V150" s="204">
        <f>'Bütçe aylık-Eur'!N129</f>
        <v/>
      </c>
      <c r="W150" s="229" t="n">
        <v>0</v>
      </c>
      <c r="X150" s="162" t="n"/>
      <c r="Y150" s="162" t="n"/>
      <c r="AA150" s="162" t="n"/>
      <c r="AB150" s="162" t="n"/>
      <c r="AC150" s="162" t="n"/>
    </row>
    <row r="151">
      <c r="B151" s="149" t="inlineStr">
        <is>
          <t xml:space="preserve">Yusen İnci Loj. </t>
        </is>
      </c>
      <c r="C151" s="156">
        <f>'A -Döviz'!C206</f>
        <v/>
      </c>
      <c r="D151" s="156">
        <f>'A -Döviz'!B206</f>
        <v/>
      </c>
      <c r="E151" s="229">
        <f>IF(C151&gt;D151,ABS((C151-D151)/D151),-ABS((D151-C151)/D151))</f>
        <v/>
      </c>
      <c r="F151" s="155" t="n"/>
      <c r="G151" s="156">
        <f>'C-Döviz'!C206</f>
        <v/>
      </c>
      <c r="H151" s="156">
        <f>'C-Döviz'!B206</f>
        <v/>
      </c>
      <c r="I151" s="229">
        <f>IF(G151&gt;H151,ABS((G151-H151)/H151),-ABS((H151-G151)/H151))</f>
        <v/>
      </c>
      <c r="J151" s="157" t="n"/>
      <c r="K151" s="200">
        <f>B151</f>
        <v/>
      </c>
      <c r="L151" s="204">
        <f>-'Tahmin Data'!G98/0.4</f>
        <v/>
      </c>
      <c r="M151" s="204">
        <f>-'Tahmin Data'!I98/0.4</f>
        <v/>
      </c>
      <c r="N151" s="204">
        <f>-'Tahmin Data'!K98/0.4</f>
        <v/>
      </c>
      <c r="O151" s="204">
        <f>-'Tahmin Data'!M98/0.4</f>
        <v/>
      </c>
      <c r="P151" s="204">
        <f>-'Tahmin Data'!O98/0.4</f>
        <v/>
      </c>
      <c r="Q151" s="204">
        <f>-'Tahmin Data'!Q98/0.4</f>
        <v/>
      </c>
      <c r="R151" s="204">
        <f>-'Tahmin Data'!S98/0.4</f>
        <v/>
      </c>
      <c r="S151" s="204">
        <f>-'Tahmin Data'!U98/0.4</f>
        <v/>
      </c>
      <c r="T151" s="204">
        <f>-'Tahmin Data'!W98/0.4</f>
        <v/>
      </c>
      <c r="U151" s="227">
        <f>G151</f>
        <v/>
      </c>
      <c r="V151" s="204">
        <f>'Bütçe aylık-Eur'!N130</f>
        <v/>
      </c>
      <c r="W151" s="229">
        <f>IF(U151&gt;V151,ABS((U151-V151)/V151),-ABS((V151-U151)/V151))</f>
        <v/>
      </c>
      <c r="X151" s="162" t="n"/>
      <c r="Y151" s="162" t="n"/>
      <c r="AA151" s="162" t="n"/>
      <c r="AB151" s="162" t="n"/>
      <c r="AC151" s="162" t="n"/>
    </row>
    <row r="152">
      <c r="B152" s="149" t="inlineStr">
        <is>
          <t xml:space="preserve">Jantaş </t>
        </is>
      </c>
      <c r="C152" s="156">
        <f>'A -Döviz'!C207</f>
        <v/>
      </c>
      <c r="D152" s="156">
        <f>'A -Döviz'!B207</f>
        <v/>
      </c>
      <c r="E152" s="229">
        <f>IF(C152&gt;D152,ABS((C152-D152)/D152),-ABS((D152-C152)/D152))</f>
        <v/>
      </c>
      <c r="F152" s="155" t="n"/>
      <c r="G152" s="156">
        <f>'C-Döviz'!C207</f>
        <v/>
      </c>
      <c r="H152" s="156">
        <f>'C-Döviz'!B207</f>
        <v/>
      </c>
      <c r="I152" s="229">
        <f>IF(G152&gt;H152,ABS((G152-H152)/H152),-ABS((H152-G152)/H152))</f>
        <v/>
      </c>
      <c r="J152" s="157" t="n"/>
      <c r="K152" s="200">
        <f>B152</f>
        <v/>
      </c>
      <c r="L152" s="204">
        <f>-'Tahmin Data'!G97/0.4</f>
        <v/>
      </c>
      <c r="M152" s="204">
        <f>-'Tahmin Data'!I97/0.4</f>
        <v/>
      </c>
      <c r="N152" s="204">
        <f>-'Tahmin Data'!K97/0.4</f>
        <v/>
      </c>
      <c r="O152" s="204">
        <f>-'Tahmin Data'!M97/0.4</f>
        <v/>
      </c>
      <c r="P152" s="204">
        <f>-'Tahmin Data'!O97/0.4</f>
        <v/>
      </c>
      <c r="Q152" s="204">
        <f>-'Tahmin Data'!Q97/0.4</f>
        <v/>
      </c>
      <c r="R152" s="204">
        <f>-'Tahmin Data'!S97/0.4</f>
        <v/>
      </c>
      <c r="S152" s="204">
        <f>-'Tahmin Data'!U97/0.4</f>
        <v/>
      </c>
      <c r="T152" s="204">
        <f>-'Tahmin Data'!W97/0.4</f>
        <v/>
      </c>
      <c r="U152" s="227">
        <f>G152</f>
        <v/>
      </c>
      <c r="V152" s="204">
        <f>'Bütçe aylık-Eur'!N131</f>
        <v/>
      </c>
      <c r="W152" s="229">
        <f>IF(U152&gt;V152,ABS((U152-V152)/V152),-ABS((V152-U152)/V152))</f>
        <v/>
      </c>
      <c r="X152" s="162" t="n"/>
      <c r="Y152" s="162" t="n"/>
      <c r="AA152" s="162" t="n"/>
      <c r="AB152" s="162" t="n"/>
      <c r="AC152" s="162" t="n"/>
    </row>
    <row r="153">
      <c r="B153" s="149" t="inlineStr">
        <is>
          <t xml:space="preserve">Çelik </t>
        </is>
      </c>
      <c r="C153" s="156">
        <f>'A -Döviz'!C208</f>
        <v/>
      </c>
      <c r="D153" s="156">
        <f>'A -Döviz'!B208</f>
        <v/>
      </c>
      <c r="E153" s="229">
        <f>IF(C153&gt;D153,ABS((C153-D153)/D153),-ABS((D153-C153)/D153))</f>
        <v/>
      </c>
      <c r="F153" s="155" t="n"/>
      <c r="G153" s="156">
        <f>'C-Döviz'!C208</f>
        <v/>
      </c>
      <c r="H153" s="156">
        <f>'C-Döviz'!B208</f>
        <v/>
      </c>
      <c r="I153" s="229">
        <f>IF(G153&gt;H153,ABS((G153-H153)/H153),-ABS((H153-G153)/H153))</f>
        <v/>
      </c>
      <c r="J153" s="157" t="n"/>
      <c r="K153" s="200">
        <f>B153</f>
        <v/>
      </c>
      <c r="L153" s="204">
        <f>-'Tahmin Data'!G96/0.4</f>
        <v/>
      </c>
      <c r="M153" s="204">
        <f>-'Tahmin Data'!I96/0.4</f>
        <v/>
      </c>
      <c r="N153" s="204">
        <f>-'Tahmin Data'!K96/0.4</f>
        <v/>
      </c>
      <c r="O153" s="204">
        <f>-'Tahmin Data'!M96/0.4</f>
        <v/>
      </c>
      <c r="P153" s="204">
        <f>-'Tahmin Data'!O96/0.4</f>
        <v/>
      </c>
      <c r="Q153" s="204">
        <f>-'Tahmin Data'!Q96/0.4</f>
        <v/>
      </c>
      <c r="R153" s="204">
        <f>-'Tahmin Data'!S96/0.4</f>
        <v/>
      </c>
      <c r="S153" s="204">
        <f>-'Tahmin Data'!U96/0.4</f>
        <v/>
      </c>
      <c r="T153" s="204">
        <f>-'Tahmin Data'!W96/0.4</f>
        <v/>
      </c>
      <c r="U153" s="227">
        <f>G153</f>
        <v/>
      </c>
      <c r="V153" s="204">
        <f>'Bütçe aylık-Eur'!N132</f>
        <v/>
      </c>
      <c r="W153" s="229">
        <f>IF(U153&gt;V153,ABS((U153-V153)/V153),-ABS((V153-U153)/V153))</f>
        <v/>
      </c>
      <c r="X153" s="162" t="n"/>
      <c r="Y153" s="162" t="n"/>
      <c r="AA153" s="162" t="n"/>
      <c r="AB153" s="162" t="n"/>
      <c r="AC153" s="162" t="n"/>
    </row>
    <row r="154" ht="10.5" customHeight="1" thickBot="1">
      <c r="B154" s="149" t="inlineStr">
        <is>
          <t xml:space="preserve">Alüminyum </t>
        </is>
      </c>
      <c r="C154" s="156">
        <f>'A -Döviz'!C209</f>
        <v/>
      </c>
      <c r="D154" s="156">
        <f>'A -Döviz'!B209</f>
        <v/>
      </c>
      <c r="E154" s="229">
        <f>IF(C154&gt;D154,ABS((C154-D154)/D154),-ABS((D154-C154)/D154))</f>
        <v/>
      </c>
      <c r="F154" s="155" t="n"/>
      <c r="G154" s="156">
        <f>'C-Döviz'!C209</f>
        <v/>
      </c>
      <c r="H154" s="156">
        <f>'C-Döviz'!B209</f>
        <v/>
      </c>
      <c r="I154" s="229">
        <f>IF(G154&gt;H154,ABS((G154-H154)/H154),-ABS((H154-G154)/H154))</f>
        <v/>
      </c>
      <c r="J154" s="157" t="n"/>
      <c r="K154" s="201">
        <f>B154</f>
        <v/>
      </c>
      <c r="L154" s="205">
        <f>-'Tahmin Data'!G95/0.4</f>
        <v/>
      </c>
      <c r="M154" s="205">
        <f>-'Tahmin Data'!I95/0.4</f>
        <v/>
      </c>
      <c r="N154" s="205">
        <f>-'Tahmin Data'!K95/0.4</f>
        <v/>
      </c>
      <c r="O154" s="205">
        <f>-'Tahmin Data'!M95/0.4</f>
        <v/>
      </c>
      <c r="P154" s="205">
        <f>-'Tahmin Data'!O95/0.4</f>
        <v/>
      </c>
      <c r="Q154" s="205">
        <f>-'Tahmin Data'!Q95/0.4</f>
        <v/>
      </c>
      <c r="R154" s="205">
        <f>-'Tahmin Data'!S95/0.4</f>
        <v/>
      </c>
      <c r="S154" s="205">
        <f>-'Tahmin Data'!U95/0.4</f>
        <v/>
      </c>
      <c r="T154" s="205">
        <f>-'Tahmin Data'!W95/0.4</f>
        <v/>
      </c>
      <c r="U154" s="232">
        <f>G154</f>
        <v/>
      </c>
      <c r="V154" s="205">
        <f>'Bütçe aylık-Eur'!N133</f>
        <v/>
      </c>
      <c r="W154" s="264">
        <f>IF(U154&gt;V154,ABS((U154-V154)/V154),-ABS((V154-U154)/V154))</f>
        <v/>
      </c>
      <c r="X154" s="162" t="n"/>
      <c r="Y154" s="162" t="n"/>
      <c r="AA154" s="162" t="n"/>
      <c r="AB154" s="162" t="n"/>
      <c r="AC154" s="162" t="n"/>
    </row>
    <row r="155" ht="10.5" customHeight="1" thickBot="1">
      <c r="B155" s="169" t="inlineStr">
        <is>
          <t xml:space="preserve">Kombine </t>
        </is>
      </c>
      <c r="C155" s="192">
        <f>'A -Döviz'!C199</f>
        <v/>
      </c>
      <c r="D155" s="192">
        <f>'A -Döviz'!B199</f>
        <v/>
      </c>
      <c r="E155" s="488">
        <f>IF(C155&gt;D155,ABS((C155-D155)/D155),-ABS((D155-C155)/D155))</f>
        <v/>
      </c>
      <c r="F155" s="154" t="n"/>
      <c r="G155" s="192">
        <f>'C-Döviz'!C199</f>
        <v/>
      </c>
      <c r="H155" s="192">
        <f>'C-Döviz'!B199</f>
        <v/>
      </c>
      <c r="I155" s="260">
        <f>IF(G155&gt;H155,ABS((G155-H155)/H155),-ABS((H155-G155)/H155))</f>
        <v/>
      </c>
      <c r="J155" s="194" t="n"/>
      <c r="K155" s="263" t="inlineStr">
        <is>
          <t>Kombine</t>
        </is>
      </c>
      <c r="L155" s="248">
        <f>-SUM('Tahmin Data'!G91:G98)</f>
        <v/>
      </c>
      <c r="M155" s="248">
        <f>-SUM('Tahmin Data'!I91:I98)</f>
        <v/>
      </c>
      <c r="N155" s="248">
        <f>-SUM('Tahmin Data'!K91:K98)</f>
        <v/>
      </c>
      <c r="O155" s="248">
        <f>-SUM('Tahmin Data'!M91:M98)</f>
        <v/>
      </c>
      <c r="P155" s="248">
        <f>-SUM('Tahmin Data'!O91:O98)</f>
        <v/>
      </c>
      <c r="Q155" s="248">
        <f>-SUM('Tahmin Data'!Q91:Q98)</f>
        <v/>
      </c>
      <c r="R155" s="248">
        <f>-SUM('Tahmin Data'!S91:S98)</f>
        <v/>
      </c>
      <c r="S155" s="248">
        <f>-SUM('Tahmin Data'!U91:U98)</f>
        <v/>
      </c>
      <c r="T155" s="248">
        <f>-SUM('Tahmin Data'!W91:W98)</f>
        <v/>
      </c>
      <c r="U155" s="248">
        <f t="array" ref="U155">SUM(U147:U149,(U150:U154)*0.4)</f>
        <v/>
      </c>
      <c r="V155" s="248">
        <f>'Bütçe aylık-Eur'!N125</f>
        <v/>
      </c>
      <c r="W155" s="229">
        <f>IF(U155&gt;V155,ABS((U155-V155)/V155),-ABS((V155-U155)/V155))</f>
        <v/>
      </c>
      <c r="X155" s="162" t="n"/>
      <c r="Y155" s="162" t="n"/>
      <c r="AA155" s="162" t="n"/>
      <c r="AB155" s="162" t="n"/>
      <c r="AC155" s="162" t="n"/>
    </row>
    <row r="156" ht="10.5" customHeight="1" thickBot="1">
      <c r="K156" s="249" t="inlineStr">
        <is>
          <t>Toplam</t>
        </is>
      </c>
      <c r="L156" s="239">
        <f>SUM(L147:L154)</f>
        <v/>
      </c>
      <c r="M156" s="239">
        <f>SUM(M147:M154)</f>
        <v/>
      </c>
      <c r="N156" s="239">
        <f>SUM(N147:N154)</f>
        <v/>
      </c>
      <c r="O156" s="239">
        <f>SUM(O147:O154)</f>
        <v/>
      </c>
      <c r="P156" s="239">
        <f>SUM(P147:P154)</f>
        <v/>
      </c>
      <c r="Q156" s="239">
        <f>SUM(Q147:Q154)</f>
        <v/>
      </c>
      <c r="R156" s="239">
        <f>SUM(R147:R154)</f>
        <v/>
      </c>
      <c r="S156" s="239">
        <f>SUM(S147:S154)</f>
        <v/>
      </c>
      <c r="T156" s="239">
        <f>SUM(T147:T154)</f>
        <v/>
      </c>
      <c r="U156" s="239">
        <f>SUM(U147:U154)</f>
        <v/>
      </c>
      <c r="V156" s="239">
        <f>SUM(V147:V154)</f>
        <v/>
      </c>
      <c r="W156" s="264">
        <f>IF(U156&gt;V156,ABS((U156-V156)/V156),-ABS((V156-U156)/V156))</f>
        <v/>
      </c>
      <c r="X156" s="162" t="n"/>
      <c r="Y156" s="162" t="n"/>
      <c r="AA156" s="162" t="n"/>
      <c r="AB156" s="162" t="n"/>
      <c r="AC156" s="162" t="n"/>
    </row>
    <row r="157">
      <c r="W157" s="245" t="n"/>
      <c r="X157" s="177" t="n"/>
      <c r="Y157" s="177" t="n"/>
    </row>
    <row r="158" ht="12.5" customHeight="1">
      <c r="B158" s="209" t="inlineStr">
        <is>
          <t>Net Kar (Zarar) (Avro)</t>
        </is>
      </c>
      <c r="C158" s="451" t="inlineStr">
        <is>
          <t>AYLIK</t>
        </is>
      </c>
      <c r="D158" s="451" t="n"/>
      <c r="E158" s="451" t="n"/>
      <c r="F158" s="451" t="n"/>
      <c r="G158" s="451" t="n"/>
      <c r="H158" s="451" t="inlineStr">
        <is>
          <t>KÜMÜLATİF</t>
        </is>
      </c>
      <c r="I158" s="451" t="n"/>
      <c r="J158" s="195" t="n"/>
      <c r="K158" s="214" t="inlineStr">
        <is>
          <t>Net Kar(Zarar) Tahmin (Avro)</t>
        </is>
      </c>
      <c r="L158" s="214" t="n"/>
      <c r="M158" s="214" t="n"/>
      <c r="N158" s="214" t="n"/>
      <c r="O158" s="451" t="n"/>
      <c r="P158" s="451" t="n"/>
      <c r="Q158" s="451" t="n"/>
      <c r="R158" s="451" t="n"/>
      <c r="S158" s="451" t="n"/>
      <c r="T158" s="451" t="n"/>
      <c r="U158" s="451" t="n"/>
    </row>
    <row r="159" ht="10.5" customHeight="1" thickBot="1">
      <c r="B159" s="169" t="n"/>
      <c r="C159" s="211" t="inlineStr">
        <is>
          <t>Gerçekleşen</t>
        </is>
      </c>
      <c r="D159" s="211" t="inlineStr">
        <is>
          <t>Bütçe</t>
        </is>
      </c>
      <c r="E159" s="211" t="inlineStr">
        <is>
          <t>Sapma %</t>
        </is>
      </c>
      <c r="F159" s="211" t="n"/>
      <c r="G159" s="211">
        <f>C159</f>
        <v/>
      </c>
      <c r="H159" s="211" t="inlineStr">
        <is>
          <t>Bütçe</t>
        </is>
      </c>
      <c r="I159" s="211" t="inlineStr">
        <is>
          <t>Sapma %</t>
        </is>
      </c>
      <c r="J159" s="152" t="n"/>
      <c r="K159" s="169" t="n"/>
      <c r="L159" s="211">
        <f>L198</f>
        <v/>
      </c>
      <c r="M159" s="211">
        <f>M198</f>
        <v/>
      </c>
      <c r="N159" s="211">
        <f>N198</f>
        <v/>
      </c>
      <c r="O159" s="219" t="inlineStr">
        <is>
          <t>Haziran</t>
        </is>
      </c>
      <c r="P159" s="219" t="inlineStr">
        <is>
          <t>Temmuz</t>
        </is>
      </c>
      <c r="Q159" s="219" t="inlineStr">
        <is>
          <t>Ağustos</t>
        </is>
      </c>
      <c r="R159" s="219" t="inlineStr">
        <is>
          <t>Eylül</t>
        </is>
      </c>
      <c r="S159" s="219" t="inlineStr">
        <is>
          <t>Ekim</t>
        </is>
      </c>
      <c r="T159" s="219" t="inlineStr">
        <is>
          <t>Kasım</t>
        </is>
      </c>
      <c r="U159" s="219" t="inlineStr">
        <is>
          <t>Gerçekleşen</t>
        </is>
      </c>
      <c r="V159" s="219" t="inlineStr">
        <is>
          <t>Bütçe</t>
        </is>
      </c>
      <c r="W159" s="262" t="inlineStr">
        <is>
          <t>Sapma %</t>
        </is>
      </c>
    </row>
    <row r="160" ht="10.5" customHeight="1" thickTop="1">
      <c r="B160" s="149" t="inlineStr">
        <is>
          <t xml:space="preserve">İnci Holding  </t>
        </is>
      </c>
      <c r="C160" s="156">
        <f>'A -Döviz'!C215</f>
        <v/>
      </c>
      <c r="D160" s="156">
        <f>'A -Döviz'!B215</f>
        <v/>
      </c>
      <c r="E160" s="224">
        <f>IF(C160&gt;D160,ABS((C160-D160)/D160),-ABS((D160-C160)/D160))</f>
        <v/>
      </c>
      <c r="F160" s="155" t="n"/>
      <c r="G160" s="156">
        <f>'C-Döviz'!C215</f>
        <v/>
      </c>
      <c r="H160" s="156">
        <f>'C-Döviz'!B215</f>
        <v/>
      </c>
      <c r="I160" s="224">
        <f>IF(G160&gt;H160,ABS((G160-H160)/H160),-ABS((H160-G160)/H160))</f>
        <v/>
      </c>
      <c r="J160" s="157" t="n"/>
      <c r="K160" s="200">
        <f>B160</f>
        <v/>
      </c>
      <c r="L160" s="204">
        <f>'Tahmin Data'!G100</f>
        <v/>
      </c>
      <c r="M160" s="204">
        <f>'Tahmin Data'!I100</f>
        <v/>
      </c>
      <c r="N160" s="204">
        <f>'Tahmin Data'!K100</f>
        <v/>
      </c>
      <c r="O160" s="204">
        <f>'Tahmin Data'!M100</f>
        <v/>
      </c>
      <c r="P160" s="204">
        <f>'Tahmin Data'!O100</f>
        <v/>
      </c>
      <c r="Q160" s="204">
        <f>'Tahmin Data'!Q100</f>
        <v/>
      </c>
      <c r="R160" s="204">
        <f>'Tahmin Data'!S100</f>
        <v/>
      </c>
      <c r="S160" s="204">
        <f>'Tahmin Data'!U100</f>
        <v/>
      </c>
      <c r="T160" s="204">
        <f>'Tahmin Data'!W100</f>
        <v/>
      </c>
      <c r="U160" s="318">
        <f>G160</f>
        <v/>
      </c>
      <c r="V160" s="204">
        <f>'Bütçe aylık-Eur'!N137</f>
        <v/>
      </c>
      <c r="W160" s="224">
        <f>IF(U160&gt;V160,ABS((U160-V160)/V160),-ABS((V160-U160)/V160))</f>
        <v/>
      </c>
    </row>
    <row r="161">
      <c r="B161" s="149" t="inlineStr">
        <is>
          <t xml:space="preserve">ISM </t>
        </is>
      </c>
      <c r="C161" s="156">
        <f>'A -Döviz'!C216</f>
        <v/>
      </c>
      <c r="D161" s="156">
        <f>'A -Döviz'!B216</f>
        <v/>
      </c>
      <c r="E161" s="229">
        <f>IF(C161&gt;D161,ABS((C161-D161)/D161),-ABS((D161-C161)/D161))</f>
        <v/>
      </c>
      <c r="F161" s="155" t="n"/>
      <c r="G161" s="156">
        <f>'C-Döviz'!C216</f>
        <v/>
      </c>
      <c r="H161" s="156">
        <f>'C-Döviz'!B216</f>
        <v/>
      </c>
      <c r="I161" s="229">
        <f>IF(G161&gt;H161,ABS((G161-H161)/H161),-ABS((H161-G161)/H161))</f>
        <v/>
      </c>
      <c r="J161" s="157" t="n"/>
      <c r="K161" s="200">
        <f>B161</f>
        <v/>
      </c>
      <c r="L161" s="204">
        <f>'Tahmin Data'!G102</f>
        <v/>
      </c>
      <c r="M161" s="204">
        <f>'Tahmin Data'!I102</f>
        <v/>
      </c>
      <c r="N161" s="204">
        <f>'Tahmin Data'!K102</f>
        <v/>
      </c>
      <c r="O161" s="204">
        <f>'Tahmin Data'!M102</f>
        <v/>
      </c>
      <c r="P161" s="204">
        <f>'Tahmin Data'!O102</f>
        <v/>
      </c>
      <c r="Q161" s="204">
        <f>'Tahmin Data'!Q102</f>
        <v/>
      </c>
      <c r="R161" s="204">
        <f>'Tahmin Data'!S102</f>
        <v/>
      </c>
      <c r="S161" s="204">
        <f>'Tahmin Data'!U102</f>
        <v/>
      </c>
      <c r="T161" s="204">
        <f>'Tahmin Data'!W102</f>
        <v/>
      </c>
      <c r="U161" s="227">
        <f>G161</f>
        <v/>
      </c>
      <c r="V161" s="204">
        <f>'Bütçe aylık-Eur'!N138</f>
        <v/>
      </c>
      <c r="W161" s="229">
        <f>IF(U161&gt;V161,ABS((U161-V161)/V161),-ABS((V161-U161)/V161))</f>
        <v/>
      </c>
    </row>
    <row r="162">
      <c r="B162" s="149" t="inlineStr">
        <is>
          <t xml:space="preserve">İncitaş </t>
        </is>
      </c>
      <c r="C162" s="156">
        <f>'A -Döviz'!C217</f>
        <v/>
      </c>
      <c r="D162" s="156">
        <f>'A -Döviz'!B217</f>
        <v/>
      </c>
      <c r="E162" s="229">
        <f>IF(C162&gt;D162,ABS((C162-D162)/D162),-ABS((D162-C162)/D162))</f>
        <v/>
      </c>
      <c r="F162" s="155" t="n"/>
      <c r="G162" s="156">
        <f>'C-Döviz'!C217</f>
        <v/>
      </c>
      <c r="H162" s="156">
        <f>'C-Döviz'!B217</f>
        <v/>
      </c>
      <c r="I162" s="229">
        <f>IF(G162&gt;H162,ABS((G162-H162)/H162),-ABS((H162-G162)/H162))</f>
        <v/>
      </c>
      <c r="J162" s="157" t="n"/>
      <c r="K162" s="200">
        <f>B162</f>
        <v/>
      </c>
      <c r="L162" s="204">
        <f>'Tahmin Data'!G101</f>
        <v/>
      </c>
      <c r="M162" s="204">
        <f>'Tahmin Data'!I101</f>
        <v/>
      </c>
      <c r="N162" s="204">
        <f>'Tahmin Data'!K101</f>
        <v/>
      </c>
      <c r="O162" s="204">
        <f>'Tahmin Data'!M101</f>
        <v/>
      </c>
      <c r="P162" s="204">
        <f>'Tahmin Data'!O101</f>
        <v/>
      </c>
      <c r="Q162" s="204">
        <f>'Tahmin Data'!Q101</f>
        <v/>
      </c>
      <c r="R162" s="204">
        <f>'Tahmin Data'!S101</f>
        <v/>
      </c>
      <c r="S162" s="204">
        <f>'Tahmin Data'!U101</f>
        <v/>
      </c>
      <c r="T162" s="204">
        <f>'Tahmin Data'!W101</f>
        <v/>
      </c>
      <c r="U162" s="227">
        <f>G162</f>
        <v/>
      </c>
      <c r="V162" s="204">
        <f>'Bütçe aylık-Eur'!N139</f>
        <v/>
      </c>
      <c r="W162" s="229">
        <f>IF(U162&gt;V162,ABS((U162-V162)/V162),-ABS((V162-U162)/V162))</f>
        <v/>
      </c>
    </row>
    <row r="163">
      <c r="B163" s="149" t="inlineStr">
        <is>
          <t xml:space="preserve">İnci GS Yuasa </t>
        </is>
      </c>
      <c r="C163" s="156">
        <f>'A -Döviz'!C218</f>
        <v/>
      </c>
      <c r="D163" s="156">
        <f>'A -Döviz'!B218</f>
        <v/>
      </c>
      <c r="E163" s="229" t="n">
        <v>0</v>
      </c>
      <c r="F163" s="155" t="n"/>
      <c r="G163" s="156">
        <f>'C-Döviz'!C218</f>
        <v/>
      </c>
      <c r="H163" s="156">
        <f>'C-Döviz'!B218</f>
        <v/>
      </c>
      <c r="I163" s="229" t="n">
        <v>0</v>
      </c>
      <c r="J163" s="157" t="n"/>
      <c r="K163" s="200">
        <f>B163</f>
        <v/>
      </c>
      <c r="L163" s="204">
        <f>'Tahmin Data'!G99/0.4</f>
        <v/>
      </c>
      <c r="M163" s="204">
        <f>'Tahmin Data'!I99/0.4</f>
        <v/>
      </c>
      <c r="N163" s="204">
        <f>'Tahmin Data'!K99/0.4</f>
        <v/>
      </c>
      <c r="O163" s="204">
        <f>'Tahmin Data'!M99/0.4</f>
        <v/>
      </c>
      <c r="P163" s="204">
        <f>'Tahmin Data'!O99/0.4</f>
        <v/>
      </c>
      <c r="Q163" s="204">
        <f>'Tahmin Data'!Q99/0.4</f>
        <v/>
      </c>
      <c r="R163" s="204">
        <f>'Tahmin Data'!S99/0.4</f>
        <v/>
      </c>
      <c r="S163" s="204">
        <f>'Tahmin Data'!U99/0.4</f>
        <v/>
      </c>
      <c r="T163" s="204">
        <f>'Tahmin Data'!W99/0.4</f>
        <v/>
      </c>
      <c r="U163" s="227">
        <f>G163</f>
        <v/>
      </c>
      <c r="V163" s="204">
        <f>'Bütçe aylık-Eur'!N140</f>
        <v/>
      </c>
      <c r="W163" s="229">
        <f>IF(U163&gt;V163,ABS((U163-V163)/V163),-ABS((V163-U163)/V163))</f>
        <v/>
      </c>
      <c r="Y163" s="177" t="n"/>
    </row>
    <row r="164">
      <c r="B164" s="149" t="inlineStr">
        <is>
          <t xml:space="preserve">Yusen İnci Loj. </t>
        </is>
      </c>
      <c r="C164" s="156">
        <f>'A -Döviz'!C219</f>
        <v/>
      </c>
      <c r="D164" s="156">
        <f>'A -Döviz'!B219</f>
        <v/>
      </c>
      <c r="E164" s="229">
        <f>IF(C164&gt;D164,ABS((C164-D164)/D164),-ABS((D164-C164)/D164))</f>
        <v/>
      </c>
      <c r="F164" s="155" t="n"/>
      <c r="G164" s="156">
        <f>'C-Döviz'!C219</f>
        <v/>
      </c>
      <c r="H164" s="156">
        <f>'C-Döviz'!B219</f>
        <v/>
      </c>
      <c r="I164" s="229">
        <f>IF(G164&gt;H164,ABS((G164-H164)/H164),-ABS((H164-G164)/H164))</f>
        <v/>
      </c>
      <c r="J164" s="157" t="n"/>
      <c r="K164" s="200">
        <f>B164</f>
        <v/>
      </c>
      <c r="L164" s="204">
        <f>'Tahmin Data'!G106/0.4</f>
        <v/>
      </c>
      <c r="M164" s="204">
        <f>'Tahmin Data'!I106/0.4</f>
        <v/>
      </c>
      <c r="N164" s="204">
        <f>'Tahmin Data'!K106/0.4</f>
        <v/>
      </c>
      <c r="O164" s="204">
        <f>'Tahmin Data'!M106/0.4</f>
        <v/>
      </c>
      <c r="P164" s="204">
        <f>'Tahmin Data'!O106/0.4</f>
        <v/>
      </c>
      <c r="Q164" s="204">
        <f>'Tahmin Data'!Q106/0.4</f>
        <v/>
      </c>
      <c r="R164" s="204">
        <f>'Tahmin Data'!S106/0.4</f>
        <v/>
      </c>
      <c r="S164" s="204">
        <f>'Tahmin Data'!U106/0.4</f>
        <v/>
      </c>
      <c r="T164" s="204">
        <f>'Tahmin Data'!W106/0.4</f>
        <v/>
      </c>
      <c r="U164" s="227">
        <f>G164</f>
        <v/>
      </c>
      <c r="V164" s="204">
        <f>'Bütçe aylık-Eur'!N141</f>
        <v/>
      </c>
      <c r="W164" s="229">
        <f>IF(U164&gt;V164,ABS((U164-V164)/V164),-ABS((V164-U164)/V164))</f>
        <v/>
      </c>
    </row>
    <row r="165">
      <c r="B165" s="149" t="inlineStr">
        <is>
          <t xml:space="preserve">Jantaş </t>
        </is>
      </c>
      <c r="C165" s="156">
        <f>'A -Döviz'!C220</f>
        <v/>
      </c>
      <c r="D165" s="156">
        <f>'A -Döviz'!B220</f>
        <v/>
      </c>
      <c r="E165" s="229">
        <f>IF(C165&gt;D165,ABS((C165-D165)/D165),-ABS((D165-C165)/D165))</f>
        <v/>
      </c>
      <c r="F165" s="155" t="n"/>
      <c r="G165" s="156">
        <f>'C-Döviz'!C220</f>
        <v/>
      </c>
      <c r="H165" s="156">
        <f>'C-Döviz'!B220</f>
        <v/>
      </c>
      <c r="I165" s="229">
        <f>IF(G165&gt;H165,ABS((G165-H165)/H165),-ABS((H165-G165)/H165))</f>
        <v/>
      </c>
      <c r="J165" s="157" t="n"/>
      <c r="K165" s="200">
        <f>B165</f>
        <v/>
      </c>
      <c r="L165" s="204">
        <f>'Tahmin Data'!G105/0.4</f>
        <v/>
      </c>
      <c r="M165" s="204">
        <f>'Tahmin Data'!I105/0.4</f>
        <v/>
      </c>
      <c r="N165" s="204">
        <f>'Tahmin Data'!K105/0.4</f>
        <v/>
      </c>
      <c r="O165" s="204">
        <f>'Tahmin Data'!M105/0.4</f>
        <v/>
      </c>
      <c r="P165" s="204">
        <f>'Tahmin Data'!O105/0.4</f>
        <v/>
      </c>
      <c r="Q165" s="204">
        <f>'Tahmin Data'!Q105/0.4</f>
        <v/>
      </c>
      <c r="R165" s="204">
        <f>'Tahmin Data'!S105/0.4</f>
        <v/>
      </c>
      <c r="S165" s="204">
        <f>'Tahmin Data'!U105/0.4</f>
        <v/>
      </c>
      <c r="T165" s="204">
        <f>'Tahmin Data'!W105/0.4</f>
        <v/>
      </c>
      <c r="U165" s="227">
        <f>G165</f>
        <v/>
      </c>
      <c r="V165" s="204">
        <f>'Bütçe aylık-Eur'!N142</f>
        <v/>
      </c>
      <c r="W165" s="229">
        <f>IF(U165&gt;V165,ABS((U165-V165)/V165),-ABS((V165-U165)/V165))</f>
        <v/>
      </c>
    </row>
    <row r="166">
      <c r="B166" s="149" t="inlineStr">
        <is>
          <t xml:space="preserve">Çelik </t>
        </is>
      </c>
      <c r="C166" s="156">
        <f>'A -Döviz'!C221</f>
        <v/>
      </c>
      <c r="D166" s="156">
        <f>'A -Döviz'!B221</f>
        <v/>
      </c>
      <c r="E166" s="229">
        <f>IF(C166&gt;D166,ABS((C166-D166)/D166),-ABS((D166-C166)/D166))</f>
        <v/>
      </c>
      <c r="F166" s="155" t="n"/>
      <c r="G166" s="156">
        <f>'C-Döviz'!C221</f>
        <v/>
      </c>
      <c r="H166" s="156">
        <f>'C-Döviz'!B221</f>
        <v/>
      </c>
      <c r="I166" s="229">
        <f>IF(G166&gt;H166,ABS((G166-H166)/H166),-ABS((H166-G166)/H166))</f>
        <v/>
      </c>
      <c r="J166" s="157" t="n"/>
      <c r="K166" s="200">
        <f>B166</f>
        <v/>
      </c>
      <c r="L166" s="204">
        <f>'Tahmin Data'!G104/0.4</f>
        <v/>
      </c>
      <c r="M166" s="204">
        <f>'Tahmin Data'!I104/0.4</f>
        <v/>
      </c>
      <c r="N166" s="204">
        <f>'Tahmin Data'!K104/0.4</f>
        <v/>
      </c>
      <c r="O166" s="204">
        <f>'Tahmin Data'!M104/0.4</f>
        <v/>
      </c>
      <c r="P166" s="204">
        <f>'Tahmin Data'!O104/0.4</f>
        <v/>
      </c>
      <c r="Q166" s="204">
        <f>'Tahmin Data'!Q104/0.4</f>
        <v/>
      </c>
      <c r="R166" s="204">
        <f>'Tahmin Data'!S104/0.4</f>
        <v/>
      </c>
      <c r="S166" s="204">
        <f>'Tahmin Data'!U104/0.4</f>
        <v/>
      </c>
      <c r="T166" s="204">
        <f>'Tahmin Data'!W104/0.4</f>
        <v/>
      </c>
      <c r="U166" s="227">
        <f>G166</f>
        <v/>
      </c>
      <c r="V166" s="204">
        <f>'Bütçe aylık-Eur'!N143</f>
        <v/>
      </c>
      <c r="W166" s="229">
        <f>IF(U166&gt;V166,ABS((U166-V166)/V166),-ABS((V166-U166)/V166))</f>
        <v/>
      </c>
    </row>
    <row r="167" ht="10.5" customHeight="1" thickBot="1">
      <c r="B167" s="149" t="inlineStr">
        <is>
          <t xml:space="preserve">Alüminyum </t>
        </is>
      </c>
      <c r="C167" s="156">
        <f>'A -Döviz'!C222</f>
        <v/>
      </c>
      <c r="D167" s="156">
        <f>'A -Döviz'!B222</f>
        <v/>
      </c>
      <c r="E167" s="229">
        <f>IF(C167&gt;D167,ABS((C167-D167)/D167),-ABS((D167-C167)/D167))</f>
        <v/>
      </c>
      <c r="F167" s="155" t="n"/>
      <c r="G167" s="156">
        <f>'C-Döviz'!C222</f>
        <v/>
      </c>
      <c r="H167" s="156">
        <f>'C-Döviz'!B222</f>
        <v/>
      </c>
      <c r="I167" s="229">
        <f>IF(G167&gt;H167,ABS((G167-H167)/H167),-ABS((H167-G167)/H167))</f>
        <v/>
      </c>
      <c r="J167" s="157" t="n"/>
      <c r="K167" s="201">
        <f>B167</f>
        <v/>
      </c>
      <c r="L167" s="205">
        <f>'Tahmin Data'!G103/0.4</f>
        <v/>
      </c>
      <c r="M167" s="205">
        <f>'Tahmin Data'!I103/0.4</f>
        <v/>
      </c>
      <c r="N167" s="205">
        <f>'Tahmin Data'!K103/0.4</f>
        <v/>
      </c>
      <c r="O167" s="205">
        <f>'Tahmin Data'!M103/0.4</f>
        <v/>
      </c>
      <c r="P167" s="205">
        <f>'Tahmin Data'!O103/0.4</f>
        <v/>
      </c>
      <c r="Q167" s="205">
        <f>'Tahmin Data'!Q103/0.4</f>
        <v/>
      </c>
      <c r="R167" s="205">
        <f>'Tahmin Data'!S103/0.4</f>
        <v/>
      </c>
      <c r="S167" s="205">
        <f>'Tahmin Data'!U103/0.4</f>
        <v/>
      </c>
      <c r="T167" s="205">
        <f>'Tahmin Data'!W103/0.4</f>
        <v/>
      </c>
      <c r="U167" s="232">
        <f>G167</f>
        <v/>
      </c>
      <c r="V167" s="205">
        <f>'Bütçe aylık-Eur'!N144</f>
        <v/>
      </c>
      <c r="W167" s="264">
        <f>IF(U167&gt;V167,ABS((U167-V167)/V167),-ABS((V167-U167)/V167))</f>
        <v/>
      </c>
    </row>
    <row r="168" ht="10.5" customHeight="1" thickBot="1">
      <c r="B168" s="169" t="inlineStr">
        <is>
          <t xml:space="preserve">Kombine </t>
        </is>
      </c>
      <c r="C168" s="192">
        <f>'A -Döviz'!C212</f>
        <v/>
      </c>
      <c r="D168" s="192">
        <f>'A -Döviz'!B212</f>
        <v/>
      </c>
      <c r="E168" s="488">
        <f>IF(C168&gt;D168,ABS((C168-D168)/D168),-ABS((D168-C168)/D168))</f>
        <v/>
      </c>
      <c r="F168" s="154" t="n"/>
      <c r="G168" s="192">
        <f>'C-Döviz'!C212</f>
        <v/>
      </c>
      <c r="H168" s="192">
        <f>'C-Döviz'!B212</f>
        <v/>
      </c>
      <c r="I168" s="260">
        <f>IF(G168&gt;H168,ABS((G168-H168)/H168),-ABS((H168-G168)/H168))</f>
        <v/>
      </c>
      <c r="J168" s="194" t="n"/>
      <c r="K168" s="263" t="inlineStr">
        <is>
          <t xml:space="preserve">Kombine </t>
        </is>
      </c>
      <c r="L168" s="248">
        <f>SUM('Tahmin Data'!G99:G106)</f>
        <v/>
      </c>
      <c r="M168" s="248">
        <f>SUM('Tahmin Data'!I99:I106)</f>
        <v/>
      </c>
      <c r="N168" s="248">
        <f>SUM('Tahmin Data'!K99:K106)</f>
        <v/>
      </c>
      <c r="O168" s="248">
        <f>SUM('Tahmin Data'!M99:M106)</f>
        <v/>
      </c>
      <c r="P168" s="248">
        <f>SUM('Tahmin Data'!O99:O106)</f>
        <v/>
      </c>
      <c r="Q168" s="248">
        <f>SUM('Tahmin Data'!Q99:Q106)</f>
        <v/>
      </c>
      <c r="R168" s="248">
        <f>SUM('Tahmin Data'!S99:S106)</f>
        <v/>
      </c>
      <c r="S168" s="248">
        <f>SUM('Tahmin Data'!U99:U106)</f>
        <v/>
      </c>
      <c r="T168" s="248">
        <f>SUM('Tahmin Data'!W99:W106)</f>
        <v/>
      </c>
      <c r="U168" s="248">
        <f t="array" ref="U168">SUM(U160:U162,(U163:U167)*0.4)</f>
        <v/>
      </c>
      <c r="V168" s="248">
        <f>'Bütçe aylık-Eur'!N136</f>
        <v/>
      </c>
      <c r="W168" s="229">
        <f>IF(U168&gt;V168,ABS((U168-V168)/V168),-ABS((V168-U168)/V168))</f>
        <v/>
      </c>
    </row>
    <row r="169" ht="10.5" customHeight="1" thickBot="1">
      <c r="K169" s="249" t="inlineStr">
        <is>
          <t>Toplam</t>
        </is>
      </c>
      <c r="L169" s="239">
        <f>SUM(L160:L167)</f>
        <v/>
      </c>
      <c r="M169" s="239">
        <f>SUM(M160:M167)</f>
        <v/>
      </c>
      <c r="N169" s="239">
        <f>SUM(N160:N167)</f>
        <v/>
      </c>
      <c r="O169" s="239">
        <f>SUM(O160:O167)</f>
        <v/>
      </c>
      <c r="P169" s="239">
        <f>SUM(P160:P167)</f>
        <v/>
      </c>
      <c r="Q169" s="239">
        <f>SUM(Q160:Q167)</f>
        <v/>
      </c>
      <c r="R169" s="239">
        <f>SUM(R160:R167)</f>
        <v/>
      </c>
      <c r="S169" s="239">
        <f>SUM(S160:S167)</f>
        <v/>
      </c>
      <c r="T169" s="239">
        <f>SUM(T160:T167)</f>
        <v/>
      </c>
      <c r="U169" s="239">
        <f>SUM(U160:U167)</f>
        <v/>
      </c>
      <c r="V169" s="239">
        <f>SUM(V160:V167)</f>
        <v/>
      </c>
      <c r="W169" s="264">
        <f>IF(U169&gt;V169,ABS((U169-V169)/V169),-ABS((V169-U169)/V169))</f>
        <v/>
      </c>
    </row>
    <row r="170">
      <c r="K170" s="149" t="n"/>
      <c r="V170" s="177" t="n"/>
    </row>
    <row r="171" ht="12.5" customHeight="1">
      <c r="B171" s="209" t="inlineStr">
        <is>
          <t>Operasyonel Nakit (Avro)</t>
        </is>
      </c>
      <c r="C171" s="451" t="inlineStr">
        <is>
          <t>AYLIK</t>
        </is>
      </c>
      <c r="D171" s="451" t="n"/>
      <c r="E171" s="451" t="n"/>
      <c r="F171" s="451" t="n"/>
      <c r="G171" s="451" t="n"/>
      <c r="H171" s="451" t="inlineStr">
        <is>
          <t>KÜMÜLATİF</t>
        </is>
      </c>
      <c r="I171" s="451" t="n"/>
      <c r="J171" s="195" t="n"/>
      <c r="K171" s="214" t="inlineStr">
        <is>
          <t>Operasyonel Nakit Tahmin (Avro)</t>
        </is>
      </c>
      <c r="L171" s="214" t="n"/>
      <c r="M171" s="214" t="n"/>
      <c r="N171" s="214" t="n"/>
      <c r="O171" s="451" t="n"/>
      <c r="P171" s="451" t="n"/>
      <c r="Q171" s="451" t="n"/>
      <c r="R171" s="451" t="n"/>
      <c r="S171" s="451" t="n"/>
      <c r="T171" s="451" t="n"/>
      <c r="U171" s="451" t="n"/>
    </row>
    <row r="172" ht="10.5" customHeight="1" thickBot="1">
      <c r="B172" s="169" t="n"/>
      <c r="C172" s="211" t="inlineStr">
        <is>
          <t>Gerçekleşen</t>
        </is>
      </c>
      <c r="D172" s="211" t="inlineStr">
        <is>
          <t>Bütçe</t>
        </is>
      </c>
      <c r="E172" s="211" t="inlineStr">
        <is>
          <t>Sapma %</t>
        </is>
      </c>
      <c r="F172" s="211" t="n"/>
      <c r="G172" s="211">
        <f>C172</f>
        <v/>
      </c>
      <c r="H172" s="211" t="inlineStr">
        <is>
          <t>Bütçe</t>
        </is>
      </c>
      <c r="I172" s="211" t="inlineStr">
        <is>
          <t>Sapma %</t>
        </is>
      </c>
      <c r="J172" s="152" t="n"/>
      <c r="K172" s="169" t="n"/>
      <c r="L172" s="211">
        <f>L133</f>
        <v/>
      </c>
      <c r="M172" s="211">
        <f>M133</f>
        <v/>
      </c>
      <c r="N172" s="211">
        <f>N133</f>
        <v/>
      </c>
      <c r="O172" s="219" t="inlineStr">
        <is>
          <t>Haziran</t>
        </is>
      </c>
      <c r="P172" s="219" t="inlineStr">
        <is>
          <t>Temmuz</t>
        </is>
      </c>
      <c r="Q172" s="219" t="inlineStr">
        <is>
          <t>Ağustos</t>
        </is>
      </c>
      <c r="R172" s="219" t="inlineStr">
        <is>
          <t>Eylül</t>
        </is>
      </c>
      <c r="S172" s="219" t="inlineStr">
        <is>
          <t>Ekim</t>
        </is>
      </c>
      <c r="T172" s="219" t="inlineStr">
        <is>
          <t>Kasım</t>
        </is>
      </c>
      <c r="U172" s="219" t="inlineStr">
        <is>
          <t>Gerçekleşen</t>
        </is>
      </c>
      <c r="V172" s="219" t="inlineStr">
        <is>
          <t>Bütçe</t>
        </is>
      </c>
      <c r="W172" s="154" t="inlineStr">
        <is>
          <t>Sapma %</t>
        </is>
      </c>
    </row>
    <row r="173" ht="10.5" customHeight="1" thickTop="1">
      <c r="B173" s="149" t="inlineStr">
        <is>
          <t xml:space="preserve">İnci Holding  </t>
        </is>
      </c>
      <c r="C173" s="156">
        <f>'A -Döviz'!C291</f>
        <v/>
      </c>
      <c r="D173" s="156">
        <f>'A -Döviz'!B291</f>
        <v/>
      </c>
      <c r="E173" s="224">
        <f>IF(C173&gt;D173,ABS((C173-D173)/D173),-ABS((D173-C173)/D173))</f>
        <v/>
      </c>
      <c r="F173" s="155" t="n"/>
      <c r="G173" s="156">
        <f>'C-Döviz'!C291</f>
        <v/>
      </c>
      <c r="H173" s="156">
        <f>'C-Döviz'!B291</f>
        <v/>
      </c>
      <c r="I173" s="224">
        <f>IF(G173&gt;H173,ABS((G173-H173)/H173),-ABS((H173-G173)/H173))</f>
        <v/>
      </c>
      <c r="J173" s="157" t="n"/>
      <c r="K173" s="200">
        <f>B173</f>
        <v/>
      </c>
      <c r="L173" s="204">
        <f>'Tahmin Data'!G140</f>
        <v/>
      </c>
      <c r="M173" s="204">
        <f>'Tahmin Data'!I140</f>
        <v/>
      </c>
      <c r="N173" s="204">
        <f>'Tahmin Data'!K140</f>
        <v/>
      </c>
      <c r="O173" s="204">
        <f>'Tahmin Data'!M140</f>
        <v/>
      </c>
      <c r="P173" s="204">
        <f>'Tahmin Data'!O140</f>
        <v/>
      </c>
      <c r="Q173" s="204">
        <f>'Tahmin Data'!Q140</f>
        <v/>
      </c>
      <c r="R173" s="204">
        <f>'Tahmin Data'!S140</f>
        <v/>
      </c>
      <c r="S173" s="204">
        <f>'Tahmin Data'!U140</f>
        <v/>
      </c>
      <c r="T173" s="204">
        <f>'Tahmin Data'!W140</f>
        <v/>
      </c>
      <c r="U173" s="318">
        <f>G173</f>
        <v/>
      </c>
      <c r="V173" s="204">
        <f>'Bütçe Değişim eur'!M21</f>
        <v/>
      </c>
      <c r="W173" s="224">
        <f>IF(U173&gt;V173,ABS((U173-V173)/V173),-ABS((V173-U173)/V173))</f>
        <v/>
      </c>
    </row>
    <row r="174">
      <c r="B174" s="149" t="inlineStr">
        <is>
          <t xml:space="preserve">ISM </t>
        </is>
      </c>
      <c r="C174" s="156">
        <f>'A -Döviz'!C292</f>
        <v/>
      </c>
      <c r="D174" s="156">
        <f>'A -Döviz'!B292</f>
        <v/>
      </c>
      <c r="E174" s="229">
        <f>IF(C174&gt;D174,ABS((C174-D174)/D174),-ABS((D174-C174)/D174))</f>
        <v/>
      </c>
      <c r="F174" s="155" t="n"/>
      <c r="G174" s="156">
        <f>'C-Döviz'!C292</f>
        <v/>
      </c>
      <c r="H174" s="156">
        <f>'C-Döviz'!B292</f>
        <v/>
      </c>
      <c r="I174" s="229">
        <f>IF(G174&gt;H174,ABS((G174-H174)/H174),-ABS((H174-G174)/H174))</f>
        <v/>
      </c>
      <c r="J174" s="157" t="n"/>
      <c r="K174" s="200">
        <f>B174</f>
        <v/>
      </c>
      <c r="L174" s="204">
        <f>'Tahmin Data'!G142</f>
        <v/>
      </c>
      <c r="M174" s="204">
        <f>'Tahmin Data'!I142</f>
        <v/>
      </c>
      <c r="N174" s="204">
        <f>'Tahmin Data'!K142</f>
        <v/>
      </c>
      <c r="O174" s="204">
        <f>'Tahmin Data'!M142</f>
        <v/>
      </c>
      <c r="P174" s="204">
        <f>'Tahmin Data'!O142</f>
        <v/>
      </c>
      <c r="Q174" s="204">
        <f>'Tahmin Data'!Q142</f>
        <v/>
      </c>
      <c r="R174" s="204">
        <f>'Tahmin Data'!S142</f>
        <v/>
      </c>
      <c r="S174" s="204">
        <f>'Tahmin Data'!U142</f>
        <v/>
      </c>
      <c r="T174" s="204">
        <f>'Tahmin Data'!W142</f>
        <v/>
      </c>
      <c r="U174" s="227">
        <f>G174</f>
        <v/>
      </c>
      <c r="V174" s="204">
        <f>'Bütçe Değişim eur'!M22</f>
        <v/>
      </c>
      <c r="W174" s="229">
        <f>IF(U174&gt;V174,ABS((U174-V174)/V174),-ABS((V174-U174)/V174))</f>
        <v/>
      </c>
    </row>
    <row r="175">
      <c r="B175" s="149" t="inlineStr">
        <is>
          <t xml:space="preserve">İncitaş </t>
        </is>
      </c>
      <c r="C175" s="156">
        <f>'A -Döviz'!C293</f>
        <v/>
      </c>
      <c r="D175" s="156">
        <f>'A -Döviz'!B293</f>
        <v/>
      </c>
      <c r="E175" s="229">
        <f>IF(C175&gt;D175,ABS((C175-D175)/D175),-ABS((D175-C175)/D175))</f>
        <v/>
      </c>
      <c r="F175" s="155" t="n"/>
      <c r="G175" s="156">
        <f>'C-Döviz'!C293</f>
        <v/>
      </c>
      <c r="H175" s="156">
        <f>'C-Döviz'!B293</f>
        <v/>
      </c>
      <c r="I175" s="229">
        <f>IF(G175&gt;H175,ABS((G175-H175)/H175),-ABS((H175-G175)/H175))</f>
        <v/>
      </c>
      <c r="J175" s="157" t="n"/>
      <c r="K175" s="200">
        <f>B175</f>
        <v/>
      </c>
      <c r="L175" s="204">
        <f>'Tahmin Data'!G141</f>
        <v/>
      </c>
      <c r="M175" s="204">
        <f>'Tahmin Data'!I141</f>
        <v/>
      </c>
      <c r="N175" s="204">
        <f>'Tahmin Data'!K141</f>
        <v/>
      </c>
      <c r="O175" s="204">
        <f>'Tahmin Data'!M141</f>
        <v/>
      </c>
      <c r="P175" s="204">
        <f>'Tahmin Data'!O141</f>
        <v/>
      </c>
      <c r="Q175" s="204">
        <f>'Tahmin Data'!Q141</f>
        <v/>
      </c>
      <c r="R175" s="204">
        <f>'Tahmin Data'!S141</f>
        <v/>
      </c>
      <c r="S175" s="204">
        <f>'Tahmin Data'!U141</f>
        <v/>
      </c>
      <c r="T175" s="204">
        <f>'Tahmin Data'!W141</f>
        <v/>
      </c>
      <c r="U175" s="227">
        <f>G175</f>
        <v/>
      </c>
      <c r="V175" s="204">
        <f>'Bütçe Değişim eur'!M23</f>
        <v/>
      </c>
      <c r="W175" s="229">
        <f>IF(U175&gt;V175,ABS((U175-V175)/V175),-ABS((V175-U175)/V175))</f>
        <v/>
      </c>
    </row>
    <row r="176">
      <c r="B176" s="149" t="inlineStr">
        <is>
          <t xml:space="preserve">İnci GS Yuasa </t>
        </is>
      </c>
      <c r="C176" s="156">
        <f>'A -Döviz'!C294</f>
        <v/>
      </c>
      <c r="D176" s="156">
        <f>'A -Döviz'!B294</f>
        <v/>
      </c>
      <c r="E176" s="229">
        <f>IF(C176&gt;D176,ABS((C176-D176)/D176),-ABS((D176-C176)/D176))</f>
        <v/>
      </c>
      <c r="F176" s="155" t="n"/>
      <c r="G176" s="156">
        <f>'C-Döviz'!C294</f>
        <v/>
      </c>
      <c r="H176" s="156">
        <f>'C-Döviz'!B294</f>
        <v/>
      </c>
      <c r="I176" s="229">
        <f>IF(G176&gt;H176,ABS((G176-H176)/H176),-ABS((H176-G176)/H176))</f>
        <v/>
      </c>
      <c r="J176" s="157" t="n"/>
      <c r="K176" s="200">
        <f>B176</f>
        <v/>
      </c>
      <c r="L176" s="204">
        <f>'Tahmin Data'!G139/0.4</f>
        <v/>
      </c>
      <c r="M176" s="204">
        <f>'Tahmin Data'!I139</f>
        <v/>
      </c>
      <c r="N176" s="204">
        <f>'Tahmin Data'!K139</f>
        <v/>
      </c>
      <c r="O176" s="204">
        <f>'Tahmin Data'!M139</f>
        <v/>
      </c>
      <c r="P176" s="204">
        <f>'Tahmin Data'!O139/0.4</f>
        <v/>
      </c>
      <c r="Q176" s="204">
        <f>'Tahmin Data'!Q139/0.4</f>
        <v/>
      </c>
      <c r="R176" s="204">
        <f>'Tahmin Data'!S139/0.4</f>
        <v/>
      </c>
      <c r="S176" s="204">
        <f>'Tahmin Data'!U139/0.4</f>
        <v/>
      </c>
      <c r="T176" s="204">
        <f>'Tahmin Data'!W139/0.4</f>
        <v/>
      </c>
      <c r="U176" s="227">
        <f>G176</f>
        <v/>
      </c>
      <c r="V176" s="204">
        <f>'Bütçe Değişim eur'!M24</f>
        <v/>
      </c>
      <c r="W176" s="229">
        <f>IF(U176&gt;V176,ABS((U176-V176)/V176),-ABS((V176-U176)/V176))</f>
        <v/>
      </c>
    </row>
    <row r="177">
      <c r="B177" s="149" t="inlineStr">
        <is>
          <t xml:space="preserve">Yusen İnci Loj. </t>
        </is>
      </c>
      <c r="C177" s="156">
        <f>'A -Döviz'!C295</f>
        <v/>
      </c>
      <c r="D177" s="156">
        <f>'A -Döviz'!B295</f>
        <v/>
      </c>
      <c r="E177" s="229">
        <f>IF(C177&gt;D177,ABS((C177-D177)/D177),-ABS((D177-C177)/D177))</f>
        <v/>
      </c>
      <c r="F177" s="155" t="n"/>
      <c r="G177" s="156">
        <f>'C-Döviz'!C295</f>
        <v/>
      </c>
      <c r="H177" s="156">
        <f>'C-Döviz'!B295</f>
        <v/>
      </c>
      <c r="I177" s="229">
        <f>IF(G177&gt;H177,ABS((G177-H177)/H177),-ABS((H177-G177)/H177))</f>
        <v/>
      </c>
      <c r="J177" s="157" t="n"/>
      <c r="K177" s="200">
        <f>B177</f>
        <v/>
      </c>
      <c r="L177" s="204">
        <f>'Tahmin Data'!G146/0.4</f>
        <v/>
      </c>
      <c r="M177" s="204">
        <f>'Tahmin Data'!I146</f>
        <v/>
      </c>
      <c r="N177" s="204">
        <f>'Tahmin Data'!K146</f>
        <v/>
      </c>
      <c r="O177" s="204">
        <f>'Tahmin Data'!M146</f>
        <v/>
      </c>
      <c r="P177" s="204">
        <f>'Tahmin Data'!O146/0.4</f>
        <v/>
      </c>
      <c r="Q177" s="204">
        <f>'Tahmin Data'!Q146/0.4</f>
        <v/>
      </c>
      <c r="R177" s="204">
        <f>'Tahmin Data'!S146/0.4</f>
        <v/>
      </c>
      <c r="S177" s="204">
        <f>'Tahmin Data'!U146/0.4</f>
        <v/>
      </c>
      <c r="T177" s="204">
        <f>'Tahmin Data'!W146/0.4</f>
        <v/>
      </c>
      <c r="U177" s="227">
        <f>G177</f>
        <v/>
      </c>
      <c r="V177" s="204">
        <f>'Bütçe Değişim eur'!M25</f>
        <v/>
      </c>
      <c r="W177" s="229">
        <f>IF(U177&gt;V177,ABS((U177-V177)/V177),-ABS((V177-U177)/V177))</f>
        <v/>
      </c>
    </row>
    <row r="178">
      <c r="B178" s="149" t="inlineStr">
        <is>
          <t xml:space="preserve">Jantaş </t>
        </is>
      </c>
      <c r="C178" s="156">
        <f>'A -Döviz'!C296</f>
        <v/>
      </c>
      <c r="D178" s="156">
        <f>'A -Döviz'!B296</f>
        <v/>
      </c>
      <c r="E178" s="229">
        <f>IF(C178&gt;D178,ABS((C178-D178)/D178),-ABS((D178-C178)/D178))</f>
        <v/>
      </c>
      <c r="F178" s="155" t="n"/>
      <c r="G178" s="156">
        <f>'C-Döviz'!C296</f>
        <v/>
      </c>
      <c r="H178" s="156">
        <f>'C-Döviz'!B296</f>
        <v/>
      </c>
      <c r="I178" s="229">
        <f>IF(G178&gt;H178,ABS((G178-H178)/H178),-ABS((H178-G178)/H178))</f>
        <v/>
      </c>
      <c r="J178" s="157" t="n"/>
      <c r="K178" s="200">
        <f>B178</f>
        <v/>
      </c>
      <c r="L178" s="204">
        <f>'Tahmin Data'!G145/0.4</f>
        <v/>
      </c>
      <c r="M178" s="204">
        <f>'Tahmin Data'!I145</f>
        <v/>
      </c>
      <c r="N178" s="204">
        <f>'Tahmin Data'!K145</f>
        <v/>
      </c>
      <c r="O178" s="204">
        <f>'Tahmin Data'!M145</f>
        <v/>
      </c>
      <c r="P178" s="204">
        <f>'Tahmin Data'!O145/0.4</f>
        <v/>
      </c>
      <c r="Q178" s="204">
        <f>'Tahmin Data'!Q145/0.4</f>
        <v/>
      </c>
      <c r="R178" s="204">
        <f>'Tahmin Data'!S145/0.4</f>
        <v/>
      </c>
      <c r="S178" s="204">
        <f>'Tahmin Data'!U145/0.4</f>
        <v/>
      </c>
      <c r="T178" s="204">
        <f>'Tahmin Data'!W145/0.4</f>
        <v/>
      </c>
      <c r="U178" s="227">
        <f>G178</f>
        <v/>
      </c>
      <c r="V178" s="204">
        <f>'Bütçe Değişim eur'!M26</f>
        <v/>
      </c>
      <c r="W178" s="229">
        <f>IF(U178&gt;V178,ABS((U178-V178)/V178),-ABS((V178-U178)/V178))</f>
        <v/>
      </c>
    </row>
    <row r="179">
      <c r="B179" s="149" t="inlineStr">
        <is>
          <t xml:space="preserve">Çelik </t>
        </is>
      </c>
      <c r="C179" s="156">
        <f>'A -Döviz'!C297</f>
        <v/>
      </c>
      <c r="D179" s="156">
        <f>'A -Döviz'!B297</f>
        <v/>
      </c>
      <c r="E179" s="229">
        <f>IF(C179&gt;D179,ABS((C179-D179)/D179),-ABS((D179-C179)/D179))</f>
        <v/>
      </c>
      <c r="F179" s="155" t="n"/>
      <c r="G179" s="156">
        <f>'C-Döviz'!C297</f>
        <v/>
      </c>
      <c r="H179" s="156">
        <f>'C-Döviz'!B297</f>
        <v/>
      </c>
      <c r="I179" s="229">
        <f>IF(G179&gt;H179,ABS((G179-H179)/H179),-ABS((H179-G179)/H179))</f>
        <v/>
      </c>
      <c r="J179" s="157" t="n"/>
      <c r="K179" s="200">
        <f>B179</f>
        <v/>
      </c>
      <c r="L179" s="204">
        <f>'Tahmin Data'!G144/0.4</f>
        <v/>
      </c>
      <c r="M179" s="204">
        <f>'Tahmin Data'!I144</f>
        <v/>
      </c>
      <c r="N179" s="204">
        <f>'Tahmin Data'!K144</f>
        <v/>
      </c>
      <c r="O179" s="204">
        <f>'Tahmin Data'!M144</f>
        <v/>
      </c>
      <c r="P179" s="204">
        <f>'Tahmin Data'!O144/0.4</f>
        <v/>
      </c>
      <c r="Q179" s="204">
        <f>'Tahmin Data'!Q144/0.4</f>
        <v/>
      </c>
      <c r="R179" s="204">
        <f>'Tahmin Data'!S144/0.4</f>
        <v/>
      </c>
      <c r="S179" s="204">
        <f>'Tahmin Data'!U144/0.4</f>
        <v/>
      </c>
      <c r="T179" s="204">
        <f>'Tahmin Data'!W144/0.4</f>
        <v/>
      </c>
      <c r="U179" s="227">
        <f>G179</f>
        <v/>
      </c>
      <c r="V179" s="204">
        <f>'Bütçe Değişim eur'!M27</f>
        <v/>
      </c>
      <c r="W179" s="229">
        <f>IF(U179&gt;V179,ABS((U179-V179)/V179),-ABS((V179-U179)/V179))</f>
        <v/>
      </c>
    </row>
    <row r="180" ht="10.5" customHeight="1" thickBot="1">
      <c r="B180" s="149" t="inlineStr">
        <is>
          <t xml:space="preserve">Alüminyum </t>
        </is>
      </c>
      <c r="C180" s="156">
        <f>'A -Döviz'!C298</f>
        <v/>
      </c>
      <c r="D180" s="156">
        <f>'A -Döviz'!B298</f>
        <v/>
      </c>
      <c r="E180" s="229">
        <f>IF(C180&gt;D180,ABS((C180-D180)/D180),-ABS((D180-C180)/D180))</f>
        <v/>
      </c>
      <c r="F180" s="155" t="n"/>
      <c r="G180" s="156">
        <f>'C-Döviz'!C298</f>
        <v/>
      </c>
      <c r="H180" s="156">
        <f>'C-Döviz'!B298</f>
        <v/>
      </c>
      <c r="I180" s="229">
        <f>IF(G180&gt;H180,ABS((G180-H180)/H180),-ABS((H180-G180)/H180))</f>
        <v/>
      </c>
      <c r="J180" s="157" t="n"/>
      <c r="K180" s="201">
        <f>B180</f>
        <v/>
      </c>
      <c r="L180" s="205">
        <f>'Tahmin Data'!G143/0.4</f>
        <v/>
      </c>
      <c r="M180" s="205">
        <f>'Tahmin Data'!I143</f>
        <v/>
      </c>
      <c r="N180" s="205">
        <f>'Tahmin Data'!K143</f>
        <v/>
      </c>
      <c r="O180" s="205">
        <f>'Tahmin Data'!M143</f>
        <v/>
      </c>
      <c r="P180" s="205">
        <f>'Tahmin Data'!O143/0.4</f>
        <v/>
      </c>
      <c r="Q180" s="205">
        <f>'Tahmin Data'!Q143/0.4</f>
        <v/>
      </c>
      <c r="R180" s="205">
        <f>'Tahmin Data'!S143/0.4</f>
        <v/>
      </c>
      <c r="S180" s="205">
        <f>'Tahmin Data'!U143/0.4</f>
        <v/>
      </c>
      <c r="T180" s="205">
        <f>'Tahmin Data'!W143/0.4</f>
        <v/>
      </c>
      <c r="U180" s="232">
        <f>G180</f>
        <v/>
      </c>
      <c r="V180" s="205">
        <f>'Bütçe Değişim eur'!M28</f>
        <v/>
      </c>
      <c r="W180" s="264">
        <f>IF(U180&gt;V180,ABS((U180-V180)/V180),-ABS((V180-U180)/V180))</f>
        <v/>
      </c>
    </row>
    <row r="181" ht="10.5" customHeight="1" thickBot="1">
      <c r="B181" s="169" t="inlineStr">
        <is>
          <t xml:space="preserve">Kombine </t>
        </is>
      </c>
      <c r="C181" s="192">
        <f>'A -Döviz'!C288</f>
        <v/>
      </c>
      <c r="D181" s="192">
        <f>'A -Döviz'!B288</f>
        <v/>
      </c>
      <c r="E181" s="488">
        <f>IF(C181&gt;D181,ABS((C181-D181)/D181),-ABS((D181-C181)/D181))</f>
        <v/>
      </c>
      <c r="F181" s="154" t="n"/>
      <c r="G181" s="192">
        <f>'C-Döviz'!C288</f>
        <v/>
      </c>
      <c r="H181" s="192">
        <f>'C-Döviz'!B288</f>
        <v/>
      </c>
      <c r="I181" s="260">
        <f>IF(G181&gt;H181,ABS((G181-H181)/H181),-ABS((H181-G181)/H181))</f>
        <v/>
      </c>
      <c r="J181" s="194" t="n"/>
      <c r="K181" s="202" t="inlineStr">
        <is>
          <t xml:space="preserve">Kombine </t>
        </is>
      </c>
      <c r="L181" s="248">
        <f>SUM('Tahmin Data'!G139:G146)</f>
        <v/>
      </c>
      <c r="M181" s="248">
        <f>SUM('Tahmin Data'!I121:I128)</f>
        <v/>
      </c>
      <c r="N181" s="248">
        <f>SUM('Tahmin Data'!K121:K128)</f>
        <v/>
      </c>
      <c r="O181" s="248">
        <f>SUM('Tahmin Data'!M121:M128)</f>
        <v/>
      </c>
      <c r="P181" s="248">
        <f>SUM('Tahmin Data'!O139:O146)</f>
        <v/>
      </c>
      <c r="Q181" s="248">
        <f>SUM('Tahmin Data'!Q139:Q146)</f>
        <v/>
      </c>
      <c r="R181" s="248">
        <f>SUM('Tahmin Data'!S139:S146)</f>
        <v/>
      </c>
      <c r="S181" s="248">
        <f>SUM('Tahmin Data'!U139:U146)</f>
        <v/>
      </c>
      <c r="T181" s="248">
        <f>SUM('Tahmin Data'!W139:W146)</f>
        <v/>
      </c>
      <c r="U181" s="248">
        <f t="array" ref="U181">SUM(U173:U175,(U176:U180)*0.4)</f>
        <v/>
      </c>
      <c r="V181" s="248">
        <f>'Bütçe Değişim eur'!M20</f>
        <v/>
      </c>
      <c r="W181" s="229">
        <f>IF(U181&gt;V181,ABS((U181-V181)/V181),-ABS((V181-U181)/V181))</f>
        <v/>
      </c>
    </row>
    <row r="182" ht="10.5" customHeight="1" thickBot="1">
      <c r="B182" s="158" t="n"/>
      <c r="C182" s="196" t="n"/>
      <c r="D182" s="196" t="n"/>
      <c r="E182" s="194" t="n"/>
      <c r="F182" s="197" t="n"/>
      <c r="G182" s="196" t="n"/>
      <c r="H182" s="196" t="n"/>
      <c r="I182" s="194" t="n"/>
      <c r="J182" s="194" t="n"/>
      <c r="K182" s="249" t="inlineStr">
        <is>
          <t>Toplam</t>
        </is>
      </c>
      <c r="L182" s="239">
        <f>SUM(L173:L180)</f>
        <v/>
      </c>
      <c r="M182" s="239">
        <f>SUM(M173:M180)</f>
        <v/>
      </c>
      <c r="N182" s="239">
        <f>SUM(N173:N180)</f>
        <v/>
      </c>
      <c r="O182" s="239">
        <f>SUM(O173:O180)</f>
        <v/>
      </c>
      <c r="P182" s="239">
        <f>SUM(P173:P180)</f>
        <v/>
      </c>
      <c r="Q182" s="239">
        <f>SUM(Q173:Q180)</f>
        <v/>
      </c>
      <c r="R182" s="239">
        <f>SUM(R173:R180)</f>
        <v/>
      </c>
      <c r="S182" s="239">
        <f>SUM(S173:S180)</f>
        <v/>
      </c>
      <c r="T182" s="239">
        <f>SUM(T173:T180)</f>
        <v/>
      </c>
      <c r="U182" s="239">
        <f>SUM(U173:U180)</f>
        <v/>
      </c>
      <c r="V182" s="239">
        <f>SUM(V173:V180)</f>
        <v/>
      </c>
      <c r="W182" s="264">
        <f>IF(U182&gt;V182,ABS((U182-V182)/V182),-ABS((V182-U182)/V182))</f>
        <v/>
      </c>
    </row>
    <row r="183">
      <c r="B183" s="158" t="n"/>
      <c r="C183" s="196" t="n"/>
      <c r="D183" s="196" t="n"/>
      <c r="E183" s="194" t="n"/>
      <c r="F183" s="197" t="n"/>
      <c r="G183" s="196" t="n"/>
      <c r="H183" s="196" t="n"/>
      <c r="I183" s="194" t="n"/>
      <c r="J183" s="194" t="n"/>
      <c r="K183" s="202" t="n"/>
      <c r="L183" s="194" t="n"/>
      <c r="M183" s="194" t="n"/>
      <c r="N183" s="194" t="n"/>
      <c r="O183" s="194" t="n"/>
      <c r="P183" s="194" t="n"/>
      <c r="Q183" s="194" t="n"/>
      <c r="R183" s="194" t="n"/>
      <c r="S183" s="194" t="n"/>
      <c r="T183" s="194" t="n"/>
      <c r="U183" s="194" t="n"/>
    </row>
    <row r="184" ht="12.5" customHeight="1">
      <c r="B184" s="209" t="inlineStr">
        <is>
          <t>Yatırım (Avro)</t>
        </is>
      </c>
      <c r="C184" s="451" t="inlineStr">
        <is>
          <t>AYLIK</t>
        </is>
      </c>
      <c r="D184" s="451" t="n"/>
      <c r="E184" s="451" t="n"/>
      <c r="F184" s="451" t="n"/>
      <c r="G184" s="451" t="n"/>
      <c r="H184" s="451" t="inlineStr">
        <is>
          <t>KÜMÜLATİF</t>
        </is>
      </c>
      <c r="I184" s="451" t="n"/>
      <c r="J184" s="195" t="n"/>
      <c r="K184" s="214" t="inlineStr">
        <is>
          <t>Yatırım Tahmin (Avro)</t>
        </is>
      </c>
      <c r="L184" s="214" t="n"/>
      <c r="M184" s="214" t="n"/>
      <c r="N184" s="214" t="n"/>
      <c r="O184" s="451" t="n"/>
      <c r="P184" s="451" t="n"/>
      <c r="Q184" s="451" t="n"/>
      <c r="R184" s="451" t="n"/>
      <c r="S184" s="451" t="n"/>
      <c r="T184" s="451" t="n"/>
      <c r="U184" s="451" t="n"/>
      <c r="W184" s="269" t="n"/>
    </row>
    <row r="185" ht="10.5" customHeight="1" thickBot="1">
      <c r="B185" s="169" t="n"/>
      <c r="C185" s="211" t="inlineStr">
        <is>
          <t>Gerçekleşen</t>
        </is>
      </c>
      <c r="D185" s="211" t="inlineStr">
        <is>
          <t>Bütçe</t>
        </is>
      </c>
      <c r="E185" s="211" t="inlineStr">
        <is>
          <t>Sapma %</t>
        </is>
      </c>
      <c r="F185" s="211" t="n"/>
      <c r="G185" s="211">
        <f>C185</f>
        <v/>
      </c>
      <c r="H185" s="211" t="inlineStr">
        <is>
          <t>Bütçe</t>
        </is>
      </c>
      <c r="I185" s="211" t="inlineStr">
        <is>
          <t>Sapma %</t>
        </is>
      </c>
      <c r="J185" s="152" t="n"/>
      <c r="K185" s="169" t="n"/>
      <c r="L185" s="211">
        <f>L172</f>
        <v/>
      </c>
      <c r="M185" s="211">
        <f>M172</f>
        <v/>
      </c>
      <c r="N185" s="211">
        <f>N172</f>
        <v/>
      </c>
      <c r="O185" s="219" t="inlineStr">
        <is>
          <t>Haziran</t>
        </is>
      </c>
      <c r="P185" s="219" t="inlineStr">
        <is>
          <t>Temmuz</t>
        </is>
      </c>
      <c r="Q185" s="219" t="inlineStr">
        <is>
          <t>Ağustos</t>
        </is>
      </c>
      <c r="R185" s="219" t="inlineStr">
        <is>
          <t>Eylül</t>
        </is>
      </c>
      <c r="S185" s="219" t="inlineStr">
        <is>
          <t>Ekim</t>
        </is>
      </c>
      <c r="T185" s="219" t="inlineStr">
        <is>
          <t>Kasım</t>
        </is>
      </c>
      <c r="U185" s="219" t="inlineStr">
        <is>
          <t>Gerçekleşen</t>
        </is>
      </c>
      <c r="V185" s="219" t="inlineStr">
        <is>
          <t>Bütçe</t>
        </is>
      </c>
      <c r="W185" s="154" t="inlineStr">
        <is>
          <t>Sapma %</t>
        </is>
      </c>
    </row>
    <row r="186" ht="10.5" customHeight="1" thickTop="1">
      <c r="B186" s="149" t="inlineStr">
        <is>
          <t xml:space="preserve">İnci Holding  </t>
        </is>
      </c>
      <c r="C186" s="156">
        <f>'A -Döviz'!C278</f>
        <v/>
      </c>
      <c r="D186" s="156">
        <f>'A -Döviz'!B278</f>
        <v/>
      </c>
      <c r="E186" s="224" t="n">
        <v>1</v>
      </c>
      <c r="F186" s="155" t="n"/>
      <c r="G186" s="156">
        <f>'C-Döviz'!C278</f>
        <v/>
      </c>
      <c r="H186" s="156">
        <f>'C-Döviz'!B278</f>
        <v/>
      </c>
      <c r="I186" s="224">
        <f>IF(G186&gt;H186,ABS((G186-H186)/H186),-ABS((H186-G186)/H186))</f>
        <v/>
      </c>
      <c r="J186" s="157" t="n"/>
      <c r="K186" s="200">
        <f>B186</f>
        <v/>
      </c>
      <c r="L186" s="204">
        <f>'Tahmin Data'!G132</f>
        <v/>
      </c>
      <c r="M186" s="204">
        <f>'Tahmin Data'!I132</f>
        <v/>
      </c>
      <c r="N186" s="204">
        <f>'Tahmin Data'!K132</f>
        <v/>
      </c>
      <c r="O186" s="204">
        <f>'Tahmin Data'!M132</f>
        <v/>
      </c>
      <c r="P186" s="204">
        <f>'Tahmin Data'!O132</f>
        <v/>
      </c>
      <c r="Q186" s="204">
        <f>'Tahmin Data'!Q132</f>
        <v/>
      </c>
      <c r="R186" s="204">
        <f>'Tahmin Data'!S132</f>
        <v/>
      </c>
      <c r="S186" s="204">
        <f>'Tahmin Data'!U132</f>
        <v/>
      </c>
      <c r="T186" s="204">
        <f>'Tahmin Data'!W132</f>
        <v/>
      </c>
      <c r="U186" s="318">
        <f>G186</f>
        <v/>
      </c>
      <c r="V186" s="204">
        <f>'Bütçe aylık-Eur'!N187</f>
        <v/>
      </c>
      <c r="W186" s="224">
        <f>IF(U186&gt;V186,ABS((U186-V186)/V186),-ABS((V186-U186)/V186))</f>
        <v/>
      </c>
    </row>
    <row r="187">
      <c r="B187" s="149" t="inlineStr">
        <is>
          <t xml:space="preserve">ISM </t>
        </is>
      </c>
      <c r="C187" s="156">
        <f>'A -Döviz'!C279</f>
        <v/>
      </c>
      <c r="D187" s="156">
        <f>'A -Döviz'!B279</f>
        <v/>
      </c>
      <c r="E187" s="229">
        <f>IF(C187&gt;D187,ABS((C187-D187)/D187),-ABS((D187-C187)/D187))</f>
        <v/>
      </c>
      <c r="F187" s="155" t="n"/>
      <c r="G187" s="156">
        <f>'C-Döviz'!C279</f>
        <v/>
      </c>
      <c r="H187" s="156">
        <f>'C-Döviz'!B279</f>
        <v/>
      </c>
      <c r="I187" s="229">
        <f>IF(G187&gt;H187,ABS((G187-H187)/H187),-ABS((H187-G187)/H187))</f>
        <v/>
      </c>
      <c r="J187" s="157" t="n"/>
      <c r="K187" s="200">
        <f>B187</f>
        <v/>
      </c>
      <c r="L187" s="204">
        <f>'Tahmin Data'!G134</f>
        <v/>
      </c>
      <c r="M187" s="204">
        <f>'Tahmin Data'!I134</f>
        <v/>
      </c>
      <c r="N187" s="204">
        <f>'Tahmin Data'!K134</f>
        <v/>
      </c>
      <c r="O187" s="204">
        <f>'Tahmin Data'!M134</f>
        <v/>
      </c>
      <c r="P187" s="204">
        <f>'Tahmin Data'!O134</f>
        <v/>
      </c>
      <c r="Q187" s="204">
        <f>'Tahmin Data'!Q134</f>
        <v/>
      </c>
      <c r="R187" s="204">
        <f>'Tahmin Data'!S134</f>
        <v/>
      </c>
      <c r="S187" s="204">
        <f>'Tahmin Data'!U134</f>
        <v/>
      </c>
      <c r="T187" s="204">
        <f>'Tahmin Data'!W134</f>
        <v/>
      </c>
      <c r="U187" s="227">
        <f>G187</f>
        <v/>
      </c>
      <c r="V187" s="204">
        <f>'Bütçe aylık-Eur'!N188</f>
        <v/>
      </c>
      <c r="W187" s="229">
        <f>IF(U187&gt;V187,ABS((U187-V187)/V187),-ABS((V187-U187)/V187))</f>
        <v/>
      </c>
    </row>
    <row r="188">
      <c r="B188" s="149" t="inlineStr">
        <is>
          <t xml:space="preserve">İncitaş </t>
        </is>
      </c>
      <c r="C188" s="156">
        <f>'A -Döviz'!C280</f>
        <v/>
      </c>
      <c r="D188" s="156">
        <f>'A -Döviz'!B280</f>
        <v/>
      </c>
      <c r="E188" s="229" t="n">
        <v>0</v>
      </c>
      <c r="F188" s="155" t="n"/>
      <c r="G188" s="156">
        <f>'C-Döviz'!C280</f>
        <v/>
      </c>
      <c r="H188" s="156">
        <f>'C-Döviz'!B280</f>
        <v/>
      </c>
      <c r="I188" s="229" t="n">
        <v>0</v>
      </c>
      <c r="J188" s="157" t="n"/>
      <c r="K188" s="200">
        <f>B188</f>
        <v/>
      </c>
      <c r="L188" s="204">
        <f>'Tahmin Data'!G133</f>
        <v/>
      </c>
      <c r="M188" s="204">
        <f>'Tahmin Data'!I133</f>
        <v/>
      </c>
      <c r="N188" s="204">
        <f>'Tahmin Data'!K133</f>
        <v/>
      </c>
      <c r="O188" s="204">
        <f>'Tahmin Data'!M133</f>
        <v/>
      </c>
      <c r="P188" s="204">
        <f>'Tahmin Data'!O133</f>
        <v/>
      </c>
      <c r="Q188" s="204">
        <f>'Tahmin Data'!Q133</f>
        <v/>
      </c>
      <c r="R188" s="204">
        <f>'Tahmin Data'!S133</f>
        <v/>
      </c>
      <c r="S188" s="204">
        <f>'Tahmin Data'!U133</f>
        <v/>
      </c>
      <c r="T188" s="204">
        <f>'Tahmin Data'!W133</f>
        <v/>
      </c>
      <c r="U188" s="227">
        <f>G188</f>
        <v/>
      </c>
      <c r="V188" s="204">
        <f>'Bütçe aylık-Eur'!N189</f>
        <v/>
      </c>
      <c r="W188" s="229" t="n">
        <v>0</v>
      </c>
    </row>
    <row r="189">
      <c r="B189" s="149" t="inlineStr">
        <is>
          <t xml:space="preserve">İnci GS Yuasa </t>
        </is>
      </c>
      <c r="C189" s="156">
        <f>'A -Döviz'!C281</f>
        <v/>
      </c>
      <c r="D189" s="156">
        <f>'A -Döviz'!B281</f>
        <v/>
      </c>
      <c r="E189" s="229">
        <f>IF(C189&gt;D189,ABS((C189-D189)/D189),-ABS((D189-C189)/D189))</f>
        <v/>
      </c>
      <c r="F189" s="155" t="n"/>
      <c r="G189" s="156">
        <f>'C-Döviz'!C281</f>
        <v/>
      </c>
      <c r="H189" s="156">
        <f>'C-Döviz'!B281</f>
        <v/>
      </c>
      <c r="I189" s="229">
        <f>IF(G189&gt;H189,ABS((G189-H189)/H189),-ABS((H189-G189)/H189))</f>
        <v/>
      </c>
      <c r="J189" s="157" t="n"/>
      <c r="K189" s="200">
        <f>B189</f>
        <v/>
      </c>
      <c r="L189" s="204">
        <f>'Tahmin Data'!G131/0.4</f>
        <v/>
      </c>
      <c r="M189" s="204">
        <f>'Tahmin Data'!I131/0.4</f>
        <v/>
      </c>
      <c r="N189" s="204">
        <f>'Tahmin Data'!K131/0.4</f>
        <v/>
      </c>
      <c r="O189" s="204">
        <f>'Tahmin Data'!M131/0.4</f>
        <v/>
      </c>
      <c r="P189" s="204">
        <f>'Tahmin Data'!O131/0.4</f>
        <v/>
      </c>
      <c r="Q189" s="204">
        <f>'Tahmin Data'!Q131/0.4</f>
        <v/>
      </c>
      <c r="R189" s="204">
        <f>'Tahmin Data'!S131/0.4</f>
        <v/>
      </c>
      <c r="S189" s="204">
        <f>'Tahmin Data'!U131/0.4</f>
        <v/>
      </c>
      <c r="T189" s="204">
        <f>'Tahmin Data'!W131/0.4</f>
        <v/>
      </c>
      <c r="U189" s="227">
        <f>G189</f>
        <v/>
      </c>
      <c r="V189" s="204">
        <f>'Bütçe aylık-Eur'!N190</f>
        <v/>
      </c>
      <c r="W189" s="229">
        <f>IF(U189&gt;V189,ABS((U189-V189)/V189),-ABS((V189-U189)/V189))</f>
        <v/>
      </c>
    </row>
    <row r="190">
      <c r="B190" s="149" t="inlineStr">
        <is>
          <t xml:space="preserve">Yusen İnci Loj. </t>
        </is>
      </c>
      <c r="C190" s="156">
        <f>'A -Döviz'!C282</f>
        <v/>
      </c>
      <c r="D190" s="156">
        <f>'A -Döviz'!B282</f>
        <v/>
      </c>
      <c r="E190" s="229">
        <f>IF(C190&gt;D190,ABS((C190-D190)/D190),-ABS((D190-C190)/D190))</f>
        <v/>
      </c>
      <c r="F190" s="155" t="n"/>
      <c r="G190" s="156">
        <f>'C-Döviz'!C282</f>
        <v/>
      </c>
      <c r="H190" s="156">
        <f>'C-Döviz'!B282</f>
        <v/>
      </c>
      <c r="I190" s="229">
        <f>IF(G190&gt;H190,ABS((G190-H190)/H190),-ABS((H190-G190)/H190))</f>
        <v/>
      </c>
      <c r="J190" s="157" t="n"/>
      <c r="K190" s="200">
        <f>B190</f>
        <v/>
      </c>
      <c r="L190" s="204">
        <f>'Tahmin Data'!G138/0.4</f>
        <v/>
      </c>
      <c r="M190" s="204">
        <f>'Tahmin Data'!I138/0.4</f>
        <v/>
      </c>
      <c r="N190" s="204">
        <f>'Tahmin Data'!K138/0.4</f>
        <v/>
      </c>
      <c r="O190" s="204">
        <f>'Tahmin Data'!M138/0.4</f>
        <v/>
      </c>
      <c r="P190" s="204">
        <f>'Tahmin Data'!O138/0.4</f>
        <v/>
      </c>
      <c r="Q190" s="204">
        <f>'Tahmin Data'!Q138/0.4</f>
        <v/>
      </c>
      <c r="R190" s="204">
        <f>'Tahmin Data'!S138/0.4</f>
        <v/>
      </c>
      <c r="S190" s="204">
        <f>'Tahmin Data'!U138/0.4</f>
        <v/>
      </c>
      <c r="T190" s="204">
        <f>'Tahmin Data'!W138/0.4</f>
        <v/>
      </c>
      <c r="U190" s="227">
        <f>G190</f>
        <v/>
      </c>
      <c r="V190" s="204">
        <f>'Bütçe aylık-Eur'!N191</f>
        <v/>
      </c>
      <c r="W190" s="229">
        <f>IF(U190&gt;V190,ABS((U190-V190)/V190),-ABS((V190-U190)/V190))</f>
        <v/>
      </c>
    </row>
    <row r="191">
      <c r="B191" s="149" t="inlineStr">
        <is>
          <t xml:space="preserve">Jantaş </t>
        </is>
      </c>
      <c r="C191" s="156">
        <f>'A -Döviz'!C283</f>
        <v/>
      </c>
      <c r="D191" s="156">
        <f>'A -Döviz'!B283</f>
        <v/>
      </c>
      <c r="E191" s="229">
        <f>IF(C191&gt;D191,ABS((C191-D191)/D191),-ABS((D191-C191)/D191))</f>
        <v/>
      </c>
      <c r="F191" s="155" t="n"/>
      <c r="G191" s="156">
        <f>'C-Döviz'!C283</f>
        <v/>
      </c>
      <c r="H191" s="156">
        <f>'C-Döviz'!B283</f>
        <v/>
      </c>
      <c r="I191" s="229">
        <f>IF(G191&gt;H191,ABS((G191-H191)/H191),-ABS((H191-G191)/H191))</f>
        <v/>
      </c>
      <c r="J191" s="157" t="n"/>
      <c r="K191" s="200">
        <f>B191</f>
        <v/>
      </c>
      <c r="L191" s="204">
        <f>'Tahmin Data'!G137/0.4</f>
        <v/>
      </c>
      <c r="M191" s="204">
        <f>'Tahmin Data'!I137/0.4</f>
        <v/>
      </c>
      <c r="N191" s="204">
        <f>'Tahmin Data'!K137/0.4</f>
        <v/>
      </c>
      <c r="O191" s="204">
        <f>'Tahmin Data'!M137/0.4</f>
        <v/>
      </c>
      <c r="P191" s="204">
        <f>'Tahmin Data'!O137/0.4</f>
        <v/>
      </c>
      <c r="Q191" s="204">
        <f>'Tahmin Data'!Q137/0.4</f>
        <v/>
      </c>
      <c r="R191" s="204">
        <f>'Tahmin Data'!S137/0.4</f>
        <v/>
      </c>
      <c r="S191" s="204">
        <f>'Tahmin Data'!U137/0.4</f>
        <v/>
      </c>
      <c r="T191" s="204">
        <f>'Tahmin Data'!W137/0.4</f>
        <v/>
      </c>
      <c r="U191" s="227">
        <f>G191</f>
        <v/>
      </c>
      <c r="V191" s="204">
        <f>'Bütçe aylık-Eur'!N192</f>
        <v/>
      </c>
      <c r="W191" s="229">
        <f>IF(U191&gt;V191,ABS((U191-V191)/V191),-ABS((V191-U191)/V191))</f>
        <v/>
      </c>
    </row>
    <row r="192">
      <c r="B192" s="149" t="inlineStr">
        <is>
          <t xml:space="preserve">Çelik </t>
        </is>
      </c>
      <c r="C192" s="156">
        <f>'A -Döviz'!C284</f>
        <v/>
      </c>
      <c r="D192" s="156">
        <f>'A -Döviz'!B284</f>
        <v/>
      </c>
      <c r="E192" s="229">
        <f>IF(C192&gt;D192,ABS((C192-D192)/D192),-ABS((D192-C192)/D192))</f>
        <v/>
      </c>
      <c r="F192" s="155" t="n"/>
      <c r="G192" s="156">
        <f>'C-Döviz'!C284</f>
        <v/>
      </c>
      <c r="H192" s="156">
        <f>'C-Döviz'!B284</f>
        <v/>
      </c>
      <c r="I192" s="229">
        <f>IF(G192&gt;H192,ABS((G192-H192)/H192),-ABS((H192-G192)/H192))</f>
        <v/>
      </c>
      <c r="J192" s="157" t="n"/>
      <c r="K192" s="200">
        <f>B192</f>
        <v/>
      </c>
      <c r="L192" s="204">
        <f>'Tahmin Data'!G136/0.4</f>
        <v/>
      </c>
      <c r="M192" s="204">
        <f>'Tahmin Data'!I136/0.4</f>
        <v/>
      </c>
      <c r="N192" s="204">
        <f>'Tahmin Data'!K136/0.4</f>
        <v/>
      </c>
      <c r="O192" s="204">
        <f>'Tahmin Data'!M136/0.4</f>
        <v/>
      </c>
      <c r="P192" s="204">
        <f>'Tahmin Data'!O136/0.4</f>
        <v/>
      </c>
      <c r="Q192" s="204">
        <f>'Tahmin Data'!Q136/0.4</f>
        <v/>
      </c>
      <c r="R192" s="204">
        <f>'Tahmin Data'!S136/0.4</f>
        <v/>
      </c>
      <c r="S192" s="204">
        <f>'Tahmin Data'!U136/0.4</f>
        <v/>
      </c>
      <c r="T192" s="204">
        <f>'Tahmin Data'!W136/0.4</f>
        <v/>
      </c>
      <c r="U192" s="227">
        <f>G192</f>
        <v/>
      </c>
      <c r="V192" s="204">
        <f>'Bütçe aylık-Eur'!N193</f>
        <v/>
      </c>
      <c r="W192" s="229">
        <f>IF(U192&gt;V192,ABS((U192-V192)/V192),-ABS((V192-U192)/V192))</f>
        <v/>
      </c>
    </row>
    <row r="193" ht="10.5" customHeight="1" thickBot="1">
      <c r="B193" s="149" t="inlineStr">
        <is>
          <t xml:space="preserve">Alüminyum </t>
        </is>
      </c>
      <c r="C193" s="156">
        <f>'A -Döviz'!C285</f>
        <v/>
      </c>
      <c r="D193" s="156">
        <f>'A -Döviz'!B285</f>
        <v/>
      </c>
      <c r="E193" s="229">
        <f>IF(C193&gt;D193,ABS((C193-D193)/D193),-ABS((D193-C193)/D193))</f>
        <v/>
      </c>
      <c r="F193" s="155" t="n"/>
      <c r="G193" s="156">
        <f>'C-Döviz'!C285</f>
        <v/>
      </c>
      <c r="H193" s="156">
        <f>'C-Döviz'!B285</f>
        <v/>
      </c>
      <c r="I193" s="229">
        <f>IF(G193&gt;H193,ABS((G193-H193)/H193),-ABS((H193-G193)/H193))</f>
        <v/>
      </c>
      <c r="J193" s="157" t="n"/>
      <c r="K193" s="201">
        <f>B193</f>
        <v/>
      </c>
      <c r="L193" s="205">
        <f>'Tahmin Data'!G135/0.4</f>
        <v/>
      </c>
      <c r="M193" s="205">
        <f>'Tahmin Data'!I135/0.4</f>
        <v/>
      </c>
      <c r="N193" s="205">
        <f>'Tahmin Data'!K135/0.4</f>
        <v/>
      </c>
      <c r="O193" s="205">
        <f>'Tahmin Data'!M135/0.4</f>
        <v/>
      </c>
      <c r="P193" s="205">
        <f>'Tahmin Data'!O135/0.4</f>
        <v/>
      </c>
      <c r="Q193" s="205">
        <f>'Tahmin Data'!Q135/0.4</f>
        <v/>
      </c>
      <c r="R193" s="205">
        <f>'Tahmin Data'!S135/0.4</f>
        <v/>
      </c>
      <c r="S193" s="205">
        <f>'Tahmin Data'!U135/0.4</f>
        <v/>
      </c>
      <c r="T193" s="205">
        <f>'Tahmin Data'!W135/0.4</f>
        <v/>
      </c>
      <c r="U193" s="232">
        <f>G193</f>
        <v/>
      </c>
      <c r="V193" s="205">
        <f>'Bütçe aylık-Eur'!N194</f>
        <v/>
      </c>
      <c r="W193" s="264">
        <f>IF(U193&gt;V193,ABS((U193-V193)/V193),-ABS((V193-U193)/V193))</f>
        <v/>
      </c>
    </row>
    <row r="194" ht="10.5" customHeight="1" thickBot="1">
      <c r="B194" s="169" t="inlineStr">
        <is>
          <t xml:space="preserve">Kombine </t>
        </is>
      </c>
      <c r="C194" s="192">
        <f>'A -Döviz'!C275</f>
        <v/>
      </c>
      <c r="D194" s="192">
        <f>'A -Döviz'!B275</f>
        <v/>
      </c>
      <c r="E194" s="488">
        <f>IF(C194&gt;D194,ABS((C194-D194)/D194),-ABS((D194-C194)/D194))</f>
        <v/>
      </c>
      <c r="F194" s="154" t="n"/>
      <c r="G194" s="192">
        <f>'C-Döviz'!C275</f>
        <v/>
      </c>
      <c r="H194" s="192">
        <f>'C-Döviz'!B275</f>
        <v/>
      </c>
      <c r="I194" s="260">
        <f>IF(G194&gt;H194,ABS((G194-H194)/H194),-ABS((H194-G194)/H194))</f>
        <v/>
      </c>
      <c r="J194" s="194" t="n"/>
      <c r="K194" s="263" t="inlineStr">
        <is>
          <t xml:space="preserve">Kombine </t>
        </is>
      </c>
      <c r="L194" s="248">
        <f>SUM('Tahmin Data'!G131:G138)</f>
        <v/>
      </c>
      <c r="M194" s="248">
        <f>SUM('Tahmin Data'!I131:I138)</f>
        <v/>
      </c>
      <c r="N194" s="248">
        <f>SUM('Tahmin Data'!K131:K138)</f>
        <v/>
      </c>
      <c r="O194" s="248">
        <f>SUM('Tahmin Data'!M131:M138)</f>
        <v/>
      </c>
      <c r="P194" s="248">
        <f>SUM('Tahmin Data'!O131:O138)</f>
        <v/>
      </c>
      <c r="Q194" s="248">
        <f>SUM('Tahmin Data'!Q131:Q138)</f>
        <v/>
      </c>
      <c r="R194" s="248">
        <f>SUM('Tahmin Data'!S131:S138)</f>
        <v/>
      </c>
      <c r="S194" s="248">
        <f>SUM('Tahmin Data'!U131:U138)</f>
        <v/>
      </c>
      <c r="T194" s="248">
        <f>SUM('Tahmin Data'!W131:W138)</f>
        <v/>
      </c>
      <c r="U194" s="248">
        <f t="array" ref="U194">SUM(U186:U188,(U189:U193)*0.4)</f>
        <v/>
      </c>
      <c r="V194" s="248">
        <f>'Bütçe aylık-Eur'!N186</f>
        <v/>
      </c>
      <c r="W194" s="229">
        <f>IF(U194&gt;V194,ABS((U194-V194)/V194),-ABS((V194-U194)/V194))</f>
        <v/>
      </c>
    </row>
    <row r="195" ht="10.5" customHeight="1" thickBot="1">
      <c r="K195" s="249" t="inlineStr">
        <is>
          <t>Toplam</t>
        </is>
      </c>
      <c r="L195" s="239">
        <f>SUM(L186:L193)</f>
        <v/>
      </c>
      <c r="M195" s="239">
        <f>SUM(M186:M193)</f>
        <v/>
      </c>
      <c r="N195" s="239">
        <f>SUM(N186:N193)</f>
        <v/>
      </c>
      <c r="O195" s="239">
        <f>SUM(O186:O193)</f>
        <v/>
      </c>
      <c r="P195" s="239">
        <f>SUM(P186:P193)</f>
        <v/>
      </c>
      <c r="Q195" s="239">
        <f>SUM(Q186:Q193)</f>
        <v/>
      </c>
      <c r="R195" s="239">
        <f>SUM(R186:R193)</f>
        <v/>
      </c>
      <c r="S195" s="239">
        <f>SUM(S186:S193)</f>
        <v/>
      </c>
      <c r="T195" s="239">
        <f>SUM(T186:T193)</f>
        <v/>
      </c>
      <c r="U195" s="239">
        <f>SUM(U186:U193)</f>
        <v/>
      </c>
      <c r="V195" s="239">
        <f>SUM(V186:V193)</f>
        <v/>
      </c>
      <c r="W195" s="264">
        <f>IF(U195&gt;V195,ABS((U195-V195)/V195),-ABS((V195-U195)/V195))</f>
        <v/>
      </c>
    </row>
    <row r="197" ht="12.5" customHeight="1">
      <c r="B197" s="209" t="inlineStr">
        <is>
          <t>Serbest Nakit (Avro)</t>
        </is>
      </c>
      <c r="C197" s="451" t="inlineStr">
        <is>
          <t>AYLIK</t>
        </is>
      </c>
      <c r="D197" s="451" t="n"/>
      <c r="E197" s="451" t="n"/>
      <c r="F197" s="451" t="n"/>
      <c r="G197" s="451" t="n"/>
      <c r="H197" s="451" t="inlineStr">
        <is>
          <t>KÜMÜLATİF</t>
        </is>
      </c>
      <c r="I197" s="451" t="n"/>
      <c r="J197" s="195" t="n"/>
      <c r="K197" s="214" t="inlineStr">
        <is>
          <t>Serbest Nakit Tahmin (Avro)</t>
        </is>
      </c>
      <c r="L197" s="214" t="n"/>
      <c r="M197" s="214" t="n"/>
      <c r="N197" s="214" t="n"/>
      <c r="O197" s="451" t="n"/>
      <c r="P197" s="451" t="n"/>
      <c r="Q197" s="451" t="n"/>
      <c r="R197" s="451" t="n"/>
      <c r="S197" s="451" t="n"/>
      <c r="T197" s="451" t="n"/>
      <c r="U197" s="451" t="n"/>
      <c r="W197" s="269" t="n"/>
    </row>
    <row r="198" ht="10.5" customHeight="1" thickBot="1">
      <c r="B198" s="169" t="n"/>
      <c r="C198" s="211" t="inlineStr">
        <is>
          <t>Gerçekleşen</t>
        </is>
      </c>
      <c r="D198" s="211" t="inlineStr">
        <is>
          <t>Bütçe</t>
        </is>
      </c>
      <c r="E198" s="211" t="inlineStr">
        <is>
          <t>Sapma %</t>
        </is>
      </c>
      <c r="F198" s="211" t="n"/>
      <c r="G198" s="211">
        <f>C198</f>
        <v/>
      </c>
      <c r="H198" s="211" t="inlineStr">
        <is>
          <t>Bütçe</t>
        </is>
      </c>
      <c r="I198" s="211" t="inlineStr">
        <is>
          <t>Sapma %</t>
        </is>
      </c>
      <c r="J198" s="152" t="n"/>
      <c r="K198" s="169" t="n"/>
      <c r="L198" s="211">
        <f>L120</f>
        <v/>
      </c>
      <c r="M198" s="211">
        <f>M120</f>
        <v/>
      </c>
      <c r="N198" s="211">
        <f>N120</f>
        <v/>
      </c>
      <c r="O198" s="219" t="inlineStr">
        <is>
          <t>Haziran</t>
        </is>
      </c>
      <c r="P198" s="219" t="inlineStr">
        <is>
          <t>Temmuz</t>
        </is>
      </c>
      <c r="Q198" s="219" t="inlineStr">
        <is>
          <t>Ağustos</t>
        </is>
      </c>
      <c r="R198" s="219" t="inlineStr">
        <is>
          <t>Eylül</t>
        </is>
      </c>
      <c r="S198" s="219" t="inlineStr">
        <is>
          <t>Ekim</t>
        </is>
      </c>
      <c r="T198" s="219" t="inlineStr">
        <is>
          <t>Kasım</t>
        </is>
      </c>
      <c r="U198" s="219" t="inlineStr">
        <is>
          <t>Gerçekleşen</t>
        </is>
      </c>
      <c r="V198" s="219" t="inlineStr">
        <is>
          <t>Bütçe</t>
        </is>
      </c>
      <c r="W198" s="154" t="inlineStr">
        <is>
          <t>Sapma %</t>
        </is>
      </c>
    </row>
    <row r="199" ht="10.5" customHeight="1" thickTop="1">
      <c r="B199" s="149" t="inlineStr">
        <is>
          <t xml:space="preserve">İnci Holding  </t>
        </is>
      </c>
      <c r="C199" s="156">
        <f>'A -Döviz'!C304</f>
        <v/>
      </c>
      <c r="D199" s="156">
        <f>'A -Döviz'!B304</f>
        <v/>
      </c>
      <c r="E199" s="224">
        <f>IF(C199&gt;D199,ABS((C199-D199)/D199),-ABS((D199-C199)/D199))</f>
        <v/>
      </c>
      <c r="F199" s="155" t="n"/>
      <c r="G199" s="156">
        <f>'C-Döviz'!C304</f>
        <v/>
      </c>
      <c r="H199" s="156">
        <f>'C-Döviz'!B304</f>
        <v/>
      </c>
      <c r="I199" s="224">
        <f>IF(G199&gt;H199,ABS((G199-H199)/H199),-ABS((H199-G199)/H199))</f>
        <v/>
      </c>
      <c r="K199" s="200">
        <f>B199</f>
        <v/>
      </c>
      <c r="L199" s="204">
        <f>'Tahmin Data'!G148</f>
        <v/>
      </c>
      <c r="M199" s="204">
        <f>'Tahmin Data'!I148</f>
        <v/>
      </c>
      <c r="N199" s="204">
        <f>'Tahmin Data'!K148</f>
        <v/>
      </c>
      <c r="O199" s="204">
        <f>'Tahmin Data'!M148</f>
        <v/>
      </c>
      <c r="P199" s="204">
        <f>'Tahmin Data'!O148</f>
        <v/>
      </c>
      <c r="Q199" s="204">
        <f>'Tahmin Data'!Q148</f>
        <v/>
      </c>
      <c r="R199" s="204">
        <f>'Tahmin Data'!S148</f>
        <v/>
      </c>
      <c r="S199" s="204">
        <f>'Tahmin Data'!U148</f>
        <v/>
      </c>
      <c r="T199" s="204">
        <f>'Tahmin Data'!W148</f>
        <v/>
      </c>
      <c r="U199" s="318">
        <f>G199</f>
        <v/>
      </c>
      <c r="V199" s="213">
        <f>'Bütçe Değişim eur'!M30</f>
        <v/>
      </c>
      <c r="W199" s="224">
        <f>IF(U199&gt;V199,ABS((U199-V199)/V199),-ABS((V199-U199)/V199))</f>
        <v/>
      </c>
    </row>
    <row r="200">
      <c r="B200" s="149" t="inlineStr">
        <is>
          <t xml:space="preserve">ISM </t>
        </is>
      </c>
      <c r="C200" s="156">
        <f>'A -Döviz'!C305</f>
        <v/>
      </c>
      <c r="D200" s="156">
        <f>'A -Döviz'!B305</f>
        <v/>
      </c>
      <c r="E200" s="229">
        <f>IF(C200&gt;D200,ABS((C200-D200)/D200),-ABS((D200-C200)/D200))</f>
        <v/>
      </c>
      <c r="F200" s="155" t="n"/>
      <c r="G200" s="156">
        <f>'C-Döviz'!C305</f>
        <v/>
      </c>
      <c r="H200" s="156">
        <f>'C-Döviz'!B305</f>
        <v/>
      </c>
      <c r="I200" s="229">
        <f>IF(G200&gt;H200,ABS((G200-H200)/H200),-ABS((H200-G200)/H200))</f>
        <v/>
      </c>
      <c r="K200" s="200">
        <f>B200</f>
        <v/>
      </c>
      <c r="L200" s="204">
        <f>'Tahmin Data'!G150</f>
        <v/>
      </c>
      <c r="M200" s="204">
        <f>'Tahmin Data'!I150</f>
        <v/>
      </c>
      <c r="N200" s="204">
        <f>'Tahmin Data'!K150</f>
        <v/>
      </c>
      <c r="O200" s="204">
        <f>'Tahmin Data'!M150</f>
        <v/>
      </c>
      <c r="P200" s="204">
        <f>'Tahmin Data'!O150</f>
        <v/>
      </c>
      <c r="Q200" s="204">
        <f>'Tahmin Data'!Q150</f>
        <v/>
      </c>
      <c r="R200" s="204">
        <f>'Tahmin Data'!S150</f>
        <v/>
      </c>
      <c r="S200" s="204">
        <f>'Tahmin Data'!U150</f>
        <v/>
      </c>
      <c r="T200" s="204">
        <f>'Tahmin Data'!W150</f>
        <v/>
      </c>
      <c r="U200" s="227">
        <f>G200</f>
        <v/>
      </c>
      <c r="V200" s="204">
        <f>'Bütçe Değişim eur'!M31</f>
        <v/>
      </c>
      <c r="W200" s="229">
        <f>IF(U200&gt;V200,ABS((U200-V200)/V200),-ABS((V200-U200)/V200))</f>
        <v/>
      </c>
    </row>
    <row r="201">
      <c r="B201" s="149" t="inlineStr">
        <is>
          <t xml:space="preserve">İncitaş </t>
        </is>
      </c>
      <c r="C201" s="156">
        <f>'A -Döviz'!C306</f>
        <v/>
      </c>
      <c r="D201" s="156">
        <f>'A -Döviz'!B306</f>
        <v/>
      </c>
      <c r="E201" s="229">
        <f>IF(C201&gt;D201,ABS((C201-D201)/D201),-ABS((D201-C201)/D201))</f>
        <v/>
      </c>
      <c r="F201" s="155" t="n"/>
      <c r="G201" s="156">
        <f>'C-Döviz'!C306</f>
        <v/>
      </c>
      <c r="H201" s="156">
        <f>'C-Döviz'!B306</f>
        <v/>
      </c>
      <c r="I201" s="229">
        <f>IF(G201&gt;H201,ABS((G201-H201)/H201),-ABS((H201-G201)/H201))</f>
        <v/>
      </c>
      <c r="K201" s="200">
        <f>B201</f>
        <v/>
      </c>
      <c r="L201" s="204">
        <f>'Tahmin Data'!G149</f>
        <v/>
      </c>
      <c r="M201" s="204">
        <f>'Tahmin Data'!I149</f>
        <v/>
      </c>
      <c r="N201" s="204">
        <f>'Tahmin Data'!K149</f>
        <v/>
      </c>
      <c r="O201" s="204">
        <f>'Tahmin Data'!M149</f>
        <v/>
      </c>
      <c r="P201" s="204">
        <f>'Tahmin Data'!O149</f>
        <v/>
      </c>
      <c r="Q201" s="204">
        <f>'Tahmin Data'!Q149</f>
        <v/>
      </c>
      <c r="R201" s="204">
        <f>'Tahmin Data'!S149</f>
        <v/>
      </c>
      <c r="S201" s="204">
        <f>'Tahmin Data'!U149</f>
        <v/>
      </c>
      <c r="T201" s="204">
        <f>'Tahmin Data'!W149</f>
        <v/>
      </c>
      <c r="U201" s="227">
        <f>G201</f>
        <v/>
      </c>
      <c r="V201" s="204">
        <f>'Bütçe Değişim eur'!M32</f>
        <v/>
      </c>
      <c r="W201" s="229">
        <f>IF(U201&gt;V201,ABS((U201-V201)/V201),-ABS((V201-U201)/V201))</f>
        <v/>
      </c>
    </row>
    <row r="202">
      <c r="B202" s="149" t="inlineStr">
        <is>
          <t xml:space="preserve">İnci GS Yuasa </t>
        </is>
      </c>
      <c r="C202" s="156">
        <f>'A -Döviz'!C307</f>
        <v/>
      </c>
      <c r="D202" s="156">
        <f>'A -Döviz'!B307</f>
        <v/>
      </c>
      <c r="E202" s="229">
        <f>IF(C202&gt;D202,ABS((C202-D202)/D202),-ABS((D202-C202)/D202))</f>
        <v/>
      </c>
      <c r="F202" s="155" t="n"/>
      <c r="G202" s="156">
        <f>'C-Döviz'!C307</f>
        <v/>
      </c>
      <c r="H202" s="156">
        <f>'C-Döviz'!B307</f>
        <v/>
      </c>
      <c r="I202" s="229">
        <f>IF(G202&gt;H202,ABS((G202-H202)/H202),-ABS((H202-G202)/H202))</f>
        <v/>
      </c>
      <c r="K202" s="200">
        <f>B202</f>
        <v/>
      </c>
      <c r="L202" s="204">
        <f>'Tahmin Data'!G147/0.4</f>
        <v/>
      </c>
      <c r="M202" s="204">
        <f>'Tahmin Data'!I147/0.4</f>
        <v/>
      </c>
      <c r="N202" s="204">
        <f>'Tahmin Data'!K147/0.4</f>
        <v/>
      </c>
      <c r="O202" s="204">
        <f>'Tahmin Data'!M147/0.4</f>
        <v/>
      </c>
      <c r="P202" s="204">
        <f>'Tahmin Data'!O147/0.4</f>
        <v/>
      </c>
      <c r="Q202" s="204">
        <f>'Tahmin Data'!Q147/0.4</f>
        <v/>
      </c>
      <c r="R202" s="204">
        <f>'Tahmin Data'!S147/0.4</f>
        <v/>
      </c>
      <c r="S202" s="204">
        <f>'Tahmin Data'!U147/0.4</f>
        <v/>
      </c>
      <c r="T202" s="204">
        <f>'Tahmin Data'!W147/0.4</f>
        <v/>
      </c>
      <c r="U202" s="227">
        <f>G202</f>
        <v/>
      </c>
      <c r="V202" s="204">
        <f>'Bütçe Değişim eur'!M33</f>
        <v/>
      </c>
      <c r="W202" s="229">
        <f>IF(U202&gt;V202,ABS((U202-V202)/V202),-ABS((V202-U202)/V202))</f>
        <v/>
      </c>
    </row>
    <row r="203">
      <c r="B203" s="149" t="inlineStr">
        <is>
          <t xml:space="preserve">Yusen İnci Loj. </t>
        </is>
      </c>
      <c r="C203" s="156">
        <f>'A -Döviz'!C308</f>
        <v/>
      </c>
      <c r="D203" s="156">
        <f>'A -Döviz'!B308</f>
        <v/>
      </c>
      <c r="E203" s="229">
        <f>IF(C203&gt;D203,ABS((C203-D203)/D203),-ABS((D203-C203)/D203))</f>
        <v/>
      </c>
      <c r="F203" s="155" t="n"/>
      <c r="G203" s="156">
        <f>'C-Döviz'!C308</f>
        <v/>
      </c>
      <c r="H203" s="156">
        <f>'C-Döviz'!B308</f>
        <v/>
      </c>
      <c r="I203" s="229">
        <f>IF(G203&gt;H203,ABS((G203-H203)/H203),-ABS((H203-G203)/H203))</f>
        <v/>
      </c>
      <c r="K203" s="200">
        <f>B203</f>
        <v/>
      </c>
      <c r="L203" s="204">
        <f>'Tahmin Data'!G154/0.4</f>
        <v/>
      </c>
      <c r="M203" s="204">
        <f>'Tahmin Data'!I154/0.4</f>
        <v/>
      </c>
      <c r="N203" s="204">
        <f>'Tahmin Data'!K154/0.4</f>
        <v/>
      </c>
      <c r="O203" s="204">
        <f>'Tahmin Data'!M154/0.4</f>
        <v/>
      </c>
      <c r="P203" s="204">
        <f>'Tahmin Data'!O154/0.4</f>
        <v/>
      </c>
      <c r="Q203" s="204">
        <f>'Tahmin Data'!Q154/0.4</f>
        <v/>
      </c>
      <c r="R203" s="204">
        <f>'Tahmin Data'!S154/0.4</f>
        <v/>
      </c>
      <c r="S203" s="204">
        <f>'Tahmin Data'!U154/0.4</f>
        <v/>
      </c>
      <c r="T203" s="204">
        <f>'Tahmin Data'!W154/0.4</f>
        <v/>
      </c>
      <c r="U203" s="227">
        <f>G203</f>
        <v/>
      </c>
      <c r="V203" s="204">
        <f>'Bütçe Değişim eur'!M34</f>
        <v/>
      </c>
      <c r="W203" s="229">
        <f>IF(U203&gt;V203,ABS((U203-V203)/V203),-ABS((V203-U203)/V203))</f>
        <v/>
      </c>
    </row>
    <row r="204">
      <c r="B204" s="149" t="inlineStr">
        <is>
          <t xml:space="preserve">Jantaş </t>
        </is>
      </c>
      <c r="C204" s="156">
        <f>'A -Döviz'!C309</f>
        <v/>
      </c>
      <c r="D204" s="156">
        <f>'A -Döviz'!B309</f>
        <v/>
      </c>
      <c r="E204" s="229">
        <f>IF(C204&gt;D204,ABS((C204-D204)/D204),-ABS((D204-C204)/D204))</f>
        <v/>
      </c>
      <c r="F204" s="155" t="n"/>
      <c r="G204" s="156">
        <f>'C-Döviz'!C309</f>
        <v/>
      </c>
      <c r="H204" s="156">
        <f>'C-Döviz'!B309</f>
        <v/>
      </c>
      <c r="I204" s="229">
        <f>IF(G204&gt;H204,ABS((G204-H204)/H204),-ABS((H204-G204)/H204))</f>
        <v/>
      </c>
      <c r="K204" s="200">
        <f>B204</f>
        <v/>
      </c>
      <c r="L204" s="204">
        <f>'Tahmin Data'!G153/0.4</f>
        <v/>
      </c>
      <c r="M204" s="204">
        <f>'Tahmin Data'!I153/0.4</f>
        <v/>
      </c>
      <c r="N204" s="204">
        <f>'Tahmin Data'!K153/0.4</f>
        <v/>
      </c>
      <c r="O204" s="204">
        <f>'Tahmin Data'!M153/0.4</f>
        <v/>
      </c>
      <c r="P204" s="204">
        <f>'Tahmin Data'!O153/0.4</f>
        <v/>
      </c>
      <c r="Q204" s="204">
        <f>'Tahmin Data'!Q153/0.4</f>
        <v/>
      </c>
      <c r="R204" s="204">
        <f>'Tahmin Data'!S153/0.4</f>
        <v/>
      </c>
      <c r="S204" s="204">
        <f>'Tahmin Data'!U153/0.4</f>
        <v/>
      </c>
      <c r="T204" s="204">
        <f>'Tahmin Data'!W153/0.4</f>
        <v/>
      </c>
      <c r="U204" s="227">
        <f>G204</f>
        <v/>
      </c>
      <c r="V204" s="204">
        <f>'Bütçe Değişim eur'!M35</f>
        <v/>
      </c>
      <c r="W204" s="229">
        <f>IF(U204&gt;V204,ABS((U204-V204)/V204),-ABS((V204-U204)/V204))</f>
        <v/>
      </c>
    </row>
    <row r="205">
      <c r="B205" s="149" t="inlineStr">
        <is>
          <t xml:space="preserve">Çelik </t>
        </is>
      </c>
      <c r="C205" s="156">
        <f>'A -Döviz'!C310</f>
        <v/>
      </c>
      <c r="D205" s="156">
        <f>'A -Döviz'!B310</f>
        <v/>
      </c>
      <c r="E205" s="229">
        <f>IF(C205&gt;D205,ABS((C205-D205)/D205),-ABS((D205-C205)/D205))</f>
        <v/>
      </c>
      <c r="F205" s="155" t="n"/>
      <c r="G205" s="156">
        <f>'C-Döviz'!C310</f>
        <v/>
      </c>
      <c r="H205" s="156">
        <f>'C-Döviz'!B310</f>
        <v/>
      </c>
      <c r="I205" s="229">
        <f>IF(G205&gt;H205,ABS((G205-H205)/H205),-ABS((H205-G205)/H205))</f>
        <v/>
      </c>
      <c r="K205" s="200">
        <f>B205</f>
        <v/>
      </c>
      <c r="L205" s="204">
        <f>'Tahmin Data'!G152/0.4</f>
        <v/>
      </c>
      <c r="M205" s="204">
        <f>'Tahmin Data'!I152/0.4</f>
        <v/>
      </c>
      <c r="N205" s="204">
        <f>'Tahmin Data'!K152/0.4</f>
        <v/>
      </c>
      <c r="O205" s="204">
        <f>'Tahmin Data'!M152/0.4</f>
        <v/>
      </c>
      <c r="P205" s="204">
        <f>'Tahmin Data'!O152/0.4</f>
        <v/>
      </c>
      <c r="Q205" s="204">
        <f>'Tahmin Data'!Q152/0.4</f>
        <v/>
      </c>
      <c r="R205" s="204">
        <f>'Tahmin Data'!S152/0.4</f>
        <v/>
      </c>
      <c r="S205" s="204">
        <f>'Tahmin Data'!U152/0.4</f>
        <v/>
      </c>
      <c r="T205" s="204">
        <f>'Tahmin Data'!W152/0.4</f>
        <v/>
      </c>
      <c r="U205" s="227">
        <f>G205</f>
        <v/>
      </c>
      <c r="V205" s="204">
        <f>'Bütçe Değişim eur'!M36</f>
        <v/>
      </c>
      <c r="W205" s="229">
        <f>IF(U205&gt;V205,ABS((U205-V205)/V205),-ABS((V205-U205)/V205))</f>
        <v/>
      </c>
    </row>
    <row r="206" ht="10.5" customHeight="1" thickBot="1">
      <c r="B206" s="149" t="inlineStr">
        <is>
          <t xml:space="preserve">Alüminyum </t>
        </is>
      </c>
      <c r="C206" s="156">
        <f>'A -Döviz'!C311</f>
        <v/>
      </c>
      <c r="D206" s="156">
        <f>'A -Döviz'!B311</f>
        <v/>
      </c>
      <c r="E206" s="229">
        <f>IF(C206&gt;D206,ABS((C206-D206)/D206),-ABS((D206-C206)/D206))</f>
        <v/>
      </c>
      <c r="F206" s="155" t="n"/>
      <c r="G206" s="156">
        <f>'C-Döviz'!C311</f>
        <v/>
      </c>
      <c r="H206" s="156">
        <f>'C-Döviz'!B311</f>
        <v/>
      </c>
      <c r="I206" s="229">
        <f>IF(G206&gt;H206,ABS((G206-H206)/H206),-ABS((H206-G206)/H206))</f>
        <v/>
      </c>
      <c r="K206" s="201">
        <f>B206</f>
        <v/>
      </c>
      <c r="L206" s="205">
        <f>'Tahmin Data'!G151/0.4</f>
        <v/>
      </c>
      <c r="M206" s="205">
        <f>'Tahmin Data'!I151/0.4</f>
        <v/>
      </c>
      <c r="N206" s="205">
        <f>'Tahmin Data'!K151/0.4</f>
        <v/>
      </c>
      <c r="O206" s="205">
        <f>'Tahmin Data'!M151/0.4</f>
        <v/>
      </c>
      <c r="P206" s="205">
        <f>'Tahmin Data'!O151/0.4</f>
        <v/>
      </c>
      <c r="Q206" s="205">
        <f>'Tahmin Data'!Q151/0.4</f>
        <v/>
      </c>
      <c r="R206" s="205">
        <f>'Tahmin Data'!S151/0.4</f>
        <v/>
      </c>
      <c r="S206" s="205">
        <f>'Tahmin Data'!U151/0.4</f>
        <v/>
      </c>
      <c r="T206" s="205">
        <f>'Tahmin Data'!W151/0.4</f>
        <v/>
      </c>
      <c r="U206" s="232">
        <f>G206</f>
        <v/>
      </c>
      <c r="V206" s="205">
        <f>'Bütçe Değişim eur'!M37</f>
        <v/>
      </c>
      <c r="W206" s="264">
        <f>IF(U206&gt;V206,ABS((U206-V206)/V206),-ABS((V206-U206)/V206))</f>
        <v/>
      </c>
    </row>
    <row r="207" ht="10.5" customHeight="1" thickBot="1">
      <c r="B207" s="169" t="inlineStr">
        <is>
          <t xml:space="preserve">Kombine </t>
        </is>
      </c>
      <c r="C207" s="192">
        <f>'A -Döviz'!C301</f>
        <v/>
      </c>
      <c r="D207" s="192">
        <f>'A -Döviz'!B301</f>
        <v/>
      </c>
      <c r="E207" s="488">
        <f>IF(C207&gt;D207,ABS((C207-D207)/D207),-ABS((D207-C207)/D207))</f>
        <v/>
      </c>
      <c r="F207" s="154" t="n"/>
      <c r="G207" s="192">
        <f>'C-Döviz'!C301</f>
        <v/>
      </c>
      <c r="H207" s="192">
        <f>'C-Döviz'!B301</f>
        <v/>
      </c>
      <c r="I207" s="260">
        <f>IF(G207&gt;H207,ABS((G207-H207)/H207),-ABS((H207-G207)/H207))</f>
        <v/>
      </c>
      <c r="K207" s="263" t="inlineStr">
        <is>
          <t xml:space="preserve">Kombine </t>
        </is>
      </c>
      <c r="L207" s="248">
        <f>SUM('Tahmin Data'!G147:G154)</f>
        <v/>
      </c>
      <c r="M207" s="248">
        <f>SUM('Tahmin Data'!I147:I154)</f>
        <v/>
      </c>
      <c r="N207" s="248">
        <f>SUM('Tahmin Data'!K147:K154)</f>
        <v/>
      </c>
      <c r="O207" s="248">
        <f>SUM('Tahmin Data'!M147:M154)</f>
        <v/>
      </c>
      <c r="P207" s="248">
        <f>SUM('Tahmin Data'!O147:O154)</f>
        <v/>
      </c>
      <c r="Q207" s="248">
        <f>SUM('Tahmin Data'!Q147:Q154)</f>
        <v/>
      </c>
      <c r="R207" s="248">
        <f>SUM('Tahmin Data'!S147:S154)</f>
        <v/>
      </c>
      <c r="S207" s="248">
        <f>SUM('Tahmin Data'!U147:U154)</f>
        <v/>
      </c>
      <c r="T207" s="248">
        <f>SUM('Tahmin Data'!W147:W154)</f>
        <v/>
      </c>
      <c r="U207" s="248">
        <f t="array" ref="U207">SUM(U199:U201,(U202:U206)*0.4)</f>
        <v/>
      </c>
      <c r="V207" s="248">
        <f>'Bütçe Değişim eur'!M29</f>
        <v/>
      </c>
      <c r="W207" s="229">
        <f>IF(U207&gt;V207,ABS((U207-V207)/V207),-ABS((V207-U207)/V207))</f>
        <v/>
      </c>
    </row>
    <row r="208" ht="10.5" customHeight="1" thickBot="1">
      <c r="B208" s="158" t="n"/>
      <c r="C208" s="196" t="n"/>
      <c r="D208" s="196" t="n"/>
      <c r="E208" s="194" t="n"/>
      <c r="F208" s="197" t="n"/>
      <c r="G208" s="196" t="n"/>
      <c r="H208" s="196" t="n"/>
      <c r="I208" s="194" t="n"/>
      <c r="J208" s="194" t="n"/>
      <c r="K208" s="249" t="inlineStr">
        <is>
          <t>Toplam</t>
        </is>
      </c>
      <c r="L208" s="239">
        <f>SUM(L199:L206)</f>
        <v/>
      </c>
      <c r="M208" s="239">
        <f>SUM(M199:M206)</f>
        <v/>
      </c>
      <c r="N208" s="239">
        <f>SUM(N199:N206)</f>
        <v/>
      </c>
      <c r="O208" s="239">
        <f>SUM(O199:O206)</f>
        <v/>
      </c>
      <c r="P208" s="239">
        <f>SUM(P199:P206)</f>
        <v/>
      </c>
      <c r="Q208" s="239">
        <f>SUM(Q199:Q206)</f>
        <v/>
      </c>
      <c r="R208" s="239">
        <f>SUM(R199:R206)</f>
        <v/>
      </c>
      <c r="S208" s="239">
        <f>SUM(S199:S206)</f>
        <v/>
      </c>
      <c r="T208" s="239">
        <f>SUM(T199:T206)</f>
        <v/>
      </c>
      <c r="U208" s="239">
        <f>SUM(U199:U206)</f>
        <v/>
      </c>
      <c r="V208" s="239">
        <f>SUM(V199:V206)</f>
        <v/>
      </c>
      <c r="W208" s="264">
        <f>IF(U208&gt;V208,ABS((U208-V208)/V208),-ABS((V208-U208)/V208))</f>
        <v/>
      </c>
    </row>
    <row r="209">
      <c r="B209" s="158" t="n"/>
      <c r="C209" s="196" t="n"/>
      <c r="D209" s="196" t="n"/>
      <c r="E209" s="194" t="n"/>
      <c r="F209" s="197" t="n"/>
      <c r="G209" s="196" t="n"/>
      <c r="H209" s="196" t="n"/>
      <c r="I209" s="194" t="n"/>
      <c r="J209" s="194" t="n"/>
      <c r="K209" s="202" t="n"/>
      <c r="L209" s="194" t="n"/>
      <c r="M209" s="194" t="n"/>
      <c r="N209" s="194" t="n"/>
      <c r="O209" s="194" t="n"/>
      <c r="P209" s="194" t="n"/>
      <c r="Q209" s="194" t="n"/>
      <c r="R209" s="194" t="n"/>
      <c r="S209" s="194" t="n"/>
      <c r="T209" s="194" t="n"/>
      <c r="U209" s="194" t="n"/>
    </row>
    <row r="210" ht="12.5" customHeight="1">
      <c r="B210" s="209" t="inlineStr">
        <is>
          <t>Net Finansal Nakit (Avro)</t>
        </is>
      </c>
      <c r="C210" s="451" t="inlineStr">
        <is>
          <t>AYLIK</t>
        </is>
      </c>
      <c r="D210" s="451" t="n"/>
      <c r="E210" s="451" t="n"/>
      <c r="F210" s="451" t="n"/>
      <c r="G210" s="451" t="n"/>
      <c r="H210" s="451" t="inlineStr">
        <is>
          <t>KÜMÜLATİF</t>
        </is>
      </c>
      <c r="I210" s="451" t="n"/>
      <c r="K210" s="149" t="n"/>
      <c r="L210" s="177" t="n"/>
      <c r="M210" s="177" t="n"/>
      <c r="N210" s="177" t="n"/>
      <c r="O210" s="177" t="n"/>
      <c r="P210" s="177" t="n"/>
      <c r="Q210" s="177" t="n"/>
      <c r="R210" s="177" t="n"/>
      <c r="S210" s="177" t="n"/>
      <c r="T210" s="177" t="n"/>
      <c r="U210" s="177" t="n"/>
    </row>
    <row r="211" ht="10.5" customHeight="1" thickBot="1">
      <c r="B211" s="169" t="n"/>
      <c r="C211" s="211" t="inlineStr">
        <is>
          <t>Gerçekleşen</t>
        </is>
      </c>
      <c r="D211" s="211" t="inlineStr">
        <is>
          <t>Bütçe</t>
        </is>
      </c>
      <c r="E211" s="211" t="inlineStr">
        <is>
          <t>Sapma %</t>
        </is>
      </c>
      <c r="F211" s="211" t="n"/>
      <c r="G211" s="211">
        <f>C211</f>
        <v/>
      </c>
      <c r="H211" s="211" t="inlineStr">
        <is>
          <t>Bütçe</t>
        </is>
      </c>
      <c r="I211" s="211" t="inlineStr">
        <is>
          <t>Sapma %</t>
        </is>
      </c>
      <c r="K211" s="149" t="n"/>
      <c r="L211" s="177" t="n"/>
      <c r="M211" s="177" t="n"/>
    </row>
    <row r="212" ht="10.5" customHeight="1" thickTop="1">
      <c r="B212" s="149" t="inlineStr">
        <is>
          <t xml:space="preserve">İnci Holding  </t>
        </is>
      </c>
      <c r="C212" s="156">
        <f>'A -Döviz'!C265</f>
        <v/>
      </c>
      <c r="D212" s="156">
        <f>'A -Döviz'!B265</f>
        <v/>
      </c>
      <c r="E212" s="224">
        <f>IF(C212&gt;D212,ABS((C212-D212)/D212),-ABS((D212-C212)/D212))</f>
        <v/>
      </c>
      <c r="F212" s="155" t="n"/>
      <c r="G212" s="156">
        <f>'C-Döviz'!C265</f>
        <v/>
      </c>
      <c r="H212" s="156">
        <f>'C-Döviz'!B265</f>
        <v/>
      </c>
      <c r="I212" s="224">
        <f>IF(G212&gt;H212,ABS((G212-H212)/H212),-ABS((H212-G212)/H212))</f>
        <v/>
      </c>
      <c r="K212" s="149" t="n"/>
      <c r="L212" s="177" t="n"/>
    </row>
    <row r="213">
      <c r="B213" s="149" t="inlineStr">
        <is>
          <t xml:space="preserve">ISM </t>
        </is>
      </c>
      <c r="C213" s="156">
        <f>'A -Döviz'!C266</f>
        <v/>
      </c>
      <c r="D213" s="156">
        <f>'A -Döviz'!B266</f>
        <v/>
      </c>
      <c r="E213" s="229">
        <f>IF(C213&gt;D213,ABS((C213-D213)/D213),-ABS((D213-C213)/D213))</f>
        <v/>
      </c>
      <c r="F213" s="155" t="n"/>
      <c r="G213" s="156">
        <f>'C-Döviz'!C266</f>
        <v/>
      </c>
      <c r="H213" s="156">
        <f>'C-Döviz'!B266</f>
        <v/>
      </c>
      <c r="I213" s="229">
        <f>IF(G213&gt;H213,ABS((G213-H213)/H213),-ABS((H213-G213)/H213))</f>
        <v/>
      </c>
      <c r="K213" s="149" t="n"/>
      <c r="L213" s="177" t="n"/>
    </row>
    <row r="214">
      <c r="B214" s="149" t="inlineStr">
        <is>
          <t xml:space="preserve">İncitaş </t>
        </is>
      </c>
      <c r="C214" s="156">
        <f>'A -Döviz'!C267</f>
        <v/>
      </c>
      <c r="D214" s="156">
        <f>'A -Döviz'!B267</f>
        <v/>
      </c>
      <c r="E214" s="229">
        <f>IF(C214&gt;D214,ABS((C214-D214)/D214),-ABS((D214-C214)/D214))</f>
        <v/>
      </c>
      <c r="F214" s="155" t="n"/>
      <c r="G214" s="156">
        <f>'C-Döviz'!C267</f>
        <v/>
      </c>
      <c r="H214" s="156">
        <f>'C-Döviz'!B267</f>
        <v/>
      </c>
      <c r="I214" s="229">
        <f>IF(G214&gt;H214,ABS((G214-H214)/H214),-ABS((H214-G214)/H214))</f>
        <v/>
      </c>
      <c r="K214" s="149" t="n"/>
      <c r="L214" s="177" t="n"/>
    </row>
    <row r="215">
      <c r="B215" s="149" t="inlineStr">
        <is>
          <t xml:space="preserve">İnci GS Yuasa </t>
        </is>
      </c>
      <c r="C215" s="156">
        <f>'A -Döviz'!C268</f>
        <v/>
      </c>
      <c r="D215" s="156">
        <f>'A -Döviz'!B268</f>
        <v/>
      </c>
      <c r="E215" s="229">
        <f>IF(C215&gt;D215,ABS((C215-D215)/D215),-ABS((D215-C215)/D215))</f>
        <v/>
      </c>
      <c r="F215" s="155" t="n"/>
      <c r="G215" s="156">
        <f>'C-Döviz'!C268</f>
        <v/>
      </c>
      <c r="H215" s="156">
        <f>'C-Döviz'!B268</f>
        <v/>
      </c>
      <c r="I215" s="229">
        <f>IF(G215&gt;H215,ABS((G215-H215)/H215),-ABS((H215-G215)/H215))</f>
        <v/>
      </c>
      <c r="K215" s="149" t="n"/>
      <c r="L215" s="177" t="n"/>
    </row>
    <row r="216">
      <c r="B216" s="149" t="inlineStr">
        <is>
          <t xml:space="preserve">Yusen İnci Loj. </t>
        </is>
      </c>
      <c r="C216" s="156">
        <f>'A -Döviz'!C269</f>
        <v/>
      </c>
      <c r="D216" s="156">
        <f>'A -Döviz'!B269</f>
        <v/>
      </c>
      <c r="E216" s="229">
        <f>IF(C216&gt;D216,ABS((C216-D216)/D216),-ABS((D216-C216)/D216))</f>
        <v/>
      </c>
      <c r="F216" s="155" t="n"/>
      <c r="G216" s="156">
        <f>'C-Döviz'!C269</f>
        <v/>
      </c>
      <c r="H216" s="156">
        <f>'C-Döviz'!B269</f>
        <v/>
      </c>
      <c r="I216" s="229">
        <f>IF(G216&gt;H216,ABS((G216-H216)/H216),-ABS((H216-G216)/H216))</f>
        <v/>
      </c>
      <c r="K216" s="149" t="n"/>
      <c r="L216" s="177" t="n"/>
    </row>
    <row r="217">
      <c r="B217" s="149" t="inlineStr">
        <is>
          <t xml:space="preserve">Jantaş </t>
        </is>
      </c>
      <c r="C217" s="156">
        <f>'A -Döviz'!C270</f>
        <v/>
      </c>
      <c r="D217" s="156">
        <f>'A -Döviz'!B270</f>
        <v/>
      </c>
      <c r="E217" s="229">
        <f>IF(C217&gt;D217,ABS((C217-D217)/D217),-ABS((D217-C217)/D217))</f>
        <v/>
      </c>
      <c r="F217" s="155" t="n"/>
      <c r="G217" s="156">
        <f>'C-Döviz'!C270</f>
        <v/>
      </c>
      <c r="H217" s="156">
        <f>'C-Döviz'!B270</f>
        <v/>
      </c>
      <c r="I217" s="229">
        <f>IF(G217&gt;H217,ABS((G217-H217)/H217),-ABS((H217-G217)/H217))</f>
        <v/>
      </c>
      <c r="K217" s="149" t="n"/>
      <c r="L217" s="177" t="n"/>
    </row>
    <row r="218">
      <c r="B218" s="149" t="inlineStr">
        <is>
          <t xml:space="preserve">Çelik </t>
        </is>
      </c>
      <c r="C218" s="156">
        <f>'A -Döviz'!C271</f>
        <v/>
      </c>
      <c r="D218" s="156">
        <f>'A -Döviz'!B271</f>
        <v/>
      </c>
      <c r="E218" s="229">
        <f>IF(C218&gt;D218,ABS((C218-D218)/D218),-ABS((D218-C218)/D218))</f>
        <v/>
      </c>
      <c r="F218" s="155" t="n"/>
      <c r="G218" s="156">
        <f>'C-Döviz'!$C$271</f>
        <v/>
      </c>
      <c r="H218" s="156">
        <f>'C-Döviz'!B271</f>
        <v/>
      </c>
      <c r="I218" s="229">
        <f>IF(G218&gt;H218,ABS((G218-H218)/H218),-ABS((H218-G218)/H218))</f>
        <v/>
      </c>
      <c r="K218" s="149" t="n"/>
    </row>
    <row r="219">
      <c r="B219" s="149" t="inlineStr">
        <is>
          <t xml:space="preserve">Alüminyum </t>
        </is>
      </c>
      <c r="C219" s="156">
        <f>'A -Döviz'!C272</f>
        <v/>
      </c>
      <c r="D219" s="156">
        <f>'A -Döviz'!B272</f>
        <v/>
      </c>
      <c r="E219" s="229">
        <f>IF(C219&gt;D219,ABS((C219-D219)/D219),-ABS((D219-C219)/D219))</f>
        <v/>
      </c>
      <c r="F219" s="155" t="n"/>
      <c r="G219" s="156">
        <f>'C-Döviz'!C272</f>
        <v/>
      </c>
      <c r="H219" s="156">
        <f>'C-Döviz'!B272</f>
        <v/>
      </c>
      <c r="I219" s="229">
        <f>IF(G219&gt;H219,ABS((G219-H219)/H219),-ABS((H219-G219)/H219))</f>
        <v/>
      </c>
      <c r="K219" s="149" t="n"/>
    </row>
    <row r="220" ht="10.5" customHeight="1" thickBot="1">
      <c r="B220" s="169" t="inlineStr">
        <is>
          <t xml:space="preserve">Kombine </t>
        </is>
      </c>
      <c r="C220" s="192">
        <f>'A -Döviz'!C262</f>
        <v/>
      </c>
      <c r="D220" s="192">
        <f>'A -Döviz'!B262</f>
        <v/>
      </c>
      <c r="E220" s="488">
        <f>IF(C220&gt;D220,ABS((C220-D220)/D220),-ABS((D220-C220)/D220))</f>
        <v/>
      </c>
      <c r="F220" s="154" t="n"/>
      <c r="G220" s="192">
        <f>'C-Döviz'!C262</f>
        <v/>
      </c>
      <c r="H220" s="192">
        <f>'C-Döviz'!B262</f>
        <v/>
      </c>
      <c r="I220" s="260">
        <f>IF(G220&gt;H220,ABS((G220-H220)/H220),-ABS((H220-G220)/H220))</f>
        <v/>
      </c>
      <c r="K220" s="149" t="n"/>
    </row>
  </sheetData>
  <mergeCells count="29">
    <mergeCell ref="C54:E54"/>
    <mergeCell ref="AJ72:AL72"/>
    <mergeCell ref="Z22:AB22"/>
    <mergeCell ref="C93:E93"/>
    <mergeCell ref="C80:E80"/>
    <mergeCell ref="Z62:AB62"/>
    <mergeCell ref="Z12:AB12"/>
    <mergeCell ref="Z52:AB52"/>
    <mergeCell ref="Z92:AB92"/>
    <mergeCell ref="C2:E2"/>
    <mergeCell ref="Z82:AB82"/>
    <mergeCell ref="Z2:AB2"/>
    <mergeCell ref="AJ62:AL62"/>
    <mergeCell ref="Z42:AB42"/>
    <mergeCell ref="AJ92:AL92"/>
    <mergeCell ref="C106:E106"/>
    <mergeCell ref="C67:E67"/>
    <mergeCell ref="C28:E28"/>
    <mergeCell ref="AJ32:AL32"/>
    <mergeCell ref="AJ22:AL22"/>
    <mergeCell ref="C15:E15"/>
    <mergeCell ref="AJ12:AL12"/>
    <mergeCell ref="AH1:AK1"/>
    <mergeCell ref="AJ2:AL2"/>
    <mergeCell ref="Z32:AB32"/>
    <mergeCell ref="AJ42:AL42"/>
    <mergeCell ref="AJ52:AL52"/>
    <mergeCell ref="AJ82:AL82"/>
    <mergeCell ref="Z72:AB72"/>
  </mergeCells>
  <conditionalFormatting sqref="E4:E12">
    <cfRule type="cellIs" priority="293" operator="lessThan" dxfId="4">
      <formula>0</formula>
    </cfRule>
    <cfRule type="cellIs" priority="292" operator="greaterThanOrEqual" dxfId="3">
      <formula>0</formula>
    </cfRule>
  </conditionalFormatting>
  <conditionalFormatting sqref="E13:E14 E26:E27 E39:E40">
    <cfRule type="dataBar" priority="884">
      <dataBar>
        <cfvo type="min"/>
        <cfvo type="max"/>
        <color theme="9" tint="0.3999755851924192"/>
      </dataBar>
    </cfRule>
    <cfRule type="dataBar" priority="885">
      <dataBar>
        <cfvo type="min"/>
        <cfvo type="max"/>
        <color theme="9" tint="0.7999816888943144"/>
      </dataBar>
    </cfRule>
  </conditionalFormatting>
  <conditionalFormatting sqref="E17:E25">
    <cfRule type="cellIs" priority="291" operator="lessThan" dxfId="4">
      <formula>0</formula>
    </cfRule>
    <cfRule type="cellIs" priority="290" operator="greaterThanOrEqual" dxfId="3">
      <formula>0</formula>
    </cfRule>
  </conditionalFormatting>
  <conditionalFormatting sqref="E30:E38">
    <cfRule type="cellIs" priority="287" operator="lessThan" dxfId="4">
      <formula>0</formula>
    </cfRule>
    <cfRule type="cellIs" priority="286" operator="greaterThanOrEqual" dxfId="3">
      <formula>0</formula>
    </cfRule>
  </conditionalFormatting>
  <conditionalFormatting sqref="E43:E51">
    <cfRule type="cellIs" priority="283" operator="lessThan" dxfId="4">
      <formula>0</formula>
    </cfRule>
    <cfRule type="cellIs" priority="282" operator="greaterThanOrEqual" dxfId="3">
      <formula>0</formula>
    </cfRule>
  </conditionalFormatting>
  <conditionalFormatting sqref="E56:E64">
    <cfRule type="cellIs" priority="279" operator="lessThan" dxfId="4">
      <formula>0</formula>
    </cfRule>
    <cfRule type="cellIs" priority="278" operator="greaterThanOrEqual" dxfId="3">
      <formula>0</formula>
    </cfRule>
  </conditionalFormatting>
  <conditionalFormatting sqref="E69:E77">
    <cfRule type="cellIs" priority="275" operator="lessThan" dxfId="4">
      <formula>0</formula>
    </cfRule>
    <cfRule type="cellIs" priority="274" operator="greaterThanOrEqual" dxfId="3">
      <formula>0</formula>
    </cfRule>
  </conditionalFormatting>
  <conditionalFormatting sqref="E82:E90">
    <cfRule type="cellIs" priority="270" operator="greaterThanOrEqual" dxfId="3">
      <formula>0</formula>
    </cfRule>
    <cfRule type="cellIs" priority="271" operator="lessThan" dxfId="4">
      <formula>0</formula>
    </cfRule>
  </conditionalFormatting>
  <conditionalFormatting sqref="E95:E103">
    <cfRule type="cellIs" priority="397" operator="lessThan" dxfId="69">
      <formula>0</formula>
    </cfRule>
    <cfRule type="dataBar" priority="396">
      <dataBar>
        <cfvo type="min"/>
        <cfvo type="max"/>
        <color theme="9" tint="0.7999816888943144"/>
      </dataBar>
    </cfRule>
    <cfRule type="dataBar" priority="395">
      <dataBar>
        <cfvo type="min"/>
        <cfvo type="max"/>
        <color theme="9" tint="0.3999755851924192"/>
      </dataBar>
    </cfRule>
  </conditionalFormatting>
  <conditionalFormatting sqref="E108:E116">
    <cfRule type="cellIs" priority="267" operator="lessThan" dxfId="4">
      <formula>0</formula>
    </cfRule>
    <cfRule type="cellIs" priority="266" operator="greaterThanOrEqual" dxfId="3">
      <formula>0</formula>
    </cfRule>
  </conditionalFormatting>
  <conditionalFormatting sqref="E117:E118">
    <cfRule type="dataBar" priority="657">
      <dataBar>
        <cfvo type="min"/>
        <cfvo type="max"/>
        <color theme="9" tint="0.3999755851924192"/>
      </dataBar>
    </cfRule>
    <cfRule type="dataBar" priority="658">
      <dataBar>
        <cfvo type="min"/>
        <cfvo type="max"/>
        <color theme="9" tint="0.7999816888943144"/>
      </dataBar>
    </cfRule>
  </conditionalFormatting>
  <conditionalFormatting sqref="E121:E129">
    <cfRule type="cellIs" priority="263" operator="lessThan" dxfId="4">
      <formula>0</formula>
    </cfRule>
    <cfRule type="cellIs" priority="262" operator="greaterThanOrEqual" dxfId="3">
      <formula>0</formula>
    </cfRule>
  </conditionalFormatting>
  <conditionalFormatting sqref="E134:E142">
    <cfRule type="cellIs" priority="259" operator="lessThan" dxfId="4">
      <formula>0</formula>
    </cfRule>
    <cfRule type="cellIs" priority="258" operator="greaterThanOrEqual" dxfId="3">
      <formula>0</formula>
    </cfRule>
  </conditionalFormatting>
  <conditionalFormatting sqref="E143:E144">
    <cfRule type="dataBar" priority="662">
      <dataBar>
        <cfvo type="min"/>
        <cfvo type="max"/>
        <color theme="9" tint="0.7999816888943144"/>
      </dataBar>
    </cfRule>
    <cfRule type="dataBar" priority="661">
      <dataBar>
        <cfvo type="min"/>
        <cfvo type="max"/>
        <color theme="9" tint="0.3999755851924192"/>
      </dataBar>
    </cfRule>
  </conditionalFormatting>
  <conditionalFormatting sqref="E147:E155">
    <cfRule type="cellIs" priority="231" operator="lessThan" dxfId="4">
      <formula>0</formula>
    </cfRule>
    <cfRule type="cellIs" priority="230" operator="greaterThanOrEqual" dxfId="3">
      <formula>0</formula>
    </cfRule>
  </conditionalFormatting>
  <conditionalFormatting sqref="E160:E168">
    <cfRule type="cellIs" priority="250" operator="greaterThanOrEqual" dxfId="3">
      <formula>0</formula>
    </cfRule>
    <cfRule type="cellIs" priority="251" operator="lessThan" dxfId="4">
      <formula>0</formula>
    </cfRule>
  </conditionalFormatting>
  <conditionalFormatting sqref="E173:E181">
    <cfRule type="cellIs" priority="246" operator="greaterThanOrEqual" dxfId="3">
      <formula>0</formula>
    </cfRule>
    <cfRule type="cellIs" priority="247" operator="lessThan" dxfId="4">
      <formula>0</formula>
    </cfRule>
  </conditionalFormatting>
  <conditionalFormatting sqref="E182:E183">
    <cfRule type="dataBar" priority="666">
      <dataBar>
        <cfvo type="min"/>
        <cfvo type="max"/>
        <color theme="9" tint="0.7999816888943144"/>
      </dataBar>
    </cfRule>
    <cfRule type="dataBar" priority="665">
      <dataBar>
        <cfvo type="min"/>
        <cfvo type="max"/>
        <color theme="9" tint="0.3999755851924192"/>
      </dataBar>
    </cfRule>
  </conditionalFormatting>
  <conditionalFormatting sqref="E186:E194">
    <cfRule type="cellIs" priority="242" operator="greaterThanOrEqual" dxfId="3">
      <formula>0</formula>
    </cfRule>
    <cfRule type="cellIs" priority="243" operator="lessThan" dxfId="4">
      <formula>0</formula>
    </cfRule>
  </conditionalFormatting>
  <conditionalFormatting sqref="E199:E207">
    <cfRule type="cellIs" priority="239" operator="lessThan" dxfId="4">
      <formula>0</formula>
    </cfRule>
    <cfRule type="cellIs" priority="238" operator="greaterThanOrEqual" dxfId="3">
      <formula>0</formula>
    </cfRule>
  </conditionalFormatting>
  <conditionalFormatting sqref="E208:E209">
    <cfRule type="dataBar" priority="681">
      <dataBar>
        <cfvo type="min"/>
        <cfvo type="max"/>
        <color theme="9" tint="0.3999755851924192"/>
      </dataBar>
    </cfRule>
    <cfRule type="dataBar" priority="682">
      <dataBar>
        <cfvo type="min"/>
        <cfvo type="max"/>
        <color theme="9" tint="0.7999816888943144"/>
      </dataBar>
    </cfRule>
  </conditionalFormatting>
  <conditionalFormatting sqref="E212:E220">
    <cfRule type="cellIs" priority="234" operator="greaterThanOrEqual" dxfId="3">
      <formula>0</formula>
    </cfRule>
    <cfRule type="cellIs" priority="235" operator="lessThan" dxfId="4">
      <formula>0</formula>
    </cfRule>
  </conditionalFormatting>
  <conditionalFormatting sqref="I4:I12">
    <cfRule type="cellIs" priority="423" operator="lessThan" dxfId="4">
      <formula>0</formula>
    </cfRule>
    <cfRule type="cellIs" priority="294" operator="greaterThanOrEqual" dxfId="3">
      <formula>0</formula>
    </cfRule>
  </conditionalFormatting>
  <conditionalFormatting sqref="I17:I25">
    <cfRule type="cellIs" priority="289" operator="lessThan" dxfId="4">
      <formula>0</formula>
    </cfRule>
    <cfRule type="cellIs" priority="288" operator="greaterThanOrEqual" dxfId="3">
      <formula>0</formula>
    </cfRule>
  </conditionalFormatting>
  <conditionalFormatting sqref="I30:I38">
    <cfRule type="cellIs" priority="284" operator="greaterThanOrEqual" dxfId="3">
      <formula>0</formula>
    </cfRule>
    <cfRule type="cellIs" priority="285" operator="lessThan" dxfId="4">
      <formula>0</formula>
    </cfRule>
  </conditionalFormatting>
  <conditionalFormatting sqref="I43:I51">
    <cfRule type="cellIs" priority="281" operator="lessThan" dxfId="4">
      <formula>0</formula>
    </cfRule>
    <cfRule type="cellIs" priority="280" operator="greaterThanOrEqual" dxfId="3">
      <formula>0</formula>
    </cfRule>
  </conditionalFormatting>
  <conditionalFormatting sqref="I56:I64">
    <cfRule type="cellIs" priority="277" operator="lessThan" dxfId="4">
      <formula>0</formula>
    </cfRule>
    <cfRule type="cellIs" priority="276" operator="greaterThanOrEqual" dxfId="3">
      <formula>0</formula>
    </cfRule>
  </conditionalFormatting>
  <conditionalFormatting sqref="I69:I77">
    <cfRule type="cellIs" priority="273" operator="lessThan" dxfId="4">
      <formula>0</formula>
    </cfRule>
    <cfRule type="cellIs" priority="272" operator="greaterThanOrEqual" dxfId="3">
      <formula>0</formula>
    </cfRule>
  </conditionalFormatting>
  <conditionalFormatting sqref="I82:I90">
    <cfRule type="cellIs" priority="268" operator="greaterThanOrEqual" dxfId="3">
      <formula>0</formula>
    </cfRule>
    <cfRule type="cellIs" priority="269" operator="lessThan" dxfId="4">
      <formula>0</formula>
    </cfRule>
  </conditionalFormatting>
  <conditionalFormatting sqref="I95:I103">
    <cfRule type="dataBar" priority="393">
      <dataBar>
        <cfvo type="min"/>
        <cfvo type="max"/>
        <color theme="9" tint="0.7999816888943144"/>
      </dataBar>
    </cfRule>
    <cfRule type="cellIs" priority="394" operator="lessThan" dxfId="69">
      <formula>0</formula>
    </cfRule>
    <cfRule type="dataBar" priority="392">
      <dataBar>
        <cfvo type="min"/>
        <cfvo type="max"/>
        <color theme="9" tint="0.3999755851924192"/>
      </dataBar>
    </cfRule>
  </conditionalFormatting>
  <conditionalFormatting sqref="I108:I116">
    <cfRule type="cellIs" priority="264" operator="greaterThanOrEqual" dxfId="3">
      <formula>0</formula>
    </cfRule>
    <cfRule type="cellIs" priority="265" operator="lessThan" dxfId="4">
      <formula>0</formula>
    </cfRule>
  </conditionalFormatting>
  <conditionalFormatting sqref="I121:I129">
    <cfRule type="cellIs" priority="260" operator="greaterThanOrEqual" dxfId="3">
      <formula>0</formula>
    </cfRule>
    <cfRule type="cellIs" priority="261" operator="lessThan" dxfId="4">
      <formula>0</formula>
    </cfRule>
  </conditionalFormatting>
  <conditionalFormatting sqref="I134:I142">
    <cfRule type="cellIs" priority="257" operator="lessThan" dxfId="4">
      <formula>0</formula>
    </cfRule>
    <cfRule type="cellIs" priority="256" operator="greaterThanOrEqual" dxfId="3">
      <formula>0</formula>
    </cfRule>
  </conditionalFormatting>
  <conditionalFormatting sqref="I147:I155">
    <cfRule type="cellIs" priority="228" operator="greaterThanOrEqual" dxfId="3">
      <formula>0</formula>
    </cfRule>
    <cfRule type="cellIs" priority="229" operator="lessThan" dxfId="4">
      <formula>0</formula>
    </cfRule>
  </conditionalFormatting>
  <conditionalFormatting sqref="I160:I168">
    <cfRule type="cellIs" priority="248" operator="greaterThanOrEqual" dxfId="3">
      <formula>0</formula>
    </cfRule>
    <cfRule type="cellIs" priority="249" operator="lessThan" dxfId="4">
      <formula>0</formula>
    </cfRule>
  </conditionalFormatting>
  <conditionalFormatting sqref="I173:I181">
    <cfRule type="cellIs" priority="244" operator="greaterThanOrEqual" dxfId="3">
      <formula>0</formula>
    </cfRule>
    <cfRule type="cellIs" priority="245" operator="lessThan" dxfId="4">
      <formula>0</formula>
    </cfRule>
  </conditionalFormatting>
  <conditionalFormatting sqref="I186:I194">
    <cfRule type="cellIs" priority="241" operator="lessThan" dxfId="4">
      <formula>0</formula>
    </cfRule>
    <cfRule type="cellIs" priority="240" operator="greaterThanOrEqual" dxfId="3">
      <formula>0</formula>
    </cfRule>
  </conditionalFormatting>
  <conditionalFormatting sqref="I199:I207">
    <cfRule type="cellIs" priority="236" operator="greaterThanOrEqual" dxfId="3">
      <formula>0</formula>
    </cfRule>
    <cfRule type="cellIs" priority="237" operator="lessThan" dxfId="4">
      <formula>0</formula>
    </cfRule>
  </conditionalFormatting>
  <conditionalFormatting sqref="I212:I220">
    <cfRule type="cellIs" priority="232" operator="greaterThanOrEqual" dxfId="3">
      <formula>0</formula>
    </cfRule>
    <cfRule type="cellIs" priority="233" operator="lessThan" dxfId="4">
      <formula>0</formula>
    </cfRule>
  </conditionalFormatting>
  <conditionalFormatting sqref="E13:E14 E26:E27 E39:E40 E117:E118 E143:E144 E182:E183 E208:E209 I13:J13 I14:U14 I26:J26 I27:V27 I40:J40 I117:J117 I118:V118 I143:J143 I144:V144 I182:J182 I183:U183 I208:J208 I209:U209 O40:V40 V14:V15 V53 V66 V78:V79 V92 V105:V106">
    <cfRule type="cellIs" priority="144" operator="lessThan" dxfId="0">
      <formula>0</formula>
    </cfRule>
  </conditionalFormatting>
  <conditionalFormatting sqref="I39:V39">
    <cfRule type="cellIs" priority="167" operator="lessThan" dxfId="0">
      <formula>0</formula>
    </cfRule>
  </conditionalFormatting>
  <conditionalFormatting sqref="J17:J25">
    <cfRule type="dataBar" priority="526">
      <dataBar>
        <cfvo type="min"/>
        <cfvo type="max"/>
        <color theme="9" tint="0.3999755851924192"/>
      </dataBar>
    </cfRule>
    <cfRule type="dataBar" priority="527">
      <dataBar>
        <cfvo type="min"/>
        <cfvo type="max"/>
        <color theme="9" tint="0.7999816888943144"/>
      </dataBar>
    </cfRule>
  </conditionalFormatting>
  <conditionalFormatting sqref="J30:J38">
    <cfRule type="dataBar" priority="573">
      <dataBar>
        <cfvo type="min"/>
        <cfvo type="max"/>
        <color theme="9" tint="0.3999755851924192"/>
      </dataBar>
    </cfRule>
    <cfRule type="dataBar" priority="574">
      <dataBar>
        <cfvo type="min"/>
        <cfvo type="max"/>
        <color theme="9" tint="0.7999816888943144"/>
      </dataBar>
    </cfRule>
  </conditionalFormatting>
  <conditionalFormatting sqref="I208:J208 I209:U209 J43:J51">
    <cfRule type="dataBar" priority="871">
      <dataBar>
        <cfvo type="min"/>
        <cfvo type="max"/>
        <color theme="9" tint="0.7999816888943144"/>
      </dataBar>
    </cfRule>
    <cfRule type="dataBar" priority="870">
      <dataBar>
        <cfvo type="min"/>
        <cfvo type="max"/>
        <color theme="9" tint="0.3999755851924192"/>
      </dataBar>
    </cfRule>
  </conditionalFormatting>
  <conditionalFormatting sqref="J56:J64">
    <cfRule type="dataBar" priority="413">
      <dataBar>
        <cfvo type="min"/>
        <cfvo type="max"/>
        <color theme="9" tint="0.3999755851924192"/>
      </dataBar>
    </cfRule>
    <cfRule type="cellIs" priority="412" operator="lessThan" dxfId="0">
      <formula>0</formula>
    </cfRule>
    <cfRule type="dataBar" priority="414">
      <dataBar>
        <cfvo type="min"/>
        <cfvo type="max"/>
        <color theme="9" tint="0.7999816888943144"/>
      </dataBar>
    </cfRule>
  </conditionalFormatting>
  <conditionalFormatting sqref="I117:J117 I118:U118 J69:J77">
    <cfRule type="dataBar" priority="846">
      <dataBar>
        <cfvo type="min"/>
        <cfvo type="max"/>
        <color theme="9" tint="0.3999755851924192"/>
      </dataBar>
    </cfRule>
    <cfRule type="dataBar" priority="847">
      <dataBar>
        <cfvo type="min"/>
        <cfvo type="max"/>
        <color theme="9" tint="0.7999816888943144"/>
      </dataBar>
    </cfRule>
  </conditionalFormatting>
  <conditionalFormatting sqref="J82:J90">
    <cfRule type="dataBar" priority="842">
      <dataBar>
        <cfvo type="min"/>
        <cfvo type="max"/>
        <color theme="9" tint="0.3999755851924192"/>
      </dataBar>
    </cfRule>
    <cfRule type="dataBar" priority="843">
      <dataBar>
        <cfvo type="min"/>
        <cfvo type="max"/>
        <color theme="9" tint="0.7999816888943144"/>
      </dataBar>
    </cfRule>
  </conditionalFormatting>
  <conditionalFormatting sqref="J95:J103">
    <cfRule type="dataBar" priority="404">
      <dataBar>
        <cfvo type="min"/>
        <cfvo type="max"/>
        <color theme="9" tint="0.7999816888943144"/>
      </dataBar>
    </cfRule>
    <cfRule type="dataBar" priority="403">
      <dataBar>
        <cfvo type="min"/>
        <cfvo type="max"/>
        <color theme="9" tint="0.3999755851924192"/>
      </dataBar>
    </cfRule>
  </conditionalFormatting>
  <conditionalFormatting sqref="J108:J116 J121:J129">
    <cfRule type="cellIs" priority="641" operator="lessThan" dxfId="47">
      <formula>0</formula>
    </cfRule>
  </conditionalFormatting>
  <conditionalFormatting sqref="J108:J116">
    <cfRule type="dataBar" priority="874">
      <dataBar>
        <cfvo type="min"/>
        <cfvo type="max"/>
        <color theme="9" tint="0.3999755851924192"/>
      </dataBar>
    </cfRule>
    <cfRule type="dataBar" priority="875">
      <dataBar>
        <cfvo type="min"/>
        <cfvo type="max"/>
        <color theme="9" tint="0.7999816888943144"/>
      </dataBar>
    </cfRule>
  </conditionalFormatting>
  <conditionalFormatting sqref="J121:J129">
    <cfRule type="dataBar" priority="882">
      <dataBar>
        <cfvo type="min"/>
        <cfvo type="max"/>
        <color theme="9" tint="0.3999755851924192"/>
      </dataBar>
    </cfRule>
    <cfRule type="dataBar" priority="883">
      <dataBar>
        <cfvo type="min"/>
        <cfvo type="max"/>
        <color theme="9" tint="0.7999816888943144"/>
      </dataBar>
    </cfRule>
  </conditionalFormatting>
  <conditionalFormatting sqref="I143:J143 I144:U144 J134:J142">
    <cfRule type="dataBar" priority="850">
      <dataBar>
        <cfvo type="min"/>
        <cfvo type="max"/>
        <color theme="9" tint="0.3999755851924192"/>
      </dataBar>
    </cfRule>
    <cfRule type="dataBar" priority="851">
      <dataBar>
        <cfvo type="min"/>
        <cfvo type="max"/>
        <color theme="9" tint="0.7999816888943144"/>
      </dataBar>
    </cfRule>
  </conditionalFormatting>
  <conditionalFormatting sqref="J147:J155">
    <cfRule type="dataBar" priority="900">
      <dataBar>
        <cfvo type="min"/>
        <cfvo type="max"/>
        <color theme="9" tint="0.3999755851924192"/>
      </dataBar>
    </cfRule>
    <cfRule type="dataBar" priority="901">
      <dataBar>
        <cfvo type="min"/>
        <cfvo type="max"/>
        <color theme="9" tint="0.7999816888943144"/>
      </dataBar>
    </cfRule>
  </conditionalFormatting>
  <conditionalFormatting sqref="J160:J168">
    <cfRule type="dataBar" priority="390">
      <dataBar>
        <cfvo type="min"/>
        <cfvo type="max"/>
        <color theme="9" tint="0.3999755851924192"/>
      </dataBar>
    </cfRule>
    <cfRule type="dataBar" priority="391">
      <dataBar>
        <cfvo type="min"/>
        <cfvo type="max"/>
        <color theme="9" tint="0.7999816888943144"/>
      </dataBar>
    </cfRule>
  </conditionalFormatting>
  <conditionalFormatting sqref="I182:J182 I183:U183 J173:J181">
    <cfRule type="dataBar" priority="855">
      <dataBar>
        <cfvo type="min"/>
        <cfvo type="max"/>
        <color theme="9" tint="0.7999816888943144"/>
      </dataBar>
    </cfRule>
    <cfRule type="dataBar" priority="854">
      <dataBar>
        <cfvo type="min"/>
        <cfvo type="max"/>
        <color theme="9" tint="0.3999755851924192"/>
      </dataBar>
    </cfRule>
  </conditionalFormatting>
  <conditionalFormatting sqref="J186:J194">
    <cfRule type="dataBar" priority="894">
      <dataBar>
        <cfvo type="min"/>
        <cfvo type="max"/>
        <color theme="9" tint="0.3999755851924192"/>
      </dataBar>
    </cfRule>
    <cfRule type="dataBar" priority="895">
      <dataBar>
        <cfvo type="min"/>
        <cfvo type="max"/>
        <color theme="9" tint="0.7999816888943144"/>
      </dataBar>
    </cfRule>
  </conditionalFormatting>
  <conditionalFormatting sqref="J4:K11 J12">
    <cfRule type="dataBar" priority="879">
      <dataBar>
        <cfvo type="min"/>
        <cfvo type="max"/>
        <color theme="9" tint="0.7999816888943144"/>
      </dataBar>
    </cfRule>
    <cfRule type="dataBar" priority="878">
      <dataBar>
        <cfvo type="min"/>
        <cfvo type="max"/>
        <color theme="9" tint="0.3999755851924192"/>
      </dataBar>
    </cfRule>
  </conditionalFormatting>
  <conditionalFormatting sqref="I13:J13 I14:U14 I26:J26 I27:U27 I39:R39 I40:J40 J4:K11 J12 J17:J25 J30:K37 J38 K17:K24 O40:R40 S39:U40">
    <cfRule type="dataBar" priority="893">
      <dataBar>
        <cfvo type="min"/>
        <cfvo type="max"/>
        <color theme="9" tint="0.7999816888943144"/>
      </dataBar>
    </cfRule>
    <cfRule type="dataBar" priority="892">
      <dataBar>
        <cfvo type="min"/>
        <cfvo type="max"/>
        <color theme="9" tint="0.3999755851924192"/>
      </dataBar>
    </cfRule>
  </conditionalFormatting>
  <conditionalFormatting sqref="J95:K102 J103">
    <cfRule type="cellIs" priority="402" operator="lessThan" dxfId="0">
      <formula>0</formula>
    </cfRule>
  </conditionalFormatting>
  <conditionalFormatting sqref="J160:K167 J168">
    <cfRule type="cellIs" priority="389" operator="lessThan" dxfId="0">
      <formula>0</formula>
    </cfRule>
  </conditionalFormatting>
  <conditionalFormatting sqref="K17:K24">
    <cfRule type="dataBar" priority="127">
      <dataBar>
        <cfvo type="min"/>
        <cfvo type="max"/>
        <color theme="9" tint="0.7999816888943144"/>
      </dataBar>
    </cfRule>
    <cfRule type="dataBar" priority="126">
      <dataBar>
        <cfvo type="min"/>
        <cfvo type="max"/>
        <color theme="9" tint="0.3999755851924192"/>
      </dataBar>
    </cfRule>
  </conditionalFormatting>
  <conditionalFormatting sqref="K30:K37">
    <cfRule type="dataBar" priority="572">
      <dataBar>
        <cfvo type="min"/>
        <cfvo type="max"/>
        <color theme="9" tint="0.7999816888943144"/>
      </dataBar>
    </cfRule>
    <cfRule type="dataBar" priority="571">
      <dataBar>
        <cfvo type="min"/>
        <cfvo type="max"/>
        <color theme="9" tint="0.3999755851924192"/>
      </dataBar>
    </cfRule>
  </conditionalFormatting>
  <conditionalFormatting sqref="K43:K50">
    <cfRule type="dataBar" priority="124">
      <dataBar>
        <cfvo type="min"/>
        <cfvo type="max"/>
        <color theme="9" tint="0.7999816888943144"/>
      </dataBar>
    </cfRule>
    <cfRule type="dataBar" priority="123">
      <dataBar>
        <cfvo type="min"/>
        <cfvo type="max"/>
        <color theme="9" tint="0.3999755851924192"/>
      </dataBar>
    </cfRule>
    <cfRule type="dataBar" priority="122">
      <dataBar>
        <cfvo type="min"/>
        <cfvo type="max"/>
        <color theme="9" tint="0.7999816888943144"/>
      </dataBar>
    </cfRule>
    <cfRule type="dataBar" priority="121">
      <dataBar>
        <cfvo type="min"/>
        <cfvo type="max"/>
        <color theme="9" tint="0.3999755851924192"/>
      </dataBar>
    </cfRule>
  </conditionalFormatting>
  <conditionalFormatting sqref="K56:K63">
    <cfRule type="dataBar" priority="117">
      <dataBar>
        <cfvo type="min"/>
        <cfvo type="max"/>
        <color theme="9" tint="0.3999755851924192"/>
      </dataBar>
    </cfRule>
    <cfRule type="dataBar" priority="115">
      <dataBar>
        <cfvo type="min"/>
        <cfvo type="max"/>
        <color theme="9" tint="0.3999755851924192"/>
      </dataBar>
    </cfRule>
    <cfRule type="cellIs" priority="119" operator="lessThan" dxfId="0">
      <formula>0</formula>
    </cfRule>
    <cfRule type="dataBar" priority="118">
      <dataBar>
        <cfvo type="min"/>
        <cfvo type="max"/>
        <color theme="9" tint="0.7999816888943144"/>
      </dataBar>
    </cfRule>
    <cfRule type="dataBar" priority="116">
      <dataBar>
        <cfvo type="min"/>
        <cfvo type="max"/>
        <color theme="9" tint="0.7999816888943144"/>
      </dataBar>
    </cfRule>
  </conditionalFormatting>
  <conditionalFormatting sqref="K69:K76">
    <cfRule type="dataBar" priority="566">
      <dataBar>
        <cfvo type="min"/>
        <cfvo type="max"/>
        <color theme="9" tint="0.7999816888943144"/>
      </dataBar>
    </cfRule>
    <cfRule type="dataBar" priority="565">
      <dataBar>
        <cfvo type="min"/>
        <cfvo type="max"/>
        <color theme="9" tint="0.3999755851924192"/>
      </dataBar>
    </cfRule>
    <cfRule type="dataBar" priority="564">
      <dataBar>
        <cfvo type="min"/>
        <cfvo type="max"/>
        <color theme="9" tint="0.7999816888943144"/>
      </dataBar>
    </cfRule>
    <cfRule type="dataBar" priority="563">
      <dataBar>
        <cfvo type="min"/>
        <cfvo type="max"/>
        <color theme="9" tint="0.3999755851924192"/>
      </dataBar>
    </cfRule>
  </conditionalFormatting>
  <conditionalFormatting sqref="K82:K89">
    <cfRule type="dataBar" priority="110">
      <dataBar>
        <cfvo type="min"/>
        <cfvo type="max"/>
        <color theme="9" tint="0.7999816888943144"/>
      </dataBar>
    </cfRule>
    <cfRule type="cellIs" priority="113" operator="lessThan" dxfId="0">
      <formula>0</formula>
    </cfRule>
    <cfRule type="dataBar" priority="109">
      <dataBar>
        <cfvo type="min"/>
        <cfvo type="max"/>
        <color theme="9" tint="0.3999755851924192"/>
      </dataBar>
    </cfRule>
    <cfRule type="dataBar" priority="112">
      <dataBar>
        <cfvo type="min"/>
        <cfvo type="max"/>
        <color theme="9" tint="0.7999816888943144"/>
      </dataBar>
    </cfRule>
    <cfRule type="dataBar" priority="111">
      <dataBar>
        <cfvo type="min"/>
        <cfvo type="max"/>
        <color theme="9" tint="0.3999755851924192"/>
      </dataBar>
    </cfRule>
  </conditionalFormatting>
  <conditionalFormatting sqref="K95:K102">
    <cfRule type="dataBar" priority="400">
      <dataBar>
        <cfvo type="min"/>
        <cfvo type="max"/>
        <color theme="9" tint="0.3999755851924192"/>
      </dataBar>
    </cfRule>
    <cfRule type="dataBar" priority="398">
      <dataBar>
        <cfvo type="min"/>
        <cfvo type="max"/>
        <color theme="9" tint="0.3999755851924192"/>
      </dataBar>
    </cfRule>
    <cfRule type="dataBar" priority="399">
      <dataBar>
        <cfvo type="min"/>
        <cfvo type="max"/>
        <color theme="9" tint="0.7999816888943144"/>
      </dataBar>
    </cfRule>
    <cfRule type="dataBar" priority="401">
      <dataBar>
        <cfvo type="min"/>
        <cfvo type="max"/>
        <color theme="9" tint="0.7999816888943144"/>
      </dataBar>
    </cfRule>
  </conditionalFormatting>
  <conditionalFormatting sqref="K108:K115">
    <cfRule type="dataBar" priority="103">
      <dataBar>
        <cfvo type="min"/>
        <cfvo type="max"/>
        <color theme="9" tint="0.3999755851924192"/>
      </dataBar>
    </cfRule>
    <cfRule type="dataBar" priority="104">
      <dataBar>
        <cfvo type="min"/>
        <cfvo type="max"/>
        <color theme="9" tint="0.7999816888943144"/>
      </dataBar>
    </cfRule>
    <cfRule type="dataBar" priority="105">
      <dataBar>
        <cfvo type="min"/>
        <cfvo type="max"/>
        <color theme="9" tint="0.3999755851924192"/>
      </dataBar>
    </cfRule>
    <cfRule type="dataBar" priority="106">
      <dataBar>
        <cfvo type="min"/>
        <cfvo type="max"/>
        <color theme="9" tint="0.7999816888943144"/>
      </dataBar>
    </cfRule>
    <cfRule type="cellIs" priority="107" operator="lessThan" dxfId="0">
      <formula>0</formula>
    </cfRule>
  </conditionalFormatting>
  <conditionalFormatting sqref="K121:K128">
    <cfRule type="dataBar" priority="533">
      <dataBar>
        <cfvo type="min"/>
        <cfvo type="max"/>
        <color theme="9" tint="0.3999755851924192"/>
      </dataBar>
    </cfRule>
    <cfRule type="dataBar" priority="534">
      <dataBar>
        <cfvo type="min"/>
        <cfvo type="max"/>
        <color theme="9" tint="0.7999816888943144"/>
      </dataBar>
    </cfRule>
    <cfRule type="cellIs" priority="537" operator="lessThan" dxfId="0">
      <formula>0</formula>
    </cfRule>
    <cfRule type="dataBar" priority="536">
      <dataBar>
        <cfvo type="min"/>
        <cfvo type="max"/>
        <color theme="9" tint="0.7999816888943144"/>
      </dataBar>
    </cfRule>
    <cfRule type="dataBar" priority="535">
      <dataBar>
        <cfvo type="min"/>
        <cfvo type="max"/>
        <color theme="9" tint="0.3999755851924192"/>
      </dataBar>
    </cfRule>
  </conditionalFormatting>
  <conditionalFormatting sqref="K134:K141">
    <cfRule type="dataBar" priority="562">
      <dataBar>
        <cfvo type="min"/>
        <cfvo type="max"/>
        <color theme="9" tint="0.7999816888943144"/>
      </dataBar>
    </cfRule>
    <cfRule type="dataBar" priority="560">
      <dataBar>
        <cfvo type="min"/>
        <cfvo type="max"/>
        <color theme="9" tint="0.7999816888943144"/>
      </dataBar>
    </cfRule>
    <cfRule type="dataBar" priority="559">
      <dataBar>
        <cfvo type="min"/>
        <cfvo type="max"/>
        <color theme="9" tint="0.3999755851924192"/>
      </dataBar>
    </cfRule>
    <cfRule type="dataBar" priority="561">
      <dataBar>
        <cfvo type="min"/>
        <cfvo type="max"/>
        <color theme="9" tint="0.3999755851924192"/>
      </dataBar>
    </cfRule>
  </conditionalFormatting>
  <conditionalFormatting sqref="K147:K154">
    <cfRule type="dataBar" priority="549">
      <dataBar>
        <cfvo type="min"/>
        <cfvo type="max"/>
        <color theme="9" tint="0.3999755851924192"/>
      </dataBar>
    </cfRule>
    <cfRule type="dataBar" priority="550">
      <dataBar>
        <cfvo type="min"/>
        <cfvo type="max"/>
        <color theme="9" tint="0.7999816888943144"/>
      </dataBar>
    </cfRule>
    <cfRule type="dataBar" priority="548">
      <dataBar>
        <cfvo type="min"/>
        <cfvo type="max"/>
        <color theme="9" tint="0.7999816888943144"/>
      </dataBar>
    </cfRule>
    <cfRule type="dataBar" priority="547">
      <dataBar>
        <cfvo type="min"/>
        <cfvo type="max"/>
        <color theme="9" tint="0.3999755851924192"/>
      </dataBar>
    </cfRule>
  </conditionalFormatting>
  <conditionalFormatting sqref="K160:K167">
    <cfRule type="dataBar" priority="385">
      <dataBar>
        <cfvo type="min"/>
        <cfvo type="max"/>
        <color theme="9" tint="0.3999755851924192"/>
      </dataBar>
    </cfRule>
    <cfRule type="dataBar" priority="387">
      <dataBar>
        <cfvo type="min"/>
        <cfvo type="max"/>
        <color theme="9" tint="0.3999755851924192"/>
      </dataBar>
    </cfRule>
    <cfRule type="dataBar" priority="388">
      <dataBar>
        <cfvo type="min"/>
        <cfvo type="max"/>
        <color theme="9" tint="0.7999816888943144"/>
      </dataBar>
    </cfRule>
    <cfRule type="dataBar" priority="386">
      <dataBar>
        <cfvo type="min"/>
        <cfvo type="max"/>
        <color theme="9" tint="0.7999816888943144"/>
      </dataBar>
    </cfRule>
  </conditionalFormatting>
  <conditionalFormatting sqref="K173:K180">
    <cfRule type="dataBar" priority="557">
      <dataBar>
        <cfvo type="min"/>
        <cfvo type="max"/>
        <color theme="9" tint="0.3999755851924192"/>
      </dataBar>
    </cfRule>
    <cfRule type="dataBar" priority="556">
      <dataBar>
        <cfvo type="min"/>
        <cfvo type="max"/>
        <color theme="9" tint="0.7999816888943144"/>
      </dataBar>
    </cfRule>
    <cfRule type="dataBar" priority="555">
      <dataBar>
        <cfvo type="min"/>
        <cfvo type="max"/>
        <color theme="9" tint="0.3999755851924192"/>
      </dataBar>
    </cfRule>
    <cfRule type="dataBar" priority="558">
      <dataBar>
        <cfvo type="min"/>
        <cfvo type="max"/>
        <color theme="9" tint="0.7999816888943144"/>
      </dataBar>
    </cfRule>
  </conditionalFormatting>
  <conditionalFormatting sqref="K186:K193">
    <cfRule type="dataBar" priority="553">
      <dataBar>
        <cfvo type="min"/>
        <cfvo type="max"/>
        <color theme="9" tint="0.3999755851924192"/>
      </dataBar>
    </cfRule>
    <cfRule type="dataBar" priority="554">
      <dataBar>
        <cfvo type="min"/>
        <cfvo type="max"/>
        <color theme="9" tint="0.7999816888943144"/>
      </dataBar>
    </cfRule>
    <cfRule type="dataBar" priority="552">
      <dataBar>
        <cfvo type="min"/>
        <cfvo type="max"/>
        <color theme="9" tint="0.7999816888943144"/>
      </dataBar>
    </cfRule>
    <cfRule type="dataBar" priority="551">
      <dataBar>
        <cfvo type="min"/>
        <cfvo type="max"/>
        <color theme="9" tint="0.3999755851924192"/>
      </dataBar>
    </cfRule>
  </conditionalFormatting>
  <conditionalFormatting sqref="K199:K206">
    <cfRule type="dataBar" priority="530">
      <dataBar>
        <cfvo type="min"/>
        <cfvo type="max"/>
        <color theme="9" tint="0.3999755851924192"/>
      </dataBar>
    </cfRule>
    <cfRule type="dataBar" priority="529">
      <dataBar>
        <cfvo type="min"/>
        <cfvo type="max"/>
        <color theme="9" tint="0.7999816888943144"/>
      </dataBar>
    </cfRule>
    <cfRule type="dataBar" priority="528">
      <dataBar>
        <cfvo type="min"/>
        <cfvo type="max"/>
        <color theme="9" tint="0.3999755851924192"/>
      </dataBar>
    </cfRule>
    <cfRule type="cellIs" priority="532" operator="lessThan" dxfId="0">
      <formula>0</formula>
    </cfRule>
    <cfRule type="dataBar" priority="531">
      <dataBar>
        <cfvo type="min"/>
        <cfvo type="max"/>
        <color theme="9" tint="0.7999816888943144"/>
      </dataBar>
    </cfRule>
  </conditionalFormatting>
  <conditionalFormatting sqref="L12:T12">
    <cfRule type="cellIs" priority="128" operator="lessThanOrEqual" dxfId="4">
      <formula>0</formula>
    </cfRule>
  </conditionalFormatting>
  <conditionalFormatting sqref="L25:T25">
    <cfRule type="cellIs" priority="38" operator="lessThanOrEqual" dxfId="4">
      <formula>0</formula>
    </cfRule>
  </conditionalFormatting>
  <conditionalFormatting sqref="L51:T51">
    <cfRule type="cellIs" priority="37" operator="lessThanOrEqual" dxfId="4">
      <formula>0</formula>
    </cfRule>
  </conditionalFormatting>
  <conditionalFormatting sqref="L64:T64">
    <cfRule type="cellIs" priority="36" operator="lessThanOrEqual" dxfId="4">
      <formula>0</formula>
    </cfRule>
  </conditionalFormatting>
  <conditionalFormatting sqref="L90:T90">
    <cfRule type="cellIs" priority="35" operator="lessThanOrEqual" dxfId="4">
      <formula>0</formula>
    </cfRule>
  </conditionalFormatting>
  <conditionalFormatting sqref="T142">
    <cfRule type="cellIs" priority="32" operator="lessThanOrEqual" dxfId="4">
      <formula>0</formula>
    </cfRule>
  </conditionalFormatting>
  <conditionalFormatting sqref="T168">
    <cfRule type="cellIs" priority="30" operator="lessThanOrEqual" dxfId="4">
      <formula>0</formula>
    </cfRule>
  </conditionalFormatting>
  <conditionalFormatting sqref="T181">
    <cfRule type="cellIs" priority="29" operator="lessThanOrEqual" dxfId="4">
      <formula>0</formula>
    </cfRule>
  </conditionalFormatting>
  <conditionalFormatting sqref="T194">
    <cfRule type="cellIs" priority="28" operator="lessThanOrEqual" dxfId="4">
      <formula>0</formula>
    </cfRule>
  </conditionalFormatting>
  <conditionalFormatting sqref="T207">
    <cfRule type="cellIs" priority="27" operator="lessThanOrEqual" dxfId="4">
      <formula>0</formula>
    </cfRule>
  </conditionalFormatting>
  <conditionalFormatting sqref="V14:V15 V27 V39:V40">
    <cfRule type="dataBar" priority="178">
      <dataBar>
        <cfvo type="min"/>
        <cfvo type="max"/>
        <color theme="9" tint="0.3999755851924192"/>
      </dataBar>
    </cfRule>
    <cfRule type="dataBar" priority="179">
      <dataBar>
        <cfvo type="min"/>
        <cfvo type="max"/>
        <color theme="9" tint="0.7999816888943144"/>
      </dataBar>
    </cfRule>
  </conditionalFormatting>
  <conditionalFormatting sqref="V53">
    <cfRule type="dataBar" priority="169">
      <dataBar>
        <cfvo type="min"/>
        <cfvo type="max"/>
        <color theme="9" tint="0.7999816888943144"/>
      </dataBar>
    </cfRule>
    <cfRule type="dataBar" priority="168">
      <dataBar>
        <cfvo type="min"/>
        <cfvo type="max"/>
        <color theme="9" tint="0.3999755851924192"/>
      </dataBar>
    </cfRule>
  </conditionalFormatting>
  <conditionalFormatting sqref="V66">
    <cfRule type="dataBar" priority="171">
      <dataBar>
        <cfvo type="min"/>
        <cfvo type="max"/>
        <color theme="9" tint="0.7999816888943144"/>
      </dataBar>
    </cfRule>
    <cfRule type="dataBar" priority="170">
      <dataBar>
        <cfvo type="min"/>
        <cfvo type="max"/>
        <color theme="9" tint="0.3999755851924192"/>
      </dataBar>
    </cfRule>
  </conditionalFormatting>
  <conditionalFormatting sqref="V78:V79">
    <cfRule type="dataBar" priority="172">
      <dataBar>
        <cfvo type="min"/>
        <cfvo type="max"/>
        <color theme="9" tint="0.3999755851924192"/>
      </dataBar>
    </cfRule>
    <cfRule type="dataBar" priority="173">
      <dataBar>
        <cfvo type="min"/>
        <cfvo type="max"/>
        <color theme="9" tint="0.7999816888943144"/>
      </dataBar>
    </cfRule>
  </conditionalFormatting>
  <conditionalFormatting sqref="V92">
    <cfRule type="dataBar" priority="175">
      <dataBar>
        <cfvo type="min"/>
        <cfvo type="max"/>
        <color theme="9" tint="0.7999816888943144"/>
      </dataBar>
    </cfRule>
    <cfRule type="dataBar" priority="174">
      <dataBar>
        <cfvo type="min"/>
        <cfvo type="max"/>
        <color theme="9" tint="0.3999755851924192"/>
      </dataBar>
    </cfRule>
  </conditionalFormatting>
  <conditionalFormatting sqref="V105">
    <cfRule type="dataBar" priority="181">
      <dataBar>
        <cfvo type="min"/>
        <cfvo type="max"/>
        <color theme="9" tint="0.7999816888943144"/>
      </dataBar>
    </cfRule>
    <cfRule type="dataBar" priority="180">
      <dataBar>
        <cfvo type="min"/>
        <cfvo type="max"/>
        <color theme="9" tint="0.3999755851924192"/>
      </dataBar>
    </cfRule>
  </conditionalFormatting>
  <conditionalFormatting sqref="V106 V118">
    <cfRule type="dataBar" priority="182">
      <dataBar>
        <cfvo type="min"/>
        <cfvo type="max"/>
        <color theme="9" tint="0.3999755851924192"/>
      </dataBar>
    </cfRule>
    <cfRule type="dataBar" priority="183">
      <dataBar>
        <cfvo type="min"/>
        <cfvo type="max"/>
        <color theme="9" tint="0.7999816888943144"/>
      </dataBar>
    </cfRule>
  </conditionalFormatting>
  <conditionalFormatting sqref="V131">
    <cfRule type="dataBar" priority="184">
      <dataBar>
        <cfvo type="min"/>
        <cfvo type="max"/>
        <color theme="9" tint="0.3999755851924192"/>
      </dataBar>
    </cfRule>
    <cfRule type="dataBar" priority="185">
      <dataBar>
        <cfvo type="min"/>
        <cfvo type="max"/>
        <color theme="9" tint="0.7999816888943144"/>
      </dataBar>
    </cfRule>
  </conditionalFormatting>
  <conditionalFormatting sqref="V144">
    <cfRule type="dataBar" priority="176">
      <dataBar>
        <cfvo type="min"/>
        <cfvo type="max"/>
        <color theme="9" tint="0.3999755851924192"/>
      </dataBar>
    </cfRule>
    <cfRule type="dataBar" priority="177">
      <dataBar>
        <cfvo type="min"/>
        <cfvo type="max"/>
        <color theme="9" tint="0.7999816888943144"/>
      </dataBar>
    </cfRule>
  </conditionalFormatting>
  <conditionalFormatting sqref="V131:W131">
    <cfRule type="cellIs" priority="99" operator="lessThan" dxfId="0">
      <formula>0</formula>
    </cfRule>
  </conditionalFormatting>
  <conditionalFormatting sqref="W4:W13">
    <cfRule type="cellIs" priority="10" operator="lessThan" dxfId="4">
      <formula>0</formula>
    </cfRule>
    <cfRule type="cellIs" priority="9" operator="greaterThanOrEqual" dxfId="3">
      <formula>0</formula>
    </cfRule>
  </conditionalFormatting>
  <conditionalFormatting sqref="W17:W26">
    <cfRule type="cellIs" priority="70" operator="lessThan" dxfId="4">
      <formula>0</formula>
    </cfRule>
    <cfRule type="cellIs" priority="69" operator="greaterThanOrEqual" dxfId="3">
      <formula>0</formula>
    </cfRule>
  </conditionalFormatting>
  <conditionalFormatting sqref="W43:W52">
    <cfRule type="cellIs" priority="90" operator="lessThan" dxfId="4">
      <formula>0</formula>
    </cfRule>
    <cfRule type="cellIs" priority="89" operator="greaterThanOrEqual" dxfId="3">
      <formula>0</formula>
    </cfRule>
  </conditionalFormatting>
  <conditionalFormatting sqref="W56:W65">
    <cfRule type="cellIs" priority="8" operator="lessThan" dxfId="4">
      <formula>0</formula>
    </cfRule>
    <cfRule type="cellIs" priority="7" operator="greaterThanOrEqual" dxfId="3">
      <formula>0</formula>
    </cfRule>
  </conditionalFormatting>
  <conditionalFormatting sqref="W82:W91">
    <cfRule type="cellIs" priority="3" operator="greaterThanOrEqual" dxfId="3">
      <formula>0</formula>
    </cfRule>
    <cfRule type="cellIs" priority="4" operator="lessThan" dxfId="4">
      <formula>0</formula>
    </cfRule>
  </conditionalFormatting>
  <conditionalFormatting sqref="W108:W117">
    <cfRule type="cellIs" priority="1" operator="greaterThanOrEqual" dxfId="3">
      <formula>0</formula>
    </cfRule>
    <cfRule type="cellIs" priority="2" operator="lessThan" dxfId="4">
      <formula>0</formula>
    </cfRule>
  </conditionalFormatting>
  <conditionalFormatting sqref="W121:W130">
    <cfRule type="cellIs" priority="24" operator="lessThan" dxfId="4">
      <formula>0</formula>
    </cfRule>
    <cfRule type="cellIs" priority="23" operator="greaterThanOrEqual" dxfId="3">
      <formula>0</formula>
    </cfRule>
  </conditionalFormatting>
  <conditionalFormatting sqref="W131">
    <cfRule type="dataBar" priority="97">
      <dataBar>
        <cfvo type="min"/>
        <cfvo type="max"/>
        <color theme="9" tint="0.3999755851924192"/>
      </dataBar>
    </cfRule>
    <cfRule type="dataBar" priority="96">
      <dataBar>
        <cfvo type="min"/>
        <cfvo type="max"/>
        <color theme="9" tint="0.7999816888943144"/>
      </dataBar>
    </cfRule>
    <cfRule type="dataBar" priority="101">
      <dataBar>
        <cfvo type="min"/>
        <cfvo type="max"/>
        <color theme="9" tint="0.7999816888943144"/>
      </dataBar>
    </cfRule>
    <cfRule type="dataBar" priority="100">
      <dataBar>
        <cfvo type="min"/>
        <cfvo type="max"/>
        <color theme="9" tint="0.3999755851924192"/>
      </dataBar>
    </cfRule>
    <cfRule type="dataBar" priority="95">
      <dataBar>
        <cfvo type="min"/>
        <cfvo type="max"/>
        <color theme="9" tint="0.3999755851924192"/>
      </dataBar>
    </cfRule>
    <cfRule type="dataBar" priority="98">
      <dataBar>
        <cfvo type="min"/>
        <cfvo type="max"/>
        <color theme="9" tint="0.7999816888943144"/>
      </dataBar>
    </cfRule>
  </conditionalFormatting>
  <conditionalFormatting sqref="W134:W143">
    <cfRule type="cellIs" priority="21" operator="greaterThanOrEqual" dxfId="3">
      <formula>0</formula>
    </cfRule>
    <cfRule type="cellIs" priority="22" operator="lessThan" dxfId="4">
      <formula>0</formula>
    </cfRule>
  </conditionalFormatting>
  <conditionalFormatting sqref="W147:W156">
    <cfRule type="cellIs" priority="19" operator="greaterThanOrEqual" dxfId="3">
      <formula>0</formula>
    </cfRule>
    <cfRule type="cellIs" priority="20" operator="lessThan" dxfId="4">
      <formula>0</formula>
    </cfRule>
  </conditionalFormatting>
  <conditionalFormatting sqref="W160:W169">
    <cfRule type="cellIs" priority="18" operator="lessThan" dxfId="4">
      <formula>0</formula>
    </cfRule>
    <cfRule type="cellIs" priority="17" operator="greaterThanOrEqual" dxfId="3">
      <formula>0</formula>
    </cfRule>
  </conditionalFormatting>
  <conditionalFormatting sqref="W173:W182">
    <cfRule type="cellIs" priority="15" operator="greaterThanOrEqual" dxfId="3">
      <formula>0</formula>
    </cfRule>
    <cfRule type="cellIs" priority="16" operator="lessThan" dxfId="4">
      <formula>0</formula>
    </cfRule>
  </conditionalFormatting>
  <conditionalFormatting sqref="W186:W195">
    <cfRule type="cellIs" priority="13" operator="greaterThanOrEqual" dxfId="3">
      <formula>0</formula>
    </cfRule>
    <cfRule type="cellIs" priority="14" operator="lessThan" dxfId="4">
      <formula>0</formula>
    </cfRule>
  </conditionalFormatting>
  <conditionalFormatting sqref="W199:W208">
    <cfRule type="cellIs" priority="12" operator="lessThan" dxfId="4">
      <formula>0</formula>
    </cfRule>
    <cfRule type="cellIs" priority="11" operator="greaterThanOrEqual" dxfId="3">
      <formula>0</formula>
    </cfRule>
  </conditionalFormatting>
  <conditionalFormatting sqref="X48">
    <cfRule type="dataBar" priority="303">
      <dataBar>
        <cfvo type="min"/>
        <cfvo type="max"/>
        <color theme="9" tint="0.7999816888943144"/>
      </dataBar>
    </cfRule>
    <cfRule type="dataBar" priority="308">
      <dataBar>
        <cfvo type="min"/>
        <cfvo type="max"/>
        <color theme="9" tint="0.7999816888943144"/>
      </dataBar>
    </cfRule>
    <cfRule type="dataBar" priority="307">
      <dataBar>
        <cfvo type="min"/>
        <cfvo type="max"/>
        <color theme="9" tint="0.3999755851924192"/>
      </dataBar>
    </cfRule>
    <cfRule type="dataBar" priority="305">
      <dataBar>
        <cfvo type="min"/>
        <cfvo type="max"/>
        <color theme="9" tint="0.7999816888943144"/>
      </dataBar>
    </cfRule>
    <cfRule type="dataBar" priority="304">
      <dataBar>
        <cfvo type="min"/>
        <cfvo type="max"/>
        <color theme="9" tint="0.3999755851924192"/>
      </dataBar>
    </cfRule>
    <cfRule type="cellIs" priority="306" operator="lessThan" dxfId="0">
      <formula>0</formula>
    </cfRule>
    <cfRule type="dataBar" priority="302">
      <dataBar>
        <cfvo type="min"/>
        <cfvo type="max"/>
        <color theme="9" tint="0.3999755851924192"/>
      </dataBar>
    </cfRule>
  </conditionalFormatting>
  <conditionalFormatting sqref="X124:X132">
    <cfRule type="dataBar" priority="297">
      <dataBar>
        <cfvo type="min"/>
        <cfvo type="max"/>
        <color theme="9" tint="0.3999755851924192"/>
      </dataBar>
    </cfRule>
    <cfRule type="dataBar" priority="296">
      <dataBar>
        <cfvo type="min"/>
        <cfvo type="max"/>
        <color theme="9" tint="0.7999816888943144"/>
      </dataBar>
    </cfRule>
    <cfRule type="dataBar" priority="301">
      <dataBar>
        <cfvo type="min"/>
        <cfvo type="max"/>
        <color theme="9" tint="0.7999816888943144"/>
      </dataBar>
    </cfRule>
    <cfRule type="dataBar" priority="298">
      <dataBar>
        <cfvo type="min"/>
        <cfvo type="max"/>
        <color theme="9" tint="0.7999816888943144"/>
      </dataBar>
    </cfRule>
    <cfRule type="dataBar" priority="295">
      <dataBar>
        <cfvo type="min"/>
        <cfvo type="max"/>
        <color theme="9" tint="0.3999755851924192"/>
      </dataBar>
    </cfRule>
    <cfRule type="dataBar" priority="300">
      <dataBar>
        <cfvo type="min"/>
        <cfvo type="max"/>
        <color theme="9" tint="0.3999755851924192"/>
      </dataBar>
    </cfRule>
    <cfRule type="cellIs" priority="299" operator="lessThan" dxfId="0">
      <formula>0</formula>
    </cfRule>
  </conditionalFormatting>
  <conditionalFormatting sqref="J4:K11 J12 J17:J25 J30:K37 J38 J43:J51 J69:K76 J77 J82:J90 J134:K141 J142 J147:K154 J155 J173:K180 J181 J186:K193 J194 K17:K24 K43:K50 AB4:AB10 AB14:AB20 AB24:AB30 AB34:AB40 AB44:AB50 AB54:AB60 AB64:AB70 AB74:AC80 AB84:AB90 AB94:AB100 AF4:AF10 AF14:AF20 AF24:AF30 AF34:AF40 AF54:AF60 AF64:AF70 AF74:AF80 AF84:AF90 AF94:AF100">
    <cfRule type="cellIs" priority="723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W157"/>
  <sheetViews>
    <sheetView showGridLines="0" zoomScale="55" zoomScaleNormal="55" workbookViewId="0">
      <selection activeCell="B1" sqref="B1"/>
    </sheetView>
  </sheetViews>
  <sheetFormatPr baseColWidth="8" defaultColWidth="8.81640625" defaultRowHeight="14.5"/>
  <cols>
    <col width="8.81640625" customWidth="1" style="78" min="1" max="1"/>
    <col width="34" bestFit="1" customWidth="1" style="78" min="2" max="2"/>
    <col width="15.1796875" customWidth="1" min="3" max="4"/>
    <col width="15.1796875" bestFit="1" customWidth="1" style="78" min="5" max="5"/>
    <col width="13.453125" bestFit="1" customWidth="1" style="78" min="6" max="10"/>
    <col width="13.453125" bestFit="1" customWidth="1" style="86" min="11" max="11"/>
    <col width="7.54296875" bestFit="1" customWidth="1" style="78" min="12" max="12"/>
    <col width="32.453125" bestFit="1" customWidth="1" style="78" min="13" max="13"/>
    <col width="15.1796875" bestFit="1" customWidth="1" min="14" max="15"/>
    <col width="15.1796875" bestFit="1" customWidth="1" style="78" min="16" max="20"/>
    <col width="15.1796875" bestFit="1" customWidth="1" style="86" min="21" max="21"/>
    <col width="15.1796875" customWidth="1" style="86" min="22" max="22"/>
    <col width="7.54296875" bestFit="1" customWidth="1" style="78" min="23" max="23"/>
    <col width="8.81640625" customWidth="1" style="78" min="24" max="16384"/>
  </cols>
  <sheetData>
    <row r="1">
      <c r="A1" s="503" t="n"/>
      <c r="B1" s="504" t="inlineStr">
        <is>
          <t>EUR Tahminler</t>
        </is>
      </c>
      <c r="E1" s="504" t="n"/>
      <c r="F1" s="504" t="n"/>
      <c r="G1" s="504" t="n"/>
      <c r="H1" s="504" t="n"/>
      <c r="I1" s="504" t="n"/>
      <c r="J1" s="504" t="n"/>
      <c r="K1" s="505" t="n"/>
      <c r="M1" s="504" t="inlineStr">
        <is>
          <t>TRY Tahminler</t>
        </is>
      </c>
      <c r="P1" s="504" t="n"/>
      <c r="Q1" s="504" t="n"/>
      <c r="R1" s="504" t="n"/>
      <c r="S1" s="504" t="n"/>
      <c r="T1" s="504" t="n"/>
      <c r="U1" s="506" t="n"/>
      <c r="V1" s="506" t="n"/>
    </row>
    <row r="2">
      <c r="A2" s="503" t="n"/>
      <c r="B2" s="60" t="inlineStr">
        <is>
          <t>Yapı</t>
        </is>
      </c>
      <c r="C2" s="61" t="inlineStr">
        <is>
          <t>Eylül</t>
        </is>
      </c>
      <c r="D2" s="61" t="inlineStr">
        <is>
          <t xml:space="preserve">Ağustos </t>
        </is>
      </c>
      <c r="E2" s="61" t="inlineStr">
        <is>
          <t>Temmuz</t>
        </is>
      </c>
      <c r="F2" s="61" t="inlineStr">
        <is>
          <t>Haziran</t>
        </is>
      </c>
      <c r="G2" s="89" t="inlineStr">
        <is>
          <t>Mayıs</t>
        </is>
      </c>
      <c r="H2" s="89" t="inlineStr">
        <is>
          <t>Nisan</t>
        </is>
      </c>
      <c r="I2" s="89" t="inlineStr">
        <is>
          <t>Mart</t>
        </is>
      </c>
      <c r="J2" s="89" t="inlineStr">
        <is>
          <t>Şubat</t>
        </is>
      </c>
      <c r="K2" s="89" t="inlineStr">
        <is>
          <t>Ocak</t>
        </is>
      </c>
      <c r="L2" s="505" t="inlineStr">
        <is>
          <t>%</t>
        </is>
      </c>
      <c r="M2" s="60" t="inlineStr">
        <is>
          <t>Yapı</t>
        </is>
      </c>
      <c r="N2" s="61" t="inlineStr">
        <is>
          <t>Eylül Tahmin</t>
        </is>
      </c>
      <c r="O2" s="61" t="inlineStr">
        <is>
          <t>Ağustos Tahmin</t>
        </is>
      </c>
      <c r="P2" s="61" t="inlineStr">
        <is>
          <t>Temmuz Tahmin</t>
        </is>
      </c>
      <c r="Q2" s="61" t="inlineStr">
        <is>
          <t>Haziran Tahmin</t>
        </is>
      </c>
      <c r="R2" s="61" t="inlineStr">
        <is>
          <t>Mayıs Tahmin</t>
        </is>
      </c>
      <c r="S2" s="61" t="inlineStr">
        <is>
          <t>Nisan Tahmin</t>
        </is>
      </c>
      <c r="T2" s="61" t="inlineStr">
        <is>
          <t>Mart Tahmin</t>
        </is>
      </c>
      <c r="U2" s="61" t="inlineStr">
        <is>
          <t>Şubat Tahmin</t>
        </is>
      </c>
      <c r="V2" s="61" t="inlineStr">
        <is>
          <t>Ocak Tahmin</t>
        </is>
      </c>
      <c r="W2" s="505" t="inlineStr">
        <is>
          <t>%</t>
        </is>
      </c>
    </row>
    <row r="3">
      <c r="B3" s="61" t="inlineStr">
        <is>
          <t>Eur Kuru-kapanış / G.1.1.</t>
        </is>
      </c>
      <c r="C3" s="507" t="n">
        <v>19.894</v>
      </c>
      <c r="D3" s="507" t="n">
        <v>21.5021</v>
      </c>
      <c r="E3" s="507" t="n">
        <v>21.5021</v>
      </c>
      <c r="F3" s="507" t="n">
        <v>19.8158640065219</v>
      </c>
      <c r="G3" s="507" t="n">
        <v>19.8158640065219</v>
      </c>
      <c r="H3" s="507" t="n">
        <v>17.5024912500001</v>
      </c>
      <c r="I3" s="507" t="n">
        <v>17.5024912500001</v>
      </c>
      <c r="J3" s="507" t="n">
        <v>17.5024912500001</v>
      </c>
      <c r="K3" s="507" t="n">
        <v>17.5024912500001</v>
      </c>
      <c r="L3" s="86" t="n"/>
      <c r="M3" s="61" t="inlineStr">
        <is>
          <t>Eur Kuru-kapanış / G.1.1.</t>
        </is>
      </c>
      <c r="N3" s="507" t="n">
        <v>19.894</v>
      </c>
      <c r="O3" s="507" t="n">
        <v>21.5021</v>
      </c>
      <c r="P3" s="507" t="n">
        <v>21.5021</v>
      </c>
      <c r="Q3" s="507" t="n">
        <v>19.8158640065219</v>
      </c>
      <c r="R3" s="507" t="n">
        <v>19.8158640065219</v>
      </c>
      <c r="S3" s="507" t="n">
        <v>17.5024912500001</v>
      </c>
      <c r="T3" s="507" t="n">
        <v>17.5024912500001</v>
      </c>
      <c r="U3" s="507" t="n">
        <v>17.5024912500001</v>
      </c>
      <c r="V3" s="507" t="n">
        <v>17.5024912500001</v>
      </c>
      <c r="W3" s="86" t="n"/>
    </row>
    <row r="4">
      <c r="A4" s="80" t="n"/>
      <c r="B4" s="61" t="inlineStr">
        <is>
          <t>Eur Kuru-ortalama / G.1.2.</t>
        </is>
      </c>
      <c r="C4" s="507" t="n">
        <v>19.3071</v>
      </c>
      <c r="D4" s="507" t="n">
        <v>20.909</v>
      </c>
      <c r="E4" s="507" t="n">
        <v>20.909</v>
      </c>
      <c r="F4" s="507" t="n">
        <v>19.2497</v>
      </c>
      <c r="G4" s="507" t="n">
        <v>19.2497</v>
      </c>
      <c r="H4" s="507" t="n">
        <v>17.4102865421197</v>
      </c>
      <c r="I4" s="507" t="n">
        <v>17.4102865421197</v>
      </c>
      <c r="J4" s="507" t="n">
        <v>17.4102865421197</v>
      </c>
      <c r="K4" s="507" t="n">
        <v>17.4102865421197</v>
      </c>
      <c r="L4" s="87" t="n"/>
      <c r="M4" s="61" t="inlineStr">
        <is>
          <t>Eur Kuru-ortalama / G.1.2.</t>
        </is>
      </c>
      <c r="N4" s="507" t="n">
        <v>19.3071</v>
      </c>
      <c r="O4" s="507" t="n">
        <v>20.909</v>
      </c>
      <c r="P4" s="507" t="n">
        <v>20.909</v>
      </c>
      <c r="Q4" s="507" t="n">
        <v>19.2497</v>
      </c>
      <c r="R4" s="507" t="n">
        <v>19.2497</v>
      </c>
      <c r="S4" s="507" t="n">
        <v>17.4102865421197</v>
      </c>
      <c r="T4" s="507" t="n">
        <v>17.4102865421197</v>
      </c>
      <c r="U4" s="507" t="n">
        <v>17.4102865421197</v>
      </c>
      <c r="V4" s="507" t="n">
        <v>17.4102865421197</v>
      </c>
      <c r="W4" s="87" t="n"/>
    </row>
    <row r="5">
      <c r="A5" s="80" t="n"/>
      <c r="B5" s="61" t="inlineStr">
        <is>
          <t>Net Satışlar-EUR / G.1.</t>
        </is>
      </c>
      <c r="C5" s="65" t="n">
        <v>364296761.654487</v>
      </c>
      <c r="D5" s="65" t="n">
        <v>360321873.638944</v>
      </c>
      <c r="E5" s="65" t="n">
        <v>360823951.212731</v>
      </c>
      <c r="F5" s="65" t="n">
        <v>358591218.388938</v>
      </c>
      <c r="G5" s="65" t="n">
        <v>384480053.476286</v>
      </c>
      <c r="H5" s="65" t="n">
        <v>376466028.808224</v>
      </c>
      <c r="I5" s="65" t="n">
        <v>372494463.344167</v>
      </c>
      <c r="J5" s="65" t="n">
        <v>356896472.283554</v>
      </c>
      <c r="K5" s="65" t="n">
        <v>351269683.500316</v>
      </c>
      <c r="L5" s="508">
        <f>(C5-D5)/C5</f>
        <v/>
      </c>
      <c r="M5" s="61" t="inlineStr">
        <is>
          <t>Net Satışlar-TL / G.1.</t>
        </is>
      </c>
      <c r="N5" s="65" t="n">
        <v>6325154544.63291</v>
      </c>
      <c r="O5" s="65" t="n">
        <v>6429379557.41536</v>
      </c>
      <c r="P5" s="65" t="n">
        <v>6442905766.86354</v>
      </c>
      <c r="Q5" s="65" t="n">
        <v>6153221200.59719</v>
      </c>
      <c r="R5" s="65" t="n">
        <v>6561798755.59408</v>
      </c>
      <c r="S5" s="65" t="n">
        <v>6175741572.31719</v>
      </c>
      <c r="T5" s="65" t="n">
        <v>6124270914.27152</v>
      </c>
      <c r="U5" s="65" t="n">
        <v>5845577191.88813</v>
      </c>
      <c r="V5" s="65" t="n">
        <v>5753071625.21244</v>
      </c>
      <c r="W5" s="508">
        <f>(N5-O5)/N5</f>
        <v/>
      </c>
    </row>
    <row r="6">
      <c r="B6" s="61" t="inlineStr">
        <is>
          <t>İnci Holding / G.1.1.</t>
        </is>
      </c>
      <c r="C6" s="65" t="n">
        <v>8532196.43049751</v>
      </c>
      <c r="D6" s="65" t="n">
        <v>8308949.15726336</v>
      </c>
      <c r="E6" s="65" t="n">
        <v>8302562.46513399</v>
      </c>
      <c r="F6" s="65" t="n">
        <v>8338106.77921607</v>
      </c>
      <c r="G6" s="65" t="n">
        <v>8213540.9641969</v>
      </c>
      <c r="H6" s="65" t="n">
        <v>8530815.957978901</v>
      </c>
      <c r="I6" s="65" t="n">
        <v>8268866.42117422</v>
      </c>
      <c r="J6" s="65" t="n">
        <v>7752725.02802484</v>
      </c>
      <c r="K6" s="65" t="n">
        <v>7696749.82086961</v>
      </c>
      <c r="L6" s="508">
        <f>(C6-D6)/C6</f>
        <v/>
      </c>
      <c r="M6" s="61" t="inlineStr">
        <is>
          <t>İnci Holding / G.1.1.</t>
        </is>
      </c>
      <c r="N6" s="65" t="n">
        <v>148529646.827592</v>
      </c>
      <c r="O6" s="65" t="n">
        <v>148529646.827592</v>
      </c>
      <c r="P6" s="65" t="n">
        <v>148492630.506261</v>
      </c>
      <c r="Q6" s="65" t="n">
        <v>143274887.147533</v>
      </c>
      <c r="R6" s="65" t="n">
        <v>142781654.970282</v>
      </c>
      <c r="S6" s="65" t="n">
        <v>140095820.127379</v>
      </c>
      <c r="T6" s="65" t="n">
        <v>135983614.377541</v>
      </c>
      <c r="U6" s="65" t="n">
        <v>126992181.354869</v>
      </c>
      <c r="V6" s="65" t="n">
        <v>126041514.704857</v>
      </c>
      <c r="W6" s="508">
        <f>(N6-O6)/N6</f>
        <v/>
      </c>
    </row>
    <row r="7">
      <c r="B7" s="61" t="inlineStr">
        <is>
          <t>ISM / G.1.2.</t>
        </is>
      </c>
      <c r="C7" s="65" t="n">
        <v>11141299.1858417</v>
      </c>
      <c r="D7" s="65" t="n">
        <v>10477972.6374317</v>
      </c>
      <c r="E7" s="65" t="n">
        <v>10376918.1369395</v>
      </c>
      <c r="F7" s="65" t="n">
        <v>10604075.4991258</v>
      </c>
      <c r="G7" s="65" t="n">
        <v>10340370.8009868</v>
      </c>
      <c r="H7" s="65" t="n">
        <v>10822228.2597069</v>
      </c>
      <c r="I7" s="65" t="n">
        <v>10604386.0395449</v>
      </c>
      <c r="J7" s="65" t="n">
        <v>9939334.751353361</v>
      </c>
      <c r="K7" s="65" t="n">
        <v>9844825.069569839</v>
      </c>
      <c r="L7" s="508">
        <f>(C7-D7)/C7</f>
        <v/>
      </c>
      <c r="M7" s="61" t="inlineStr">
        <is>
          <t>ISM / G.1.2.</t>
        </is>
      </c>
      <c r="N7" s="65" t="n">
        <v>190191630.463439</v>
      </c>
      <c r="O7" s="65" t="n">
        <v>180716181.586539</v>
      </c>
      <c r="P7" s="65" t="n">
        <v>179281084.645163</v>
      </c>
      <c r="Q7" s="65" t="n">
        <v>179281084.645163</v>
      </c>
      <c r="R7" s="65" t="n">
        <v>173627953.68</v>
      </c>
      <c r="S7" s="65" t="n">
        <v>176697480.54</v>
      </c>
      <c r="T7" s="65" t="n">
        <v>173703600.15</v>
      </c>
      <c r="U7" s="65" t="n">
        <v>162270992.44</v>
      </c>
      <c r="V7" s="65" t="n">
        <v>161007159.05</v>
      </c>
      <c r="W7" s="508">
        <f>(N7-O7)/N7</f>
        <v/>
      </c>
    </row>
    <row r="8">
      <c r="A8" s="80" t="n"/>
      <c r="B8" s="61" t="inlineStr">
        <is>
          <t>İncitaş / G.1.3.</t>
        </is>
      </c>
      <c r="C8" s="65" t="n">
        <v>9380607.11104257</v>
      </c>
      <c r="D8" s="65" t="n">
        <v>8996775.94772937</v>
      </c>
      <c r="E8" s="65" t="n">
        <v>8617801.02224906</v>
      </c>
      <c r="F8" s="65" t="n">
        <v>8906930.708022291</v>
      </c>
      <c r="G8" s="65" t="n">
        <v>8057329.73731682</v>
      </c>
      <c r="H8" s="65" t="n">
        <v>8298220.5024481</v>
      </c>
      <c r="I8" s="65" t="n">
        <v>8481161.64616596</v>
      </c>
      <c r="J8" s="65" t="n">
        <v>6562148.15921828</v>
      </c>
      <c r="K8" s="65" t="n">
        <v>6537408.96445895</v>
      </c>
      <c r="L8" s="508">
        <f>(C8-D8)/C8</f>
        <v/>
      </c>
      <c r="M8" s="61" t="inlineStr">
        <is>
          <t>İncitaş / G.1.3.</t>
        </is>
      </c>
      <c r="N8" s="65" t="n">
        <v>164061619.883722</v>
      </c>
      <c r="O8" s="65" t="n">
        <v>161331325.974582</v>
      </c>
      <c r="P8" s="65" t="n">
        <v>154354473.110144</v>
      </c>
      <c r="Q8" s="65" t="n">
        <v>153534815.558018</v>
      </c>
      <c r="R8" s="65" t="n">
        <v>137342016.681655</v>
      </c>
      <c r="S8" s="65" t="n">
        <v>136306995.866112</v>
      </c>
      <c r="T8" s="65" t="n">
        <v>139694711.578132</v>
      </c>
      <c r="U8" s="65" t="n">
        <v>107451385.877258</v>
      </c>
      <c r="V8" s="65" t="n">
        <v>106906980.439174</v>
      </c>
      <c r="W8" s="508">
        <f>(N8-O8)/N8</f>
        <v/>
      </c>
    </row>
    <row r="9">
      <c r="A9" s="80" t="n"/>
      <c r="B9" s="61" t="inlineStr">
        <is>
          <t>İnci GS Yuasa / G.1.4.</t>
        </is>
      </c>
      <c r="C9" s="65" t="n">
        <v>219178312.66323</v>
      </c>
      <c r="D9" s="65" t="n">
        <v>228301620.268359</v>
      </c>
      <c r="E9" s="65" t="n">
        <v>236585157.342049</v>
      </c>
      <c r="F9" s="65" t="n">
        <v>232334356.518773</v>
      </c>
      <c r="G9" s="65" t="n">
        <v>241508515.34211</v>
      </c>
      <c r="H9" s="65" t="n">
        <v>244572707.801137</v>
      </c>
      <c r="I9" s="65" t="n">
        <v>230614981.261337</v>
      </c>
      <c r="J9" s="65" t="n">
        <v>231833038.864298</v>
      </c>
      <c r="K9" s="65" t="n">
        <v>218470880.913341</v>
      </c>
      <c r="L9" s="508">
        <f>(C9-D9)/C9</f>
        <v/>
      </c>
      <c r="M9" s="61" t="inlineStr">
        <is>
          <t>İnci GS Yuasa / G.1.4.</t>
        </is>
      </c>
      <c r="N9" s="65" t="n">
        <v>3819095867.2598</v>
      </c>
      <c r="O9" s="65" t="n">
        <v>4121688526.22158</v>
      </c>
      <c r="P9" s="65" t="n">
        <v>4278863671.87119</v>
      </c>
      <c r="Q9" s="65" t="n">
        <v>4006078278.13602</v>
      </c>
      <c r="R9" s="65" t="n">
        <v>4140986029.54493</v>
      </c>
      <c r="S9" s="65" t="n">
        <v>4019731584.82727</v>
      </c>
      <c r="T9" s="65" t="n">
        <v>3794945892.88922</v>
      </c>
      <c r="U9" s="65" t="n">
        <v>3797283913.44518</v>
      </c>
      <c r="V9" s="65" t="n">
        <v>3574738343.53823</v>
      </c>
      <c r="W9" s="508">
        <f>(N9-O9)/N9</f>
        <v/>
      </c>
    </row>
    <row r="10">
      <c r="B10" s="61" t="inlineStr">
        <is>
          <t>Yusen İnci Loj. / G.1.5.</t>
        </is>
      </c>
      <c r="C10" s="65" t="n">
        <v>113168004.230423</v>
      </c>
      <c r="D10" s="65" t="n">
        <v>97838878.33754811</v>
      </c>
      <c r="E10" s="65" t="n">
        <v>92026575.4935784</v>
      </c>
      <c r="F10" s="65" t="n">
        <v>92134662.8319571</v>
      </c>
      <c r="G10" s="65" t="n">
        <v>90400141.60112409</v>
      </c>
      <c r="H10" s="65" t="n">
        <v>91145965.0217988</v>
      </c>
      <c r="I10" s="65" t="n">
        <v>99406336.0695302</v>
      </c>
      <c r="J10" s="65" t="n">
        <v>85247478.3725796</v>
      </c>
      <c r="K10" s="65" t="n">
        <v>80665277.945342</v>
      </c>
      <c r="L10" s="508">
        <f>(C10-D10)/C10</f>
        <v/>
      </c>
      <c r="M10" s="61" t="inlineStr">
        <is>
          <t>Yusen İnci Loj. / G.1.5.</t>
        </is>
      </c>
      <c r="N10" s="65" t="n">
        <v>1956633317.33923</v>
      </c>
      <c r="O10" s="65" t="n">
        <v>1702933917.45051</v>
      </c>
      <c r="P10" s="65" t="n">
        <v>1598084667.39167</v>
      </c>
      <c r="Q10" s="65" t="n">
        <v>1559409507.45068</v>
      </c>
      <c r="R10" s="65" t="n">
        <v>1520060152.92404</v>
      </c>
      <c r="S10" s="65" t="n">
        <v>1487478210.6359</v>
      </c>
      <c r="T10" s="65" t="n">
        <v>1630291408.02176</v>
      </c>
      <c r="U10" s="65" t="n">
        <v>1392554455.46765</v>
      </c>
      <c r="V10" s="65" t="n">
        <v>1318699101.00578</v>
      </c>
      <c r="W10" s="508">
        <f>(N10-O10)/N10</f>
        <v/>
      </c>
    </row>
    <row r="11">
      <c r="B11" s="61" t="inlineStr">
        <is>
          <t>Jantaş / G.1.6.</t>
        </is>
      </c>
      <c r="C11" s="65" t="n">
        <v>154169616.789462</v>
      </c>
      <c r="D11" s="65" t="n">
        <v>160458394.3605</v>
      </c>
      <c r="E11" s="65" t="n">
        <v>160458394.3605</v>
      </c>
      <c r="F11" s="65" t="n">
        <v>158422697.38081</v>
      </c>
      <c r="G11" s="65" t="n">
        <v>158422697.38081</v>
      </c>
      <c r="H11" s="65" t="n">
        <v>150118150.061846</v>
      </c>
      <c r="I11" s="65" t="n">
        <v>150118150.061846</v>
      </c>
      <c r="J11" s="65" t="n">
        <v>150118150.061846</v>
      </c>
      <c r="K11" s="65" t="n">
        <v>149272000</v>
      </c>
      <c r="L11" s="508">
        <f>(C11-D11)/C11</f>
        <v/>
      </c>
      <c r="M11" s="61" t="inlineStr">
        <is>
          <t>Jantaş / G.1.6.</t>
        </is>
      </c>
      <c r="N11" s="65" t="n">
        <v>2671233878.71999</v>
      </c>
      <c r="O11" s="65" t="n">
        <v>2872275316.69771</v>
      </c>
      <c r="P11" s="65" t="n">
        <v>2870819124.14078</v>
      </c>
      <c r="Q11" s="65" t="n">
        <v>2719453284.31976</v>
      </c>
      <c r="R11" s="65" t="n">
        <v>2702569048.58375</v>
      </c>
      <c r="S11" s="65" t="n">
        <v>2461451519.49999</v>
      </c>
      <c r="T11" s="65" t="n">
        <v>2466841616.4018</v>
      </c>
      <c r="U11" s="65" t="n">
        <v>2460926812.30065</v>
      </c>
      <c r="V11" s="65" t="n">
        <v>2445997139.3688</v>
      </c>
      <c r="W11" s="508">
        <f>(N11-O11)/N11</f>
        <v/>
      </c>
    </row>
    <row r="12">
      <c r="B12" s="61" t="inlineStr">
        <is>
          <t>Çelik / G.1.7.</t>
        </is>
      </c>
      <c r="C12" s="65" t="n">
        <v>80395515.82733729</v>
      </c>
      <c r="D12" s="65" t="n">
        <v>80114000</v>
      </c>
      <c r="E12" s="65" t="n">
        <v>80114000</v>
      </c>
      <c r="F12" s="65" t="n">
        <v>79331000</v>
      </c>
      <c r="G12" s="65" t="n">
        <v>79331000</v>
      </c>
      <c r="H12" s="65" t="n">
        <v>82360375.6851581</v>
      </c>
      <c r="I12" s="65" t="n">
        <v>82360375.6851581</v>
      </c>
      <c r="J12" s="65" t="n">
        <v>75035000</v>
      </c>
      <c r="K12" s="65" t="n">
        <v>77699426.6678035</v>
      </c>
      <c r="L12" s="508">
        <f>(C12-D12)/C12</f>
        <v/>
      </c>
      <c r="M12" s="61" t="inlineStr">
        <is>
          <t>Çelik / G.1.7.</t>
        </is>
      </c>
      <c r="N12" s="65" t="n">
        <v>1392679988.2128</v>
      </c>
      <c r="O12" s="65" t="n">
        <v>1425060613.15572</v>
      </c>
      <c r="P12" s="65" t="n">
        <v>1425781616.51679</v>
      </c>
      <c r="Q12" s="65" t="n">
        <v>1359181851.02753</v>
      </c>
      <c r="R12" s="65" t="n">
        <v>1351091376.46579</v>
      </c>
      <c r="S12" s="65" t="n">
        <v>1353432983.41358</v>
      </c>
      <c r="T12" s="65" t="n">
        <v>1355578023.31463</v>
      </c>
      <c r="U12" s="65" t="n">
        <v>1230115657.63483</v>
      </c>
      <c r="V12" s="65" t="n">
        <v>1273977544.55585</v>
      </c>
      <c r="W12" s="508">
        <f>(N12-O12)/N12</f>
        <v/>
      </c>
    </row>
    <row r="13">
      <c r="A13" s="80" t="n"/>
      <c r="B13" s="61" t="inlineStr">
        <is>
          <t>Alüminyum / G.1.8.</t>
        </is>
      </c>
      <c r="C13" s="65" t="n">
        <v>271195197.807312</v>
      </c>
      <c r="D13" s="65" t="n">
        <v>264632546.774893</v>
      </c>
      <c r="E13" s="65" t="n">
        <v>264632546.774893</v>
      </c>
      <c r="F13" s="65" t="n">
        <v>264632546.774893</v>
      </c>
      <c r="G13" s="65" t="n">
        <v>264632546.774893</v>
      </c>
      <c r="H13" s="65" t="n">
        <v>242696534.7</v>
      </c>
      <c r="I13" s="65" t="n">
        <v>242696534.7</v>
      </c>
      <c r="J13" s="65" t="n">
        <v>231413733.847596</v>
      </c>
      <c r="K13" s="65" t="n">
        <v>237251443.358723</v>
      </c>
      <c r="L13" s="508">
        <f>(C13-D13)/C13</f>
        <v/>
      </c>
      <c r="M13" s="61" t="inlineStr">
        <is>
          <t>Alüminyum / G.1.8.</t>
        </is>
      </c>
      <c r="N13" s="65" t="n">
        <v>4716286067.11358</v>
      </c>
      <c r="O13" s="65" t="n">
        <v>4725047634.04108</v>
      </c>
      <c r="P13" s="65" t="n">
        <v>4728394866.58451</v>
      </c>
      <c r="Q13" s="65" t="n">
        <v>4548703112.1822</v>
      </c>
      <c r="R13" s="65" t="n">
        <v>4520164710.7506</v>
      </c>
      <c r="S13" s="65" t="n">
        <v>3979575994.87568</v>
      </c>
      <c r="T13" s="65" t="n">
        <v>3990829056.5649</v>
      </c>
      <c r="U13" s="65" t="n">
        <v>3791954763.3304</v>
      </c>
      <c r="V13" s="65" t="n">
        <v>3890693213.19282</v>
      </c>
      <c r="W13" s="508">
        <f>(N13-O13)/N13</f>
        <v/>
      </c>
    </row>
    <row r="14">
      <c r="A14" s="80" t="n"/>
      <c r="B14" s="61" t="inlineStr">
        <is>
          <t>x / G.1.9.</t>
        </is>
      </c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508" t="n"/>
      <c r="M14" s="61" t="inlineStr">
        <is>
          <t>x / G.1.9.</t>
        </is>
      </c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508" t="n"/>
    </row>
    <row r="15">
      <c r="B15" s="61" t="inlineStr">
        <is>
          <t>y / G.1.10.</t>
        </is>
      </c>
      <c r="C15" s="65" t="n"/>
      <c r="D15" s="65" t="n"/>
      <c r="E15" s="65" t="n"/>
      <c r="F15" s="65" t="n"/>
      <c r="G15" s="65" t="n"/>
      <c r="H15" s="65" t="n"/>
      <c r="I15" s="65" t="n"/>
      <c r="J15" s="65" t="n"/>
      <c r="K15" s="65" t="n"/>
      <c r="L15" s="508" t="n"/>
      <c r="M15" s="61" t="inlineStr">
        <is>
          <t>y / G.1.10.</t>
        </is>
      </c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508" t="n"/>
    </row>
    <row r="16">
      <c r="B16" s="61" t="inlineStr">
        <is>
          <t>SMM-EUR / G.2.</t>
        </is>
      </c>
      <c r="C16" s="65" t="n">
        <v>-302539782.733602</v>
      </c>
      <c r="D16" s="65" t="n">
        <v>-296885365.281632</v>
      </c>
      <c r="E16" s="65" t="n">
        <v>-296658223.77107</v>
      </c>
      <c r="F16" s="65" t="n">
        <v>-295177208.526967</v>
      </c>
      <c r="G16" s="65" t="n">
        <v>-316064087.903882</v>
      </c>
      <c r="H16" s="65" t="n">
        <v>-309391015.694422</v>
      </c>
      <c r="I16" s="65" t="n">
        <v>-306424562.835251</v>
      </c>
      <c r="J16" s="65" t="n">
        <v>-294146258.315828</v>
      </c>
      <c r="K16" s="65" t="n">
        <v>-286606287.87878</v>
      </c>
      <c r="L16" s="508">
        <f>(C16-D16)/C16</f>
        <v/>
      </c>
      <c r="M16" s="61" t="inlineStr">
        <is>
          <t>SMM-TL / G.2.</t>
        </is>
      </c>
      <c r="N16" s="65" t="n">
        <v>-5259500835.71062</v>
      </c>
      <c r="O16" s="65" t="n">
        <v>-5301783099.9872</v>
      </c>
      <c r="P16" s="65" t="n">
        <v>-5301402438.25358</v>
      </c>
      <c r="Q16" s="65" t="n">
        <v>-5068776129.49824</v>
      </c>
      <c r="R16" s="65" t="n">
        <v>-5394562179.13305</v>
      </c>
      <c r="S16" s="65" t="n">
        <v>-5075900609.80401</v>
      </c>
      <c r="T16" s="65" t="n">
        <v>-5038291600.8617</v>
      </c>
      <c r="U16" s="65" t="n">
        <v>-4817824587.86309</v>
      </c>
      <c r="V16" s="65" t="n">
        <v>-4693533956.52798</v>
      </c>
      <c r="W16" s="508">
        <f>(N16-O16)/N16</f>
        <v/>
      </c>
    </row>
    <row r="17">
      <c r="A17" s="80" t="n"/>
      <c r="B17" s="61" t="inlineStr">
        <is>
          <t>İnci Holding / G.2.1.</t>
        </is>
      </c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508" t="n"/>
      <c r="M17" s="61" t="inlineStr">
        <is>
          <t>İnci Holding / G.2.1.</t>
        </is>
      </c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508" t="n"/>
    </row>
    <row r="18">
      <c r="A18" s="80" t="n"/>
      <c r="B18" s="61" t="inlineStr">
        <is>
          <t>ISM / G.2.2.</t>
        </is>
      </c>
      <c r="C18" s="65" t="n">
        <v>-8410533.00536867</v>
      </c>
      <c r="D18" s="65" t="n">
        <v>-7908948.74077883</v>
      </c>
      <c r="E18" s="65" t="n">
        <v>-7888478.92757047</v>
      </c>
      <c r="F18" s="65" t="n">
        <v>-8065476.28678984</v>
      </c>
      <c r="G18" s="65" t="n">
        <v>-7693075.42177411</v>
      </c>
      <c r="H18" s="65" t="n">
        <v>-8104532.05351147</v>
      </c>
      <c r="I18" s="65" t="n">
        <v>-7870553.93437216</v>
      </c>
      <c r="J18" s="65" t="n">
        <v>-7327416.25323345</v>
      </c>
      <c r="K18" s="65" t="n">
        <v>-7266718.96759681</v>
      </c>
      <c r="L18" s="508">
        <f>(C18-D18)/C18</f>
        <v/>
      </c>
      <c r="M18" s="61" t="inlineStr">
        <is>
          <t>ISM / G.2.2.</t>
        </is>
      </c>
      <c r="N18" s="65" t="n">
        <v>-143585107.225552</v>
      </c>
      <c r="O18" s="65" t="n">
        <v>-136443444.680322</v>
      </c>
      <c r="P18" s="65" t="n">
        <v>-136453110.201699</v>
      </c>
      <c r="Q18" s="65" t="n">
        <v>-136453110.201699</v>
      </c>
      <c r="R18" s="65" t="n">
        <v>-129083613.400546</v>
      </c>
      <c r="S18" s="65" t="n">
        <v>-132305316.35</v>
      </c>
      <c r="T18" s="65" t="n">
        <v>-128912625.006388</v>
      </c>
      <c r="U18" s="65" t="n">
        <v>-119601924.904072</v>
      </c>
      <c r="V18" s="65" t="n">
        <v>-118812502.587654</v>
      </c>
      <c r="W18" s="508">
        <f>(N18-O18)/N18</f>
        <v/>
      </c>
    </row>
    <row r="19">
      <c r="A19" s="81" t="n"/>
      <c r="B19" s="61" t="inlineStr">
        <is>
          <t>İncitaş / G.2.3.</t>
        </is>
      </c>
      <c r="C19" s="65" t="n">
        <v>-7888183.41119262</v>
      </c>
      <c r="D19" s="65" t="n">
        <v>-7582720.75014328</v>
      </c>
      <c r="E19" s="65" t="n">
        <v>-7213761.73914369</v>
      </c>
      <c r="F19" s="65" t="n">
        <v>-7453441.87962862</v>
      </c>
      <c r="G19" s="65" t="n">
        <v>-6760780.9403703</v>
      </c>
      <c r="H19" s="65" t="n">
        <v>-6997849.08543799</v>
      </c>
      <c r="I19" s="65" t="n">
        <v>-7122279.73809449</v>
      </c>
      <c r="J19" s="65" t="n">
        <v>-5471317.17643747</v>
      </c>
      <c r="K19" s="65" t="n">
        <v>-5481643.64551633</v>
      </c>
      <c r="L19" s="508">
        <f>(C19-D19)/C19</f>
        <v/>
      </c>
      <c r="M19" s="61" t="inlineStr">
        <is>
          <t>İncitaş / G.2.3.</t>
        </is>
      </c>
      <c r="N19" s="65" t="n">
        <v>-138285255.258363</v>
      </c>
      <c r="O19" s="65" t="n">
        <v>-136429540.338475</v>
      </c>
      <c r="P19" s="65" t="n">
        <v>-129593546.00772</v>
      </c>
      <c r="Q19" s="65" t="n">
        <v>-128720751.12412</v>
      </c>
      <c r="R19" s="65" t="n">
        <v>-115476947.065122</v>
      </c>
      <c r="S19" s="65" t="n">
        <v>-115065229.152647</v>
      </c>
      <c r="T19" s="65" t="n">
        <v>-117412288.069428</v>
      </c>
      <c r="U19" s="65" t="n">
        <v>-89670404.47265559</v>
      </c>
      <c r="V19" s="65" t="n">
        <v>-89700717.81933761</v>
      </c>
      <c r="W19" s="508">
        <f>(N19-O19)/N19</f>
        <v/>
      </c>
    </row>
    <row r="20">
      <c r="B20" s="61" t="inlineStr">
        <is>
          <t>İnci GS Yuasa / G.2.4.</t>
        </is>
      </c>
      <c r="C20" s="65" t="n">
        <v>-188457998.921868</v>
      </c>
      <c r="D20" s="65" t="n">
        <v>-195286505.395076</v>
      </c>
      <c r="E20" s="65" t="n">
        <v>-200761695.691837</v>
      </c>
      <c r="F20" s="65" t="n">
        <v>-198365034.243357</v>
      </c>
      <c r="G20" s="65" t="n">
        <v>-203726049.670598</v>
      </c>
      <c r="H20" s="65" t="n">
        <v>-205047352.638546</v>
      </c>
      <c r="I20" s="65" t="n">
        <v>-193444415.954082</v>
      </c>
      <c r="J20" s="65" t="n">
        <v>-194262620.722377</v>
      </c>
      <c r="K20" s="65" t="n">
        <v>-183038062.126645</v>
      </c>
      <c r="L20" s="508">
        <f>(C20-D20)/C20</f>
        <v/>
      </c>
      <c r="M20" s="61" t="inlineStr">
        <is>
          <t>İnci GS Yuasa / G.2.4.</t>
        </is>
      </c>
      <c r="N20" s="65" t="n">
        <v>-3285361822.69031</v>
      </c>
      <c r="O20" s="65" t="n">
        <v>-3525943843.56115</v>
      </c>
      <c r="P20" s="65" t="n">
        <v>-3629486438.48457</v>
      </c>
      <c r="Q20" s="65" t="n">
        <v>-3420867991.06759</v>
      </c>
      <c r="R20" s="65" t="n">
        <v>-3491987968.36206</v>
      </c>
      <c r="S20" s="65" t="n">
        <v>-3369373355.10342</v>
      </c>
      <c r="T20" s="65" t="n">
        <v>-3182585563.4162</v>
      </c>
      <c r="U20" s="65" t="n">
        <v>-3181276344.13751</v>
      </c>
      <c r="V20" s="65" t="n">
        <v>-2994627273.19416</v>
      </c>
      <c r="W20" s="508">
        <f>(N20-O20)/N20</f>
        <v/>
      </c>
    </row>
    <row r="21">
      <c r="B21" s="61" t="inlineStr">
        <is>
          <t>Yusen İnci Loj. / G.2.5.</t>
        </is>
      </c>
      <c r="C21" s="65" t="n">
        <v>-99836072.26759849</v>
      </c>
      <c r="D21" s="65" t="n">
        <v>-86163642.15303209</v>
      </c>
      <c r="E21" s="65" t="n">
        <v>-81094170.1403854</v>
      </c>
      <c r="F21" s="65" t="n">
        <v>-81239392.30220319</v>
      </c>
      <c r="G21" s="65" t="n">
        <v>-79826717.41028599</v>
      </c>
      <c r="H21" s="65" t="n">
        <v>-80626849.69426879</v>
      </c>
      <c r="I21" s="65" t="n">
        <v>-87988257.0681264</v>
      </c>
      <c r="J21" s="65" t="n">
        <v>-75522211.74136411</v>
      </c>
      <c r="K21" s="65" t="n">
        <v>-71463458.5164385</v>
      </c>
      <c r="L21" s="508">
        <f>(C21-D21)/C21</f>
        <v/>
      </c>
      <c r="M21" s="61" t="inlineStr">
        <is>
          <t>Yusen İnci Loj. / G.2.5.</t>
        </is>
      </c>
      <c r="N21" s="65" t="n">
        <v>-1726686941.16916</v>
      </c>
      <c r="O21" s="65" t="n">
        <v>-1500228432.55906</v>
      </c>
      <c r="P21" s="65" t="n">
        <v>-1408806980.26196</v>
      </c>
      <c r="Q21" s="65" t="n">
        <v>-1375349158.57375</v>
      </c>
      <c r="R21" s="65" t="n">
        <v>-1342702151.07401</v>
      </c>
      <c r="S21" s="65" t="n">
        <v>-1316043061.45385</v>
      </c>
      <c r="T21" s="65" t="n">
        <v>-1443235562.42277</v>
      </c>
      <c r="U21" s="65" t="n">
        <v>-1233878725.2762</v>
      </c>
      <c r="V21" s="65" t="n">
        <v>-1168454846.76534</v>
      </c>
      <c r="W21" s="508">
        <f>(N21-O21)/N21</f>
        <v/>
      </c>
    </row>
    <row r="22">
      <c r="B22" s="61" t="inlineStr">
        <is>
          <t>Jantaş / G.2.6.</t>
        </is>
      </c>
      <c r="C22" s="65" t="n">
        <v>-127318731.294724</v>
      </c>
      <c r="D22" s="65" t="n">
        <v>-130615655.848</v>
      </c>
      <c r="E22" s="65" t="n">
        <v>-130615655.848</v>
      </c>
      <c r="F22" s="65" t="n">
        <v>-127863863.275145</v>
      </c>
      <c r="G22" s="65" t="n">
        <v>-127863863.275145</v>
      </c>
      <c r="H22" s="65" t="n">
        <v>-117980777.952965</v>
      </c>
      <c r="I22" s="65" t="n">
        <v>-117980777.952965</v>
      </c>
      <c r="J22" s="65" t="n">
        <v>-117980777.952965</v>
      </c>
      <c r="K22" s="65" t="n">
        <v>-115650000</v>
      </c>
      <c r="L22" s="508">
        <f>(C22-D22)/C22</f>
        <v/>
      </c>
      <c r="M22" s="61" t="inlineStr">
        <is>
          <t>Jantaş / G.2.6.</t>
        </is>
      </c>
      <c r="N22" s="65" t="n">
        <v>-2217266884.06851</v>
      </c>
      <c r="O22" s="65" t="n">
        <v>-2350022534.30068</v>
      </c>
      <c r="P22" s="65" t="n">
        <v>-2349972838.25809</v>
      </c>
      <c r="Q22" s="65" t="n">
        <v>-2202257143.8766</v>
      </c>
      <c r="R22" s="65" t="n">
        <v>-2187984934.73972</v>
      </c>
      <c r="S22" s="65" t="n">
        <v>-1936029431.06374</v>
      </c>
      <c r="T22" s="65" t="n">
        <v>-1940040348.36411</v>
      </c>
      <c r="U22" s="65" t="n">
        <v>-1934446412.15862</v>
      </c>
      <c r="V22" s="65" t="n">
        <v>-1894799974.33671</v>
      </c>
      <c r="W22" s="508">
        <f>(N22-O22)/N22</f>
        <v/>
      </c>
    </row>
    <row r="23">
      <c r="B23" s="61" t="inlineStr">
        <is>
          <t>Çelik / G.2.7.</t>
        </is>
      </c>
      <c r="C23" s="65" t="n">
        <v>-64005344.0227868</v>
      </c>
      <c r="D23" s="65" t="n">
        <v>-63573000</v>
      </c>
      <c r="E23" s="65" t="n">
        <v>-63573000</v>
      </c>
      <c r="F23" s="65" t="n">
        <v>-63832000</v>
      </c>
      <c r="G23" s="65" t="n">
        <v>-63832000</v>
      </c>
      <c r="H23" s="65" t="n">
        <v>-66788054.0732663</v>
      </c>
      <c r="I23" s="65" t="n">
        <v>-66788054.0732663</v>
      </c>
      <c r="J23" s="65" t="n">
        <v>-63285000</v>
      </c>
      <c r="K23" s="65" t="n">
        <v>-65422403.0208346</v>
      </c>
      <c r="L23" s="508">
        <f>(C23-D23)/C23</f>
        <v/>
      </c>
      <c r="M23" s="61" t="inlineStr">
        <is>
          <t>Çelik / G.2.7.</t>
        </is>
      </c>
      <c r="N23" s="65" t="n">
        <v>-1111378597.60497</v>
      </c>
      <c r="O23" s="65" t="n">
        <v>-1134664069.73384</v>
      </c>
      <c r="P23" s="65" t="n">
        <v>-1134676158.57943</v>
      </c>
      <c r="Q23" s="65" t="n">
        <v>-1096188740.90717</v>
      </c>
      <c r="R23" s="65" t="n">
        <v>-1089371349.80157</v>
      </c>
      <c r="S23" s="65" t="n">
        <v>-1097268822.93851</v>
      </c>
      <c r="T23" s="65" t="n">
        <v>-1099256147.74638</v>
      </c>
      <c r="U23" s="65" t="n">
        <v>-1037725472.52655</v>
      </c>
      <c r="V23" s="65" t="n">
        <v>-1072611989.9537</v>
      </c>
      <c r="W23" s="508">
        <f>(N23-O23)/N23</f>
        <v/>
      </c>
    </row>
    <row r="24">
      <c r="A24" s="80" t="n"/>
      <c r="B24" s="61" t="inlineStr">
        <is>
          <t>Alüminyum / G.2.8.</t>
        </is>
      </c>
      <c r="C24" s="65" t="n">
        <v>-235984519.285625</v>
      </c>
      <c r="D24" s="65" t="n">
        <v>-227845436.080666</v>
      </c>
      <c r="E24" s="65" t="n">
        <v>-227845436.080666</v>
      </c>
      <c r="F24" s="65" t="n">
        <v>-227845436.080666</v>
      </c>
      <c r="G24" s="65" t="n">
        <v>-227845436.080666</v>
      </c>
      <c r="H24" s="65" t="n">
        <v>-214016713.87</v>
      </c>
      <c r="I24" s="65" t="n">
        <v>-214016713.87</v>
      </c>
      <c r="J24" s="65" t="n">
        <v>-203752546.618091</v>
      </c>
      <c r="K24" s="65" t="n">
        <v>-203311373.968587</v>
      </c>
      <c r="L24" s="508">
        <f>(C24-D24)/C24</f>
        <v/>
      </c>
      <c r="M24" s="61" t="inlineStr">
        <is>
          <t>Alüminyum / G.2.8.</t>
        </is>
      </c>
      <c r="N24" s="65" t="n">
        <v>-4103381937.53382</v>
      </c>
      <c r="O24" s="65" t="n">
        <v>-4061416407.26626</v>
      </c>
      <c r="P24" s="65" t="n">
        <v>-4065447039.52634</v>
      </c>
      <c r="Q24" s="65" t="n">
        <v>-3914342636.00595</v>
      </c>
      <c r="R24" s="65" t="n">
        <v>-3889960650.60059</v>
      </c>
      <c r="S24" s="65" t="n">
        <v>-3510267151.41803</v>
      </c>
      <c r="T24" s="65" t="n">
        <v>-3519152706.6612</v>
      </c>
      <c r="U24" s="65" t="n">
        <v>-3338734606.08265</v>
      </c>
      <c r="V24" s="65" t="n">
        <v>-3333400937.75403</v>
      </c>
      <c r="W24" s="508">
        <f>(N24-O24)/N24</f>
        <v/>
      </c>
    </row>
    <row r="25">
      <c r="A25" s="80" t="n"/>
      <c r="B25" s="61" t="inlineStr">
        <is>
          <t>x / G.2.9.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508" t="n"/>
      <c r="M25" s="61" t="inlineStr">
        <is>
          <t>x / G.2.9.</t>
        </is>
      </c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508" t="n"/>
    </row>
    <row r="26">
      <c r="A26" s="81" t="n"/>
      <c r="B26" s="61" t="inlineStr">
        <is>
          <t>y / G.2.10.</t>
        </is>
      </c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508" t="n"/>
      <c r="M26" s="61" t="inlineStr">
        <is>
          <t>y / G.2.10.</t>
        </is>
      </c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508" t="n"/>
    </row>
    <row r="27">
      <c r="B27" s="61" t="inlineStr">
        <is>
          <t>BRÜT KAR-EUR / G.3.</t>
        </is>
      </c>
      <c r="C27" s="65" t="n">
        <v>61756978.9208852</v>
      </c>
      <c r="D27" s="65" t="n">
        <v>63436508.3573125</v>
      </c>
      <c r="E27" s="65" t="n">
        <v>64165727.4416611</v>
      </c>
      <c r="F27" s="65" t="n">
        <v>63414009.8619706</v>
      </c>
      <c r="G27" s="65" t="n">
        <v>68415965.5724038</v>
      </c>
      <c r="H27" s="65" t="n">
        <v>67075013.1138012</v>
      </c>
      <c r="I27" s="65" t="n">
        <v>66069900.5089166</v>
      </c>
      <c r="J27" s="65" t="n">
        <v>62750213.9677264</v>
      </c>
      <c r="K27" s="65" t="n">
        <v>64663395.6215365</v>
      </c>
      <c r="L27" s="508">
        <f>(C27-D27)/C27</f>
        <v/>
      </c>
      <c r="M27" s="61" t="inlineStr">
        <is>
          <t>BRÜT KAR-TL / G.3.</t>
        </is>
      </c>
      <c r="N27" s="65" t="n">
        <v>1065653708.92229</v>
      </c>
      <c r="O27" s="65" t="n">
        <v>1127596457.42816</v>
      </c>
      <c r="P27" s="65" t="n">
        <v>1141503328.60997</v>
      </c>
      <c r="Q27" s="65" t="n">
        <v>1084445071.09895</v>
      </c>
      <c r="R27" s="65" t="n">
        <v>1167236576.46103</v>
      </c>
      <c r="S27" s="65" t="n">
        <v>1099840962.51318</v>
      </c>
      <c r="T27" s="65" t="n">
        <v>1085979313.40982</v>
      </c>
      <c r="U27" s="65" t="n">
        <v>1027752604.02504</v>
      </c>
      <c r="V27" s="65" t="n">
        <v>1059537668.68446</v>
      </c>
      <c r="W27" s="508">
        <f>(N27-O27)/N27</f>
        <v/>
      </c>
    </row>
    <row r="28">
      <c r="B28" s="61" t="inlineStr">
        <is>
          <t>İnci Holding / G.3.1.</t>
        </is>
      </c>
      <c r="C28" s="65" t="n">
        <v>8532196.43049751</v>
      </c>
      <c r="D28" s="65" t="n">
        <v>8308949.15726336</v>
      </c>
      <c r="E28" s="65" t="n">
        <v>8302562.46513399</v>
      </c>
      <c r="F28" s="65" t="n">
        <v>8338106.77921607</v>
      </c>
      <c r="G28" s="65" t="n">
        <v>8213540.9641969</v>
      </c>
      <c r="H28" s="65" t="n">
        <v>8530815.957978901</v>
      </c>
      <c r="I28" s="65" t="n">
        <v>8268866.42117422</v>
      </c>
      <c r="J28" s="65" t="n">
        <v>7752725.02802484</v>
      </c>
      <c r="K28" s="65" t="n">
        <v>7696749.82086961</v>
      </c>
      <c r="L28" s="508">
        <f>(C28-D28)/C28</f>
        <v/>
      </c>
      <c r="M28" s="61" t="inlineStr">
        <is>
          <t>İnci Holding / G.3.1.</t>
        </is>
      </c>
      <c r="N28" s="65" t="n">
        <v>148529646.827592</v>
      </c>
      <c r="O28" s="65" t="n">
        <v>148529646.827592</v>
      </c>
      <c r="P28" s="65" t="n">
        <v>148492630.506261</v>
      </c>
      <c r="Q28" s="65" t="n">
        <v>143274887.147533</v>
      </c>
      <c r="R28" s="65" t="n">
        <v>142781654.970282</v>
      </c>
      <c r="S28" s="65" t="n">
        <v>140095820.127379</v>
      </c>
      <c r="T28" s="65" t="n">
        <v>135983614.377541</v>
      </c>
      <c r="U28" s="65" t="n">
        <v>126992181.354869</v>
      </c>
      <c r="V28" s="65" t="n">
        <v>126041514.704857</v>
      </c>
      <c r="W28" s="508">
        <f>(N28-O28)/N28</f>
        <v/>
      </c>
    </row>
    <row r="29">
      <c r="B29" s="61" t="inlineStr">
        <is>
          <t>ISM / G.3.2.</t>
        </is>
      </c>
      <c r="C29" s="65" t="n">
        <v>2730766.18047303</v>
      </c>
      <c r="D29" s="65" t="n">
        <v>2569023.89665291</v>
      </c>
      <c r="E29" s="65" t="n">
        <v>2488439.20936903</v>
      </c>
      <c r="F29" s="65" t="n">
        <v>2538599.21233597</v>
      </c>
      <c r="G29" s="65" t="n">
        <v>2647295.37921268</v>
      </c>
      <c r="H29" s="65" t="n">
        <v>2717696.20619545</v>
      </c>
      <c r="I29" s="65" t="n">
        <v>2733832.10517277</v>
      </c>
      <c r="J29" s="65" t="n">
        <v>2611918.49811991</v>
      </c>
      <c r="K29" s="65" t="n">
        <v>2578106.10197303</v>
      </c>
      <c r="L29" s="508">
        <f>(C29-D29)/C29</f>
        <v/>
      </c>
      <c r="M29" s="61" t="inlineStr">
        <is>
          <t>ISM / G.3.2.</t>
        </is>
      </c>
      <c r="N29" s="65" t="n">
        <v>46606523.237887</v>
      </c>
      <c r="O29" s="65" t="n">
        <v>44272736.906217</v>
      </c>
      <c r="P29" s="65" t="n">
        <v>42827974.443464</v>
      </c>
      <c r="Q29" s="65" t="n">
        <v>42827974.443464</v>
      </c>
      <c r="R29" s="65" t="n">
        <v>44544340.279454</v>
      </c>
      <c r="S29" s="65" t="n">
        <v>44392164.19</v>
      </c>
      <c r="T29" s="65" t="n">
        <v>44790975.143612</v>
      </c>
      <c r="U29" s="65" t="n">
        <v>42669067.535928</v>
      </c>
      <c r="V29" s="65" t="n">
        <v>42194656.462346</v>
      </c>
      <c r="W29" s="508">
        <f>(N29-O29)/N29</f>
        <v/>
      </c>
    </row>
    <row r="30">
      <c r="B30" s="61" t="inlineStr">
        <is>
          <t>İncitaş / G.3.3.</t>
        </is>
      </c>
      <c r="C30" s="65" t="n">
        <v>1492423.69984996</v>
      </c>
      <c r="D30" s="65" t="n">
        <v>1414055.19758609</v>
      </c>
      <c r="E30" s="65" t="n">
        <v>1404039.28310537</v>
      </c>
      <c r="F30" s="65" t="n">
        <v>1453488.82839366</v>
      </c>
      <c r="G30" s="65" t="n">
        <v>1296548.79694651</v>
      </c>
      <c r="H30" s="65" t="n">
        <v>1300371.41701012</v>
      </c>
      <c r="I30" s="65" t="n">
        <v>1358881.90807147</v>
      </c>
      <c r="J30" s="65" t="n">
        <v>1090830.98278081</v>
      </c>
      <c r="K30" s="65" t="n">
        <v>1055765.31894262</v>
      </c>
      <c r="L30" s="508">
        <f>(C30-D30)/C30</f>
        <v/>
      </c>
      <c r="M30" s="61" t="inlineStr">
        <is>
          <t>İncitaş / G.3.3.</t>
        </is>
      </c>
      <c r="N30" s="65" t="n">
        <v>25776364.625359</v>
      </c>
      <c r="O30" s="65" t="n">
        <v>24901785.636107</v>
      </c>
      <c r="P30" s="65" t="n">
        <v>24760927.102424</v>
      </c>
      <c r="Q30" s="65" t="n">
        <v>24814064.433898</v>
      </c>
      <c r="R30" s="65" t="n">
        <v>21865069.616533</v>
      </c>
      <c r="S30" s="65" t="n">
        <v>21241766.713465</v>
      </c>
      <c r="T30" s="65" t="n">
        <v>22282423.508704</v>
      </c>
      <c r="U30" s="65" t="n">
        <v>17780981.4046024</v>
      </c>
      <c r="V30" s="65" t="n">
        <v>17206262.6198364</v>
      </c>
      <c r="W30" s="508">
        <f>(N30-O30)/N30</f>
        <v/>
      </c>
    </row>
    <row r="31">
      <c r="B31" s="61" t="inlineStr">
        <is>
          <t>İnci GS Yuasa / G.3.4.</t>
        </is>
      </c>
      <c r="C31" s="65" t="n">
        <v>30720313.7413626</v>
      </c>
      <c r="D31" s="65" t="n">
        <v>33015114.8732824</v>
      </c>
      <c r="E31" s="65" t="n">
        <v>35823461.6502119</v>
      </c>
      <c r="F31" s="65" t="n">
        <v>33969322.2754162</v>
      </c>
      <c r="G31" s="65" t="n">
        <v>37782465.6715115</v>
      </c>
      <c r="H31" s="65" t="n">
        <v>39525355.1625912</v>
      </c>
      <c r="I31" s="65" t="n">
        <v>37170565.307255</v>
      </c>
      <c r="J31" s="65" t="n">
        <v>37570418.1419204</v>
      </c>
      <c r="K31" s="65" t="n">
        <v>35432818.7866957</v>
      </c>
      <c r="L31" s="508">
        <f>(C31-D31)/C31</f>
        <v/>
      </c>
      <c r="M31" s="61" t="inlineStr">
        <is>
          <t>İnci GS Yuasa / G.3.4.</t>
        </is>
      </c>
      <c r="N31" s="65" t="n">
        <v>533734044.569485</v>
      </c>
      <c r="O31" s="65" t="n">
        <v>595744682.660432</v>
      </c>
      <c r="P31" s="65" t="n">
        <v>649377233.386623</v>
      </c>
      <c r="Q31" s="65" t="n">
        <v>585210287.068431</v>
      </c>
      <c r="R31" s="65" t="n">
        <v>648998061.182874</v>
      </c>
      <c r="S31" s="65" t="n">
        <v>650358229.72385</v>
      </c>
      <c r="T31" s="65" t="n">
        <v>612360329.4730231</v>
      </c>
      <c r="U31" s="65" t="n">
        <v>616007569.307672</v>
      </c>
      <c r="V31" s="65" t="n">
        <v>580111070.344067</v>
      </c>
      <c r="W31" s="508">
        <f>(N31-O31)/N31</f>
        <v/>
      </c>
    </row>
    <row r="32">
      <c r="B32" s="61" t="inlineStr">
        <is>
          <t>Yusen İnci Loj. / G.3.5.</t>
        </is>
      </c>
      <c r="C32" s="65" t="n">
        <v>13331931.9628241</v>
      </c>
      <c r="D32" s="65" t="n">
        <v>11675236.184516</v>
      </c>
      <c r="E32" s="65" t="n">
        <v>10932405.353193</v>
      </c>
      <c r="F32" s="65" t="n">
        <v>10895270.529754</v>
      </c>
      <c r="G32" s="65" t="n">
        <v>10573424.190838</v>
      </c>
      <c r="H32" s="65" t="n">
        <v>10519115.3275301</v>
      </c>
      <c r="I32" s="65" t="n">
        <v>11418079.0014038</v>
      </c>
      <c r="J32" s="65" t="n">
        <v>9725266.631215461</v>
      </c>
      <c r="K32" s="65" t="n">
        <v>9201819.4289035</v>
      </c>
      <c r="L32" s="508">
        <f>(C32-D32)/C32</f>
        <v/>
      </c>
      <c r="M32" s="61" t="inlineStr">
        <is>
          <t>Yusen İnci Loj. / G.3.5.</t>
        </is>
      </c>
      <c r="N32" s="65" t="n">
        <v>229946376.17007</v>
      </c>
      <c r="O32" s="65" t="n">
        <v>202705484.89145</v>
      </c>
      <c r="P32" s="65" t="n">
        <v>189277687.12971</v>
      </c>
      <c r="Q32" s="65" t="n">
        <v>184060348.87693</v>
      </c>
      <c r="R32" s="65" t="n">
        <v>177358001.85003</v>
      </c>
      <c r="S32" s="65" t="n">
        <v>171435149.18205</v>
      </c>
      <c r="T32" s="65" t="n">
        <v>187055845.598991</v>
      </c>
      <c r="U32" s="65" t="n">
        <v>158675730.19145</v>
      </c>
      <c r="V32" s="65" t="n">
        <v>150244254.24044</v>
      </c>
      <c r="W32" s="508">
        <f>(N32-O32)/N32</f>
        <v/>
      </c>
    </row>
    <row r="33">
      <c r="B33" s="61" t="inlineStr">
        <is>
          <t>Jantaş / G.3.6.</t>
        </is>
      </c>
      <c r="C33" s="65" t="n">
        <v>26850885.494738</v>
      </c>
      <c r="D33" s="65" t="n">
        <v>29842738.5125</v>
      </c>
      <c r="E33" s="65" t="n">
        <v>29842738.5125</v>
      </c>
      <c r="F33" s="65" t="n">
        <v>30558834.105665</v>
      </c>
      <c r="G33" s="65" t="n">
        <v>30558834.105665</v>
      </c>
      <c r="H33" s="65" t="n">
        <v>32137372.108881</v>
      </c>
      <c r="I33" s="65" t="n">
        <v>32137372.108881</v>
      </c>
      <c r="J33" s="65" t="n">
        <v>32137372.108881</v>
      </c>
      <c r="K33" s="65" t="n">
        <v>33622000</v>
      </c>
      <c r="L33" s="508">
        <f>(C33-D33)/C33</f>
        <v/>
      </c>
      <c r="M33" s="61" t="inlineStr">
        <is>
          <t>Jantaş / G.3.6.</t>
        </is>
      </c>
      <c r="N33" s="65" t="n">
        <v>453966994.651478</v>
      </c>
      <c r="O33" s="65" t="n">
        <v>522252782.397037</v>
      </c>
      <c r="P33" s="65" t="n">
        <v>520846285.882688</v>
      </c>
      <c r="Q33" s="65" t="n">
        <v>517196140.443154</v>
      </c>
      <c r="R33" s="65" t="n">
        <v>514584113.844034</v>
      </c>
      <c r="S33" s="65" t="n">
        <v>525422088.436257</v>
      </c>
      <c r="T33" s="65" t="n">
        <v>526801268.037694</v>
      </c>
      <c r="U33" s="65" t="n">
        <v>526480400.142033</v>
      </c>
      <c r="V33" s="65" t="n">
        <v>551197165.032089</v>
      </c>
      <c r="W33" s="508">
        <f>(N33-O33)/N33</f>
        <v/>
      </c>
    </row>
    <row r="34">
      <c r="B34" s="61" t="inlineStr">
        <is>
          <t>Çelik / G.3.7.</t>
        </is>
      </c>
      <c r="C34" s="65" t="n">
        <v>16390171.8045505</v>
      </c>
      <c r="D34" s="65" t="n">
        <v>16541000</v>
      </c>
      <c r="E34" s="65" t="n">
        <v>16541000</v>
      </c>
      <c r="F34" s="65" t="n">
        <v>15499000</v>
      </c>
      <c r="G34" s="65" t="n">
        <v>15499000</v>
      </c>
      <c r="H34" s="65" t="n">
        <v>15572321.6118918</v>
      </c>
      <c r="I34" s="65" t="n">
        <v>15572321.6118918</v>
      </c>
      <c r="J34" s="65" t="n">
        <v>11750000</v>
      </c>
      <c r="K34" s="65" t="n">
        <v>12277023.6469689</v>
      </c>
      <c r="L34" s="508">
        <f>(C34-D34)/C34</f>
        <v/>
      </c>
      <c r="M34" s="61" t="inlineStr">
        <is>
          <t>Çelik / G.3.7.</t>
        </is>
      </c>
      <c r="N34" s="65" t="n">
        <v>281301390.607826</v>
      </c>
      <c r="O34" s="65" t="n">
        <v>290396543.421872</v>
      </c>
      <c r="P34" s="65" t="n">
        <v>291105457.937354</v>
      </c>
      <c r="Q34" s="65" t="n">
        <v>262993110.120362</v>
      </c>
      <c r="R34" s="65" t="n">
        <v>261720026.664228</v>
      </c>
      <c r="S34" s="65" t="n">
        <v>256164160.475078</v>
      </c>
      <c r="T34" s="65" t="n">
        <v>256321875.568247</v>
      </c>
      <c r="U34" s="65" t="n">
        <v>192390185.108283</v>
      </c>
      <c r="V34" s="65" t="n">
        <v>201365554.602157</v>
      </c>
      <c r="W34" s="508">
        <f>(N34-O34)/N34</f>
        <v/>
      </c>
    </row>
    <row r="35">
      <c r="B35" s="61" t="inlineStr">
        <is>
          <t>Alüminyum / G.3.8.</t>
        </is>
      </c>
      <c r="C35" s="65" t="n">
        <v>35210678.521687</v>
      </c>
      <c r="D35" s="65" t="n">
        <v>36787110.694227</v>
      </c>
      <c r="E35" s="65" t="n">
        <v>36787110.694227</v>
      </c>
      <c r="F35" s="65" t="n">
        <v>36787110.694227</v>
      </c>
      <c r="G35" s="65" t="n">
        <v>36787110.6942269</v>
      </c>
      <c r="H35" s="65" t="n">
        <v>28679820.83</v>
      </c>
      <c r="I35" s="65" t="n">
        <v>28679820.83</v>
      </c>
      <c r="J35" s="65" t="n">
        <v>27661187.229505</v>
      </c>
      <c r="K35" s="65" t="n">
        <v>33940069.390136</v>
      </c>
      <c r="L35" s="508">
        <f>(C35-D35)/C35</f>
        <v/>
      </c>
      <c r="M35" s="61" t="inlineStr">
        <is>
          <t>Alüminyum / G.3.8.</t>
        </is>
      </c>
      <c r="N35" s="65" t="n">
        <v>612904129.579758</v>
      </c>
      <c r="O35" s="65" t="n">
        <v>663631226.774821</v>
      </c>
      <c r="P35" s="65" t="n">
        <v>662947827.058167</v>
      </c>
      <c r="Q35" s="65" t="n">
        <v>634360476.1762559</v>
      </c>
      <c r="R35" s="65" t="n">
        <v>630204060.150009</v>
      </c>
      <c r="S35" s="65" t="n">
        <v>469308843.457648</v>
      </c>
      <c r="T35" s="65" t="n">
        <v>471676349.9037</v>
      </c>
      <c r="U35" s="65" t="n">
        <v>453220157.247743</v>
      </c>
      <c r="V35" s="65" t="n">
        <v>557292275.438789</v>
      </c>
      <c r="W35" s="508">
        <f>(N35-O35)/N35</f>
        <v/>
      </c>
    </row>
    <row r="36">
      <c r="B36" s="61" t="inlineStr">
        <is>
          <t>x / G.3.9.</t>
        </is>
      </c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508" t="n"/>
      <c r="M36" s="61" t="inlineStr">
        <is>
          <t>x / G.3.9.</t>
        </is>
      </c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508" t="n"/>
    </row>
    <row r="37">
      <c r="B37" s="61" t="inlineStr">
        <is>
          <t>y / G.3.10.</t>
        </is>
      </c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508" t="n"/>
      <c r="M37" s="61" t="inlineStr">
        <is>
          <t>y / G.3.10.</t>
        </is>
      </c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508" t="n"/>
    </row>
    <row r="38">
      <c r="B38" s="61" t="inlineStr">
        <is>
          <t>Toplam Faaliyet Giderleri-EUR / G.4.</t>
        </is>
      </c>
      <c r="C38" s="65" t="n">
        <v>-22872056.8792147</v>
      </c>
      <c r="D38" s="65" t="n">
        <v>-22040335.1003471</v>
      </c>
      <c r="E38" s="65" t="n">
        <v>-22299311.9101777</v>
      </c>
      <c r="F38" s="65" t="n">
        <v>-22496483.4010303</v>
      </c>
      <c r="G38" s="65" t="n">
        <v>-23518756.0777547</v>
      </c>
      <c r="H38" s="65" t="n">
        <v>-23691440.6754679</v>
      </c>
      <c r="I38" s="65" t="n">
        <v>-23234642.4638282</v>
      </c>
      <c r="J38" s="65" t="n">
        <v>-22353537.7413719</v>
      </c>
      <c r="K38" s="65" t="n">
        <v>-22396118.2139837</v>
      </c>
      <c r="L38" s="508">
        <f>(C38-D38)/C38</f>
        <v/>
      </c>
      <c r="M38" s="61" t="inlineStr">
        <is>
          <t>Toplam Faaliyet Giderleri-TL / G.4.</t>
        </is>
      </c>
      <c r="N38" s="65" t="n">
        <v>-398508076.188402</v>
      </c>
      <c r="O38" s="65" t="n">
        <v>-394020354.552644</v>
      </c>
      <c r="P38" s="65" t="n">
        <v>-399216915.912864</v>
      </c>
      <c r="Q38" s="65" t="n">
        <v>-387059992.720216</v>
      </c>
      <c r="R38" s="65" t="n">
        <v>-402678414.28536</v>
      </c>
      <c r="S38" s="65" t="n">
        <v>-389005714.913451</v>
      </c>
      <c r="T38" s="65" t="n">
        <v>-382217274.580907</v>
      </c>
      <c r="U38" s="65" t="n">
        <v>-366364313.713889</v>
      </c>
      <c r="V38" s="65" t="n">
        <v>-366866659.18038</v>
      </c>
      <c r="W38" s="508">
        <f>(N38-O38)/N38</f>
        <v/>
      </c>
    </row>
    <row r="39">
      <c r="B39" s="61" t="inlineStr">
        <is>
          <t>İnci Holding / G.4.1.</t>
        </is>
      </c>
      <c r="C39" s="65" t="n">
        <v>-3328035.60365808</v>
      </c>
      <c r="D39" s="65" t="n">
        <v>-3223334.13317692</v>
      </c>
      <c r="E39" s="65" t="n">
        <v>-3190148.92335396</v>
      </c>
      <c r="F39" s="65" t="n">
        <v>-3667095.25539013</v>
      </c>
      <c r="G39" s="65" t="n">
        <v>-3026575.57883833</v>
      </c>
      <c r="H39" s="65" t="n">
        <v>-3151989.56011785</v>
      </c>
      <c r="I39" s="65" t="n">
        <v>-3127750.39099745</v>
      </c>
      <c r="J39" s="65" t="n">
        <v>-3034722.30555544</v>
      </c>
      <c r="K39" s="65" t="n">
        <v>-2989817.78384553</v>
      </c>
      <c r="L39" s="508">
        <f>(C39-D39)/C39</f>
        <v/>
      </c>
      <c r="M39" s="61" t="inlineStr">
        <is>
          <t>İnci Holding / G.4.1.</t>
        </is>
      </c>
      <c r="N39" s="65" t="n">
        <v>-58526707</v>
      </c>
      <c r="O39" s="65" t="n">
        <v>-58526707</v>
      </c>
      <c r="P39" s="65" t="n">
        <v>-57726619.3936651</v>
      </c>
      <c r="Q39" s="65" t="n">
        <v>-63771205</v>
      </c>
      <c r="R39" s="65" t="n">
        <v>-52965707</v>
      </c>
      <c r="S39" s="65" t="n">
        <v>-51873385</v>
      </c>
      <c r="T39" s="65" t="n">
        <v>-51554770.2893871</v>
      </c>
      <c r="U39" s="65" t="n">
        <v>-49803251</v>
      </c>
      <c r="V39" s="65" t="n">
        <v>-48971457.9676337</v>
      </c>
      <c r="W39" s="508">
        <f>(N39-O39)/N39</f>
        <v/>
      </c>
    </row>
    <row r="40">
      <c r="B40" s="61" t="inlineStr">
        <is>
          <t>ISM / G.4.2.</t>
        </is>
      </c>
      <c r="C40" s="65" t="n">
        <v>-1000093.10126513</v>
      </c>
      <c r="D40" s="65" t="n">
        <v>-903351.065124675</v>
      </c>
      <c r="E40" s="65" t="n">
        <v>-1099364.47337628</v>
      </c>
      <c r="F40" s="65" t="n">
        <v>-1138876.38295957</v>
      </c>
      <c r="G40" s="65" t="n">
        <v>-1035537.50707967</v>
      </c>
      <c r="H40" s="65" t="n">
        <v>-1086766.73283423</v>
      </c>
      <c r="I40" s="65" t="n">
        <v>-1077030.53205036</v>
      </c>
      <c r="J40" s="65" t="n">
        <v>-1024470.21673908</v>
      </c>
      <c r="K40" s="65" t="n">
        <v>-1047667.66991535</v>
      </c>
      <c r="L40" s="508">
        <f>(C40-D40)/C40</f>
        <v/>
      </c>
      <c r="M40" s="61" t="inlineStr">
        <is>
          <t>ISM / G.4.2.</t>
        </is>
      </c>
      <c r="N40" s="65" t="n">
        <v>-17279691.5541208</v>
      </c>
      <c r="O40" s="65" t="n">
        <v>-15759611.2532174</v>
      </c>
      <c r="P40" s="65" t="n">
        <v>-19648119.5810586</v>
      </c>
      <c r="Q40" s="65" t="n">
        <v>-19648119.5810586</v>
      </c>
      <c r="R40" s="65" t="n">
        <v>-17670543.3518827</v>
      </c>
      <c r="S40" s="65" t="n">
        <v>-17866373.14</v>
      </c>
      <c r="T40" s="65" t="n">
        <v>-17738175.615935</v>
      </c>
      <c r="U40" s="65" t="n">
        <v>-16803922.8901762</v>
      </c>
      <c r="V40" s="65" t="n">
        <v>-17164520.8040151</v>
      </c>
      <c r="W40" s="508">
        <f>(N40-O40)/N40</f>
        <v/>
      </c>
    </row>
    <row r="41">
      <c r="B41" s="61" t="inlineStr">
        <is>
          <t>İncitaş / G.4.3.</t>
        </is>
      </c>
      <c r="C41" s="65" t="n">
        <v>-680887.225389968</v>
      </c>
      <c r="D41" s="65" t="n">
        <v>-646515.335146422</v>
      </c>
      <c r="E41" s="65" t="n">
        <v>-658207.050982518</v>
      </c>
      <c r="F41" s="65" t="n">
        <v>-677749.70400709</v>
      </c>
      <c r="G41" s="65" t="n">
        <v>-592593.21953943</v>
      </c>
      <c r="H41" s="65" t="n">
        <v>-619506.176846338</v>
      </c>
      <c r="I41" s="65" t="n">
        <v>-612728.212818566</v>
      </c>
      <c r="J41" s="65" t="n">
        <v>-566283.83677382</v>
      </c>
      <c r="K41" s="65" t="n">
        <v>-559920.644149619</v>
      </c>
      <c r="L41" s="508">
        <f>(C41-D41)/C41</f>
        <v/>
      </c>
      <c r="M41" s="61" t="inlineStr">
        <is>
          <t>İncitaş / G.4.3.</t>
        </is>
      </c>
      <c r="N41" s="65" t="n">
        <v>-11875921.296793</v>
      </c>
      <c r="O41" s="65" t="n">
        <v>-11568291.6793149</v>
      </c>
      <c r="P41" s="65" t="n">
        <v>-11792165.9186399</v>
      </c>
      <c r="Q41" s="65" t="n">
        <v>-11680878.8555255</v>
      </c>
      <c r="R41" s="65" t="n">
        <v>-10083156.7942836</v>
      </c>
      <c r="S41" s="65" t="n">
        <v>-10168393.1875552</v>
      </c>
      <c r="T41" s="65" t="n">
        <v>-10082595.675092</v>
      </c>
      <c r="U41" s="65" t="n">
        <v>-9279606.084271699</v>
      </c>
      <c r="V41" s="65" t="n">
        <v>-9162225.47709096</v>
      </c>
      <c r="W41" s="508">
        <f>(N41-O41)/N41</f>
        <v/>
      </c>
    </row>
    <row r="42">
      <c r="B42" s="61" t="inlineStr">
        <is>
          <t>İnci GS Yuasa / G.4.4.</t>
        </is>
      </c>
      <c r="C42" s="65" t="n">
        <v>-15407283.997425</v>
      </c>
      <c r="D42" s="65" t="n">
        <v>-15498863.0941568</v>
      </c>
      <c r="E42" s="65" t="n">
        <v>-15926530.5484149</v>
      </c>
      <c r="F42" s="65" t="n">
        <v>-15535485.1589427</v>
      </c>
      <c r="G42" s="65" t="n">
        <v>-16183692.4292511</v>
      </c>
      <c r="H42" s="65" t="n">
        <v>-16935698.6473589</v>
      </c>
      <c r="I42" s="65" t="n">
        <v>-15473850.0267599</v>
      </c>
      <c r="J42" s="65" t="n">
        <v>-15494001.4997671</v>
      </c>
      <c r="K42" s="65" t="n">
        <v>-15500245.6873163</v>
      </c>
      <c r="L42" s="508">
        <f>(C42-D42)/C42</f>
        <v/>
      </c>
      <c r="M42" s="61" t="inlineStr">
        <is>
          <t>İnci GS Yuasa / G.4.4.</t>
        </is>
      </c>
      <c r="N42" s="65" t="n">
        <v>-268653317.174712</v>
      </c>
      <c r="O42" s="65" t="n">
        <v>-278906561.122321</v>
      </c>
      <c r="P42" s="65" t="n">
        <v>-286926669.546513</v>
      </c>
      <c r="Q42" s="65" t="n">
        <v>-267471323.793145</v>
      </c>
      <c r="R42" s="65" t="n">
        <v>-277165920.726857</v>
      </c>
      <c r="S42" s="65" t="n">
        <v>-278489690.540565</v>
      </c>
      <c r="T42" s="65" t="n">
        <v>-254570395.399523</v>
      </c>
      <c r="U42" s="65" t="n">
        <v>-253969551.512774</v>
      </c>
      <c r="V42" s="65" t="n">
        <v>-253872204.456735</v>
      </c>
      <c r="W42" s="508">
        <f>(N42-O42)/N42</f>
        <v/>
      </c>
    </row>
    <row r="43">
      <c r="B43" s="61" t="inlineStr">
        <is>
          <t>Yusen İnci Loj. / G.4.5.</t>
        </is>
      </c>
      <c r="C43" s="65" t="n">
        <v>-6820880.15613208</v>
      </c>
      <c r="D43" s="65" t="n">
        <v>-6048428.96751304</v>
      </c>
      <c r="E43" s="65" t="n">
        <v>-5831903.75216954</v>
      </c>
      <c r="F43" s="65" t="n">
        <v>-5753967.84625633</v>
      </c>
      <c r="G43" s="65" t="n">
        <v>-5688056.75269438</v>
      </c>
      <c r="H43" s="65" t="n">
        <v>-5745984.18589424</v>
      </c>
      <c r="I43" s="65" t="n">
        <v>-6533182.76737375</v>
      </c>
      <c r="J43" s="65" t="n">
        <v>-5474002.3155479</v>
      </c>
      <c r="K43" s="65" t="n">
        <v>-5342329.91388604</v>
      </c>
      <c r="L43" s="508">
        <f>(C43-D43)/C43</f>
        <v/>
      </c>
      <c r="M43" s="61" t="inlineStr">
        <is>
          <t>Yusen İnci Loj. / G.4.5.</t>
        </is>
      </c>
      <c r="N43" s="65" t="n">
        <v>-117838189.248004</v>
      </c>
      <c r="O43" s="65" t="n">
        <v>-105525315.168446</v>
      </c>
      <c r="P43" s="65" t="n">
        <v>-101624822.474982</v>
      </c>
      <c r="Q43" s="65" t="n">
        <v>-97496881.60401361</v>
      </c>
      <c r="R43" s="65" t="n">
        <v>-95782797.10334811</v>
      </c>
      <c r="S43" s="65" t="n">
        <v>-93805553.9788941</v>
      </c>
      <c r="T43" s="65" t="n">
        <v>-107209500.691825</v>
      </c>
      <c r="U43" s="65" t="n">
        <v>-89409224.9540077</v>
      </c>
      <c r="V43" s="65" t="n">
        <v>-87317174.6433709</v>
      </c>
      <c r="W43" s="508">
        <f>(N43-O43)/N43</f>
        <v/>
      </c>
    </row>
    <row r="44">
      <c r="B44" s="61" t="inlineStr">
        <is>
          <t>Jantaş / G.4.6.</t>
        </is>
      </c>
      <c r="C44" s="65" t="n">
        <v>-7304060.47503184</v>
      </c>
      <c r="D44" s="65" t="n">
        <v>-7165795.061</v>
      </c>
      <c r="E44" s="65" t="n">
        <v>-7165795.061</v>
      </c>
      <c r="F44" s="65" t="n">
        <v>-6905702.84690695</v>
      </c>
      <c r="G44" s="65" t="n">
        <v>-6905702.84690695</v>
      </c>
      <c r="H44" s="65" t="n">
        <v>-6562725.66842749</v>
      </c>
      <c r="I44" s="65" t="n">
        <v>-6562725.66842749</v>
      </c>
      <c r="J44" s="65" t="n">
        <v>-6562725.66842749</v>
      </c>
      <c r="K44" s="65" t="n">
        <v>-6571000</v>
      </c>
      <c r="L44" s="508">
        <f>(C44-D44)/C44</f>
        <v/>
      </c>
      <c r="M44" s="61" t="inlineStr">
        <is>
          <t>Jantaş / G.4.6.</t>
        </is>
      </c>
      <c r="N44" s="65" t="n">
        <v>-127012524.914094</v>
      </c>
      <c r="O44" s="65" t="n">
        <v>-128002056.355323</v>
      </c>
      <c r="P44" s="65" t="n">
        <v>-128093593.372072</v>
      </c>
      <c r="Q44" s="65" t="n">
        <v>-118466970.716998</v>
      </c>
      <c r="R44" s="65" t="n">
        <v>-117738827.766143</v>
      </c>
      <c r="S44" s="65" t="n">
        <v>-107571805.499077</v>
      </c>
      <c r="T44" s="65" t="n">
        <v>-107860418.526042</v>
      </c>
      <c r="U44" s="65" t="n">
        <v>-107606148.734697</v>
      </c>
      <c r="V44" s="65" t="n">
        <v>-107697953.819729</v>
      </c>
      <c r="W44" s="508">
        <f>(N44-O44)/N44</f>
        <v/>
      </c>
    </row>
    <row r="45">
      <c r="B45" s="61" t="inlineStr">
        <is>
          <t>Çelik / G.4.7.</t>
        </is>
      </c>
      <c r="C45" s="65" t="n">
        <v>-3837920.5504456</v>
      </c>
      <c r="D45" s="65" t="n">
        <v>-3683000</v>
      </c>
      <c r="E45" s="65" t="n">
        <v>-3683000</v>
      </c>
      <c r="F45" s="65" t="n">
        <v>-3565000</v>
      </c>
      <c r="G45" s="65" t="n">
        <v>-3565000</v>
      </c>
      <c r="H45" s="65" t="n">
        <v>-3585083.32065345</v>
      </c>
      <c r="I45" s="65" t="n">
        <v>-3585083.32065345</v>
      </c>
      <c r="J45" s="65" t="n">
        <v>-3240000</v>
      </c>
      <c r="K45" s="65" t="n">
        <v>-3334000</v>
      </c>
      <c r="L45" s="508">
        <f>(C45-D45)/C45</f>
        <v/>
      </c>
      <c r="M45" s="61" t="inlineStr">
        <is>
          <t>Çelik / G.4.7.</t>
        </is>
      </c>
      <c r="N45" s="65" t="n">
        <v>-66667102.5722863</v>
      </c>
      <c r="O45" s="65" t="n">
        <v>-65465154.9274168</v>
      </c>
      <c r="P45" s="65" t="n">
        <v>-65537567.6546999</v>
      </c>
      <c r="Q45" s="65" t="n">
        <v>-61076576.689521</v>
      </c>
      <c r="R45" s="65" t="n">
        <v>-60717293.7256199</v>
      </c>
      <c r="S45" s="65" t="n">
        <v>-58905952.4756175</v>
      </c>
      <c r="T45" s="65" t="n">
        <v>-59005597.2273477</v>
      </c>
      <c r="U45" s="65" t="n">
        <v>-53116027.4629825</v>
      </c>
      <c r="V45" s="65" t="n">
        <v>-54669086.803709</v>
      </c>
      <c r="W45" s="508">
        <f>(N45-O45)/N45</f>
        <v/>
      </c>
    </row>
    <row r="46">
      <c r="B46" s="61" t="inlineStr">
        <is>
          <t>Alüminyum / G.4.8.</t>
        </is>
      </c>
      <c r="C46" s="65" t="n">
        <v>-11287457.1932193</v>
      </c>
      <c r="D46" s="65" t="n">
        <v>-10771749.2945779</v>
      </c>
      <c r="E46" s="65" t="n">
        <v>-10771749.2945779</v>
      </c>
      <c r="F46" s="65" t="n">
        <v>-10771749.2945779</v>
      </c>
      <c r="G46" s="65" t="n">
        <v>-10771749.2945779</v>
      </c>
      <c r="H46" s="65" t="n">
        <v>-10019529.03</v>
      </c>
      <c r="I46" s="65" t="n">
        <v>-10019529.03</v>
      </c>
      <c r="J46" s="65" t="n">
        <v>-9675923.59707466</v>
      </c>
      <c r="K46" s="65" t="n">
        <v>-9874143.267151561</v>
      </c>
      <c r="L46" s="508">
        <f>(C46-D46)/C46</f>
        <v/>
      </c>
      <c r="M46" s="61" t="inlineStr">
        <is>
          <t>Alüminyum / G.4.8.</t>
        </is>
      </c>
      <c r="N46" s="65" t="n">
        <v>-196893256.934624</v>
      </c>
      <c r="O46" s="65" t="n">
        <v>-192515273.976772</v>
      </c>
      <c r="P46" s="65" t="n">
        <v>-192942374.500483</v>
      </c>
      <c r="Q46" s="65" t="n">
        <v>-185387720.405401</v>
      </c>
      <c r="R46" s="65" t="n">
        <v>-184201198.344302</v>
      </c>
      <c r="S46" s="65" t="n">
        <v>-164348483.835446</v>
      </c>
      <c r="T46" s="65" t="n">
        <v>-164815821.806615</v>
      </c>
      <c r="U46" s="65" t="n">
        <v>-158600493.805948</v>
      </c>
      <c r="V46" s="65" t="n">
        <v>-161896666.491373</v>
      </c>
      <c r="W46" s="508">
        <f>(N46-O46)/N46</f>
        <v/>
      </c>
    </row>
    <row r="47">
      <c r="B47" s="61" t="inlineStr">
        <is>
          <t>x / G.4.9.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508" t="n"/>
      <c r="M47" s="61" t="inlineStr">
        <is>
          <t>x / G.4.9.</t>
        </is>
      </c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508" t="n"/>
    </row>
    <row r="48">
      <c r="B48" s="61" t="inlineStr">
        <is>
          <t>y / G.4.10.</t>
        </is>
      </c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508" t="n"/>
      <c r="M48" s="61" t="inlineStr">
        <is>
          <t>y / G.4.10.</t>
        </is>
      </c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508" t="n"/>
    </row>
    <row r="49">
      <c r="B49" s="61" t="inlineStr">
        <is>
          <t>Diğer Faaliyet Gelir(Gideri)-EUR / G.5.</t>
        </is>
      </c>
      <c r="C49" s="65" t="n">
        <v>24629.26</v>
      </c>
      <c r="D49" s="65" t="n">
        <v>20228.884</v>
      </c>
      <c r="E49" s="65" t="n">
        <v>20228.884</v>
      </c>
      <c r="F49" s="65" t="n">
        <v>6272.348</v>
      </c>
      <c r="G49" s="65" t="n">
        <v>6272.348</v>
      </c>
      <c r="H49" s="65" t="n">
        <v>1211.616</v>
      </c>
      <c r="I49" s="65" t="n">
        <v>1211.616</v>
      </c>
      <c r="J49" s="65" t="n">
        <v>1211.616</v>
      </c>
      <c r="K49" s="65" t="n">
        <v>1200</v>
      </c>
      <c r="L49" s="508">
        <f>(C49-D49)/C49</f>
        <v/>
      </c>
      <c r="M49" s="61" t="inlineStr">
        <is>
          <t>Diğer Faaliyet Gelir(Gideri)-TL / G.5.</t>
        </is>
      </c>
      <c r="N49" s="65" t="n">
        <v>425013.897618527</v>
      </c>
      <c r="O49" s="65" t="n">
        <v>333820.30035434</v>
      </c>
      <c r="P49" s="65" t="n">
        <v>341780.762065533</v>
      </c>
      <c r="Q49" s="65" t="n">
        <v>94976.7542436565</v>
      </c>
      <c r="R49" s="65" t="n">
        <v>96061.0499822884</v>
      </c>
      <c r="S49" s="65" t="n">
        <v>16277.7134885088</v>
      </c>
      <c r="T49" s="65" t="n">
        <v>20779.3439387811</v>
      </c>
      <c r="U49" s="65" t="n">
        <v>19605.6103519024</v>
      </c>
      <c r="V49" s="65" t="n">
        <v>18490.1174113381</v>
      </c>
      <c r="W49" s="508">
        <f>(N49-O49)/N49</f>
        <v/>
      </c>
    </row>
    <row r="50">
      <c r="B50" s="61" t="inlineStr">
        <is>
          <t>İnci Holding / G.5.1.</t>
        </is>
      </c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508" t="n"/>
      <c r="M50" s="61" t="inlineStr">
        <is>
          <t>İnci Holding / G.5.1.</t>
        </is>
      </c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508" t="n"/>
    </row>
    <row r="51">
      <c r="B51" s="61" t="inlineStr">
        <is>
          <t>ISM / G.5.2.</t>
        </is>
      </c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508" t="n"/>
      <c r="M51" s="61" t="inlineStr">
        <is>
          <t>ISM / G.5.2.</t>
        </is>
      </c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508" t="n"/>
    </row>
    <row r="52">
      <c r="B52" s="61" t="inlineStr">
        <is>
          <t>İncitaş / G.5.3.</t>
        </is>
      </c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508" t="n"/>
      <c r="M52" s="61" t="inlineStr">
        <is>
          <t>İncitaş / G.5.3.</t>
        </is>
      </c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508" t="n"/>
    </row>
    <row r="53">
      <c r="B53" s="61" t="inlineStr">
        <is>
          <t>İnci GS Yuasa / G.5.4.</t>
        </is>
      </c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508" t="n"/>
      <c r="M53" s="61" t="inlineStr">
        <is>
          <t>İnci GS Yuasa / G.5.4.</t>
        </is>
      </c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508" t="n"/>
    </row>
    <row r="54">
      <c r="B54" s="61" t="inlineStr">
        <is>
          <t>Yusen İnci Loj. / G.5.5.</t>
        </is>
      </c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508" t="n"/>
      <c r="M54" s="61" t="inlineStr">
        <is>
          <t>Yusen İnci Loj. / G.5.5.</t>
        </is>
      </c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508" t="n"/>
    </row>
    <row r="55">
      <c r="B55" s="61" t="inlineStr">
        <is>
          <t>Jantaş / G.5.6.</t>
        </is>
      </c>
      <c r="C55" s="65" t="n">
        <v>60179.14</v>
      </c>
      <c r="D55" s="65" t="n">
        <v>49572.21</v>
      </c>
      <c r="E55" s="65" t="n">
        <v>49572.21</v>
      </c>
      <c r="F55" s="65" t="n">
        <v>14680.87</v>
      </c>
      <c r="G55" s="65" t="n">
        <v>14680.87</v>
      </c>
      <c r="H55" s="65" t="n">
        <v>2029.04</v>
      </c>
      <c r="I55" s="65" t="n">
        <v>2029.04</v>
      </c>
      <c r="J55" s="65" t="n">
        <v>2029.04</v>
      </c>
      <c r="K55" s="65" t="n">
        <v>2000</v>
      </c>
      <c r="L55" s="508">
        <f>(C55-D55)/C55</f>
        <v/>
      </c>
      <c r="M55" s="61" t="inlineStr">
        <is>
          <t>Jantaş / G.5.6.</t>
        </is>
      </c>
      <c r="N55" s="65" t="n">
        <v>1059121.46031706</v>
      </c>
      <c r="O55" s="65" t="n">
        <v>847545.155424097</v>
      </c>
      <c r="P55" s="65" t="n">
        <v>865383.454852178</v>
      </c>
      <c r="Q55" s="65" t="n">
        <v>236751.826139888</v>
      </c>
      <c r="R55" s="65" t="n">
        <v>238123.404646754</v>
      </c>
      <c r="S55" s="65" t="n">
        <v>30456.3465920519</v>
      </c>
      <c r="T55" s="65" t="n">
        <v>31010.5775736774</v>
      </c>
      <c r="U55" s="65" t="n">
        <v>31010.5775736774</v>
      </c>
      <c r="V55" s="65" t="n">
        <v>30531.7590996628</v>
      </c>
      <c r="W55" s="508">
        <f>(N55-O55)/N55</f>
        <v/>
      </c>
    </row>
    <row r="56">
      <c r="B56" s="61" t="inlineStr">
        <is>
          <t>Çelik / G.5.7.</t>
        </is>
      </c>
      <c r="C56" s="65" t="n">
        <v>1394.01</v>
      </c>
      <c r="D56" s="65" t="n">
        <v>1000</v>
      </c>
      <c r="E56" s="65" t="n">
        <v>1000</v>
      </c>
      <c r="F56" s="65" t="n">
        <v>1000</v>
      </c>
      <c r="G56" s="65" t="n">
        <v>1000</v>
      </c>
      <c r="H56" s="65" t="n">
        <v>1000</v>
      </c>
      <c r="I56" s="65" t="n">
        <v>1000</v>
      </c>
      <c r="J56" s="65" t="n">
        <v>1000</v>
      </c>
      <c r="K56" s="65" t="n">
        <v>1000</v>
      </c>
      <c r="L56" s="508">
        <f>(C56-D56)/C56</f>
        <v/>
      </c>
      <c r="M56" s="61" t="inlineStr">
        <is>
          <t>Çelik / G.5.7.</t>
        </is>
      </c>
      <c r="N56" s="65" t="n">
        <v>23100.1032991454</v>
      </c>
      <c r="O56" s="65" t="n">
        <v>15268.4650316454</v>
      </c>
      <c r="P56" s="65" t="n">
        <v>15378.3898815454</v>
      </c>
      <c r="Q56" s="65" t="n">
        <v>15997.6790391454</v>
      </c>
      <c r="R56" s="65" t="n">
        <v>16069.0398788597</v>
      </c>
      <c r="S56" s="65" t="n">
        <v>16506.4637549902</v>
      </c>
      <c r="T56" s="65" t="n">
        <v>16520.7173021038</v>
      </c>
      <c r="U56" s="65" t="n">
        <v>18003.4483060785</v>
      </c>
      <c r="V56" s="65" t="n">
        <v>15693.5344286825</v>
      </c>
      <c r="W56" s="508">
        <f>(N56-O56)/N56</f>
        <v/>
      </c>
    </row>
    <row r="57">
      <c r="B57" s="61" t="inlineStr">
        <is>
          <t>Alüminyum / G.5.8.</t>
        </is>
      </c>
      <c r="C57" s="65" t="n">
        <v>0</v>
      </c>
      <c r="D57" s="65" t="n">
        <v>0</v>
      </c>
      <c r="E57" s="65" t="n">
        <v>0</v>
      </c>
      <c r="F57" s="65" t="n">
        <v>0</v>
      </c>
      <c r="G57" s="65" t="n">
        <v>0</v>
      </c>
      <c r="H57" s="65" t="n">
        <v>0</v>
      </c>
      <c r="I57" s="65" t="n">
        <v>0</v>
      </c>
      <c r="J57" s="65" t="n">
        <v>0</v>
      </c>
      <c r="K57" s="65" t="n">
        <v>0</v>
      </c>
      <c r="L57" s="508" t="n"/>
      <c r="M57" s="61" t="inlineStr">
        <is>
          <t>Alüminyum / G.5.8.</t>
        </is>
      </c>
      <c r="N57" s="65" t="n">
        <v>-19686.8195698923</v>
      </c>
      <c r="O57" s="65" t="n">
        <v>-28262.8695698923</v>
      </c>
      <c r="P57" s="65" t="n">
        <v>-26309.9395698923</v>
      </c>
      <c r="Q57" s="65" t="n">
        <v>-15307.6195698923</v>
      </c>
      <c r="R57" s="65" t="n">
        <v>-14039.8195698923</v>
      </c>
      <c r="S57" s="65" t="n">
        <v>-6268.52662577</v>
      </c>
      <c r="T57" s="65" t="n">
        <v>4417.0649711715</v>
      </c>
      <c r="U57" s="65" t="n">
        <v>0</v>
      </c>
      <c r="V57" s="65" t="n">
        <v>0</v>
      </c>
      <c r="W57" s="508" t="n"/>
    </row>
    <row r="58">
      <c r="B58" s="61" t="inlineStr">
        <is>
          <t>x / G.5.9.</t>
        </is>
      </c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508" t="n"/>
      <c r="M58" s="61" t="inlineStr">
        <is>
          <t>x / G.5.9.</t>
        </is>
      </c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508" t="n"/>
    </row>
    <row r="59">
      <c r="B59" s="61" t="inlineStr">
        <is>
          <t>y / G.5.10.</t>
        </is>
      </c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508" t="n"/>
      <c r="M59" s="61" t="inlineStr">
        <is>
          <t>y / G.5.10.</t>
        </is>
      </c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508" t="n"/>
    </row>
    <row r="60">
      <c r="B60" s="61" t="inlineStr">
        <is>
          <t>EBİT-EUR / G.6.</t>
        </is>
      </c>
      <c r="C60" s="65" t="n">
        <v>38909551.3016705</v>
      </c>
      <c r="D60" s="65" t="n">
        <v>41416402.1409654</v>
      </c>
      <c r="E60" s="65" t="n">
        <v>41886644.4154835</v>
      </c>
      <c r="F60" s="65" t="n">
        <v>40923798.8089403</v>
      </c>
      <c r="G60" s="65" t="n">
        <v>44903481.8426491</v>
      </c>
      <c r="H60" s="65" t="n">
        <v>43384784.0543333</v>
      </c>
      <c r="I60" s="65" t="n">
        <v>42836469.6610884</v>
      </c>
      <c r="J60" s="65" t="n">
        <v>40397887.8423545</v>
      </c>
      <c r="K60" s="65" t="n">
        <v>42268477.4075528</v>
      </c>
      <c r="L60" s="508">
        <f>(C60-D60)/C60</f>
        <v/>
      </c>
      <c r="M60" s="61" t="inlineStr">
        <is>
          <t>EBİT-TL / G.6.</t>
        </is>
      </c>
      <c r="N60" s="65" t="n">
        <v>667570646.6315041</v>
      </c>
      <c r="O60" s="65" t="n">
        <v>733909923.175872</v>
      </c>
      <c r="P60" s="65" t="n">
        <v>742628193.459169</v>
      </c>
      <c r="Q60" s="65" t="n">
        <v>697480055.1329761</v>
      </c>
      <c r="R60" s="65" t="n">
        <v>764654223.225649</v>
      </c>
      <c r="S60" s="65" t="n">
        <v>710851525.31322</v>
      </c>
      <c r="T60" s="65" t="n">
        <v>703782818.172853</v>
      </c>
      <c r="U60" s="65" t="n">
        <v>661407895.921502</v>
      </c>
      <c r="V60" s="65" t="n">
        <v>692689499.6214941</v>
      </c>
      <c r="W60" s="508">
        <f>(N60-O60)/N60</f>
        <v/>
      </c>
    </row>
    <row r="61">
      <c r="B61" s="61" t="inlineStr">
        <is>
          <t>İnci Holding / G.6.1.</t>
        </is>
      </c>
      <c r="C61" s="65" t="n">
        <v>5204160.82683943</v>
      </c>
      <c r="D61" s="65" t="n">
        <v>5085615.02408644</v>
      </c>
      <c r="E61" s="65" t="n">
        <v>5112413.54178004</v>
      </c>
      <c r="F61" s="65" t="n">
        <v>4671011.52382594</v>
      </c>
      <c r="G61" s="65" t="n">
        <v>5186965.38535857</v>
      </c>
      <c r="H61" s="65" t="n">
        <v>5378826.39786105</v>
      </c>
      <c r="I61" s="65" t="n">
        <v>5141116.03017677</v>
      </c>
      <c r="J61" s="65" t="n">
        <v>4718002.7224694</v>
      </c>
      <c r="K61" s="65" t="n">
        <v>4706932.03702408</v>
      </c>
      <c r="L61" s="508">
        <f>(C61-D61)/C61</f>
        <v/>
      </c>
      <c r="M61" s="61" t="inlineStr">
        <is>
          <t>İnci Holding / G.6.1.</t>
        </is>
      </c>
      <c r="N61" s="65" t="n">
        <v>90002939.827592</v>
      </c>
      <c r="O61" s="65" t="n">
        <v>90002939.827592</v>
      </c>
      <c r="P61" s="65" t="n">
        <v>90766011.1125959</v>
      </c>
      <c r="Q61" s="65" t="n">
        <v>79503682.147533</v>
      </c>
      <c r="R61" s="65" t="n">
        <v>89815947.97028209</v>
      </c>
      <c r="S61" s="65" t="n">
        <v>88222435.127379</v>
      </c>
      <c r="T61" s="65" t="n">
        <v>84428844.0881539</v>
      </c>
      <c r="U61" s="65" t="n">
        <v>77188930.35486899</v>
      </c>
      <c r="V61" s="65" t="n">
        <v>77070056.73722351</v>
      </c>
      <c r="W61" s="508">
        <f>(N61-O61)/N61</f>
        <v/>
      </c>
    </row>
    <row r="62">
      <c r="B62" s="61" t="inlineStr">
        <is>
          <t>ISM / G.6.2.</t>
        </is>
      </c>
      <c r="C62" s="65" t="n">
        <v>1730673.0792079</v>
      </c>
      <c r="D62" s="65" t="n">
        <v>1665672.83152824</v>
      </c>
      <c r="E62" s="65" t="n">
        <v>1389074.73599275</v>
      </c>
      <c r="F62" s="65" t="n">
        <v>1399722.8293764</v>
      </c>
      <c r="G62" s="65" t="n">
        <v>1611757.87213301</v>
      </c>
      <c r="H62" s="65" t="n">
        <v>1630929.47336122</v>
      </c>
      <c r="I62" s="65" t="n">
        <v>1656801.57312241</v>
      </c>
      <c r="J62" s="65" t="n">
        <v>1587448.28138084</v>
      </c>
      <c r="K62" s="65" t="n">
        <v>1530438.43205768</v>
      </c>
      <c r="L62" s="508">
        <f>(C62-D62)/C62</f>
        <v/>
      </c>
      <c r="M62" s="61" t="inlineStr">
        <is>
          <t>ISM / G.6.2.</t>
        </is>
      </c>
      <c r="N62" s="65" t="n">
        <v>29326831.6837662</v>
      </c>
      <c r="O62" s="65" t="n">
        <v>28513125.6529996</v>
      </c>
      <c r="P62" s="65" t="n">
        <v>23179854.8624054</v>
      </c>
      <c r="Q62" s="65" t="n">
        <v>23179854.8624054</v>
      </c>
      <c r="R62" s="65" t="n">
        <v>26873796.9275713</v>
      </c>
      <c r="S62" s="65" t="n">
        <v>26525791.05</v>
      </c>
      <c r="T62" s="65" t="n">
        <v>27052799.527677</v>
      </c>
      <c r="U62" s="65" t="n">
        <v>25865144.6457518</v>
      </c>
      <c r="V62" s="65" t="n">
        <v>25030135.6583309</v>
      </c>
      <c r="W62" s="508">
        <f>(N62-O62)/N62</f>
        <v/>
      </c>
    </row>
    <row r="63">
      <c r="B63" s="61" t="inlineStr">
        <is>
          <t>İncitaş / G.6.3.</t>
        </is>
      </c>
      <c r="C63" s="65" t="n">
        <v>811536.4744599879</v>
      </c>
      <c r="D63" s="65" t="n">
        <v>767539.862439664</v>
      </c>
      <c r="E63" s="65" t="n">
        <v>745832.232122853</v>
      </c>
      <c r="F63" s="65" t="n">
        <v>775739.124386573</v>
      </c>
      <c r="G63" s="65" t="n">
        <v>703955.5774070841</v>
      </c>
      <c r="H63" s="65" t="n">
        <v>680865.240163781</v>
      </c>
      <c r="I63" s="65" t="n">
        <v>746153.695252904</v>
      </c>
      <c r="J63" s="65" t="n">
        <v>524547.146006986</v>
      </c>
      <c r="K63" s="65" t="n">
        <v>495844.674793002</v>
      </c>
      <c r="L63" s="508">
        <f>(C63-D63)/C63</f>
        <v/>
      </c>
      <c r="M63" s="61" t="inlineStr">
        <is>
          <t>İncitaş / G.6.3.</t>
        </is>
      </c>
      <c r="N63" s="65" t="n">
        <v>13900443.328566</v>
      </c>
      <c r="O63" s="65" t="n">
        <v>13333493.9567921</v>
      </c>
      <c r="P63" s="65" t="n">
        <v>12968761.1837841</v>
      </c>
      <c r="Q63" s="65" t="n">
        <v>13133185.5783725</v>
      </c>
      <c r="R63" s="65" t="n">
        <v>11781912.8222494</v>
      </c>
      <c r="S63" s="65" t="n">
        <v>11073373.5259098</v>
      </c>
      <c r="T63" s="65" t="n">
        <v>12199827.833612</v>
      </c>
      <c r="U63" s="65" t="n">
        <v>8501375.320330691</v>
      </c>
      <c r="V63" s="65" t="n">
        <v>8044037.14274548</v>
      </c>
      <c r="W63" s="508">
        <f>(N63-O63)/N63</f>
        <v/>
      </c>
    </row>
    <row r="64">
      <c r="B64" s="61" t="inlineStr">
        <is>
          <t>İnci GS Yuasa / G.6.4.</t>
        </is>
      </c>
      <c r="C64" s="65" t="n">
        <v>15313029.7439376</v>
      </c>
      <c r="D64" s="65" t="n">
        <v>17516251.7791256</v>
      </c>
      <c r="E64" s="65" t="n">
        <v>19896931.101797</v>
      </c>
      <c r="F64" s="65" t="n">
        <v>18433837.1164735</v>
      </c>
      <c r="G64" s="65" t="n">
        <v>21598773.2422604</v>
      </c>
      <c r="H64" s="65" t="n">
        <v>22589656.5152323</v>
      </c>
      <c r="I64" s="65" t="n">
        <v>21696715.2804951</v>
      </c>
      <c r="J64" s="65" t="n">
        <v>22076416.6421534</v>
      </c>
      <c r="K64" s="65" t="n">
        <v>19932573.0993794</v>
      </c>
      <c r="L64" s="508">
        <f>(C64-D64)/C64</f>
        <v/>
      </c>
      <c r="M64" s="61" t="inlineStr">
        <is>
          <t>İnci GS Yuasa / G.6.4.</t>
        </is>
      </c>
      <c r="N64" s="65" t="n">
        <v>265080727.394773</v>
      </c>
      <c r="O64" s="65" t="n">
        <v>316838121.538111</v>
      </c>
      <c r="P64" s="65" t="n">
        <v>362450563.84011</v>
      </c>
      <c r="Q64" s="65" t="n">
        <v>317738963.275286</v>
      </c>
      <c r="R64" s="65" t="n">
        <v>371832140.456017</v>
      </c>
      <c r="S64" s="65" t="n">
        <v>371868539.183285</v>
      </c>
      <c r="T64" s="65" t="n">
        <v>357789934.0735</v>
      </c>
      <c r="U64" s="65" t="n">
        <v>362038017.794898</v>
      </c>
      <c r="V64" s="65" t="n">
        <v>326238865.887332</v>
      </c>
      <c r="W64" s="508">
        <f>(N64-O64)/N64</f>
        <v/>
      </c>
    </row>
    <row r="65">
      <c r="B65" s="61" t="inlineStr">
        <is>
          <t>Yusen İnci Loj. / G.6.5.</t>
        </is>
      </c>
      <c r="C65" s="65" t="n">
        <v>6511051.80669199</v>
      </c>
      <c r="D65" s="65" t="n">
        <v>5626807.217003</v>
      </c>
      <c r="E65" s="65" t="n">
        <v>5100501.60102346</v>
      </c>
      <c r="F65" s="65" t="n">
        <v>5141302.68349765</v>
      </c>
      <c r="G65" s="65" t="n">
        <v>4885367.43814364</v>
      </c>
      <c r="H65" s="65" t="n">
        <v>4773131.14163584</v>
      </c>
      <c r="I65" s="65" t="n">
        <v>4884896.23403001</v>
      </c>
      <c r="J65" s="65" t="n">
        <v>4251264.31566756</v>
      </c>
      <c r="K65" s="65" t="n">
        <v>3859489.51501746</v>
      </c>
      <c r="L65" s="508">
        <f>(C65-D65)/C65</f>
        <v/>
      </c>
      <c r="M65" s="61" t="inlineStr">
        <is>
          <t>Yusen İnci Loj. / G.6.5.</t>
        </is>
      </c>
      <c r="N65" s="65" t="n">
        <v>112108186.922066</v>
      </c>
      <c r="O65" s="65" t="n">
        <v>97180169.72300389</v>
      </c>
      <c r="P65" s="65" t="n">
        <v>87652864.6547282</v>
      </c>
      <c r="Q65" s="65" t="n">
        <v>86563467.2729165</v>
      </c>
      <c r="R65" s="65" t="n">
        <v>81575204.74668179</v>
      </c>
      <c r="S65" s="65" t="n">
        <v>77629595.20315599</v>
      </c>
      <c r="T65" s="65" t="n">
        <v>79846344.9071662</v>
      </c>
      <c r="U65" s="65" t="n">
        <v>69266505.2374423</v>
      </c>
      <c r="V65" s="65" t="n">
        <v>62927079.5970691</v>
      </c>
      <c r="W65" s="508">
        <f>(N65-O65)/N65</f>
        <v/>
      </c>
    </row>
    <row r="66">
      <c r="B66" s="61" t="inlineStr">
        <is>
          <t>Jantaş / G.6.6.</t>
        </is>
      </c>
      <c r="C66" s="65" t="n">
        <v>19607004.1597061</v>
      </c>
      <c r="D66" s="65" t="n">
        <v>22726515.6615</v>
      </c>
      <c r="E66" s="65" t="n">
        <v>22726515.6615</v>
      </c>
      <c r="F66" s="65" t="n">
        <v>23667812.128758</v>
      </c>
      <c r="G66" s="65" t="n">
        <v>23667812.128758</v>
      </c>
      <c r="H66" s="65" t="n">
        <v>25576675.4804535</v>
      </c>
      <c r="I66" s="65" t="n">
        <v>25576675.4804535</v>
      </c>
      <c r="J66" s="65" t="n">
        <v>25576675.4804535</v>
      </c>
      <c r="K66" s="65" t="n">
        <v>27053000</v>
      </c>
      <c r="L66" s="508">
        <f>(C66-D66)/C66</f>
        <v/>
      </c>
      <c r="M66" s="61" t="inlineStr">
        <is>
          <t>Jantaş / G.6.6.</t>
        </is>
      </c>
      <c r="N66" s="65" t="n">
        <v>328013591.197701</v>
      </c>
      <c r="O66" s="65" t="n">
        <v>395098271.197138</v>
      </c>
      <c r="P66" s="65" t="n">
        <v>393618075.965468</v>
      </c>
      <c r="Q66" s="65" t="n">
        <v>398965921.552297</v>
      </c>
      <c r="R66" s="65" t="n">
        <v>397083409.482538</v>
      </c>
      <c r="S66" s="65" t="n">
        <v>417880739.283772</v>
      </c>
      <c r="T66" s="65" t="n">
        <v>418971860.089226</v>
      </c>
      <c r="U66" s="65" t="n">
        <v>418905261.984909</v>
      </c>
      <c r="V66" s="65" t="n">
        <v>443529742.97146</v>
      </c>
      <c r="W66" s="508">
        <f>(N66-O66)/N66</f>
        <v/>
      </c>
    </row>
    <row r="67">
      <c r="B67" s="61" t="inlineStr">
        <is>
          <t>Çelik / G.6.7.</t>
        </is>
      </c>
      <c r="C67" s="65" t="n">
        <v>12553645.2641049</v>
      </c>
      <c r="D67" s="65" t="n">
        <v>12859000</v>
      </c>
      <c r="E67" s="65" t="n">
        <v>12859000</v>
      </c>
      <c r="F67" s="65" t="n">
        <v>11935000</v>
      </c>
      <c r="G67" s="65" t="n">
        <v>11935000</v>
      </c>
      <c r="H67" s="65" t="n">
        <v>11988238.2912383</v>
      </c>
      <c r="I67" s="65" t="n">
        <v>11988238.2912384</v>
      </c>
      <c r="J67" s="65" t="n">
        <v>8510999.999999991</v>
      </c>
      <c r="K67" s="65" t="n">
        <v>8944023.64696886</v>
      </c>
      <c r="L67" s="508">
        <f>(C67-D67)/C67</f>
        <v/>
      </c>
      <c r="M67" s="61" t="inlineStr">
        <is>
          <t>Çelik / G.6.7.</t>
        </is>
      </c>
      <c r="N67" s="65" t="n">
        <v>214657388.138839</v>
      </c>
      <c r="O67" s="65" t="n">
        <v>224946656.959487</v>
      </c>
      <c r="P67" s="65" t="n">
        <v>225583268.672535</v>
      </c>
      <c r="Q67" s="65" t="n">
        <v>201932531.10988</v>
      </c>
      <c r="R67" s="65" t="n">
        <v>201018801.978487</v>
      </c>
      <c r="S67" s="65" t="n">
        <v>197274714.463216</v>
      </c>
      <c r="T67" s="65" t="n">
        <v>197332799.058201</v>
      </c>
      <c r="U67" s="65" t="n">
        <v>139292161.093606</v>
      </c>
      <c r="V67" s="65" t="n">
        <v>146712161.332877</v>
      </c>
      <c r="W67" s="508">
        <f>(N67-O67)/N67</f>
        <v/>
      </c>
    </row>
    <row r="68">
      <c r="B68" s="61" t="inlineStr">
        <is>
          <t>Alüminyum / G.6.8.</t>
        </is>
      </c>
      <c r="C68" s="65" t="n">
        <v>23923221.3284677</v>
      </c>
      <c r="D68" s="65" t="n">
        <v>26015361.3996491</v>
      </c>
      <c r="E68" s="65" t="n">
        <v>26015361.3996491</v>
      </c>
      <c r="F68" s="65" t="n">
        <v>26015361.3996491</v>
      </c>
      <c r="G68" s="65" t="n">
        <v>26015361.399649</v>
      </c>
      <c r="H68" s="65" t="n">
        <v>18660291.8</v>
      </c>
      <c r="I68" s="65" t="n">
        <v>18660291.8</v>
      </c>
      <c r="J68" s="65" t="n">
        <v>17985263.6324303</v>
      </c>
      <c r="K68" s="65" t="n">
        <v>24065926.1229844</v>
      </c>
      <c r="L68" s="508">
        <f>(C68-D68)/C68</f>
        <v/>
      </c>
      <c r="M68" s="61" t="inlineStr">
        <is>
          <t>Alüminyum / G.6.8.</t>
        </is>
      </c>
      <c r="N68" s="65" t="n">
        <v>415991185.825564</v>
      </c>
      <c r="O68" s="65" t="n">
        <v>471087689.92848</v>
      </c>
      <c r="P68" s="65" t="n">
        <v>469979142.618114</v>
      </c>
      <c r="Q68" s="65" t="n">
        <v>448957448.151285</v>
      </c>
      <c r="R68" s="65" t="n">
        <v>445988821.986137</v>
      </c>
      <c r="S68" s="65" t="n">
        <v>304954091.095577</v>
      </c>
      <c r="T68" s="65" t="n">
        <v>306864945.162057</v>
      </c>
      <c r="U68" s="65" t="n">
        <v>294619663.441795</v>
      </c>
      <c r="V68" s="65" t="n">
        <v>395395608.947416</v>
      </c>
      <c r="W68" s="508">
        <f>(N68-O68)/N68</f>
        <v/>
      </c>
    </row>
    <row r="69">
      <c r="B69" s="61" t="inlineStr">
        <is>
          <t>x / G.6.9.</t>
        </is>
      </c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508" t="n"/>
      <c r="M69" s="61" t="inlineStr">
        <is>
          <t>x / G.6.9.</t>
        </is>
      </c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508" t="n"/>
    </row>
    <row r="70">
      <c r="B70" s="61" t="inlineStr">
        <is>
          <t>y / G.6.10.</t>
        </is>
      </c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508" t="n"/>
      <c r="M70" s="61" t="inlineStr">
        <is>
          <t>y / G.6.10.</t>
        </is>
      </c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508" t="n"/>
    </row>
    <row r="71">
      <c r="B71" s="61" t="inlineStr">
        <is>
          <t>Amortisman-EUR / G.7.</t>
        </is>
      </c>
      <c r="C71" s="65" t="n">
        <v>6727994.67357783</v>
      </c>
      <c r="D71" s="65" t="n">
        <v>8767868.39655127</v>
      </c>
      <c r="E71" s="65" t="n">
        <v>8684656.676211201</v>
      </c>
      <c r="F71" s="65" t="n">
        <v>8484015.340878841</v>
      </c>
      <c r="G71" s="65" t="n">
        <v>8784581.32315566</v>
      </c>
      <c r="H71" s="65" t="n">
        <v>9054000.05405424</v>
      </c>
      <c r="I71" s="65" t="n">
        <v>9157280.478918061</v>
      </c>
      <c r="J71" s="65" t="n">
        <v>9056581.80086568</v>
      </c>
      <c r="K71" s="65" t="n">
        <v>9101800.88279599</v>
      </c>
      <c r="L71" s="508">
        <f>(C71-D71)/C71</f>
        <v/>
      </c>
      <c r="M71" s="61" t="inlineStr">
        <is>
          <t>Amortisman-TL / G.7.</t>
        </is>
      </c>
      <c r="N71" s="65" t="n">
        <v>114454215.205596</v>
      </c>
      <c r="O71" s="65" t="n">
        <v>157067373.078164</v>
      </c>
      <c r="P71" s="65" t="n">
        <v>155390445.079382</v>
      </c>
      <c r="Q71" s="65" t="n">
        <v>145595637.310809</v>
      </c>
      <c r="R71" s="65" t="n">
        <v>149914199.287066</v>
      </c>
      <c r="S71" s="65" t="n">
        <v>148659210.287002</v>
      </c>
      <c r="T71" s="65" t="n">
        <v>150651256.467732</v>
      </c>
      <c r="U71" s="65" t="n">
        <v>148490161.365396</v>
      </c>
      <c r="V71" s="65" t="n">
        <v>149157014.761019</v>
      </c>
      <c r="W71" s="508">
        <f>(N71-O71)/N71</f>
        <v/>
      </c>
    </row>
    <row r="72">
      <c r="B72" s="61" t="inlineStr">
        <is>
          <t>İnci Holding / G.7.1.</t>
        </is>
      </c>
      <c r="C72" s="65" t="n">
        <v>103903.061641521</v>
      </c>
      <c r="D72" s="65" t="n">
        <v>101275.878073583</v>
      </c>
      <c r="E72" s="65" t="n">
        <v>101341.267838648</v>
      </c>
      <c r="F72" s="65" t="n">
        <v>104924.670799368</v>
      </c>
      <c r="G72" s="65" t="n">
        <v>105598.85527496</v>
      </c>
      <c r="H72" s="65" t="n">
        <v>109711.179635732</v>
      </c>
      <c r="I72" s="65" t="n">
        <v>109511.768838838</v>
      </c>
      <c r="J72" s="65" t="n">
        <v>109733.372978418</v>
      </c>
      <c r="K72" s="65" t="n">
        <v>109841.605208008</v>
      </c>
      <c r="L72" s="508">
        <f>(C72-D72)/C72</f>
        <v/>
      </c>
      <c r="M72" s="61" t="inlineStr">
        <is>
          <t>İnci Holding / G.7.1.</t>
        </is>
      </c>
      <c r="N72" s="65" t="n">
        <v>1800869</v>
      </c>
      <c r="O72" s="65" t="n">
        <v>1800869</v>
      </c>
      <c r="P72" s="65" t="n">
        <v>1800869</v>
      </c>
      <c r="Q72" s="65" t="n">
        <v>1800869</v>
      </c>
      <c r="R72" s="65" t="n">
        <v>1800869</v>
      </c>
      <c r="S72" s="65" t="n">
        <v>1800869</v>
      </c>
      <c r="T72" s="65" t="n">
        <v>1800874</v>
      </c>
      <c r="U72" s="65" t="n">
        <v>1798241.41967571</v>
      </c>
      <c r="V72" s="65" t="n">
        <v>1798241.41967571</v>
      </c>
      <c r="W72" s="508">
        <f>(N72-O72)/N72</f>
        <v/>
      </c>
    </row>
    <row r="73">
      <c r="B73" s="61" t="inlineStr">
        <is>
          <t>ISM / G.7.2.</t>
        </is>
      </c>
      <c r="C73" s="65" t="n">
        <v>104212.362761329</v>
      </c>
      <c r="D73" s="65" t="n">
        <v>101760.478330732</v>
      </c>
      <c r="E73" s="65" t="n">
        <v>85705.71068473411</v>
      </c>
      <c r="F73" s="65" t="n">
        <v>88094.8045295333</v>
      </c>
      <c r="G73" s="65" t="n">
        <v>70219.0998303268</v>
      </c>
      <c r="H73" s="65" t="n">
        <v>74101.1800466556</v>
      </c>
      <c r="I73" s="65" t="n">
        <v>74609.1336770699</v>
      </c>
      <c r="J73" s="65" t="n">
        <v>75673.9276878481</v>
      </c>
      <c r="K73" s="65" t="n">
        <v>77940.2143375438</v>
      </c>
      <c r="L73" s="508">
        <f>(C73-D73)/C73</f>
        <v/>
      </c>
      <c r="M73" s="61" t="inlineStr">
        <is>
          <t>ISM / G.7.2.</t>
        </is>
      </c>
      <c r="N73" s="65" t="n">
        <v>1834287.56</v>
      </c>
      <c r="O73" s="65" t="n">
        <v>1834287.56</v>
      </c>
      <c r="P73" s="65" t="n">
        <v>1524528.19</v>
      </c>
      <c r="Q73" s="65" t="n">
        <v>1524528.19</v>
      </c>
      <c r="R73" s="65" t="n">
        <v>1195164.61</v>
      </c>
      <c r="S73" s="65" t="n">
        <v>1216098</v>
      </c>
      <c r="T73" s="65" t="n">
        <v>1226912</v>
      </c>
      <c r="U73" s="65" t="n">
        <v>1237387</v>
      </c>
      <c r="V73" s="65" t="n">
        <v>1275685.38</v>
      </c>
      <c r="W73" s="508">
        <f>(N73-O73)/N73</f>
        <v/>
      </c>
    </row>
    <row r="74">
      <c r="B74" s="61" t="inlineStr">
        <is>
          <t>İncitaş / G.7.3.</t>
        </is>
      </c>
      <c r="C74" s="65" t="n">
        <v>11528.480436167</v>
      </c>
      <c r="D74" s="65" t="n">
        <v>11081.566294866</v>
      </c>
      <c r="E74" s="65" t="n">
        <v>7659.31380991547</v>
      </c>
      <c r="F74" s="65" t="n">
        <v>8147.55693270659</v>
      </c>
      <c r="G74" s="65" t="n">
        <v>6808.94399806358</v>
      </c>
      <c r="H74" s="65" t="n">
        <v>7098.98797275513</v>
      </c>
      <c r="I74" s="65" t="n">
        <v>7190.8546524422</v>
      </c>
      <c r="J74" s="65" t="n">
        <v>7294.5101739582</v>
      </c>
      <c r="K74" s="65" t="n">
        <v>7410.98832532625</v>
      </c>
      <c r="L74" s="508">
        <f>(C74-D74)/C74</f>
        <v/>
      </c>
      <c r="M74" s="61" t="inlineStr">
        <is>
          <t>İncitaş / G.7.3.</t>
        </is>
      </c>
      <c r="N74" s="65" t="n">
        <v>204004.9</v>
      </c>
      <c r="O74" s="65" t="n">
        <v>199500.68</v>
      </c>
      <c r="P74" s="65" t="n">
        <v>137171.83</v>
      </c>
      <c r="Q74" s="65" t="n">
        <v>140691.431111111</v>
      </c>
      <c r="R74" s="65" t="n">
        <v>115849.387777778</v>
      </c>
      <c r="S74" s="65" t="n">
        <v>116476.358888889</v>
      </c>
      <c r="T74" s="65" t="n">
        <v>118233.26</v>
      </c>
      <c r="U74" s="65" t="n">
        <v>119559.281111111</v>
      </c>
      <c r="V74" s="65" t="n">
        <v>121406.182222222</v>
      </c>
      <c r="W74" s="508">
        <f>(N74-O74)/N74</f>
        <v/>
      </c>
    </row>
    <row r="75">
      <c r="B75" s="61" t="inlineStr">
        <is>
          <t>İnci GS Yuasa / G.7.4.</t>
        </is>
      </c>
      <c r="C75" s="65" t="n">
        <v>-2186294.88529766</v>
      </c>
      <c r="D75" s="65" t="n">
        <v>2382928.42580052</v>
      </c>
      <c r="E75" s="65" t="n">
        <v>2230353.23766481</v>
      </c>
      <c r="F75" s="65" t="n">
        <v>2116771.90592852</v>
      </c>
      <c r="G75" s="65" t="n">
        <v>2324507.89594424</v>
      </c>
      <c r="H75" s="65" t="n">
        <v>2472519.79825335</v>
      </c>
      <c r="I75" s="65" t="n">
        <v>2456560.39503759</v>
      </c>
      <c r="J75" s="65" t="n">
        <v>2469049.03495525</v>
      </c>
      <c r="K75" s="65" t="n">
        <v>2528179.46469517</v>
      </c>
      <c r="L75" s="508">
        <f>(C75-D75)/C75</f>
        <v/>
      </c>
      <c r="M75" s="61" t="inlineStr">
        <is>
          <t>İnci GS Yuasa / G.7.4.</t>
        </is>
      </c>
      <c r="N75" s="65" t="n">
        <v>-42709105.0950387</v>
      </c>
      <c r="O75" s="65" t="n">
        <v>44416308.9093603</v>
      </c>
      <c r="P75" s="65" t="n">
        <v>41135241.0923651</v>
      </c>
      <c r="Q75" s="65" t="n">
        <v>36808981.9452549</v>
      </c>
      <c r="R75" s="65" t="n">
        <v>40221445.8986307</v>
      </c>
      <c r="S75" s="65" t="n">
        <v>40817627.5890715</v>
      </c>
      <c r="T75" s="65" t="n">
        <v>40580941.8294746</v>
      </c>
      <c r="U75" s="65" t="n">
        <v>40565189.369292</v>
      </c>
      <c r="V75" s="65" t="n">
        <v>41455644.8567707</v>
      </c>
      <c r="W75" s="508">
        <f>(N75-O75)/N75</f>
        <v/>
      </c>
    </row>
    <row r="76">
      <c r="B76" s="61" t="inlineStr">
        <is>
          <t>Yusen İnci Loj. / G.7.5.</t>
        </is>
      </c>
      <c r="C76" s="65" t="n">
        <v>389082.056786847</v>
      </c>
      <c r="D76" s="65" t="n">
        <v>380344.435495696</v>
      </c>
      <c r="E76" s="65" t="n">
        <v>373419.398695803</v>
      </c>
      <c r="F76" s="65" t="n">
        <v>392230.385039865</v>
      </c>
      <c r="G76" s="65" t="n">
        <v>401132.709625696</v>
      </c>
      <c r="H76" s="65" t="n">
        <v>430680.6883599</v>
      </c>
      <c r="I76" s="65" t="n">
        <v>707829.9807561809</v>
      </c>
      <c r="J76" s="65" t="n">
        <v>404096.233263826</v>
      </c>
      <c r="K76" s="65" t="n">
        <v>402308.191889922</v>
      </c>
      <c r="L76" s="508">
        <f>(C76-D76)/C76</f>
        <v/>
      </c>
      <c r="M76" s="61" t="inlineStr">
        <is>
          <t>Yusen İnci Loj. / G.7.5.</t>
        </is>
      </c>
      <c r="N76" s="65" t="n">
        <v>6706024.0159096</v>
      </c>
      <c r="O76" s="65" t="n">
        <v>6706024.0159096</v>
      </c>
      <c r="P76" s="65" t="n">
        <v>6585584.24177477</v>
      </c>
      <c r="Q76" s="65" t="n">
        <v>6694527.83853527</v>
      </c>
      <c r="R76" s="65" t="n">
        <v>6811063.39321695</v>
      </c>
      <c r="S76" s="65" t="n">
        <v>7057706.85418644</v>
      </c>
      <c r="T76" s="65" t="n">
        <v>11694302.5092073</v>
      </c>
      <c r="U76" s="65" t="n">
        <v>6609282.82821356</v>
      </c>
      <c r="V76" s="65" t="n">
        <v>6609282.82821356</v>
      </c>
      <c r="W76" s="508">
        <f>(N76-O76)/N76</f>
        <v/>
      </c>
    </row>
    <row r="77">
      <c r="B77" s="61" t="inlineStr">
        <is>
          <t>Jantaş / G.7.6.</t>
        </is>
      </c>
      <c r="C77" s="65" t="n">
        <v>5236742.40132556</v>
      </c>
      <c r="D77" s="65" t="n">
        <v>5668340.5802</v>
      </c>
      <c r="E77" s="65" t="n">
        <v>5668340.58020002</v>
      </c>
      <c r="F77" s="65" t="n">
        <v>5215355.73744056</v>
      </c>
      <c r="G77" s="65" t="n">
        <v>5215355.73744058</v>
      </c>
      <c r="H77" s="65" t="n">
        <v>5586897.05632119</v>
      </c>
      <c r="I77" s="65" t="n">
        <v>5586897.05632119</v>
      </c>
      <c r="J77" s="65" t="n">
        <v>5586897.05632119</v>
      </c>
      <c r="K77" s="65" t="n">
        <v>5539999.99999999</v>
      </c>
      <c r="L77" s="508">
        <f>(C77-D77)/C77</f>
        <v/>
      </c>
      <c r="M77" s="61" t="inlineStr">
        <is>
          <t>Jantaş / G.7.6.</t>
        </is>
      </c>
      <c r="N77" s="65" t="n">
        <v>91009696.2099767</v>
      </c>
      <c r="O77" s="65" t="n">
        <v>102318188.683175</v>
      </c>
      <c r="P77" s="65" t="n">
        <v>102206193.850838</v>
      </c>
      <c r="Q77" s="65" t="n">
        <v>89615187.6435772</v>
      </c>
      <c r="R77" s="65" t="n">
        <v>89048303.631945</v>
      </c>
      <c r="S77" s="65" t="n">
        <v>91829211.46605401</v>
      </c>
      <c r="T77" s="65" t="n">
        <v>91978071.13079239</v>
      </c>
      <c r="U77" s="65" t="n">
        <v>91679832.2535904</v>
      </c>
      <c r="V77" s="65" t="n">
        <v>90824912.50249989</v>
      </c>
      <c r="W77" s="508">
        <f>(N77-O77)/N77</f>
        <v/>
      </c>
    </row>
    <row r="78">
      <c r="B78" s="61" t="inlineStr">
        <is>
          <t>Çelik / G.7.7.</t>
        </is>
      </c>
      <c r="C78" s="65" t="n">
        <v>3041373.1975</v>
      </c>
      <c r="D78" s="65" t="n">
        <v>3114000</v>
      </c>
      <c r="E78" s="65" t="n">
        <v>3114000</v>
      </c>
      <c r="F78" s="65" t="n">
        <v>3144000</v>
      </c>
      <c r="G78" s="65" t="n">
        <v>3143999.99999999</v>
      </c>
      <c r="H78" s="65" t="n">
        <v>3194917.05349997</v>
      </c>
      <c r="I78" s="65" t="n">
        <v>3194917.05349992</v>
      </c>
      <c r="J78" s="65" t="n">
        <v>3222000.00000001</v>
      </c>
      <c r="K78" s="65" t="n">
        <v>3245976.35303114</v>
      </c>
      <c r="L78" s="508">
        <f>(C78-D78)/C78</f>
        <v/>
      </c>
      <c r="M78" s="61" t="inlineStr">
        <is>
          <t>Çelik / G.7.7.</t>
        </is>
      </c>
      <c r="N78" s="65" t="n">
        <v>52689166.04157</v>
      </c>
      <c r="O78" s="65" t="n">
        <v>55578928.7033479</v>
      </c>
      <c r="P78" s="65" t="n">
        <v>55598149.0678167</v>
      </c>
      <c r="Q78" s="65" t="n">
        <v>54003164.4761554</v>
      </c>
      <c r="R78" s="65" t="n">
        <v>53663224.4541916</v>
      </c>
      <c r="S78" s="65" t="n">
        <v>52455728.956024</v>
      </c>
      <c r="T78" s="65" t="n">
        <v>52553730.2162803</v>
      </c>
      <c r="U78" s="65" t="n">
        <v>52841908.9718763</v>
      </c>
      <c r="V78" s="65" t="n">
        <v>53206792.7658783</v>
      </c>
      <c r="W78" s="508">
        <f>(N78-O78)/N78</f>
        <v/>
      </c>
    </row>
    <row r="79">
      <c r="B79" s="61" t="inlineStr">
        <is>
          <t>Alüminyum / G.7.8.</t>
        </is>
      </c>
      <c r="C79" s="65" t="n">
        <v>9789974.151532291</v>
      </c>
      <c r="D79" s="65" t="n">
        <v>9838762.743134109</v>
      </c>
      <c r="E79" s="65" t="n">
        <v>9838762.743134091</v>
      </c>
      <c r="F79" s="65" t="n">
        <v>9838762.743134109</v>
      </c>
      <c r="G79" s="65" t="n">
        <v>9838762.74313421</v>
      </c>
      <c r="H79" s="65" t="n">
        <v>9854577.219999989</v>
      </c>
      <c r="I79" s="65" t="n">
        <v>9854577.219999989</v>
      </c>
      <c r="J79" s="65" t="n">
        <v>9860395.39178456</v>
      </c>
      <c r="K79" s="65" t="n">
        <v>9918011.31152275</v>
      </c>
      <c r="L79" s="508">
        <f>(C79-D79)/C79</f>
        <v/>
      </c>
      <c r="M79" s="61" t="inlineStr">
        <is>
          <t>Alüminyum / G.7.8.</t>
        </is>
      </c>
      <c r="N79" s="65" t="n">
        <v>168841853.191573</v>
      </c>
      <c r="O79" s="65" t="n">
        <v>174062339.283619</v>
      </c>
      <c r="P79" s="65" t="n">
        <v>174294521.895661</v>
      </c>
      <c r="Q79" s="65" t="n">
        <v>168202009.820724</v>
      </c>
      <c r="R79" s="65" t="n">
        <v>167206391.870579</v>
      </c>
      <c r="S79" s="65" t="n">
        <v>161449735.557679</v>
      </c>
      <c r="T79" s="65" t="n">
        <v>161810811.876206</v>
      </c>
      <c r="U79" s="65" t="n">
        <v>161499923.396227</v>
      </c>
      <c r="V79" s="65" t="n">
        <v>162443660.280248</v>
      </c>
      <c r="W79" s="508">
        <f>(N79-O79)/N79</f>
        <v/>
      </c>
    </row>
    <row r="80">
      <c r="B80" s="61" t="inlineStr">
        <is>
          <t>x / G.7.9.</t>
        </is>
      </c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508" t="n"/>
      <c r="M80" s="61" t="inlineStr">
        <is>
          <t>x / G.7.9.</t>
        </is>
      </c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508" t="n"/>
    </row>
    <row r="81">
      <c r="B81" s="61" t="inlineStr">
        <is>
          <t>y / G.7.10.</t>
        </is>
      </c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508" t="n"/>
      <c r="M81" s="61" t="inlineStr">
        <is>
          <t>y / G.7.10.</t>
        </is>
      </c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508" t="n"/>
    </row>
    <row r="82">
      <c r="B82" s="61" t="inlineStr">
        <is>
          <t>EBİTDA-EUR / G.8.</t>
        </is>
      </c>
      <c r="C82" s="65" t="n">
        <v>45637545.9752484</v>
      </c>
      <c r="D82" s="65" t="n">
        <v>50184270.5375166</v>
      </c>
      <c r="E82" s="65" t="n">
        <v>50571301.0916946</v>
      </c>
      <c r="F82" s="65" t="n">
        <v>49407814.1498192</v>
      </c>
      <c r="G82" s="65" t="n">
        <v>53688063.1658048</v>
      </c>
      <c r="H82" s="65" t="n">
        <v>52438784.1083875</v>
      </c>
      <c r="I82" s="65" t="n">
        <v>51993750.1400064</v>
      </c>
      <c r="J82" s="65" t="n">
        <v>49454469.6432201</v>
      </c>
      <c r="K82" s="65" t="n">
        <v>51370278.2903488</v>
      </c>
      <c r="L82" s="508">
        <f>(C82-D82)/C82</f>
        <v/>
      </c>
      <c r="M82" s="61" t="inlineStr">
        <is>
          <t>EBİTDA-TL / G.8.</t>
        </is>
      </c>
      <c r="N82" s="65" t="n">
        <v>782024861.8371</v>
      </c>
      <c r="O82" s="65" t="n">
        <v>890977296.2540359</v>
      </c>
      <c r="P82" s="65" t="n">
        <v>898018638.538551</v>
      </c>
      <c r="Q82" s="65" t="n">
        <v>843075692.443785</v>
      </c>
      <c r="R82" s="65" t="n">
        <v>914568422.512715</v>
      </c>
      <c r="S82" s="65" t="n">
        <v>859510735.600222</v>
      </c>
      <c r="T82" s="65" t="n">
        <v>854434074.6405849</v>
      </c>
      <c r="U82" s="65" t="n">
        <v>809898057.286898</v>
      </c>
      <c r="V82" s="65" t="n">
        <v>841846514.382514</v>
      </c>
      <c r="W82" s="508">
        <f>(N82-O82)/N82</f>
        <v/>
      </c>
    </row>
    <row r="83">
      <c r="B83" s="61" t="inlineStr">
        <is>
          <t>İnci Holding / G.8.1.</t>
        </is>
      </c>
      <c r="C83" s="65" t="n">
        <v>5308063.88848095</v>
      </c>
      <c r="D83" s="65" t="n">
        <v>5186890.90216002</v>
      </c>
      <c r="E83" s="65" t="n">
        <v>5213754.80961869</v>
      </c>
      <c r="F83" s="65" t="n">
        <v>4775936.19462531</v>
      </c>
      <c r="G83" s="65" t="n">
        <v>5292564.24063353</v>
      </c>
      <c r="H83" s="65" t="n">
        <v>5488537.57749678</v>
      </c>
      <c r="I83" s="65" t="n">
        <v>5250627.79901561</v>
      </c>
      <c r="J83" s="65" t="n">
        <v>4827736.09544782</v>
      </c>
      <c r="K83" s="65" t="n">
        <v>4816773.64223209</v>
      </c>
      <c r="L83" s="508">
        <f>(C83-D83)/C83</f>
        <v/>
      </c>
      <c r="M83" s="61" t="inlineStr">
        <is>
          <t>İnci Holding / G.8.1.</t>
        </is>
      </c>
      <c r="N83" s="65" t="n">
        <v>91803808.827592</v>
      </c>
      <c r="O83" s="65" t="n">
        <v>91803808.827592</v>
      </c>
      <c r="P83" s="65" t="n">
        <v>92566880.1125959</v>
      </c>
      <c r="Q83" s="65" t="n">
        <v>91616816.97028209</v>
      </c>
      <c r="R83" s="65" t="n">
        <v>90023304.127379</v>
      </c>
      <c r="S83" s="65" t="n">
        <v>86229718.0881539</v>
      </c>
      <c r="T83" s="65" t="n">
        <v>78987171.7745447</v>
      </c>
      <c r="U83" s="65" t="n">
        <v>78868298.1568992</v>
      </c>
      <c r="V83" s="65" t="n">
        <v>78868298.1568992</v>
      </c>
      <c r="W83" s="508">
        <f>(N83-O83)/N83</f>
        <v/>
      </c>
    </row>
    <row r="84">
      <c r="B84" s="61" t="inlineStr">
        <is>
          <t>ISM / G.8.2.</t>
        </is>
      </c>
      <c r="C84" s="65" t="n">
        <v>1834885.44196922</v>
      </c>
      <c r="D84" s="65" t="n">
        <v>1767433.30985897</v>
      </c>
      <c r="E84" s="65" t="n">
        <v>1474780.44667749</v>
      </c>
      <c r="F84" s="65" t="n">
        <v>1487817.63390593</v>
      </c>
      <c r="G84" s="65" t="n">
        <v>1681976.97196333</v>
      </c>
      <c r="H84" s="65" t="n">
        <v>1705030.65340788</v>
      </c>
      <c r="I84" s="65" t="n">
        <v>1731410.70679948</v>
      </c>
      <c r="J84" s="65" t="n">
        <v>1663122.20906868</v>
      </c>
      <c r="K84" s="65" t="n">
        <v>1608378.64639523</v>
      </c>
      <c r="L84" s="508">
        <f>(C84-D84)/C84</f>
        <v/>
      </c>
      <c r="M84" s="61" t="inlineStr">
        <is>
          <t>ISM / G.8.2.</t>
        </is>
      </c>
      <c r="N84" s="65" t="n">
        <v>31161119.2437662</v>
      </c>
      <c r="O84" s="65" t="n">
        <v>30347413.2129996</v>
      </c>
      <c r="P84" s="65" t="n">
        <v>24704383.0524054</v>
      </c>
      <c r="Q84" s="65" t="n">
        <v>28068961.5375713</v>
      </c>
      <c r="R84" s="65" t="n">
        <v>27741889.05</v>
      </c>
      <c r="S84" s="65" t="n">
        <v>28279711.527677</v>
      </c>
      <c r="T84" s="65" t="n">
        <v>27102531.6457518</v>
      </c>
      <c r="U84" s="65" t="n">
        <v>26305821.0383309</v>
      </c>
      <c r="V84" s="65" t="n">
        <v>26305821.0383309</v>
      </c>
      <c r="W84" s="508">
        <f>(N84-O84)/N84</f>
        <v/>
      </c>
    </row>
    <row r="85">
      <c r="B85" s="61" t="inlineStr">
        <is>
          <t>İncitaş / G.8.3.</t>
        </is>
      </c>
      <c r="C85" s="65" t="n">
        <v>823064.954896155</v>
      </c>
      <c r="D85" s="65" t="n">
        <v>778621.4287345289</v>
      </c>
      <c r="E85" s="65" t="n">
        <v>753491.545932768</v>
      </c>
      <c r="F85" s="65" t="n">
        <v>783886.6813192799</v>
      </c>
      <c r="G85" s="65" t="n">
        <v>710764.521405148</v>
      </c>
      <c r="H85" s="65" t="n">
        <v>687964.228136536</v>
      </c>
      <c r="I85" s="65" t="n">
        <v>753344.549905346</v>
      </c>
      <c r="J85" s="65" t="n">
        <v>531841.6561809439</v>
      </c>
      <c r="K85" s="65" t="n">
        <v>503255.663118328</v>
      </c>
      <c r="L85" s="508">
        <f>(C85-D85)/C85</f>
        <v/>
      </c>
      <c r="M85" s="61" t="inlineStr">
        <is>
          <t>İncitaş / G.8.3.</t>
        </is>
      </c>
      <c r="N85" s="65" t="n">
        <v>14104448.228566</v>
      </c>
      <c r="O85" s="65" t="n">
        <v>13532994.6367921</v>
      </c>
      <c r="P85" s="65" t="n">
        <v>13105933.0137841</v>
      </c>
      <c r="Q85" s="65" t="n">
        <v>11897762.2100272</v>
      </c>
      <c r="R85" s="65" t="n">
        <v>11189849.8847987</v>
      </c>
      <c r="S85" s="65" t="n">
        <v>12318061.093612</v>
      </c>
      <c r="T85" s="65" t="n">
        <v>8620934.601441801</v>
      </c>
      <c r="U85" s="65" t="n">
        <v>8165443.3249677</v>
      </c>
      <c r="V85" s="65" t="n">
        <v>8165443.3249677</v>
      </c>
      <c r="W85" s="508">
        <f>(N85-O85)/N85</f>
        <v/>
      </c>
    </row>
    <row r="86">
      <c r="B86" s="61" t="inlineStr">
        <is>
          <t>İnci GS Yuasa / G.8.4.</t>
        </is>
      </c>
      <c r="C86" s="65" t="n">
        <v>13126734.85864</v>
      </c>
      <c r="D86" s="65" t="n">
        <v>19899180.2049261</v>
      </c>
      <c r="E86" s="65" t="n">
        <v>22127284.3394618</v>
      </c>
      <c r="F86" s="65" t="n">
        <v>20550609.022402</v>
      </c>
      <c r="G86" s="65" t="n">
        <v>23923281.1382046</v>
      </c>
      <c r="H86" s="65" t="n">
        <v>25062176.3134857</v>
      </c>
      <c r="I86" s="65" t="n">
        <v>24153275.6755327</v>
      </c>
      <c r="J86" s="65" t="n">
        <v>24545465.6771086</v>
      </c>
      <c r="K86" s="65" t="n">
        <v>22460752.5640746</v>
      </c>
      <c r="L86" s="508">
        <f>(C86-D86)/C86</f>
        <v/>
      </c>
      <c r="M86" s="61" t="inlineStr">
        <is>
          <t>İnci GS Yuasa / G.8.4.</t>
        </is>
      </c>
      <c r="N86" s="65" t="n">
        <v>222371622.299734</v>
      </c>
      <c r="O86" s="65" t="n">
        <v>361254430.447471</v>
      </c>
      <c r="P86" s="65" t="n">
        <v>403585804.932475</v>
      </c>
      <c r="Q86" s="65" t="n">
        <v>412053586.354648</v>
      </c>
      <c r="R86" s="65" t="n">
        <v>412686166.772356</v>
      </c>
      <c r="S86" s="65" t="n">
        <v>398370875.902975</v>
      </c>
      <c r="T86" s="65" t="n">
        <v>402603207.16419</v>
      </c>
      <c r="U86" s="65" t="n">
        <v>367694510.744102</v>
      </c>
      <c r="V86" s="65" t="n">
        <v>367694510.744102</v>
      </c>
      <c r="W86" s="508">
        <f>(N86-O86)/N86</f>
        <v/>
      </c>
    </row>
    <row r="87">
      <c r="B87" s="61" t="inlineStr">
        <is>
          <t>Yusen İnci Loj. / G.8.5.</t>
        </is>
      </c>
      <c r="C87" s="65" t="n">
        <v>6900133.86347884</v>
      </c>
      <c r="D87" s="65" t="n">
        <v>6007151.65249869</v>
      </c>
      <c r="E87" s="65" t="n">
        <v>5473920.99971927</v>
      </c>
      <c r="F87" s="65" t="n">
        <v>5533533.06853751</v>
      </c>
      <c r="G87" s="65" t="n">
        <v>5286500.14776933</v>
      </c>
      <c r="H87" s="65" t="n">
        <v>5203811.82999574</v>
      </c>
      <c r="I87" s="65" t="n">
        <v>5592726.21478619</v>
      </c>
      <c r="J87" s="65" t="n">
        <v>4655360.54893139</v>
      </c>
      <c r="K87" s="65" t="n">
        <v>4261797.70690739</v>
      </c>
      <c r="L87" s="508">
        <f>(C87-D87)/C87</f>
        <v/>
      </c>
      <c r="M87" s="61" t="inlineStr">
        <is>
          <t>Yusen İnci Loj. / G.8.5.</t>
        </is>
      </c>
      <c r="N87" s="65" t="n">
        <v>118814210.937976</v>
      </c>
      <c r="O87" s="65" t="n">
        <v>103886193.738913</v>
      </c>
      <c r="P87" s="65" t="n">
        <v>94238448.896503</v>
      </c>
      <c r="Q87" s="65" t="n">
        <v>88386268.13989881</v>
      </c>
      <c r="R87" s="65" t="n">
        <v>84687302.0573424</v>
      </c>
      <c r="S87" s="65" t="n">
        <v>91540647.41637351</v>
      </c>
      <c r="T87" s="65" t="n">
        <v>75875788.0656559</v>
      </c>
      <c r="U87" s="65" t="n">
        <v>69536362.4252826</v>
      </c>
      <c r="V87" s="65" t="n">
        <v>69536362.4252826</v>
      </c>
      <c r="W87" s="508">
        <f>(N87-O87)/N87</f>
        <v/>
      </c>
    </row>
    <row r="88">
      <c r="B88" s="61" t="inlineStr">
        <is>
          <t>Jantaş / G.8.6.</t>
        </is>
      </c>
      <c r="C88" s="65" t="n">
        <v>24843746.5610317</v>
      </c>
      <c r="D88" s="65" t="n">
        <v>28394856.2417</v>
      </c>
      <c r="E88" s="65" t="n">
        <v>28394856.2417</v>
      </c>
      <c r="F88" s="65" t="n">
        <v>28883167.8661986</v>
      </c>
      <c r="G88" s="65" t="n">
        <v>28883167.8661986</v>
      </c>
      <c r="H88" s="65" t="n">
        <v>31163572.5367747</v>
      </c>
      <c r="I88" s="65" t="n">
        <v>31163572.5367747</v>
      </c>
      <c r="J88" s="65" t="n">
        <v>31163572.5367747</v>
      </c>
      <c r="K88" s="65" t="n">
        <v>32593000</v>
      </c>
      <c r="L88" s="508">
        <f>(C88-D88)/C88</f>
        <v/>
      </c>
      <c r="M88" s="61" t="inlineStr">
        <is>
          <t>Jantaş / G.8.6.</t>
        </is>
      </c>
      <c r="N88" s="65" t="n">
        <v>419023287.407678</v>
      </c>
      <c r="O88" s="65" t="n">
        <v>497416459.880313</v>
      </c>
      <c r="P88" s="65" t="n">
        <v>495824269.816306</v>
      </c>
      <c r="Q88" s="65" t="n">
        <v>486131713.114483</v>
      </c>
      <c r="R88" s="65" t="n">
        <v>509709950.749826</v>
      </c>
      <c r="S88" s="65" t="n">
        <v>510949931.220018</v>
      </c>
      <c r="T88" s="65" t="n">
        <v>510585094.2385</v>
      </c>
      <c r="U88" s="65" t="n">
        <v>534354655.47396</v>
      </c>
      <c r="V88" s="65" t="n">
        <v>534354655.47396</v>
      </c>
      <c r="W88" s="508">
        <f>(N88-O88)/N88</f>
        <v/>
      </c>
    </row>
    <row r="89">
      <c r="B89" s="61" t="inlineStr">
        <is>
          <t>Çelik / G.8.7.</t>
        </is>
      </c>
      <c r="C89" s="65" t="n">
        <v>15595018.4616049</v>
      </c>
      <c r="D89" s="65" t="n">
        <v>15973000</v>
      </c>
      <c r="E89" s="65" t="n">
        <v>15973000</v>
      </c>
      <c r="F89" s="65" t="n">
        <v>15079000</v>
      </c>
      <c r="G89" s="65" t="n">
        <v>15079000</v>
      </c>
      <c r="H89" s="65" t="n">
        <v>15183155.3447383</v>
      </c>
      <c r="I89" s="65" t="n">
        <v>15183155.3447383</v>
      </c>
      <c r="J89" s="65" t="n">
        <v>11733000</v>
      </c>
      <c r="K89" s="65" t="n">
        <v>12190000</v>
      </c>
      <c r="L89" s="508">
        <f>(C89-D89)/C89</f>
        <v/>
      </c>
      <c r="M89" s="61" t="inlineStr">
        <is>
          <t>Çelik / G.8.7.</t>
        </is>
      </c>
      <c r="N89" s="65" t="n">
        <v>267346554.180409</v>
      </c>
      <c r="O89" s="65" t="n">
        <v>280525585.662835</v>
      </c>
      <c r="P89" s="65" t="n">
        <v>281181417.740352</v>
      </c>
      <c r="Q89" s="65" t="n">
        <v>254682026.432679</v>
      </c>
      <c r="R89" s="65" t="n">
        <v>249730443.41924</v>
      </c>
      <c r="S89" s="65" t="n">
        <v>249886529.274481</v>
      </c>
      <c r="T89" s="65" t="n">
        <v>192134070.065483</v>
      </c>
      <c r="U89" s="65" t="n">
        <v>199918954.098755</v>
      </c>
      <c r="V89" s="65" t="n">
        <v>199918954.098755</v>
      </c>
      <c r="W89" s="508">
        <f>(N89-O89)/N89</f>
        <v/>
      </c>
    </row>
    <row r="90">
      <c r="B90" s="61" t="inlineStr">
        <is>
          <t>Alüminyum / G.8.8.</t>
        </is>
      </c>
      <c r="C90" s="65" t="n">
        <v>33713195.48</v>
      </c>
      <c r="D90" s="65" t="n">
        <v>35854124.1427832</v>
      </c>
      <c r="E90" s="65" t="n">
        <v>35854124.1427832</v>
      </c>
      <c r="F90" s="65" t="n">
        <v>35854124.1427832</v>
      </c>
      <c r="G90" s="65" t="n">
        <v>35854124.1427832</v>
      </c>
      <c r="H90" s="65" t="n">
        <v>28514869.02</v>
      </c>
      <c r="I90" s="65" t="n">
        <v>28514869.02</v>
      </c>
      <c r="J90" s="65" t="n">
        <v>27845659.0242149</v>
      </c>
      <c r="K90" s="65" t="n">
        <v>33983937.4345072</v>
      </c>
      <c r="L90" s="508">
        <f>(C90-D90)/C90</f>
        <v/>
      </c>
      <c r="M90" s="61" t="inlineStr">
        <is>
          <t>Alüminyum / G.8.8.</t>
        </is>
      </c>
      <c r="N90" s="65" t="n">
        <v>584833039.0171371</v>
      </c>
      <c r="O90" s="65" t="n">
        <v>645150029.212099</v>
      </c>
      <c r="P90" s="65" t="n">
        <v>644273664.513775</v>
      </c>
      <c r="Q90" s="65" t="n">
        <v>613195213.856717</v>
      </c>
      <c r="R90" s="65" t="n">
        <v>466403826.653256</v>
      </c>
      <c r="S90" s="65" t="n">
        <v>468675757.038262</v>
      </c>
      <c r="T90" s="65" t="n">
        <v>456119586.838022</v>
      </c>
      <c r="U90" s="65" t="n">
        <v>557839269.227664</v>
      </c>
      <c r="V90" s="65" t="n">
        <v>557839269.227664</v>
      </c>
      <c r="W90" s="508">
        <f>(N90-O90)/N90</f>
        <v/>
      </c>
    </row>
    <row r="91">
      <c r="B91" s="61" t="inlineStr">
        <is>
          <t>x / G.8.9.</t>
        </is>
      </c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508" t="n"/>
      <c r="M91" s="61" t="inlineStr">
        <is>
          <t>x / G.8.9.</t>
        </is>
      </c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508" t="n"/>
    </row>
    <row r="92">
      <c r="B92" s="61" t="inlineStr">
        <is>
          <t>y / G.8.10.</t>
        </is>
      </c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508" t="n"/>
      <c r="M92" s="61" t="inlineStr">
        <is>
          <t>y / G.8.10.</t>
        </is>
      </c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508" t="n"/>
    </row>
    <row r="93">
      <c r="B93" s="61" t="inlineStr">
        <is>
          <t>Finansman Gelir/Gideri-EUR / G.9.</t>
        </is>
      </c>
      <c r="C93" s="65" t="n">
        <v>-3075099.04380866</v>
      </c>
      <c r="D93" s="65" t="n">
        <v>-2572931.75076206</v>
      </c>
      <c r="E93" s="65" t="n">
        <v>-2940610.44066457</v>
      </c>
      <c r="F93" s="65" t="n">
        <v>-3416013.50913498</v>
      </c>
      <c r="G93" s="65" t="n">
        <v>-2797890.68354511</v>
      </c>
      <c r="H93" s="65" t="n">
        <v>-1997781.02029267</v>
      </c>
      <c r="I93" s="65" t="n">
        <v>-1760230.70297864</v>
      </c>
      <c r="J93" s="65" t="n">
        <v>-1727298.1109444</v>
      </c>
      <c r="K93" s="65" t="n">
        <v>-1674964.25955539</v>
      </c>
      <c r="L93" s="508">
        <f>(C93-D93)/C93</f>
        <v/>
      </c>
      <c r="M93" s="61" t="inlineStr">
        <is>
          <t>Finansman Gelir/Gideri-TL / G.9.</t>
        </is>
      </c>
      <c r="N93" s="65" t="n">
        <v>-55013067.9443069</v>
      </c>
      <c r="O93" s="65" t="n">
        <v>-47212717.7448232</v>
      </c>
      <c r="P93" s="65" t="n">
        <v>-54498141.6843666</v>
      </c>
      <c r="Q93" s="65" t="n">
        <v>-48434142.7042428</v>
      </c>
      <c r="R93" s="65" t="n">
        <v>-32964857.1370768</v>
      </c>
      <c r="S93" s="65" t="n">
        <v>-29089566.5791303</v>
      </c>
      <c r="T93" s="65" t="n">
        <v>-28443764.8182827</v>
      </c>
      <c r="U93" s="65" t="n">
        <v>-27475687.4642289</v>
      </c>
      <c r="V93" s="65" t="n">
        <v>-27475687.4642289</v>
      </c>
      <c r="W93" s="508">
        <f>(N93-O93)/N93</f>
        <v/>
      </c>
    </row>
    <row r="94">
      <c r="B94" s="61" t="inlineStr">
        <is>
          <t>İnci Holding / G.9.1.</t>
        </is>
      </c>
      <c r="C94" s="65" t="n">
        <v>155154.7652323</v>
      </c>
      <c r="D94" s="65" t="n">
        <v>154929.256429047</v>
      </c>
      <c r="E94" s="65" t="n">
        <v>162222.645800079</v>
      </c>
      <c r="F94" s="65" t="n">
        <v>-42405.4713408711</v>
      </c>
      <c r="G94" s="65" t="n">
        <v>-62455.6803943699</v>
      </c>
      <c r="H94" s="65" t="n">
        <v>-70314.23764630999</v>
      </c>
      <c r="I94" s="65" t="n">
        <v>-83120.7643184442</v>
      </c>
      <c r="J94" s="65" t="n">
        <v>-49427.7338927807</v>
      </c>
      <c r="K94" s="65" t="n">
        <v>38681.5242399454</v>
      </c>
      <c r="L94" s="508">
        <f>(C94-D94)/C94</f>
        <v/>
      </c>
      <c r="M94" s="61" t="inlineStr">
        <is>
          <t>İnci Holding / G.9.1.</t>
        </is>
      </c>
      <c r="N94" s="65" t="n">
        <v>2678104.78028983</v>
      </c>
      <c r="O94" s="65" t="n">
        <v>2678104.78028983</v>
      </c>
      <c r="P94" s="65" t="n">
        <v>2924247.36256578</v>
      </c>
      <c r="Q94" s="65" t="n">
        <v>-1079043.77396233</v>
      </c>
      <c r="R94" s="65" t="n">
        <v>-1224878.34390939</v>
      </c>
      <c r="S94" s="65" t="n">
        <v>-1426008</v>
      </c>
      <c r="T94" s="65" t="n">
        <v>-848678.89752275</v>
      </c>
      <c r="U94" s="65" t="n">
        <v>630191.890875242</v>
      </c>
      <c r="V94" s="65" t="n">
        <v>630191.890875242</v>
      </c>
      <c r="W94" s="508">
        <f>(N94-O94)/N94</f>
        <v/>
      </c>
    </row>
    <row r="95">
      <c r="B95" s="61" t="inlineStr">
        <is>
          <t>ISM / G.9.2.</t>
        </is>
      </c>
      <c r="C95" s="65" t="n">
        <v>-142593.769649627</v>
      </c>
      <c r="D95" s="65" t="n">
        <v>-137739.99399588</v>
      </c>
      <c r="E95" s="65" t="n">
        <v>-182382.050966298</v>
      </c>
      <c r="F95" s="65" t="n">
        <v>-333245.613412176</v>
      </c>
      <c r="G95" s="65" t="n">
        <v>-287332.510826733</v>
      </c>
      <c r="H95" s="65" t="n">
        <v>-301984.687043584</v>
      </c>
      <c r="I95" s="65" t="n">
        <v>-297945.142936438</v>
      </c>
      <c r="J95" s="65" t="n">
        <v>-316266.42499636</v>
      </c>
      <c r="K95" s="65" t="n">
        <v>-315097.86383944</v>
      </c>
      <c r="L95" s="508">
        <f>(C95-D95)/C95</f>
        <v/>
      </c>
      <c r="M95" s="61" t="inlineStr">
        <is>
          <t>ISM / G.9.2.</t>
        </is>
      </c>
      <c r="N95" s="65" t="n">
        <v>-2532254</v>
      </c>
      <c r="O95" s="65" t="n">
        <v>-2532254</v>
      </c>
      <c r="P95" s="65" t="n">
        <v>-3400626</v>
      </c>
      <c r="Q95" s="65" t="n">
        <v>-5045958</v>
      </c>
      <c r="R95" s="65" t="n">
        <v>-5012737</v>
      </c>
      <c r="S95" s="65" t="n">
        <v>-4936533</v>
      </c>
      <c r="T95" s="65" t="n">
        <v>-5212322</v>
      </c>
      <c r="U95" s="65" t="n">
        <v>-5174260</v>
      </c>
      <c r="V95" s="65" t="n">
        <v>-5174260</v>
      </c>
      <c r="W95" s="508">
        <f>(N95-O95)/N95</f>
        <v/>
      </c>
    </row>
    <row r="96">
      <c r="B96" s="61" t="inlineStr">
        <is>
          <t>İncitaş / G.9.3.</t>
        </is>
      </c>
      <c r="C96" s="65" t="n">
        <v>-82807.48283591541</v>
      </c>
      <c r="D96" s="65" t="n">
        <v>-69781.2112111473</v>
      </c>
      <c r="E96" s="65" t="n">
        <v>-72536.3759565267</v>
      </c>
      <c r="F96" s="65" t="n">
        <v>-69013.41628104269</v>
      </c>
      <c r="G96" s="65" t="n">
        <v>-46099.6280987398</v>
      </c>
      <c r="H96" s="65" t="n">
        <v>-45532.0899838862</v>
      </c>
      <c r="I96" s="65" t="n">
        <v>-48971.767058346</v>
      </c>
      <c r="J96" s="65" t="n">
        <v>-27345.6600240662</v>
      </c>
      <c r="K96" s="65" t="n">
        <v>-16654.458658447</v>
      </c>
      <c r="L96" s="508">
        <f>(C96-D96)/C96</f>
        <v/>
      </c>
      <c r="M96" s="61" t="inlineStr">
        <is>
          <t>İncitaş / G.9.3.</t>
        </is>
      </c>
      <c r="N96" s="65" t="n">
        <v>-1447102.36602663</v>
      </c>
      <c r="O96" s="65" t="n">
        <v>-1233258.21789234</v>
      </c>
      <c r="P96" s="65" t="n">
        <v>-1289302.58712634</v>
      </c>
      <c r="Q96" s="65" t="n">
        <v>-765753.681890329</v>
      </c>
      <c r="R96" s="65" t="n">
        <v>-737746.695704074</v>
      </c>
      <c r="S96" s="65" t="n">
        <v>-799166.037429436</v>
      </c>
      <c r="T96" s="65" t="n">
        <v>-439109.947328324</v>
      </c>
      <c r="U96" s="65" t="n">
        <v>-266506.54372972</v>
      </c>
      <c r="V96" s="65" t="n">
        <v>-266506.54372972</v>
      </c>
      <c r="W96" s="508">
        <f>(N96-O96)/N96</f>
        <v/>
      </c>
    </row>
    <row r="97">
      <c r="B97" s="61" t="inlineStr">
        <is>
          <t>İnci GS Yuasa / G.9.4.</t>
        </is>
      </c>
      <c r="C97" s="65" t="n">
        <v>-7528035.93031232</v>
      </c>
      <c r="D97" s="65" t="n">
        <v>-5924248.79055467</v>
      </c>
      <c r="E97" s="65" t="n">
        <v>-6743736.92996317</v>
      </c>
      <c r="F97" s="65" t="n">
        <v>-7080204.28643683</v>
      </c>
      <c r="G97" s="65" t="n">
        <v>-4525249.85315833</v>
      </c>
      <c r="H97" s="65" t="n">
        <v>-3131098.42447304</v>
      </c>
      <c r="I97" s="65" t="n">
        <v>-2674953.80218677</v>
      </c>
      <c r="J97" s="65" t="n">
        <v>-2675279.54602015</v>
      </c>
      <c r="K97" s="65" t="n">
        <v>-2827822.66091988</v>
      </c>
      <c r="L97" s="508">
        <f>(C97-D97)/C97</f>
        <v/>
      </c>
      <c r="M97" s="61" t="inlineStr">
        <is>
          <t>İnci GS Yuasa / G.9.4.</t>
        </is>
      </c>
      <c r="N97" s="65" t="n">
        <v>-135721652.494444</v>
      </c>
      <c r="O97" s="65" t="n">
        <v>-109567085.827778</v>
      </c>
      <c r="P97" s="65" t="n">
        <v>-125964986.114722</v>
      </c>
      <c r="Q97" s="65" t="n">
        <v>-78685831.11690611</v>
      </c>
      <c r="R97" s="65" t="n">
        <v>-51736437.8827549</v>
      </c>
      <c r="S97" s="65" t="n">
        <v>-44272558.3740461</v>
      </c>
      <c r="T97" s="65" t="n">
        <v>-44122558.3740461</v>
      </c>
      <c r="U97" s="65" t="n">
        <v>-46460392.5490461</v>
      </c>
      <c r="V97" s="65" t="n">
        <v>-46460392.5490461</v>
      </c>
      <c r="W97" s="508">
        <f>(N97-O97)/N97</f>
        <v/>
      </c>
    </row>
    <row r="98">
      <c r="B98" s="61" t="inlineStr">
        <is>
          <t>Yusen İnci Loj. / G.9.5.</t>
        </is>
      </c>
      <c r="C98" s="65" t="n">
        <v>-100580.413564795</v>
      </c>
      <c r="D98" s="65" t="n">
        <v>-92531.90500552701</v>
      </c>
      <c r="E98" s="65" t="n">
        <v>-91980.90949139019</v>
      </c>
      <c r="F98" s="65" t="n">
        <v>-99084.1474867231</v>
      </c>
      <c r="G98" s="65" t="n">
        <v>-99360.7577865619</v>
      </c>
      <c r="H98" s="65" t="n">
        <v>-107946.746678332</v>
      </c>
      <c r="I98" s="65" t="n">
        <v>-53735.082152493</v>
      </c>
      <c r="J98" s="65" t="n">
        <v>100875.169516445</v>
      </c>
      <c r="K98" s="65" t="n">
        <v>323407.842906226</v>
      </c>
      <c r="L98" s="508">
        <f>(C98-D98)/C98</f>
        <v/>
      </c>
      <c r="M98" s="61" t="inlineStr">
        <is>
          <t>Yusen İnci Loj. / G.9.5.</t>
        </is>
      </c>
      <c r="N98" s="65" t="n">
        <v>-1711649.36716171</v>
      </c>
      <c r="O98" s="65" t="n">
        <v>-1592978.80180957</v>
      </c>
      <c r="P98" s="65" t="n">
        <v>-1585388.54295448</v>
      </c>
      <c r="Q98" s="65" t="n">
        <v>-1663488.61977817</v>
      </c>
      <c r="R98" s="65" t="n">
        <v>-1755643.87720285</v>
      </c>
      <c r="S98" s="65" t="n">
        <v>-859094.480670018</v>
      </c>
      <c r="T98" s="65" t="n">
        <v>1694325.0175785</v>
      </c>
      <c r="U98" s="65" t="n">
        <v>5337482.20237722</v>
      </c>
      <c r="V98" s="65" t="n">
        <v>5337482.20237722</v>
      </c>
      <c r="W98" s="508">
        <f>(N98-O98)/N98</f>
        <v/>
      </c>
    </row>
    <row r="99">
      <c r="B99" s="61" t="inlineStr">
        <is>
          <t>Jantaş / G.9.6.</t>
        </is>
      </c>
      <c r="C99" s="65" t="n">
        <v>-139657.555473387</v>
      </c>
      <c r="D99" s="65" t="n">
        <v>-97641.3594</v>
      </c>
      <c r="E99" s="65" t="n">
        <v>-97641.3594</v>
      </c>
      <c r="F99" s="65" t="n">
        <v>-75656.6363286837</v>
      </c>
      <c r="G99" s="65" t="n">
        <v>-75656.6363286837</v>
      </c>
      <c r="H99" s="65" t="n">
        <v>-167578.17706924</v>
      </c>
      <c r="I99" s="65" t="n">
        <v>-167578.17706924</v>
      </c>
      <c r="J99" s="65" t="n">
        <v>-167578.17706924</v>
      </c>
      <c r="K99" s="65" t="n">
        <v>-189000</v>
      </c>
      <c r="L99" s="508">
        <f>(C99-D99)/C99</f>
        <v/>
      </c>
      <c r="M99" s="61" t="inlineStr">
        <is>
          <t>Jantaş / G.9.6.</t>
        </is>
      </c>
      <c r="N99" s="65" t="n">
        <v>-2484287.30736522</v>
      </c>
      <c r="O99" s="65" t="n">
        <v>-1779156.03301605</v>
      </c>
      <c r="P99" s="65" t="n">
        <v>-1792092.50709513</v>
      </c>
      <c r="Q99" s="65" t="n">
        <v>-1300179.73849832</v>
      </c>
      <c r="R99" s="65" t="n">
        <v>-2776717.84633088</v>
      </c>
      <c r="S99" s="65" t="n">
        <v>-2776356.74322125</v>
      </c>
      <c r="T99" s="65" t="n">
        <v>-2759628.98570163</v>
      </c>
      <c r="U99" s="65" t="n">
        <v>-3094370.67535073</v>
      </c>
      <c r="V99" s="65" t="n">
        <v>-3094370.67535073</v>
      </c>
      <c r="W99" s="508">
        <f>(N99-O99)/N99</f>
        <v/>
      </c>
    </row>
    <row r="100">
      <c r="B100" s="61" t="inlineStr">
        <is>
          <t>Çelik / G.9.7.</t>
        </is>
      </c>
      <c r="C100" s="65" t="n">
        <v>-149692.442038025</v>
      </c>
      <c r="D100" s="65" t="n">
        <v>-205000</v>
      </c>
      <c r="E100" s="65" t="n">
        <v>-205000</v>
      </c>
      <c r="F100" s="65" t="n">
        <v>-192000</v>
      </c>
      <c r="G100" s="65" t="n">
        <v>-192000</v>
      </c>
      <c r="H100" s="65" t="n">
        <v>-157933.369708347</v>
      </c>
      <c r="I100" s="65" t="n">
        <v>-157933.369708347</v>
      </c>
      <c r="J100" s="65" t="n">
        <v>-148000</v>
      </c>
      <c r="K100" s="65" t="n">
        <v>-137000</v>
      </c>
      <c r="L100" s="508">
        <f>(C100-D100)/C100</f>
        <v/>
      </c>
      <c r="M100" s="61" t="inlineStr">
        <is>
          <t>Çelik / G.9.7.</t>
        </is>
      </c>
      <c r="N100" s="65" t="n">
        <v>-2485438.42804591</v>
      </c>
      <c r="O100" s="65" t="n">
        <v>-3601239.70042555</v>
      </c>
      <c r="P100" s="65" t="n">
        <v>-3591655.24102721</v>
      </c>
      <c r="Q100" s="65" t="n">
        <v>-3210156.35510032</v>
      </c>
      <c r="R100" s="65" t="n">
        <v>-2573848.1504293</v>
      </c>
      <c r="S100" s="65" t="n">
        <v>-2574342.68363934</v>
      </c>
      <c r="T100" s="65" t="n">
        <v>-2409651.62805518</v>
      </c>
      <c r="U100" s="65" t="n">
        <v>-2240823.69519793</v>
      </c>
      <c r="V100" s="65" t="n">
        <v>-2240823.69519793</v>
      </c>
      <c r="W100" s="508">
        <f>(N100-O100)/N100</f>
        <v/>
      </c>
    </row>
    <row r="101">
      <c r="B101" s="61" t="inlineStr">
        <is>
          <t>Alüminyum / G.9.8.</t>
        </is>
      </c>
      <c r="C101" s="65" t="n">
        <v>405834.95</v>
      </c>
      <c r="D101" s="65" t="n">
        <v>18572.5500000011</v>
      </c>
      <c r="E101" s="65" t="n">
        <v>18572.5500000011</v>
      </c>
      <c r="F101" s="65" t="n">
        <v>18572.5500000011</v>
      </c>
      <c r="G101" s="65" t="n">
        <v>18572.5500000011</v>
      </c>
      <c r="H101" s="65" t="n">
        <v>397456.31</v>
      </c>
      <c r="I101" s="65" t="n">
        <v>397456.31</v>
      </c>
      <c r="J101" s="65" t="n">
        <v>223156.71</v>
      </c>
      <c r="K101" s="65" t="n">
        <v>82636.83000000039</v>
      </c>
      <c r="L101" s="508">
        <f>(C101-D101)/C101</f>
        <v/>
      </c>
      <c r="M101" s="61" t="inlineStr">
        <is>
          <t>Alüminyum / G.9.8.</t>
        </is>
      </c>
      <c r="N101" s="65" t="n">
        <v>8123486.70059151</v>
      </c>
      <c r="O101" s="65" t="n">
        <v>1227184.59497747</v>
      </c>
      <c r="P101" s="65" t="n">
        <v>1102971.2562838</v>
      </c>
      <c r="Q101" s="65" t="n">
        <v>672645.4885341011</v>
      </c>
      <c r="R101" s="65" t="n">
        <v>6803019.48374824</v>
      </c>
      <c r="S101" s="65" t="n">
        <v>6730843.02083607</v>
      </c>
      <c r="T101" s="65" t="n">
        <v>3769018.63015678</v>
      </c>
      <c r="U101" s="65" t="n">
        <v>1410420.82604296</v>
      </c>
      <c r="V101" s="65" t="n">
        <v>1410420.82604296</v>
      </c>
      <c r="W101" s="508">
        <f>(N101-O101)/N101</f>
        <v/>
      </c>
    </row>
    <row r="102">
      <c r="B102" s="61" t="inlineStr">
        <is>
          <t>x / G.9.9.</t>
        </is>
      </c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508" t="n"/>
      <c r="M102" s="61" t="inlineStr">
        <is>
          <t>x / G.9.9.</t>
        </is>
      </c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508" t="n"/>
    </row>
    <row r="103">
      <c r="B103" s="61" t="inlineStr">
        <is>
          <t>y / G.9.10.</t>
        </is>
      </c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65" t="n"/>
      <c r="L103" s="508" t="n"/>
      <c r="M103" s="61" t="inlineStr">
        <is>
          <t>y / G.9.10.</t>
        </is>
      </c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508" t="n"/>
    </row>
    <row r="104">
      <c r="B104" s="61" t="inlineStr">
        <is>
          <t>Diğer Gelir/Gideri-EUR / G.10.</t>
        </is>
      </c>
      <c r="C104" s="65" t="n">
        <v>1048764.57370849</v>
      </c>
      <c r="D104" s="65" t="n">
        <v>872344.889629011</v>
      </c>
      <c r="E104" s="65" t="n">
        <v>2129969.9811336</v>
      </c>
      <c r="F104" s="65" t="n">
        <v>2191872.37152966</v>
      </c>
      <c r="G104" s="65" t="n">
        <v>368355.728440992</v>
      </c>
      <c r="H104" s="65" t="n">
        <v>3243032.61991707</v>
      </c>
      <c r="I104" s="65" t="n">
        <v>-5171421.20798835</v>
      </c>
      <c r="J104" s="65" t="n">
        <v>-3673159.17337726</v>
      </c>
      <c r="K104" s="65" t="n">
        <v>-3836974.17526219</v>
      </c>
      <c r="L104" s="508">
        <f>(C104-D104)/C104</f>
        <v/>
      </c>
      <c r="M104" s="61" t="inlineStr">
        <is>
          <t>Diğer Gelir/Gideri-TL / G.10.</t>
        </is>
      </c>
      <c r="N104" s="65" t="n">
        <v>7336019.56994072</v>
      </c>
      <c r="O104" s="65" t="n">
        <v>2854783.3553262</v>
      </c>
      <c r="P104" s="65" t="n">
        <v>24866202.4804492</v>
      </c>
      <c r="Q104" s="65" t="n">
        <v>-1793287.27707624</v>
      </c>
      <c r="R104" s="65" t="n">
        <v>56544859.7858836</v>
      </c>
      <c r="S104" s="65" t="n">
        <v>-85456772.10801131</v>
      </c>
      <c r="T104" s="65" t="n">
        <v>-60940691.7266006</v>
      </c>
      <c r="U104" s="65" t="n">
        <v>-62615787.1163801</v>
      </c>
      <c r="V104" s="65" t="n">
        <v>-62615787.1163801</v>
      </c>
      <c r="W104" s="508">
        <f>(N104-O104)/N104</f>
        <v/>
      </c>
    </row>
    <row r="105">
      <c r="B105" s="61" t="inlineStr">
        <is>
          <t>İnci Holding / G.10.1.</t>
        </is>
      </c>
      <c r="C105" s="65" t="n">
        <v>11169128.1536982</v>
      </c>
      <c r="D105" s="65" t="n">
        <v>11112957.4951634</v>
      </c>
      <c r="E105" s="65" t="n">
        <v>11263162.2002846</v>
      </c>
      <c r="F105" s="65" t="n">
        <v>10881953.7063403</v>
      </c>
      <c r="G105" s="65" t="n">
        <v>11159363.4074316</v>
      </c>
      <c r="H105" s="65" t="n">
        <v>10882271.8676516</v>
      </c>
      <c r="I105" s="65" t="n">
        <v>2334084.33541238</v>
      </c>
      <c r="J105" s="65" t="n">
        <v>3102265.97180134</v>
      </c>
      <c r="K105" s="65" t="n">
        <v>2512438.69863268</v>
      </c>
      <c r="L105" s="508">
        <f>(C105-D105)/C105</f>
        <v/>
      </c>
      <c r="M105" s="61" t="inlineStr">
        <is>
          <t>İnci Holding / G.10.1.</t>
        </is>
      </c>
      <c r="N105" s="65" t="n">
        <v>181374939.127126</v>
      </c>
      <c r="O105" s="65" t="n">
        <v>181374939.127126</v>
      </c>
      <c r="P105" s="65" t="n">
        <v>184134075.851241</v>
      </c>
      <c r="Q105" s="65" t="n">
        <v>179666461.160172</v>
      </c>
      <c r="R105" s="65" t="n">
        <v>180485100.032758</v>
      </c>
      <c r="S105" s="65" t="n">
        <v>37305083</v>
      </c>
      <c r="T105" s="65" t="n">
        <v>50008152.2638398</v>
      </c>
      <c r="U105" s="65" t="n">
        <v>40589496.279268</v>
      </c>
      <c r="V105" s="65" t="n">
        <v>40589496.279268</v>
      </c>
      <c r="W105" s="508">
        <f>(N105-O105)/N105</f>
        <v/>
      </c>
    </row>
    <row r="106">
      <c r="B106" s="61" t="inlineStr">
        <is>
          <t>ISM / G.10.2.</t>
        </is>
      </c>
      <c r="C106" s="65" t="n">
        <v>92753.3990528307</v>
      </c>
      <c r="D106" s="65" t="n">
        <v>87472.3742907928</v>
      </c>
      <c r="E106" s="65" t="n">
        <v>84905.3447912876</v>
      </c>
      <c r="F106" s="65" t="n">
        <v>89364.79232935869</v>
      </c>
      <c r="G106" s="65" t="n">
        <v>59093.9280220752</v>
      </c>
      <c r="H106" s="65" t="n">
        <v>46564.4125327324</v>
      </c>
      <c r="I106" s="65" t="n">
        <v>45719.4472751462</v>
      </c>
      <c r="J106" s="65" t="n">
        <v>42198.3436202047</v>
      </c>
      <c r="K106" s="65" t="n">
        <v>33811.0501664386</v>
      </c>
      <c r="L106" s="508">
        <f>(C106-D106)/C106</f>
        <v/>
      </c>
      <c r="M106" s="61" t="inlineStr">
        <is>
          <t>ISM / G.10.2.</t>
        </is>
      </c>
      <c r="N106" s="65" t="n">
        <v>1687593</v>
      </c>
      <c r="O106" s="65" t="n">
        <v>1630408</v>
      </c>
      <c r="P106" s="65" t="n">
        <v>1595139</v>
      </c>
      <c r="Q106" s="65" t="n">
        <v>1042433</v>
      </c>
      <c r="R106" s="65" t="n">
        <v>798863</v>
      </c>
      <c r="S106" s="65" t="n">
        <v>788041</v>
      </c>
      <c r="T106" s="65" t="n">
        <v>720903</v>
      </c>
      <c r="U106" s="65" t="n">
        <v>582677</v>
      </c>
      <c r="V106" s="65" t="n">
        <v>582677</v>
      </c>
      <c r="W106" s="508">
        <f>(N106-O106)/N106</f>
        <v/>
      </c>
    </row>
    <row r="107">
      <c r="B107" s="61" t="inlineStr">
        <is>
          <t>İncitaş / G.10.3.</t>
        </is>
      </c>
      <c r="C107" s="65" t="n">
        <v>251782.909572958</v>
      </c>
      <c r="D107" s="65" t="n">
        <v>262566.066107339</v>
      </c>
      <c r="E107" s="65" t="n">
        <v>258098.155150168</v>
      </c>
      <c r="F107" s="65" t="n">
        <v>205950.199057165</v>
      </c>
      <c r="G107" s="65" t="n">
        <v>214601.922773824</v>
      </c>
      <c r="H107" s="65" t="n">
        <v>133441.892370816</v>
      </c>
      <c r="I107" s="65" t="n">
        <v>133966.929091803</v>
      </c>
      <c r="J107" s="65" t="n">
        <v>105946.43176553</v>
      </c>
      <c r="K107" s="65" t="n">
        <v>96229.3660355926</v>
      </c>
      <c r="L107" s="508">
        <f>(C107-D107)/C107</f>
        <v/>
      </c>
      <c r="M107" s="61" t="inlineStr">
        <is>
          <t>İncitaş / G.10.3.</t>
        </is>
      </c>
      <c r="N107" s="65" t="n">
        <v>4189259.75290005</v>
      </c>
      <c r="O107" s="65" t="n">
        <v>4422003.75007619</v>
      </c>
      <c r="P107" s="65" t="n">
        <v>4336768.45997472</v>
      </c>
      <c r="Q107" s="65" t="n">
        <v>3515321.06249734</v>
      </c>
      <c r="R107" s="65" t="n">
        <v>2137790.29906693</v>
      </c>
      <c r="S107" s="65" t="n">
        <v>2145766.40023571</v>
      </c>
      <c r="T107" s="65" t="n">
        <v>1685267.05427211</v>
      </c>
      <c r="U107" s="65" t="n">
        <v>1541226.35350951</v>
      </c>
      <c r="V107" s="65" t="n">
        <v>1541226.35350951</v>
      </c>
      <c r="W107" s="508">
        <f>(N107-O107)/N107</f>
        <v/>
      </c>
    </row>
    <row r="108">
      <c r="B108" s="61" t="inlineStr">
        <is>
          <t>İnci GS Yuasa / G.10.4.</t>
        </is>
      </c>
      <c r="C108" s="65" t="n">
        <v>-27231200.8573346</v>
      </c>
      <c r="D108" s="65" t="n">
        <v>-27041188.6996272</v>
      </c>
      <c r="E108" s="65" t="n">
        <v>-24299860.1072737</v>
      </c>
      <c r="F108" s="65" t="n">
        <v>-22863512.5000519</v>
      </c>
      <c r="G108" s="65" t="n">
        <v>-22469104.5210733</v>
      </c>
      <c r="H108" s="65" t="n">
        <v>-15771899.0765719</v>
      </c>
      <c r="I108" s="65" t="n">
        <v>-15673002.9688145</v>
      </c>
      <c r="J108" s="65" t="n">
        <v>-14032177.6169717</v>
      </c>
      <c r="K108" s="65" t="n">
        <v>-12400602.9661728</v>
      </c>
      <c r="L108" s="508">
        <f>(C108-D108)/C108</f>
        <v/>
      </c>
      <c r="M108" s="61" t="inlineStr">
        <is>
          <t>İnci GS Yuasa / G.10.4.</t>
        </is>
      </c>
      <c r="N108" s="65" t="n">
        <v>-466911378.175491</v>
      </c>
      <c r="O108" s="65" t="n">
        <v>-469272019.466736</v>
      </c>
      <c r="P108" s="65" t="n">
        <v>-422003215.910219</v>
      </c>
      <c r="Q108" s="65" t="n">
        <v>-376905186.509094</v>
      </c>
      <c r="R108" s="65" t="n">
        <v>-255020414.325618</v>
      </c>
      <c r="S108" s="65" t="n">
        <v>-256020771.898729</v>
      </c>
      <c r="T108" s="65" t="n">
        <v>-229381231.898648</v>
      </c>
      <c r="U108" s="65" t="n">
        <v>-202157233.387593</v>
      </c>
      <c r="V108" s="65" t="n">
        <v>-202157233.387593</v>
      </c>
      <c r="W108" s="508">
        <f>(N108-O108)/N108</f>
        <v/>
      </c>
    </row>
    <row r="109">
      <c r="B109" s="61" t="inlineStr">
        <is>
          <t>Yusen İnci Loj. / G.10.5.</t>
        </is>
      </c>
      <c r="C109" s="65" t="n">
        <v>1537049.04389537</v>
      </c>
      <c r="D109" s="65" t="n">
        <v>1526834.88099595</v>
      </c>
      <c r="E109" s="65" t="n">
        <v>1571644.60574264</v>
      </c>
      <c r="F109" s="65" t="n">
        <v>1055235.80278346</v>
      </c>
      <c r="G109" s="65" t="n">
        <v>1079835.94509979</v>
      </c>
      <c r="H109" s="65" t="n">
        <v>247917.655586344</v>
      </c>
      <c r="I109" s="65" t="n">
        <v>459431.603065691</v>
      </c>
      <c r="J109" s="65" t="n">
        <v>141796.746705314</v>
      </c>
      <c r="K109" s="65" t="n">
        <v>131120.482473746</v>
      </c>
      <c r="L109" s="508">
        <f>(C109-D109)/C109</f>
        <v/>
      </c>
      <c r="M109" s="61" t="inlineStr">
        <is>
          <t>Yusen İnci Loj. / G.10.5.</t>
        </is>
      </c>
      <c r="N109" s="65" t="n">
        <v>25520166.25</v>
      </c>
      <c r="O109" s="65" t="n">
        <v>25337392.33</v>
      </c>
      <c r="P109" s="65" t="n">
        <v>26132175.03</v>
      </c>
      <c r="Q109" s="65" t="n">
        <v>17393217.37</v>
      </c>
      <c r="R109" s="65" t="n">
        <v>3756636.19</v>
      </c>
      <c r="S109" s="65" t="n">
        <v>7192926.51378448</v>
      </c>
      <c r="T109" s="65" t="n">
        <v>1926284.96952792</v>
      </c>
      <c r="U109" s="65" t="n">
        <v>1937647.97952792</v>
      </c>
      <c r="V109" s="65" t="n">
        <v>1937647.97952792</v>
      </c>
      <c r="W109" s="508">
        <f>(N109-O109)/N109</f>
        <v/>
      </c>
    </row>
    <row r="110">
      <c r="B110" s="61" t="inlineStr">
        <is>
          <t>Jantaş / G.10.6.</t>
        </is>
      </c>
      <c r="C110" s="65" t="n">
        <v>-60319.6031454499</v>
      </c>
      <c r="D110" s="65" t="n">
        <v>-419273.7962</v>
      </c>
      <c r="E110" s="65" t="n">
        <v>-419273.7962</v>
      </c>
      <c r="F110" s="65" t="n">
        <v>81785.8817756498</v>
      </c>
      <c r="G110" s="65" t="n">
        <v>81785.8817756498</v>
      </c>
      <c r="H110" s="65" t="n">
        <v>153500.47309847</v>
      </c>
      <c r="I110" s="65" t="n">
        <v>153500.47309847</v>
      </c>
      <c r="J110" s="65" t="n">
        <v>153500.47309847</v>
      </c>
      <c r="K110" s="65" t="n">
        <v>-860000</v>
      </c>
      <c r="L110" s="508">
        <f>(C110-D110)/C110</f>
        <v/>
      </c>
      <c r="M110" s="61" t="inlineStr">
        <is>
          <t>Jantaş / G.10.6.</t>
        </is>
      </c>
      <c r="N110" s="65" t="n">
        <v>-947629.11166819</v>
      </c>
      <c r="O110" s="65" t="n">
        <v>-6982710.4242204</v>
      </c>
      <c r="P110" s="65" t="n">
        <v>-7164457.88099988</v>
      </c>
      <c r="Q110" s="65" t="n">
        <v>1725427.2458707</v>
      </c>
      <c r="R110" s="65" t="n">
        <v>2547569.24633874</v>
      </c>
      <c r="S110" s="65" t="n">
        <v>2996177.97753355</v>
      </c>
      <c r="T110" s="65" t="n">
        <v>2903155.91846874</v>
      </c>
      <c r="U110" s="65" t="n">
        <v>-12732051.839752</v>
      </c>
      <c r="V110" s="65" t="n">
        <v>-12732051.839752</v>
      </c>
      <c r="W110" s="508">
        <f>(N110-O110)/N110</f>
        <v/>
      </c>
    </row>
    <row r="111">
      <c r="B111" s="61" t="inlineStr">
        <is>
          <t>Çelik / G.10.7.</t>
        </is>
      </c>
      <c r="C111" s="65" t="n">
        <v>-407778.30495405</v>
      </c>
      <c r="D111" s="65" t="n">
        <v>-543000</v>
      </c>
      <c r="E111" s="65" t="n">
        <v>-543000</v>
      </c>
      <c r="F111" s="65" t="n">
        <v>-737000</v>
      </c>
      <c r="G111" s="65" t="n">
        <v>-737000</v>
      </c>
      <c r="H111" s="65" t="n">
        <v>-234658.16456517</v>
      </c>
      <c r="I111" s="65" t="n">
        <v>-234658.16456517</v>
      </c>
      <c r="J111" s="65" t="n">
        <v>-64000</v>
      </c>
      <c r="K111" s="65" t="n">
        <v>31000</v>
      </c>
      <c r="L111" s="508">
        <f>(C111-D111)/C111</f>
        <v/>
      </c>
      <c r="M111" s="61" t="inlineStr">
        <is>
          <t>Çelik / G.10.7.</t>
        </is>
      </c>
      <c r="N111" s="65" t="n">
        <v>-5852007.21143147</v>
      </c>
      <c r="O111" s="65" t="n">
        <v>-8197043.43383624</v>
      </c>
      <c r="P111" s="65" t="n">
        <v>-7945585.04666346</v>
      </c>
      <c r="Q111" s="65" t="n">
        <v>-11943049.8843697</v>
      </c>
      <c r="R111" s="65" t="n">
        <v>-3905134.67628765</v>
      </c>
      <c r="S111" s="65" t="n">
        <v>-3597979.26386453</v>
      </c>
      <c r="T111" s="65" t="n">
        <v>-859285.398801507</v>
      </c>
      <c r="U111" s="65" t="n">
        <v>616435.503165721</v>
      </c>
      <c r="V111" s="65" t="n">
        <v>616435.503165721</v>
      </c>
      <c r="W111" s="508">
        <f>(N111-O111)/N111</f>
        <v/>
      </c>
    </row>
    <row r="112">
      <c r="B112" s="61" t="inlineStr">
        <is>
          <t>Alüminyum / G.10.8.</t>
        </is>
      </c>
      <c r="C112" s="65" t="n">
        <v>0</v>
      </c>
      <c r="D112" s="65" t="n">
        <v>0</v>
      </c>
      <c r="E112" s="65" t="n">
        <v>0</v>
      </c>
      <c r="F112" s="65" t="n">
        <v>0</v>
      </c>
      <c r="G112" s="65" t="n">
        <v>0</v>
      </c>
      <c r="H112" s="65" t="n">
        <v>0</v>
      </c>
      <c r="I112" s="65" t="n">
        <v>0</v>
      </c>
      <c r="J112" s="65" t="n">
        <v>0</v>
      </c>
      <c r="K112" s="65" t="n">
        <v>0</v>
      </c>
      <c r="L112" s="508" t="n"/>
      <c r="M112" s="61" t="inlineStr">
        <is>
          <t>Alüminyum / G.10.8.</t>
        </is>
      </c>
      <c r="N112" s="65" t="n">
        <v>-1598582.52662217</v>
      </c>
      <c r="O112" s="65" t="n">
        <v>-2317037.809897</v>
      </c>
      <c r="P112" s="65" t="n">
        <v>-2018368.26903267</v>
      </c>
      <c r="Q112" s="65" t="n">
        <v>-1087867.84449678</v>
      </c>
      <c r="R112" s="65" t="n">
        <v>-815786.71788186</v>
      </c>
      <c r="S112" s="65" t="n">
        <v>-804316.6246598</v>
      </c>
      <c r="T112" s="65" t="n">
        <v>-631150.727666449</v>
      </c>
      <c r="U112" s="65" t="n">
        <v>-448456.781344434</v>
      </c>
      <c r="V112" s="65" t="n">
        <v>-448456.781344434</v>
      </c>
      <c r="W112" s="508" t="n"/>
    </row>
    <row r="113">
      <c r="B113" s="61" t="inlineStr">
        <is>
          <t>x / G.10.9.</t>
        </is>
      </c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508" t="n"/>
      <c r="M113" s="61" t="inlineStr">
        <is>
          <t>x / G.10.9.</t>
        </is>
      </c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508" t="n"/>
    </row>
    <row r="114">
      <c r="B114" s="61" t="inlineStr">
        <is>
          <t>y / G.10.10.</t>
        </is>
      </c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508" t="n"/>
      <c r="M114" s="61" t="inlineStr">
        <is>
          <t>y / G.10.10.</t>
        </is>
      </c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508" t="n"/>
    </row>
    <row r="115">
      <c r="B115" s="61" t="inlineStr">
        <is>
          <t>VÖK-EUR / G.11.</t>
        </is>
      </c>
      <c r="C115" s="65" t="n">
        <v>36883216.8315704</v>
      </c>
      <c r="D115" s="65" t="n">
        <v>39715815.2798323</v>
      </c>
      <c r="E115" s="65" t="n">
        <v>41076003.9559525</v>
      </c>
      <c r="F115" s="65" t="n">
        <v>39699657.671335</v>
      </c>
      <c r="G115" s="65" t="n">
        <v>42473946.887545</v>
      </c>
      <c r="H115" s="65" t="n">
        <v>44630035.6539577</v>
      </c>
      <c r="I115" s="65" t="n">
        <v>35904817.7501214</v>
      </c>
      <c r="J115" s="65" t="n">
        <v>34997430.5580328</v>
      </c>
      <c r="K115" s="65" t="n">
        <v>36756538.9727352</v>
      </c>
      <c r="L115" s="508">
        <f>(C115-D115)/C115</f>
        <v/>
      </c>
      <c r="M115" s="61" t="inlineStr">
        <is>
          <t>VÖK-TL / G.11.</t>
        </is>
      </c>
      <c r="N115" s="65" t="n">
        <v>619893598.2571369</v>
      </c>
      <c r="O115" s="65" t="n">
        <v>689551988.786375</v>
      </c>
      <c r="P115" s="65" t="n">
        <v>712996254.255252</v>
      </c>
      <c r="Q115" s="65" t="n">
        <v>714426793.24433</v>
      </c>
      <c r="R115" s="65" t="n">
        <v>734431527.962026</v>
      </c>
      <c r="S115" s="65" t="n">
        <v>589236479.4857121</v>
      </c>
      <c r="T115" s="65" t="n">
        <v>572023439.376619</v>
      </c>
      <c r="U115" s="65" t="n">
        <v>602598025.040886</v>
      </c>
      <c r="V115" s="65" t="n">
        <v>602598025.040886</v>
      </c>
      <c r="W115" s="508">
        <f>(N115-O115)/N115</f>
        <v/>
      </c>
    </row>
    <row r="116">
      <c r="B116" s="61" t="inlineStr">
        <is>
          <t>İnci Holding / G.11.1.</t>
        </is>
      </c>
      <c r="C116" s="65" t="n">
        <v>16528443.7457699</v>
      </c>
      <c r="D116" s="65" t="n">
        <v>16353501.7756789</v>
      </c>
      <c r="E116" s="65" t="n">
        <v>16537798.3878647</v>
      </c>
      <c r="F116" s="65" t="n">
        <v>15510559.7588253</v>
      </c>
      <c r="G116" s="65" t="n">
        <v>16283873.1123958</v>
      </c>
      <c r="H116" s="65" t="n">
        <v>16190784.0278664</v>
      </c>
      <c r="I116" s="65" t="n">
        <v>7392079.6012707</v>
      </c>
      <c r="J116" s="65" t="n">
        <v>7770840.96037796</v>
      </c>
      <c r="K116" s="65" t="n">
        <v>7258052.2598967</v>
      </c>
      <c r="L116" s="508">
        <f>(C116-D116)/C116</f>
        <v/>
      </c>
      <c r="M116" s="61" t="inlineStr">
        <is>
          <t>İnci Holding / G.11.1.</t>
        </is>
      </c>
      <c r="N116" s="65" t="n">
        <v>274055983.735008</v>
      </c>
      <c r="O116" s="65" t="n">
        <v>274055983.735008</v>
      </c>
      <c r="P116" s="65" t="n">
        <v>277824334.326402</v>
      </c>
      <c r="Q116" s="65" t="n">
        <v>268403365.356491</v>
      </c>
      <c r="R116" s="65" t="n">
        <v>267482656.816228</v>
      </c>
      <c r="S116" s="65" t="n">
        <v>120307919.088154</v>
      </c>
      <c r="T116" s="65" t="n">
        <v>126348403.721186</v>
      </c>
      <c r="U116" s="65" t="n">
        <v>118289744.907367</v>
      </c>
      <c r="V116" s="65" t="n">
        <v>118289744.907367</v>
      </c>
      <c r="W116" s="508">
        <f>(N116-O116)/N116</f>
        <v/>
      </c>
    </row>
    <row r="117">
      <c r="B117" s="61" t="inlineStr">
        <is>
          <t>ISM / G.11.2.</t>
        </is>
      </c>
      <c r="C117" s="65" t="n">
        <v>1680832.7086111</v>
      </c>
      <c r="D117" s="65" t="n">
        <v>1615405.21182315</v>
      </c>
      <c r="E117" s="65" t="n">
        <v>1291598.02981774</v>
      </c>
      <c r="F117" s="65" t="n">
        <v>1155842.00829358</v>
      </c>
      <c r="G117" s="65" t="n">
        <v>1383519.28932835</v>
      </c>
      <c r="H117" s="65" t="n">
        <v>1375509.19885037</v>
      </c>
      <c r="I117" s="65" t="n">
        <v>1404575.87746112</v>
      </c>
      <c r="J117" s="65" t="n">
        <v>1313380.20000468</v>
      </c>
      <c r="K117" s="65" t="n">
        <v>1249151.61838468</v>
      </c>
      <c r="L117" s="508">
        <f>(C117-D117)/C117</f>
        <v/>
      </c>
      <c r="M117" s="61" t="inlineStr">
        <is>
          <t>ISM / G.11.2.</t>
        </is>
      </c>
      <c r="N117" s="65" t="n">
        <v>28482170.6837662</v>
      </c>
      <c r="O117" s="65" t="n">
        <v>27611279.6529996</v>
      </c>
      <c r="P117" s="65" t="n">
        <v>21374367.8624054</v>
      </c>
      <c r="Q117" s="65" t="n">
        <v>22870271.9275713</v>
      </c>
      <c r="R117" s="65" t="n">
        <v>22311917.05</v>
      </c>
      <c r="S117" s="65" t="n">
        <v>22904307.527677</v>
      </c>
      <c r="T117" s="65" t="n">
        <v>21373725.6457518</v>
      </c>
      <c r="U117" s="65" t="n">
        <v>20438552.6583309</v>
      </c>
      <c r="V117" s="65" t="n">
        <v>20438552.6583309</v>
      </c>
      <c r="W117" s="508">
        <f>(N117-O117)/N117</f>
        <v/>
      </c>
    </row>
    <row r="118">
      <c r="B118" s="61" t="inlineStr">
        <is>
          <t>İncitaş / G.11.3.</t>
        </is>
      </c>
      <c r="C118" s="65" t="n">
        <v>980511.90119703</v>
      </c>
      <c r="D118" s="65" t="n">
        <v>960324.717335855</v>
      </c>
      <c r="E118" s="65" t="n">
        <v>931394.011316494</v>
      </c>
      <c r="F118" s="65" t="n">
        <v>912675.907162695</v>
      </c>
      <c r="G118" s="65" t="n">
        <v>872457.8720821691</v>
      </c>
      <c r="H118" s="65" t="n">
        <v>768775.042550711</v>
      </c>
      <c r="I118" s="65" t="n">
        <v>831148.857286361</v>
      </c>
      <c r="J118" s="65" t="n">
        <v>603147.91774845</v>
      </c>
      <c r="K118" s="65" t="n">
        <v>575419.582170148</v>
      </c>
      <c r="L118" s="508">
        <f>(C118-D118)/C118</f>
        <v/>
      </c>
      <c r="M118" s="61" t="inlineStr">
        <is>
          <t>İncitaş / G.11.3.</t>
        </is>
      </c>
      <c r="N118" s="65" t="n">
        <v>16642600.7154394</v>
      </c>
      <c r="O118" s="65" t="n">
        <v>16522239.488976</v>
      </c>
      <c r="P118" s="65" t="n">
        <v>16016227.0566325</v>
      </c>
      <c r="Q118" s="65" t="n">
        <v>14531480.2028564</v>
      </c>
      <c r="R118" s="65" t="n">
        <v>12473417.1292726</v>
      </c>
      <c r="S118" s="65" t="n">
        <v>13546428.1964183</v>
      </c>
      <c r="T118" s="65" t="n">
        <v>9747532.42727448</v>
      </c>
      <c r="U118" s="65" t="n">
        <v>9318756.952525269</v>
      </c>
      <c r="V118" s="65" t="n">
        <v>9318756.952525269</v>
      </c>
      <c r="W118" s="508">
        <f>(N118-O118)/N118</f>
        <v/>
      </c>
    </row>
    <row r="119">
      <c r="B119" s="61" t="inlineStr">
        <is>
          <t>İnci GS Yuasa / G.11.4.</t>
        </is>
      </c>
      <c r="C119" s="65" t="n">
        <v>-19446207.0437094</v>
      </c>
      <c r="D119" s="65" t="n">
        <v>-15449185.7110563</v>
      </c>
      <c r="E119" s="65" t="n">
        <v>-11146665.9354398</v>
      </c>
      <c r="F119" s="65" t="n">
        <v>-11509879.6700153</v>
      </c>
      <c r="G119" s="65" t="n">
        <v>-5395581.13197123</v>
      </c>
      <c r="H119" s="65" t="n">
        <v>3686659.01418739</v>
      </c>
      <c r="I119" s="65" t="n">
        <v>3348758.50949378</v>
      </c>
      <c r="J119" s="65" t="n">
        <v>5368959.47916151</v>
      </c>
      <c r="K119" s="65" t="n">
        <v>4704147.47228676</v>
      </c>
      <c r="L119" s="508">
        <f>(C119-D119)/C119</f>
        <v/>
      </c>
      <c r="M119" s="61" t="inlineStr">
        <is>
          <t>İnci GS Yuasa / G.11.4.</t>
        </is>
      </c>
      <c r="N119" s="65" t="n">
        <v>-337552303.275162</v>
      </c>
      <c r="O119" s="65" t="n">
        <v>-262000983.756403</v>
      </c>
      <c r="P119" s="65" t="n">
        <v>-185517638.184831</v>
      </c>
      <c r="Q119" s="65" t="n">
        <v>-83758877.1699831</v>
      </c>
      <c r="R119" s="65" t="n">
        <v>65111686.9749121</v>
      </c>
      <c r="S119" s="65" t="n">
        <v>57496603.8007251</v>
      </c>
      <c r="T119" s="65" t="n">
        <v>88534227.5222044</v>
      </c>
      <c r="U119" s="65" t="n">
        <v>77621239.95069259</v>
      </c>
      <c r="V119" s="65" t="n">
        <v>77621239.95069259</v>
      </c>
      <c r="W119" s="508">
        <f>(N119-O119)/N119</f>
        <v/>
      </c>
    </row>
    <row r="120">
      <c r="B120" s="61" t="inlineStr">
        <is>
          <t>Yusen İnci Loj. / G.11.5.</t>
        </is>
      </c>
      <c r="C120" s="65" t="n">
        <v>7947520.43702257</v>
      </c>
      <c r="D120" s="65" t="n">
        <v>7061110.19299341</v>
      </c>
      <c r="E120" s="65" t="n">
        <v>6580165.29727471</v>
      </c>
      <c r="F120" s="65" t="n">
        <v>6097454.33879439</v>
      </c>
      <c r="G120" s="65" t="n">
        <v>5865842.62545686</v>
      </c>
      <c r="H120" s="65" t="n">
        <v>4913102.05054386</v>
      </c>
      <c r="I120" s="65" t="n">
        <v>5290592.75494321</v>
      </c>
      <c r="J120" s="65" t="n">
        <v>4493936.23188932</v>
      </c>
      <c r="K120" s="65" t="n">
        <v>4314017.84039744</v>
      </c>
      <c r="L120" s="508">
        <f>(C120-D120)/C120</f>
        <v/>
      </c>
      <c r="M120" s="61" t="inlineStr">
        <is>
          <t>Yusen İnci Loj. / G.11.5.</t>
        </is>
      </c>
      <c r="N120" s="65" t="n">
        <v>135916703.804904</v>
      </c>
      <c r="O120" s="65" t="n">
        <v>120924583.251194</v>
      </c>
      <c r="P120" s="65" t="n">
        <v>112199651.141774</v>
      </c>
      <c r="Q120" s="65" t="n">
        <v>97304933.4969036</v>
      </c>
      <c r="R120" s="65" t="n">
        <v>79630587.5159532</v>
      </c>
      <c r="S120" s="65" t="n">
        <v>86180176.94028071</v>
      </c>
      <c r="T120" s="65" t="n">
        <v>72887115.2245487</v>
      </c>
      <c r="U120" s="65" t="n">
        <v>70202209.77897421</v>
      </c>
      <c r="V120" s="65" t="n">
        <v>70202209.77897421</v>
      </c>
      <c r="W120" s="508">
        <f>(N120-O120)/N120</f>
        <v/>
      </c>
    </row>
    <row r="121">
      <c r="B121" s="61" t="inlineStr">
        <is>
          <t>Jantaş / G.11.6.</t>
        </is>
      </c>
      <c r="C121" s="65" t="n">
        <v>19407027.0010873</v>
      </c>
      <c r="D121" s="65" t="n">
        <v>22209600.5059</v>
      </c>
      <c r="E121" s="65" t="n">
        <v>22209600.5059</v>
      </c>
      <c r="F121" s="65" t="n">
        <v>23673941.374205</v>
      </c>
      <c r="G121" s="65" t="n">
        <v>23673941.374205</v>
      </c>
      <c r="H121" s="65" t="n">
        <v>25562597.7764827</v>
      </c>
      <c r="I121" s="65" t="n">
        <v>25562597.7764827</v>
      </c>
      <c r="J121" s="65" t="n">
        <v>25562597.7764827</v>
      </c>
      <c r="K121" s="65" t="n">
        <v>26004000</v>
      </c>
      <c r="L121" s="508">
        <f>(C121-D121)/C121</f>
        <v/>
      </c>
      <c r="M121" s="61" t="inlineStr">
        <is>
          <t>Jantaş / G.11.6.</t>
        </is>
      </c>
      <c r="N121" s="65" t="n">
        <v>324581674.778668</v>
      </c>
      <c r="O121" s="65" t="n">
        <v>386336404.739902</v>
      </c>
      <c r="P121" s="65" t="n">
        <v>384661525.577373</v>
      </c>
      <c r="Q121" s="65" t="n">
        <v>397508656.98991</v>
      </c>
      <c r="R121" s="65" t="n">
        <v>417651590.68378</v>
      </c>
      <c r="S121" s="65" t="n">
        <v>419191681.323538</v>
      </c>
      <c r="T121" s="65" t="n">
        <v>419048788.917676</v>
      </c>
      <c r="U121" s="65" t="n">
        <v>427703320.456357</v>
      </c>
      <c r="V121" s="65" t="n">
        <v>427703320.456357</v>
      </c>
      <c r="W121" s="508">
        <f>(N121-O121)/N121</f>
        <v/>
      </c>
    </row>
    <row r="122">
      <c r="B122" s="61" t="inlineStr">
        <is>
          <t>Çelik / G.11.7.</t>
        </is>
      </c>
      <c r="C122" s="65" t="n">
        <v>11996174.5171128</v>
      </c>
      <c r="D122" s="65" t="n">
        <v>12111000</v>
      </c>
      <c r="E122" s="65" t="n">
        <v>12111000</v>
      </c>
      <c r="F122" s="65" t="n">
        <v>11006000</v>
      </c>
      <c r="G122" s="65" t="n">
        <v>11006000</v>
      </c>
      <c r="H122" s="65" t="n">
        <v>11595646.7569648</v>
      </c>
      <c r="I122" s="65" t="n">
        <v>11595646.7569649</v>
      </c>
      <c r="J122" s="65" t="n">
        <v>8298999.99999999</v>
      </c>
      <c r="K122" s="65" t="n">
        <v>8838023.64696886</v>
      </c>
      <c r="L122" s="508">
        <f>(C122-D122)/C122</f>
        <v/>
      </c>
      <c r="M122" s="61" t="inlineStr">
        <is>
          <t>Çelik / G.11.7.</t>
        </is>
      </c>
      <c r="N122" s="65" t="n">
        <v>206319942.499362</v>
      </c>
      <c r="O122" s="65" t="n">
        <v>213148373.825226</v>
      </c>
      <c r="P122" s="65" t="n">
        <v>214046028.384845</v>
      </c>
      <c r="Q122" s="65" t="n">
        <v>185865595.739017</v>
      </c>
      <c r="R122" s="65" t="n">
        <v>190795731.636499</v>
      </c>
      <c r="S122" s="65" t="n">
        <v>191160477.110697</v>
      </c>
      <c r="T122" s="65" t="n">
        <v>136023224.06675</v>
      </c>
      <c r="U122" s="65" t="n">
        <v>145087773.140845</v>
      </c>
      <c r="V122" s="65" t="n">
        <v>145087773.140845</v>
      </c>
      <c r="W122" s="508">
        <f>(N122-O122)/N122</f>
        <v/>
      </c>
    </row>
    <row r="123">
      <c r="B123" s="61" t="inlineStr">
        <is>
          <t>Alüminyum / G.11.8.</t>
        </is>
      </c>
      <c r="C123" s="65" t="n">
        <v>24329056.2784677</v>
      </c>
      <c r="D123" s="65" t="n">
        <v>26033933.9496491</v>
      </c>
      <c r="E123" s="65" t="n">
        <v>26033933.9496491</v>
      </c>
      <c r="F123" s="65" t="n">
        <v>26033933.9496491</v>
      </c>
      <c r="G123" s="65" t="n">
        <v>26033933.949649</v>
      </c>
      <c r="H123" s="65" t="n">
        <v>19057748.11</v>
      </c>
      <c r="I123" s="65" t="n">
        <v>19057748.11</v>
      </c>
      <c r="J123" s="65" t="n">
        <v>18208420.3424303</v>
      </c>
      <c r="K123" s="65" t="n">
        <v>24148562.9529844</v>
      </c>
      <c r="L123" s="508">
        <f>(C123-D123)/C123</f>
        <v/>
      </c>
      <c r="M123" s="61" t="inlineStr">
        <is>
          <t>Alüminyum / G.11.8.</t>
        </is>
      </c>
      <c r="N123" s="65" t="n">
        <v>422516089.999533</v>
      </c>
      <c r="O123" s="65" t="n">
        <v>469997836.71356</v>
      </c>
      <c r="P123" s="65" t="n">
        <v>469063745.605366</v>
      </c>
      <c r="Q123" s="65" t="n">
        <v>445573599.630175</v>
      </c>
      <c r="R123" s="65" t="n">
        <v>310941323.861443</v>
      </c>
      <c r="S123" s="65" t="n">
        <v>312791471.558233</v>
      </c>
      <c r="T123" s="65" t="n">
        <v>297757531.344285</v>
      </c>
      <c r="U123" s="65" t="n">
        <v>396357572.992114</v>
      </c>
      <c r="V123" s="65" t="n">
        <v>396357572.992114</v>
      </c>
      <c r="W123" s="508">
        <f>(N123-O123)/N123</f>
        <v/>
      </c>
    </row>
    <row r="124">
      <c r="B124" s="61" t="inlineStr">
        <is>
          <t>x / G.11.9.</t>
        </is>
      </c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508" t="n"/>
      <c r="M124" s="61" t="inlineStr">
        <is>
          <t>x / G.11.9.</t>
        </is>
      </c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508" t="n"/>
    </row>
    <row r="125">
      <c r="B125" s="61" t="inlineStr">
        <is>
          <t>y / G.11.10.</t>
        </is>
      </c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65" t="n"/>
      <c r="L125" s="508" t="n"/>
      <c r="M125" s="61" t="inlineStr">
        <is>
          <t>y / G.11.10.</t>
        </is>
      </c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508" t="n"/>
    </row>
    <row r="126">
      <c r="B126" s="61" t="inlineStr">
        <is>
          <t>Vergi-EUR / G.12.</t>
        </is>
      </c>
      <c r="C126" s="65" t="n">
        <v>-8898780.88867555</v>
      </c>
      <c r="D126" s="65" t="n">
        <v>-9719490.39332551</v>
      </c>
      <c r="E126" s="65" t="n">
        <v>-9696928.98937005</v>
      </c>
      <c r="F126" s="65" t="n">
        <v>-9294721.197349099</v>
      </c>
      <c r="G126" s="65" t="n">
        <v>-9448526.42491255</v>
      </c>
      <c r="H126" s="65" t="n">
        <v>-8957446.58240873</v>
      </c>
      <c r="I126" s="65" t="n">
        <v>-6873864.53750918</v>
      </c>
      <c r="J126" s="65" t="n">
        <v>-7105479.00051255</v>
      </c>
      <c r="K126" s="65" t="n">
        <v>-7468046.33289366</v>
      </c>
      <c r="L126" s="508">
        <f>(C126-D126)/C126</f>
        <v/>
      </c>
      <c r="M126" s="61" t="inlineStr">
        <is>
          <t>Vergi-TL / G.12.</t>
        </is>
      </c>
      <c r="N126" s="65" t="n">
        <v>-149870969.505722</v>
      </c>
      <c r="O126" s="65" t="n">
        <v>-169794352.563183</v>
      </c>
      <c r="P126" s="65" t="n">
        <v>-167994977.987645</v>
      </c>
      <c r="Q126" s="65" t="n">
        <v>-158225492.79856</v>
      </c>
      <c r="R126" s="65" t="n">
        <v>-147173601.387611</v>
      </c>
      <c r="S126" s="65" t="n">
        <v>-112311336.725503</v>
      </c>
      <c r="T126" s="65" t="n">
        <v>-115671541.652234</v>
      </c>
      <c r="U126" s="65" t="n">
        <v>-122073762.682239</v>
      </c>
      <c r="V126" s="65" t="n">
        <v>-122073762.682239</v>
      </c>
      <c r="W126" s="508">
        <f>(N126-O126)/N126</f>
        <v/>
      </c>
    </row>
    <row r="127">
      <c r="B127" s="61" t="inlineStr">
        <is>
          <t>İnci Holding / G.12.1.</t>
        </is>
      </c>
      <c r="C127" s="65" t="n">
        <v>-3636257.62406939</v>
      </c>
      <c r="D127" s="65" t="n">
        <v>-3597770.39064935</v>
      </c>
      <c r="E127" s="65" t="n">
        <v>-3638315.64533023</v>
      </c>
      <c r="F127" s="65" t="n">
        <v>-3412323.14694157</v>
      </c>
      <c r="G127" s="65" t="n">
        <v>-3582452.08472707</v>
      </c>
      <c r="H127" s="65" t="n">
        <v>-3561972.4861306</v>
      </c>
      <c r="I127" s="65" t="n">
        <v>-1626257.51227955</v>
      </c>
      <c r="J127" s="65" t="n">
        <v>-1709585.01128315</v>
      </c>
      <c r="K127" s="65" t="n">
        <v>-1596771.49717727</v>
      </c>
      <c r="L127" s="508">
        <f>(C127-D127)/C127</f>
        <v/>
      </c>
      <c r="M127" s="61" t="inlineStr">
        <is>
          <t>İnci Holding / G.12.1.</t>
        </is>
      </c>
      <c r="N127" s="65" t="n">
        <v>-60292316.4217017</v>
      </c>
      <c r="O127" s="65" t="n">
        <v>-60292316.4217017</v>
      </c>
      <c r="P127" s="65" t="n">
        <v>-61121353.5518085</v>
      </c>
      <c r="Q127" s="65" t="n">
        <v>-59048740.3784281</v>
      </c>
      <c r="R127" s="65" t="n">
        <v>-58846184.4995701</v>
      </c>
      <c r="S127" s="65" t="n">
        <v>-26467742.1993939</v>
      </c>
      <c r="T127" s="65" t="n">
        <v>-27796648.8186609</v>
      </c>
      <c r="U127" s="65" t="n">
        <v>-26023743.8796207</v>
      </c>
      <c r="V127" s="65" t="n">
        <v>-26023743.8796207</v>
      </c>
      <c r="W127" s="508">
        <f>(N127-O127)/N127</f>
        <v/>
      </c>
    </row>
    <row r="128">
      <c r="B128" s="61" t="inlineStr">
        <is>
          <t>ISM / G.12.2.</t>
        </is>
      </c>
      <c r="C128" s="65" t="n">
        <v>-100849.962516666</v>
      </c>
      <c r="D128" s="65" t="n">
        <v>-96924.31270938909</v>
      </c>
      <c r="E128" s="65" t="n">
        <v>-77495.8817890646</v>
      </c>
      <c r="F128" s="65" t="n">
        <v>-69350.520497615</v>
      </c>
      <c r="G128" s="65" t="n">
        <v>-83011.157359701</v>
      </c>
      <c r="H128" s="65" t="n">
        <v>-82530.5519310222</v>
      </c>
      <c r="I128" s="65" t="n">
        <v>-84274.5526476673</v>
      </c>
      <c r="J128" s="65" t="n">
        <v>-78802.8120002808</v>
      </c>
      <c r="K128" s="65" t="n">
        <v>-74949.097103081</v>
      </c>
      <c r="L128" s="508">
        <f>(C128-D128)/C128</f>
        <v/>
      </c>
      <c r="M128" s="61" t="inlineStr">
        <is>
          <t>ISM / G.12.2.</t>
        </is>
      </c>
      <c r="N128" s="65" t="n">
        <v>-1708930.24102597</v>
      </c>
      <c r="O128" s="65" t="n">
        <v>-1656676.77917998</v>
      </c>
      <c r="P128" s="65" t="n">
        <v>-1282462.07174433</v>
      </c>
      <c r="Q128" s="65" t="n">
        <v>-1372216.31565428</v>
      </c>
      <c r="R128" s="65" t="n">
        <v>-1338715.023</v>
      </c>
      <c r="S128" s="65" t="n">
        <v>-1374258.45166062</v>
      </c>
      <c r="T128" s="65" t="n">
        <v>-1282423.53874511</v>
      </c>
      <c r="U128" s="65" t="n">
        <v>-1226313.15949985</v>
      </c>
      <c r="V128" s="65" t="n">
        <v>-1226313.15949985</v>
      </c>
      <c r="W128" s="508">
        <f>(N128-O128)/N128</f>
        <v/>
      </c>
    </row>
    <row r="129">
      <c r="B129" s="61" t="inlineStr">
        <is>
          <t>İncitaş / G.12.3.</t>
        </is>
      </c>
      <c r="C129" s="65" t="n">
        <v>-185216.984025094</v>
      </c>
      <c r="D129" s="65" t="n">
        <v>-161965.42601589</v>
      </c>
      <c r="E129" s="65" t="n">
        <v>-162398.233058887</v>
      </c>
      <c r="F129" s="65" t="n">
        <v>-181581.291249622</v>
      </c>
      <c r="G129" s="65" t="n">
        <v>-173462.69773302</v>
      </c>
      <c r="H129" s="65" t="n">
        <v>-180788.473598031</v>
      </c>
      <c r="I129" s="65" t="n">
        <v>-198111.344756607</v>
      </c>
      <c r="J129" s="65" t="n">
        <v>-143414.946424738</v>
      </c>
      <c r="K129" s="65" t="n">
        <v>-139087.38571485</v>
      </c>
      <c r="L129" s="508">
        <f>(C129-D129)/C129</f>
        <v/>
      </c>
      <c r="M129" s="61" t="inlineStr">
        <is>
          <t>İncitaş / G.12.3.</t>
        </is>
      </c>
      <c r="N129" s="65" t="n">
        <v>-3827798.22147105</v>
      </c>
      <c r="O129" s="65" t="n">
        <v>-3800115.15424241</v>
      </c>
      <c r="P129" s="65" t="n">
        <v>-3683732.29448158</v>
      </c>
      <c r="Q129" s="65" t="n">
        <v>-3342240.59065511</v>
      </c>
      <c r="R129" s="65" t="n">
        <v>-3118354.44479304</v>
      </c>
      <c r="S129" s="65" t="n">
        <v>-3386607.28907944</v>
      </c>
      <c r="T129" s="65" t="n">
        <v>-2436968.26750436</v>
      </c>
      <c r="U129" s="65" t="n">
        <v>-2329689.48815636</v>
      </c>
      <c r="V129" s="65" t="n">
        <v>-2329689.48815636</v>
      </c>
      <c r="W129" s="508">
        <f>(N129-O129)/N129</f>
        <v/>
      </c>
    </row>
    <row r="130">
      <c r="B130" s="61" t="inlineStr">
        <is>
          <t>İnci GS Yuasa / G.12.4.</t>
        </is>
      </c>
      <c r="C130" s="65" t="n">
        <v>0</v>
      </c>
      <c r="D130" s="65" t="n">
        <v>0</v>
      </c>
      <c r="E130" s="65" t="n">
        <v>0</v>
      </c>
      <c r="F130" s="65" t="n">
        <v>0</v>
      </c>
      <c r="G130" s="65" t="n">
        <v>0</v>
      </c>
      <c r="H130" s="65" t="n">
        <v>0</v>
      </c>
      <c r="I130" s="65" t="n">
        <v>0</v>
      </c>
      <c r="J130" s="65" t="n">
        <v>0</v>
      </c>
      <c r="K130" s="65" t="n">
        <v>0</v>
      </c>
      <c r="L130" s="508" t="n"/>
      <c r="M130" s="61" t="inlineStr">
        <is>
          <t>İnci GS Yuasa / G.12.4.</t>
        </is>
      </c>
      <c r="N130" s="65" t="n">
        <v>0</v>
      </c>
      <c r="O130" s="65" t="n">
        <v>0</v>
      </c>
      <c r="P130" s="65" t="n">
        <v>0</v>
      </c>
      <c r="Q130" s="65" t="n">
        <v>0</v>
      </c>
      <c r="R130" s="65" t="n">
        <v>0</v>
      </c>
      <c r="S130" s="65" t="n">
        <v>0</v>
      </c>
      <c r="T130" s="65" t="n">
        <v>0</v>
      </c>
      <c r="U130" s="65" t="n">
        <v>0</v>
      </c>
      <c r="V130" s="65" t="n">
        <v>0</v>
      </c>
      <c r="W130" s="508" t="n"/>
    </row>
    <row r="131">
      <c r="B131" s="61" t="inlineStr">
        <is>
          <t>Yusen İnci Loj. / G.12.5.</t>
        </is>
      </c>
      <c r="C131" s="65" t="n">
        <v>-1613115.32333518</v>
      </c>
      <c r="D131" s="65" t="n">
        <v>-1397276.51900976</v>
      </c>
      <c r="E131" s="65" t="n">
        <v>-1286998.93211225</v>
      </c>
      <c r="F131" s="65" t="n">
        <v>-1176071.46485405</v>
      </c>
      <c r="G131" s="65" t="n">
        <v>-1121407.08093524</v>
      </c>
      <c r="H131" s="65" t="n">
        <v>-901295.112878028</v>
      </c>
      <c r="I131" s="65" t="n">
        <v>-483960.255568729</v>
      </c>
      <c r="J131" s="65" t="n">
        <v>-432047.838945274</v>
      </c>
      <c r="K131" s="65" t="n">
        <v>-339402.019292372</v>
      </c>
      <c r="L131" s="508">
        <f>(C131-D131)/C131</f>
        <v/>
      </c>
      <c r="M131" s="61" t="inlineStr">
        <is>
          <t>Yusen İnci Loj. / G.12.5.</t>
        </is>
      </c>
      <c r="N131" s="65" t="n">
        <v>-27847266.9903155</v>
      </c>
      <c r="O131" s="65" t="n">
        <v>-24163314.8385596</v>
      </c>
      <c r="P131" s="65" t="n">
        <v>-22161960.3821053</v>
      </c>
      <c r="Q131" s="65" t="n">
        <v>-18734257.3228452</v>
      </c>
      <c r="R131" s="65" t="n">
        <v>-14673629.9324178</v>
      </c>
      <c r="S131" s="65" t="n">
        <v>-7765779.59258577</v>
      </c>
      <c r="T131" s="65" t="n">
        <v>-6881936.21444736</v>
      </c>
      <c r="U131" s="65" t="n">
        <v>-5443562.16611452</v>
      </c>
      <c r="V131" s="65" t="n">
        <v>-5443562.16611452</v>
      </c>
      <c r="W131" s="508">
        <f>(N131-O131)/N131</f>
        <v/>
      </c>
    </row>
    <row r="132">
      <c r="B132" s="61" t="inlineStr">
        <is>
          <t>Jantaş / G.12.6.</t>
        </is>
      </c>
      <c r="C132" s="65" t="n">
        <v>-4212199.95928324</v>
      </c>
      <c r="D132" s="65" t="n">
        <v>-6058410.1734</v>
      </c>
      <c r="E132" s="65" t="n">
        <v>-6058410.1734</v>
      </c>
      <c r="F132" s="65" t="n">
        <v>-5970205.16432925</v>
      </c>
      <c r="G132" s="65" t="n">
        <v>-5970205.16432925</v>
      </c>
      <c r="H132" s="65" t="n">
        <v>-5835100.47760715</v>
      </c>
      <c r="I132" s="65" t="n">
        <v>-5835100.47760715</v>
      </c>
      <c r="J132" s="65" t="n">
        <v>-5835100.47760715</v>
      </c>
      <c r="K132" s="65" t="n">
        <v>-5964000</v>
      </c>
      <c r="L132" s="508">
        <f>(C132-D132)/C132</f>
        <v/>
      </c>
      <c r="M132" s="61" t="inlineStr">
        <is>
          <t>Jantaş / G.12.6.</t>
        </is>
      </c>
      <c r="N132" s="65" t="n">
        <v>-67839911.75729071</v>
      </c>
      <c r="O132" s="65" t="n">
        <v>-106001304.203606</v>
      </c>
      <c r="P132" s="65" t="n">
        <v>-103602559.041234</v>
      </c>
      <c r="Q132" s="65" t="n">
        <v>-99049402.9088086</v>
      </c>
      <c r="R132" s="65" t="n">
        <v>-94673160.5249764</v>
      </c>
      <c r="S132" s="65" t="n">
        <v>-94790722.1941776</v>
      </c>
      <c r="T132" s="65" t="n">
        <v>-95020412.99157719</v>
      </c>
      <c r="U132" s="65" t="n">
        <v>-97447916.64977691</v>
      </c>
      <c r="V132" s="65" t="n">
        <v>-97447916.64977691</v>
      </c>
      <c r="W132" s="508">
        <f>(N132-O132)/N132</f>
        <v/>
      </c>
    </row>
    <row r="133">
      <c r="B133" s="61" t="inlineStr">
        <is>
          <t>Çelik / G.12.7.</t>
        </is>
      </c>
      <c r="C133" s="65" t="n">
        <v>-2190527.95388517</v>
      </c>
      <c r="D133" s="65" t="n">
        <v>-2365000</v>
      </c>
      <c r="E133" s="65" t="n">
        <v>-2365000</v>
      </c>
      <c r="F133" s="65" t="n">
        <v>-2096000</v>
      </c>
      <c r="G133" s="65" t="n">
        <v>-2096000</v>
      </c>
      <c r="H133" s="65" t="n">
        <v>-2494088.37638751</v>
      </c>
      <c r="I133" s="65" t="n">
        <v>-2494088.37638751</v>
      </c>
      <c r="J133" s="65" t="n">
        <v>-1940000</v>
      </c>
      <c r="K133" s="65" t="n">
        <v>-2043000</v>
      </c>
      <c r="L133" s="508">
        <f>(C133-D133)/C133</f>
        <v/>
      </c>
      <c r="M133" s="61" t="inlineStr">
        <is>
          <t>Çelik / G.12.7.</t>
        </is>
      </c>
      <c r="N133" s="65" t="n">
        <v>-37788296.6757142</v>
      </c>
      <c r="O133" s="65" t="n">
        <v>-42910490.0270672</v>
      </c>
      <c r="P133" s="65" t="n">
        <v>-42383479.8720404</v>
      </c>
      <c r="Q133" s="65" t="n">
        <v>-35595068.7767562</v>
      </c>
      <c r="R133" s="65" t="n">
        <v>-41377090.8286781</v>
      </c>
      <c r="S133" s="65" t="n">
        <v>-41239520.8472625</v>
      </c>
      <c r="T133" s="65" t="n">
        <v>-31775525.5724409</v>
      </c>
      <c r="U133" s="65" t="n">
        <v>-33537834.9613334</v>
      </c>
      <c r="V133" s="65" t="n">
        <v>-33537834.9613334</v>
      </c>
      <c r="W133" s="508">
        <f>(N133-O133)/N133</f>
        <v/>
      </c>
    </row>
    <row r="134">
      <c r="B134" s="61" t="inlineStr">
        <is>
          <t>Alüminyum / G.12.8.</t>
        </is>
      </c>
      <c r="C134" s="65" t="n">
        <v>-4425297.55865741</v>
      </c>
      <c r="D134" s="65" t="n">
        <v>-4836388.96746742</v>
      </c>
      <c r="E134" s="65" t="n">
        <v>-4836388.96746742</v>
      </c>
      <c r="F134" s="65" t="n">
        <v>-4836388.96746742</v>
      </c>
      <c r="G134" s="65" t="n">
        <v>-4836388.96746742</v>
      </c>
      <c r="H134" s="65" t="n">
        <v>-3599903.71</v>
      </c>
      <c r="I134" s="65" t="n">
        <v>-3599903.71</v>
      </c>
      <c r="J134" s="65" t="n">
        <v>-4727042.26045853</v>
      </c>
      <c r="K134" s="65" t="n">
        <v>-5796693.86295375</v>
      </c>
      <c r="L134" s="508">
        <f>(C134-D134)/C134</f>
        <v/>
      </c>
      <c r="M134" s="61" t="inlineStr">
        <is>
          <t>Alüminyum / G.12.8.</t>
        </is>
      </c>
      <c r="N134" s="65" t="n">
        <v>-76629336.1304875</v>
      </c>
      <c r="O134" s="65" t="n">
        <v>-87038001.45091531</v>
      </c>
      <c r="P134" s="65" t="n">
        <v>-86620575.8786469</v>
      </c>
      <c r="Q134" s="65" t="n">
        <v>-82777009.7761474</v>
      </c>
      <c r="R134" s="65" t="n">
        <v>-58951987.2645479</v>
      </c>
      <c r="S134" s="65" t="n">
        <v>-58910799.3293967</v>
      </c>
      <c r="T134" s="65" t="n">
        <v>-76710877.7898432</v>
      </c>
      <c r="U134" s="65" t="n">
        <v>-94805726.61018009</v>
      </c>
      <c r="V134" s="65" t="n">
        <v>-94805726.61018009</v>
      </c>
      <c r="W134" s="508">
        <f>(N134-O134)/N134</f>
        <v/>
      </c>
    </row>
    <row r="135">
      <c r="B135" s="61" t="inlineStr">
        <is>
          <t>x / G.12.9.</t>
        </is>
      </c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508" t="n"/>
      <c r="M135" s="61" t="inlineStr">
        <is>
          <t>x / G.12.9.</t>
        </is>
      </c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508" t="n"/>
    </row>
    <row r="136">
      <c r="B136" s="61" t="inlineStr">
        <is>
          <t>y / G.12.10.</t>
        </is>
      </c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508" t="n"/>
      <c r="M136" s="61" t="inlineStr">
        <is>
          <t>y / G.12.10.</t>
        </is>
      </c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508" t="n"/>
    </row>
    <row r="137">
      <c r="B137" s="61" t="inlineStr">
        <is>
          <t>Net Kar-EUR / G.13.</t>
        </is>
      </c>
      <c r="C137" s="65" t="n">
        <v>27984435.9428948</v>
      </c>
      <c r="D137" s="65" t="n">
        <v>29996324.8865068</v>
      </c>
      <c r="E137" s="65" t="n">
        <v>31379074.9665824</v>
      </c>
      <c r="F137" s="65" t="n">
        <v>30404936.4739859</v>
      </c>
      <c r="G137" s="65" t="n">
        <v>33225420.4626324</v>
      </c>
      <c r="H137" s="65" t="n">
        <v>35672589.071549</v>
      </c>
      <c r="I137" s="65" t="n">
        <v>29030953.2126122</v>
      </c>
      <c r="J137" s="65" t="n">
        <v>27891951.5575202</v>
      </c>
      <c r="K137" s="65" t="n">
        <v>29288492.6398416</v>
      </c>
      <c r="L137" s="508">
        <f>(C137-D137)/C137</f>
        <v/>
      </c>
      <c r="M137" s="61" t="inlineStr">
        <is>
          <t>Net Kar-TL / G.13.</t>
        </is>
      </c>
      <c r="N137" s="65" t="n">
        <v>470022628.751416</v>
      </c>
      <c r="O137" s="65" t="n">
        <v>519757636.223192</v>
      </c>
      <c r="P137" s="65" t="n">
        <v>545001276.267606</v>
      </c>
      <c r="Q137" s="65" t="n">
        <v>556201300.445769</v>
      </c>
      <c r="R137" s="65" t="n">
        <v>587257926.574415</v>
      </c>
      <c r="S137" s="65" t="n">
        <v>476925142.760209</v>
      </c>
      <c r="T137" s="65" t="n">
        <v>456351897.724385</v>
      </c>
      <c r="U137" s="65" t="n">
        <v>480524262.358646</v>
      </c>
      <c r="V137" s="65" t="n">
        <v>480524262.358646</v>
      </c>
      <c r="W137" s="508">
        <f>(N137-O137)/N137</f>
        <v/>
      </c>
    </row>
    <row r="138">
      <c r="B138" s="61" t="inlineStr">
        <is>
          <t>İnci Holding / G.13.1.</t>
        </is>
      </c>
      <c r="C138" s="65" t="n">
        <v>12892186.1217006</v>
      </c>
      <c r="D138" s="65" t="n">
        <v>12755731.3850295</v>
      </c>
      <c r="E138" s="65" t="n">
        <v>12899482.7425345</v>
      </c>
      <c r="F138" s="65" t="n">
        <v>12098236.6118838</v>
      </c>
      <c r="G138" s="65" t="n">
        <v>12701421.0276687</v>
      </c>
      <c r="H138" s="65" t="n">
        <v>12628811.5417358</v>
      </c>
      <c r="I138" s="65" t="n">
        <v>5765822.08899115</v>
      </c>
      <c r="J138" s="65" t="n">
        <v>6061255.94909481</v>
      </c>
      <c r="K138" s="65" t="n">
        <v>5661280.76271943</v>
      </c>
      <c r="L138" s="508">
        <f>(C138-D138)/C138</f>
        <v/>
      </c>
      <c r="M138" s="61" t="inlineStr">
        <is>
          <t>İnci Holding / G.13.1.</t>
        </is>
      </c>
      <c r="N138" s="65" t="n">
        <v>213763667.313306</v>
      </c>
      <c r="O138" s="65" t="n">
        <v>213763667.313306</v>
      </c>
      <c r="P138" s="65" t="n">
        <v>216702980.774594</v>
      </c>
      <c r="Q138" s="65" t="n">
        <v>209354624.978063</v>
      </c>
      <c r="R138" s="65" t="n">
        <v>208636472.316658</v>
      </c>
      <c r="S138" s="65" t="n">
        <v>93840176.88876</v>
      </c>
      <c r="T138" s="65" t="n">
        <v>98551754.9025251</v>
      </c>
      <c r="U138" s="65" t="n">
        <v>92266001.0277461</v>
      </c>
      <c r="V138" s="65" t="n">
        <v>92266001.0277461</v>
      </c>
      <c r="W138" s="508">
        <f>(N138-O138)/N138</f>
        <v/>
      </c>
    </row>
    <row r="139">
      <c r="B139" s="61" t="inlineStr">
        <is>
          <t>ISM / G.13.2.</t>
        </is>
      </c>
      <c r="C139" s="65" t="n">
        <v>1579982.74609443</v>
      </c>
      <c r="D139" s="65" t="n">
        <v>1518480.89911376</v>
      </c>
      <c r="E139" s="65" t="n">
        <v>1214102.14802868</v>
      </c>
      <c r="F139" s="65" t="n">
        <v>1086491.48779597</v>
      </c>
      <c r="G139" s="65" t="n">
        <v>1300508.13196865</v>
      </c>
      <c r="H139" s="65" t="n">
        <v>1292978.64691935</v>
      </c>
      <c r="I139" s="65" t="n">
        <v>1320301.32481345</v>
      </c>
      <c r="J139" s="65" t="n">
        <v>1234577.3880044</v>
      </c>
      <c r="K139" s="65" t="n">
        <v>1174202.5212816</v>
      </c>
      <c r="L139" s="508">
        <f>(C139-D139)/C139</f>
        <v/>
      </c>
      <c r="M139" s="61" t="inlineStr">
        <is>
          <t>ISM / G.13.2.</t>
        </is>
      </c>
      <c r="N139" s="65" t="n">
        <v>26773240.4427402</v>
      </c>
      <c r="O139" s="65" t="n">
        <v>25954602.8738197</v>
      </c>
      <c r="P139" s="65" t="n">
        <v>20091905.7906611</v>
      </c>
      <c r="Q139" s="65" t="n">
        <v>21498055.611917</v>
      </c>
      <c r="R139" s="65" t="n">
        <v>20973202.027</v>
      </c>
      <c r="S139" s="65" t="n">
        <v>21530049.0760164</v>
      </c>
      <c r="T139" s="65" t="n">
        <v>20091302.1070067</v>
      </c>
      <c r="U139" s="65" t="n">
        <v>19212239.498831</v>
      </c>
      <c r="V139" s="65" t="n">
        <v>19212239.498831</v>
      </c>
      <c r="W139" s="508">
        <f>(N139-O139)/N139</f>
        <v/>
      </c>
    </row>
    <row r="140">
      <c r="B140" s="61" t="inlineStr">
        <is>
          <t>İncitaş / G.13.3.</t>
        </is>
      </c>
      <c r="C140" s="65" t="n">
        <v>795294.917171936</v>
      </c>
      <c r="D140" s="65" t="n">
        <v>798359.291319966</v>
      </c>
      <c r="E140" s="65" t="n">
        <v>768995.778257607</v>
      </c>
      <c r="F140" s="65" t="n">
        <v>731094.615913073</v>
      </c>
      <c r="G140" s="65" t="n">
        <v>698995.174349149</v>
      </c>
      <c r="H140" s="65" t="n">
        <v>587986.56895268</v>
      </c>
      <c r="I140" s="65" t="n">
        <v>633037.512529754</v>
      </c>
      <c r="J140" s="65" t="n">
        <v>459732.971323712</v>
      </c>
      <c r="K140" s="65" t="n">
        <v>436332.196455298</v>
      </c>
      <c r="L140" s="508">
        <f>(C140-D140)/C140</f>
        <v/>
      </c>
      <c r="M140" s="61" t="inlineStr">
        <is>
          <t>İncitaş / G.13.3.</t>
        </is>
      </c>
      <c r="N140" s="65" t="n">
        <v>12814802.4939684</v>
      </c>
      <c r="O140" s="65" t="n">
        <v>12722124.3347336</v>
      </c>
      <c r="P140" s="65" t="n">
        <v>12332494.7621509</v>
      </c>
      <c r="Q140" s="65" t="n">
        <v>11189239.6122013</v>
      </c>
      <c r="R140" s="65" t="n">
        <v>9355062.684479591</v>
      </c>
      <c r="S140" s="65" t="n">
        <v>10159820.9073388</v>
      </c>
      <c r="T140" s="65" t="n">
        <v>7310564.15977012</v>
      </c>
      <c r="U140" s="65" t="n">
        <v>6989067.46436891</v>
      </c>
      <c r="V140" s="65" t="n">
        <v>6989067.46436891</v>
      </c>
      <c r="W140" s="508">
        <f>(N140-O140)/N140</f>
        <v/>
      </c>
    </row>
    <row r="141">
      <c r="B141" s="61" t="inlineStr">
        <is>
          <t>İnci GS Yuasa / G.13.4.</t>
        </is>
      </c>
      <c r="C141" s="65" t="n">
        <v>-19446207.0437094</v>
      </c>
      <c r="D141" s="65" t="n">
        <v>-15449185.7110563</v>
      </c>
      <c r="E141" s="65" t="n">
        <v>-11146665.9354398</v>
      </c>
      <c r="F141" s="65" t="n">
        <v>-11509879.6700153</v>
      </c>
      <c r="G141" s="65" t="n">
        <v>-5395581.13197123</v>
      </c>
      <c r="H141" s="65" t="n">
        <v>3686659.01418739</v>
      </c>
      <c r="I141" s="65" t="n">
        <v>3348758.50949378</v>
      </c>
      <c r="J141" s="65" t="n">
        <v>5368959.47916151</v>
      </c>
      <c r="K141" s="65" t="n">
        <v>4704147.47228676</v>
      </c>
      <c r="L141" s="508">
        <f>(C141-D141)/C141</f>
        <v/>
      </c>
      <c r="M141" s="61" t="inlineStr">
        <is>
          <t>İnci GS Yuasa / G.13.4.</t>
        </is>
      </c>
      <c r="N141" s="65" t="n">
        <v>-337552303.275162</v>
      </c>
      <c r="O141" s="65" t="n">
        <v>-262000983.756403</v>
      </c>
      <c r="P141" s="65" t="n">
        <v>-185517638.184831</v>
      </c>
      <c r="Q141" s="65" t="n">
        <v>-83758877.1699831</v>
      </c>
      <c r="R141" s="65" t="n">
        <v>65111686.9749121</v>
      </c>
      <c r="S141" s="65" t="n">
        <v>57496603.8007251</v>
      </c>
      <c r="T141" s="65" t="n">
        <v>88534227.5222044</v>
      </c>
      <c r="U141" s="65" t="n">
        <v>77621239.95069259</v>
      </c>
      <c r="V141" s="65" t="n">
        <v>77621239.95069259</v>
      </c>
      <c r="W141" s="508">
        <f>(N141-O141)/N141</f>
        <v/>
      </c>
    </row>
    <row r="142">
      <c r="B142" s="61" t="inlineStr">
        <is>
          <t>Yusen İnci Loj. / G.13.5.</t>
        </is>
      </c>
      <c r="C142" s="65" t="n">
        <v>6334405.11368738</v>
      </c>
      <c r="D142" s="65" t="n">
        <v>5663833.67398365</v>
      </c>
      <c r="E142" s="65" t="n">
        <v>5293166.36516246</v>
      </c>
      <c r="F142" s="65" t="n">
        <v>4921382.87394034</v>
      </c>
      <c r="G142" s="65" t="n">
        <v>4744435.54452162</v>
      </c>
      <c r="H142" s="65" t="n">
        <v>4011806.93766583</v>
      </c>
      <c r="I142" s="65" t="n">
        <v>4806632.49937448</v>
      </c>
      <c r="J142" s="65" t="n">
        <v>4061888.39294405</v>
      </c>
      <c r="K142" s="65" t="n">
        <v>3974615.82110506</v>
      </c>
      <c r="L142" s="508">
        <f>(C142-D142)/C142</f>
        <v/>
      </c>
      <c r="M142" s="61" t="inlineStr">
        <is>
          <t>Yusen İnci Loj. / G.13.5.</t>
        </is>
      </c>
      <c r="N142" s="65" t="n">
        <v>108069436.814589</v>
      </c>
      <c r="O142" s="65" t="n">
        <v>96761268.4126347</v>
      </c>
      <c r="P142" s="65" t="n">
        <v>90037690.75966839</v>
      </c>
      <c r="Q142" s="65" t="n">
        <v>78570676.17405839</v>
      </c>
      <c r="R142" s="65" t="n">
        <v>64956957.5835354</v>
      </c>
      <c r="S142" s="65" t="n">
        <v>78414397.34769499</v>
      </c>
      <c r="T142" s="65" t="n">
        <v>66005179.0101014</v>
      </c>
      <c r="U142" s="65" t="n">
        <v>64758647.6128597</v>
      </c>
      <c r="V142" s="65" t="n">
        <v>64758647.6128597</v>
      </c>
      <c r="W142" s="508">
        <f>(N142-O142)/N142</f>
        <v/>
      </c>
    </row>
    <row r="143">
      <c r="B143" s="61" t="inlineStr">
        <is>
          <t>Jantaş / G.13.6.</t>
        </is>
      </c>
      <c r="C143" s="65" t="n">
        <v>15194827.0418041</v>
      </c>
      <c r="D143" s="65" t="n">
        <v>16151190.3325</v>
      </c>
      <c r="E143" s="65" t="n">
        <v>16151190.3325</v>
      </c>
      <c r="F143" s="65" t="n">
        <v>17703736.2098758</v>
      </c>
      <c r="G143" s="65" t="n">
        <v>17703736.2098757</v>
      </c>
      <c r="H143" s="65" t="n">
        <v>19727497.2988756</v>
      </c>
      <c r="I143" s="65" t="n">
        <v>19727497.2988756</v>
      </c>
      <c r="J143" s="65" t="n">
        <v>19727497.2988756</v>
      </c>
      <c r="K143" s="65" t="n">
        <v>20040000</v>
      </c>
      <c r="L143" s="508">
        <f>(C143-D143)/C143</f>
        <v/>
      </c>
      <c r="M143" s="61" t="inlineStr">
        <is>
          <t>Jantaş / G.13.6.</t>
        </is>
      </c>
      <c r="N143" s="65" t="n">
        <v>256741763.021377</v>
      </c>
      <c r="O143" s="65" t="n">
        <v>280335100.536296</v>
      </c>
      <c r="P143" s="65" t="n">
        <v>281058966.536139</v>
      </c>
      <c r="Q143" s="65" t="n">
        <v>298459254.081102</v>
      </c>
      <c r="R143" s="65" t="n">
        <v>322978430.158804</v>
      </c>
      <c r="S143" s="65" t="n">
        <v>324400959.129361</v>
      </c>
      <c r="T143" s="65" t="n">
        <v>324028375.926099</v>
      </c>
      <c r="U143" s="65" t="n">
        <v>330255403.80658</v>
      </c>
      <c r="V143" s="65" t="n">
        <v>330255403.80658</v>
      </c>
      <c r="W143" s="508">
        <f>(N143-O143)/N143</f>
        <v/>
      </c>
    </row>
    <row r="144">
      <c r="B144" s="61" t="inlineStr">
        <is>
          <t>Çelik / G.13.7.</t>
        </is>
      </c>
      <c r="C144" s="65" t="n">
        <v>9805646.56322765</v>
      </c>
      <c r="D144" s="65" t="n">
        <v>9746000</v>
      </c>
      <c r="E144" s="65" t="n">
        <v>9746000</v>
      </c>
      <c r="F144" s="65" t="n">
        <v>8910000</v>
      </c>
      <c r="G144" s="65" t="n">
        <v>8910000.000000009</v>
      </c>
      <c r="H144" s="65" t="n">
        <v>9101558.3805773</v>
      </c>
      <c r="I144" s="65" t="n">
        <v>9101558.38057735</v>
      </c>
      <c r="J144" s="65" t="n">
        <v>6358999.99999999</v>
      </c>
      <c r="K144" s="65" t="n">
        <v>6795023.64696886</v>
      </c>
      <c r="L144" s="508">
        <f>(C144-D144)/C144</f>
        <v/>
      </c>
      <c r="M144" s="61" t="inlineStr">
        <is>
          <t>Çelik / G.13.7.</t>
        </is>
      </c>
      <c r="N144" s="65" t="n">
        <v>168531645.823648</v>
      </c>
      <c r="O144" s="65" t="n">
        <v>170237883.798158</v>
      </c>
      <c r="P144" s="65" t="n">
        <v>171662548.512804</v>
      </c>
      <c r="Q144" s="65" t="n">
        <v>150270526.962261</v>
      </c>
      <c r="R144" s="65" t="n">
        <v>149418640.807821</v>
      </c>
      <c r="S144" s="65" t="n">
        <v>149920956.263435</v>
      </c>
      <c r="T144" s="65" t="n">
        <v>104247698.494309</v>
      </c>
      <c r="U144" s="65" t="n">
        <v>111549938.179511</v>
      </c>
      <c r="V144" s="65" t="n">
        <v>111549938.179511</v>
      </c>
      <c r="W144" s="508">
        <f>(N144-O144)/N144</f>
        <v/>
      </c>
    </row>
    <row r="145">
      <c r="B145" s="61" t="inlineStr">
        <is>
          <t>Alüminyum / G.13.8.</t>
        </is>
      </c>
      <c r="C145" s="65" t="n">
        <v>19903758.7198103</v>
      </c>
      <c r="D145" s="65" t="n">
        <v>21197544.9821817</v>
      </c>
      <c r="E145" s="65" t="n">
        <v>21197544.9821817</v>
      </c>
      <c r="F145" s="65" t="n">
        <v>21197544.9821817</v>
      </c>
      <c r="G145" s="65" t="n">
        <v>21197544.9821816</v>
      </c>
      <c r="H145" s="65" t="n">
        <v>15457844.4</v>
      </c>
      <c r="I145" s="65" t="n">
        <v>15457844.4</v>
      </c>
      <c r="J145" s="65" t="n">
        <v>13481378.0819718</v>
      </c>
      <c r="K145" s="65" t="n">
        <v>18351869.0900307</v>
      </c>
      <c r="L145" s="508">
        <f>(C145-D145)/C145</f>
        <v/>
      </c>
      <c r="M145" s="61" t="inlineStr">
        <is>
          <t>Alüminyum / G.13.8.</t>
        </is>
      </c>
      <c r="N145" s="65" t="n">
        <v>345886753.869046</v>
      </c>
      <c r="O145" s="65" t="n">
        <v>382959835.262645</v>
      </c>
      <c r="P145" s="65" t="n">
        <v>382443169.726719</v>
      </c>
      <c r="Q145" s="65" t="n">
        <v>362796589.854027</v>
      </c>
      <c r="R145" s="65" t="n">
        <v>251989336.596895</v>
      </c>
      <c r="S145" s="65" t="n">
        <v>253880672.228837</v>
      </c>
      <c r="T145" s="65" t="n">
        <v>221046653.554442</v>
      </c>
      <c r="U145" s="65" t="n">
        <v>301551846.381934</v>
      </c>
      <c r="V145" s="65" t="n">
        <v>301551846.381934</v>
      </c>
      <c r="W145" s="508">
        <f>(N145-O145)/N145</f>
        <v/>
      </c>
    </row>
    <row r="146">
      <c r="B146" s="61" t="inlineStr">
        <is>
          <t>x / G.13.9.</t>
        </is>
      </c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508" t="n"/>
      <c r="M146" s="61" t="inlineStr">
        <is>
          <t>x / G.13.9.</t>
        </is>
      </c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508" t="n"/>
    </row>
    <row r="147">
      <c r="B147" s="61" t="inlineStr">
        <is>
          <t>y / G.13.10.</t>
        </is>
      </c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65" t="n"/>
      <c r="L147" s="508" t="n"/>
      <c r="M147" s="61" t="inlineStr">
        <is>
          <t>y / G.13.10.</t>
        </is>
      </c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508" t="n"/>
    </row>
    <row r="148">
      <c r="B148" s="61" t="inlineStr">
        <is>
          <t>Operasyonel Nakit -EUR / G.14.</t>
        </is>
      </c>
      <c r="C148" s="65" t="n">
        <v>21175044.6597523</v>
      </c>
      <c r="D148" s="65" t="n">
        <v>27531047.0680888</v>
      </c>
      <c r="E148" s="65" t="n">
        <v>30095086.5779966</v>
      </c>
      <c r="F148" s="93" t="n">
        <v>30124447.01517021</v>
      </c>
      <c r="G148" s="65" t="n">
        <v>35993478.5552026</v>
      </c>
      <c r="H148" s="65" t="n">
        <v>35525383.0966066</v>
      </c>
      <c r="I148" s="65" t="n">
        <v>36648877.5625803</v>
      </c>
      <c r="J148" s="65" t="n">
        <v>32460433.0331075</v>
      </c>
      <c r="K148" s="65" t="n">
        <v>35632864.1825308</v>
      </c>
      <c r="L148" s="508">
        <f>(C148-D148)/C148</f>
        <v/>
      </c>
      <c r="M148" s="61" t="inlineStr">
        <is>
          <t>Operasyonel Nakit-TL / G.14.</t>
        </is>
      </c>
      <c r="N148" s="65" t="n">
        <v>241578471.168685</v>
      </c>
      <c r="O148" s="65" t="n">
        <v>337151929.67237</v>
      </c>
      <c r="P148" s="65" t="n">
        <v>392317793.23543</v>
      </c>
      <c r="Q148" s="65" t="n">
        <v>511862104.616576</v>
      </c>
      <c r="R148" s="65" t="n">
        <v>529279077.902175</v>
      </c>
      <c r="S148" s="65" t="n">
        <v>550049960.292806</v>
      </c>
      <c r="T148" s="65" t="n">
        <v>477343029.336905</v>
      </c>
      <c r="U148" s="65" t="n">
        <v>531205266.245543</v>
      </c>
      <c r="V148" s="65" t="n">
        <v>531205266.245543</v>
      </c>
      <c r="W148" s="508">
        <f>(N148-O148)/N148</f>
        <v/>
      </c>
    </row>
    <row r="149">
      <c r="B149" s="61" t="inlineStr">
        <is>
          <t>İnci Holding / G.14.1.</t>
        </is>
      </c>
      <c r="C149" s="65" t="n">
        <v>2549798.25917308</v>
      </c>
      <c r="D149" s="65" t="n">
        <v>2480003.46180828</v>
      </c>
      <c r="E149" s="65" t="n">
        <v>1230702.89028225</v>
      </c>
      <c r="F149" s="65" t="n">
        <v>1017901.17437008</v>
      </c>
      <c r="G149" s="65" t="n">
        <v>1436776.85369796</v>
      </c>
      <c r="H149" s="65" t="n">
        <v>1478468.26244998</v>
      </c>
      <c r="I149" s="65" t="n">
        <v>3290174.02476753</v>
      </c>
      <c r="J149" s="65" t="n">
        <v>2828548.54185787</v>
      </c>
      <c r="K149" s="65" t="n">
        <v>2930399.60274801</v>
      </c>
      <c r="L149" s="508">
        <f>(C149-D149)/C149</f>
        <v/>
      </c>
      <c r="M149" s="61" t="inlineStr">
        <is>
          <t>İnci Holding / G.14.1.</t>
        </is>
      </c>
      <c r="N149" s="65" t="n">
        <v>43504116.378483</v>
      </c>
      <c r="O149" s="65" t="n">
        <v>43504117.378483</v>
      </c>
      <c r="P149" s="65" t="n">
        <v>16869743.410477</v>
      </c>
      <c r="Q149" s="65" t="n">
        <v>20425674.3063297</v>
      </c>
      <c r="R149" s="65" t="n">
        <v>20371546.0658197</v>
      </c>
      <c r="S149" s="65" t="n">
        <v>50949946.0031427</v>
      </c>
      <c r="T149" s="65" t="n">
        <v>43158994.2584506</v>
      </c>
      <c r="U149" s="65" t="n">
        <v>44813025.5798454</v>
      </c>
      <c r="V149" s="65" t="n">
        <v>44813025.5798454</v>
      </c>
      <c r="W149" s="508">
        <f>(N149-O149)/N149</f>
        <v/>
      </c>
    </row>
    <row r="150">
      <c r="B150" s="61" t="inlineStr">
        <is>
          <t>ISM / G.14.2.</t>
        </is>
      </c>
      <c r="C150" s="65" t="n">
        <v>1637912.87578408</v>
      </c>
      <c r="D150" s="65" t="n">
        <v>1646260.87874197</v>
      </c>
      <c r="E150" s="65" t="n">
        <v>1373036.44648081</v>
      </c>
      <c r="F150" s="65" t="n">
        <v>1146913.0703064</v>
      </c>
      <c r="G150" s="65" t="n">
        <v>1328773.26186767</v>
      </c>
      <c r="H150" s="65" t="n">
        <v>1202095.34723566</v>
      </c>
      <c r="I150" s="65" t="n">
        <v>1226731.39991062</v>
      </c>
      <c r="J150" s="65" t="n">
        <v>1163914.64282721</v>
      </c>
      <c r="K150" s="65" t="n">
        <v>1113024.79505095</v>
      </c>
      <c r="L150" s="508">
        <f>(C150-D150)/C150</f>
        <v/>
      </c>
      <c r="M150" s="61" t="inlineStr">
        <is>
          <t>ISM / G.14.2.</t>
        </is>
      </c>
      <c r="N150" s="65" t="n">
        <v>23032223.1438168</v>
      </c>
      <c r="O150" s="65" t="n">
        <v>22270770.5748963</v>
      </c>
      <c r="P150" s="65" t="n">
        <v>17001955.1217377</v>
      </c>
      <c r="Q150" s="65" t="n">
        <v>16895535.6335936</v>
      </c>
      <c r="R150" s="65" t="n">
        <v>16601964.4386766</v>
      </c>
      <c r="S150" s="65" t="n">
        <v>17104243.487693</v>
      </c>
      <c r="T150" s="65" t="n">
        <v>16018898.5186833</v>
      </c>
      <c r="U150" s="65" t="n">
        <v>15278298.2905077</v>
      </c>
      <c r="V150" s="65" t="n">
        <v>15278298.2905077</v>
      </c>
      <c r="W150" s="508">
        <f>(N150-O150)/N150</f>
        <v/>
      </c>
    </row>
    <row r="151">
      <c r="B151" s="61" t="inlineStr">
        <is>
          <t>İncitaş / G.14.3.</t>
        </is>
      </c>
      <c r="C151" s="65" t="n">
        <v>316929.109097766</v>
      </c>
      <c r="D151" s="65" t="n">
        <v>413844.471325714</v>
      </c>
      <c r="E151" s="65" t="n">
        <v>290226.971920987</v>
      </c>
      <c r="F151" s="65" t="n">
        <v>220860.72264789</v>
      </c>
      <c r="G151" s="65" t="n">
        <v>297295.74810468</v>
      </c>
      <c r="H151" s="65" t="n">
        <v>197800.608300898</v>
      </c>
      <c r="I151" s="65" t="n">
        <v>162584.616720838</v>
      </c>
      <c r="J151" s="65" t="n">
        <v>-85540.2843449041</v>
      </c>
      <c r="K151" s="65" t="n">
        <v>201159.215446106</v>
      </c>
      <c r="L151" s="508">
        <f>(C151-D151)/C151</f>
        <v/>
      </c>
      <c r="M151" s="61" t="inlineStr">
        <is>
          <t>İncitaş / G.14.3.</t>
        </is>
      </c>
      <c r="N151" s="65" t="n">
        <v>1983647.64186834</v>
      </c>
      <c r="O151" s="65" t="n">
        <v>2874440.4980593</v>
      </c>
      <c r="P151" s="65" t="n">
        <v>455377.414172749</v>
      </c>
      <c r="Q151" s="65" t="n">
        <v>1919566.49884086</v>
      </c>
      <c r="R151" s="65" t="n">
        <v>1623841.76333792</v>
      </c>
      <c r="S151" s="65" t="n">
        <v>1026307.43457187</v>
      </c>
      <c r="T151" s="65" t="n">
        <v>-3144454.71978256</v>
      </c>
      <c r="U151" s="65" t="n">
        <v>1949871.26955524</v>
      </c>
      <c r="V151" s="65" t="n">
        <v>1949871.26955524</v>
      </c>
      <c r="W151" s="508">
        <f>(N151-O151)/N151</f>
        <v/>
      </c>
    </row>
    <row r="152">
      <c r="B152" s="61" t="inlineStr">
        <is>
          <t>İnci GS Yuasa / G.14.4.</t>
        </is>
      </c>
      <c r="C152" s="65" t="n">
        <v>-16262706.6778208</v>
      </c>
      <c r="D152" s="65" t="n">
        <v>-2917437.34636966</v>
      </c>
      <c r="E152" s="65" t="n">
        <v>6853597.14224206</v>
      </c>
      <c r="F152" s="65" t="n">
        <v>302104.86263303</v>
      </c>
      <c r="G152" s="65" t="n">
        <v>10779300.0069589</v>
      </c>
      <c r="H152" s="65" t="n">
        <v>12164895.1064005</v>
      </c>
      <c r="I152" s="65" t="n">
        <v>10164632.9978433</v>
      </c>
      <c r="J152" s="65" t="n">
        <v>11128170.2354877</v>
      </c>
      <c r="K152" s="65" t="n">
        <v>8246067.35896137</v>
      </c>
      <c r="L152" s="508">
        <f>(C152-D152)/C152</f>
        <v/>
      </c>
      <c r="M152" s="61" t="inlineStr">
        <is>
          <t>İnci GS Yuasa / G.14.4.</t>
        </is>
      </c>
      <c r="N152" s="65" t="n">
        <v>-312064425.814381</v>
      </c>
      <c r="O152" s="65" t="n">
        <v>-63612189.9621387</v>
      </c>
      <c r="P152" s="65" t="n">
        <v>140908027.289242</v>
      </c>
      <c r="Q152" s="65" t="n">
        <v>201078563.856606</v>
      </c>
      <c r="R152" s="65" t="n">
        <v>214136480.701844</v>
      </c>
      <c r="S152" s="65" t="n">
        <v>180719645.242625</v>
      </c>
      <c r="T152" s="65" t="n">
        <v>194951976.50384</v>
      </c>
      <c r="U152" s="65" t="n">
        <v>146086972.725388</v>
      </c>
      <c r="V152" s="65" t="n">
        <v>146086972.725388</v>
      </c>
      <c r="W152" s="508">
        <f>(N152-O152)/N152</f>
        <v/>
      </c>
    </row>
    <row r="153">
      <c r="B153" s="61" t="inlineStr">
        <is>
          <t>Yusen / G.14.5.</t>
        </is>
      </c>
      <c r="C153" s="65" t="n">
        <v>5590096.7474604</v>
      </c>
      <c r="D153" s="65" t="n">
        <v>4245110.67921229</v>
      </c>
      <c r="E153" s="65" t="n">
        <v>4999531.22334987</v>
      </c>
      <c r="F153" s="65" t="n">
        <v>5022716.80088457</v>
      </c>
      <c r="G153" s="65" t="n">
        <v>4830348.2640352</v>
      </c>
      <c r="H153" s="65" t="n">
        <v>5015524.68943224</v>
      </c>
      <c r="I153" s="65" t="n">
        <v>5821773.93153199</v>
      </c>
      <c r="J153" s="65" t="n">
        <v>4936373.63585696</v>
      </c>
      <c r="K153" s="65" t="n">
        <v>4656603.29145907</v>
      </c>
      <c r="L153" s="508">
        <f>(C153-D153)/C153</f>
        <v/>
      </c>
      <c r="M153" s="61" t="inlineStr">
        <is>
          <t>Yusen / G.14.5.</t>
        </is>
      </c>
      <c r="N153" s="65" t="n">
        <v>83736542.2543523</v>
      </c>
      <c r="O153" s="65" t="n">
        <v>54528437.8470459</v>
      </c>
      <c r="P153" s="65" t="n">
        <v>72198052.56108969</v>
      </c>
      <c r="Q153" s="65" t="n">
        <v>69773574.8637456</v>
      </c>
      <c r="R153" s="65" t="n">
        <v>75317831.58015861</v>
      </c>
      <c r="S153" s="65" t="n">
        <v>89079027.2790218</v>
      </c>
      <c r="T153" s="65" t="n">
        <v>74298788.7864425</v>
      </c>
      <c r="U153" s="65" t="n">
        <v>69708219.06440809</v>
      </c>
      <c r="V153" s="65" t="n">
        <v>69708219.06440809</v>
      </c>
      <c r="W153" s="508">
        <f>(N153-O153)/N153</f>
        <v/>
      </c>
    </row>
    <row r="154">
      <c r="B154" s="61" t="inlineStr">
        <is>
          <t>Jantaş / G.14.6.</t>
        </is>
      </c>
      <c r="C154" s="65" t="n">
        <v>19504696.3215444</v>
      </c>
      <c r="D154" s="65" t="n">
        <v>17665111.8192</v>
      </c>
      <c r="E154" s="65" t="n">
        <v>17665111.8192</v>
      </c>
      <c r="F154" s="65" t="n">
        <v>22898468.8621278</v>
      </c>
      <c r="G154" s="65" t="n">
        <v>22898468.8621278</v>
      </c>
      <c r="H154" s="65" t="n">
        <v>24800088.0354726</v>
      </c>
      <c r="I154" s="65" t="n">
        <v>24800088.0354726</v>
      </c>
      <c r="J154" s="65" t="n">
        <v>24800088.0354726</v>
      </c>
      <c r="K154" s="65" t="n">
        <v>26558489.5215</v>
      </c>
      <c r="L154" s="508">
        <f>(C154-D154)/C154</f>
        <v/>
      </c>
      <c r="M154" s="61" t="inlineStr">
        <is>
          <t>Jantaş / G.14.6.</t>
        </is>
      </c>
      <c r="N154" s="65" t="n">
        <v>262261180.766223</v>
      </c>
      <c r="O154" s="65" t="n">
        <v>203946636.481038</v>
      </c>
      <c r="P154" s="65" t="n">
        <v>204753191.579403</v>
      </c>
      <c r="Q154" s="65" t="n">
        <v>321287532.241222</v>
      </c>
      <c r="R154" s="65" t="n">
        <v>369801303.914398</v>
      </c>
      <c r="S154" s="65" t="n">
        <v>370923722.715389</v>
      </c>
      <c r="T154" s="65" t="n">
        <v>370329194.936471</v>
      </c>
      <c r="U154" s="65" t="n">
        <v>399685180.232111</v>
      </c>
      <c r="V154" s="65" t="n">
        <v>399685180.232111</v>
      </c>
      <c r="W154" s="508">
        <f>(N154-O154)/N154</f>
        <v/>
      </c>
    </row>
    <row r="155">
      <c r="B155" s="61" t="inlineStr">
        <is>
          <t>Çelik / G.14.7.</t>
        </is>
      </c>
      <c r="C155" s="65" t="n">
        <v>13643858.0038421</v>
      </c>
      <c r="D155" s="65" t="n">
        <v>14110824.84</v>
      </c>
      <c r="E155" s="65" t="n">
        <v>14110824.84</v>
      </c>
      <c r="F155" s="65" t="n">
        <v>14340061.5805972</v>
      </c>
      <c r="G155" s="65" t="n">
        <v>14340061.5805972</v>
      </c>
      <c r="H155" s="65" t="n">
        <v>13271411.8386445</v>
      </c>
      <c r="I155" s="65" t="n">
        <v>13271411.8386445</v>
      </c>
      <c r="J155" s="65" t="n">
        <v>6951383.0224727</v>
      </c>
      <c r="K155" s="65" t="n">
        <v>14512465.84</v>
      </c>
      <c r="L155" s="508">
        <f>(C155-D155)/C155</f>
        <v/>
      </c>
      <c r="M155" s="61" t="inlineStr">
        <is>
          <t>Çelik / G.14.7.</t>
        </is>
      </c>
      <c r="N155" s="65" t="n">
        <v>154099122.209626</v>
      </c>
      <c r="O155" s="65" t="n">
        <v>143453087.9399</v>
      </c>
      <c r="P155" s="65" t="n">
        <v>144635930.172444</v>
      </c>
      <c r="Q155" s="65" t="n">
        <v>166959901.702238</v>
      </c>
      <c r="R155" s="65" t="n">
        <v>175136033.942199</v>
      </c>
      <c r="S155" s="65" t="n">
        <v>175429689.778856</v>
      </c>
      <c r="T155" s="65" t="n">
        <v>67213363.5628576</v>
      </c>
      <c r="U155" s="65" t="n">
        <v>199377842.159035</v>
      </c>
      <c r="V155" s="65" t="n">
        <v>199377842.159035</v>
      </c>
      <c r="W155" s="508">
        <f>(N155-O155)/N155</f>
        <v/>
      </c>
    </row>
    <row r="156">
      <c r="B156" s="61" t="inlineStr">
        <is>
          <t>Alüminyum / G.14.8.</t>
        </is>
      </c>
      <c r="C156" s="67" t="n">
        <v>21609909.0091</v>
      </c>
      <c r="D156" s="67" t="n">
        <v>26783578.013372</v>
      </c>
      <c r="E156" s="67" t="n">
        <v>26783578.013372</v>
      </c>
      <c r="F156" s="67" t="n">
        <v>26783578.013372</v>
      </c>
      <c r="G156" s="67" t="n">
        <v>26783578.013372</v>
      </c>
      <c r="H156" s="67" t="n">
        <v>23324403.75</v>
      </c>
      <c r="I156" s="67" t="n">
        <v>23324403.75</v>
      </c>
      <c r="J156" s="67" t="n">
        <v>20785717.8437564</v>
      </c>
      <c r="K156" s="67" t="n">
        <v>22435558.5715534</v>
      </c>
      <c r="L156" s="508">
        <f>(C156-D156)/C156</f>
        <v/>
      </c>
      <c r="M156" s="61" t="inlineStr">
        <is>
          <t>Alüminyum / G.14.8.</t>
        </is>
      </c>
      <c r="N156" s="67" t="n">
        <v>279995819.149387</v>
      </c>
      <c r="O156" s="67" t="n">
        <v>368322559.3004</v>
      </c>
      <c r="P156" s="67" t="n">
        <v>367863620.174345</v>
      </c>
      <c r="Q156" s="67" t="n">
        <v>372184106.816566</v>
      </c>
      <c r="R156" s="67" t="n">
        <v>338778543.77179</v>
      </c>
      <c r="S156" s="67" t="n">
        <v>341091662.091948</v>
      </c>
      <c r="T156" s="67" t="n">
        <v>297742660.283312</v>
      </c>
      <c r="U156" s="67" t="n">
        <v>321530220.401796</v>
      </c>
      <c r="V156" s="67" t="n">
        <v>321530220.401796</v>
      </c>
      <c r="W156" s="508">
        <f>(N156-O156)/N156</f>
        <v/>
      </c>
    </row>
    <row r="157">
      <c r="K157" s="78" t="n"/>
      <c r="L157" s="86" t="n"/>
      <c r="U157" s="78" t="n"/>
      <c r="V157" s="78" t="n"/>
      <c r="W157" s="86" t="n"/>
    </row>
  </sheetData>
  <autoFilter ref="L1:L157"/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rgb="FF00B0F0"/>
    <outlinePr summaryBelow="1" summaryRight="1"/>
    <pageSetUpPr/>
  </sheetPr>
  <dimension ref="A1:Q155"/>
  <sheetViews>
    <sheetView zoomScale="85" zoomScaleNormal="85" workbookViewId="0">
      <selection activeCell="I7" sqref="I7"/>
    </sheetView>
  </sheetViews>
  <sheetFormatPr baseColWidth="8" defaultColWidth="8.81640625" defaultRowHeight="14.5"/>
  <cols>
    <col width="29.81640625" bestFit="1" customWidth="1" min="1" max="1"/>
    <col width="10.453125" customWidth="1" min="2" max="9"/>
    <col width="11.453125" customWidth="1" min="10" max="10"/>
    <col width="10.453125" customWidth="1" min="11" max="13"/>
    <col width="11.453125" bestFit="1" customWidth="1" min="14" max="14"/>
    <col width="11.453125" bestFit="1" customWidth="1" min="16" max="16"/>
    <col width="10.7265625" bestFit="1" customWidth="1" min="17" max="17"/>
  </cols>
  <sheetData>
    <row r="1">
      <c r="A1" s="60" t="inlineStr">
        <is>
          <t>Yapı</t>
        </is>
      </c>
      <c r="B1" s="61" t="inlineStr">
        <is>
          <t>Ocak</t>
        </is>
      </c>
      <c r="C1" s="61" t="inlineStr">
        <is>
          <t>Şubat</t>
        </is>
      </c>
      <c r="D1" s="61" t="inlineStr">
        <is>
          <t>Mart</t>
        </is>
      </c>
      <c r="E1" s="61" t="inlineStr">
        <is>
          <t>Nisan</t>
        </is>
      </c>
      <c r="F1" s="61" t="inlineStr">
        <is>
          <t>Mayıs</t>
        </is>
      </c>
      <c r="G1" s="61" t="inlineStr">
        <is>
          <t>Haziran</t>
        </is>
      </c>
      <c r="H1" s="61" t="inlineStr">
        <is>
          <t>Temmuz</t>
        </is>
      </c>
      <c r="I1" s="61" t="inlineStr">
        <is>
          <t>Ağustos</t>
        </is>
      </c>
      <c r="J1" s="61" t="inlineStr">
        <is>
          <t>Eylül</t>
        </is>
      </c>
      <c r="K1" s="61" t="inlineStr">
        <is>
          <t>Ekim</t>
        </is>
      </c>
      <c r="L1" s="61" t="inlineStr">
        <is>
          <t>Kasım</t>
        </is>
      </c>
      <c r="M1" s="61" t="inlineStr">
        <is>
          <t>Aralık</t>
        </is>
      </c>
      <c r="N1" s="61" t="inlineStr">
        <is>
          <t>Toplam</t>
        </is>
      </c>
      <c r="P1" s="61" t="inlineStr">
        <is>
          <t>Ağustos</t>
        </is>
      </c>
      <c r="Q1" s="61" t="inlineStr">
        <is>
          <t>Temmuz</t>
        </is>
      </c>
    </row>
    <row r="2">
      <c r="A2" s="61" t="inlineStr">
        <is>
          <t>Eur Kuru-kapanış / G.1.1.</t>
        </is>
      </c>
      <c r="B2" s="509" t="n">
        <v>15.15</v>
      </c>
      <c r="C2" s="509" t="n">
        <v>15.7097</v>
      </c>
      <c r="D2" s="509" t="n">
        <v>16.3086</v>
      </c>
      <c r="E2" s="509" t="n">
        <v>15.5448</v>
      </c>
      <c r="F2" s="509" t="n">
        <v>17.6019</v>
      </c>
      <c r="G2" s="509" t="n">
        <v>17.5221</v>
      </c>
      <c r="H2" s="509" t="n">
        <v>18.2176</v>
      </c>
      <c r="I2" s="509" t="n">
        <v>18.0933</v>
      </c>
      <c r="J2" s="509" t="n">
        <v>17.9232</v>
      </c>
      <c r="K2" s="509" t="n">
        <v>18.3259450569727</v>
      </c>
      <c r="L2" s="509" t="n">
        <v>18.7202407124753</v>
      </c>
      <c r="M2" s="509" t="n">
        <v>19.894</v>
      </c>
      <c r="N2" s="507" t="n">
        <v>19.894</v>
      </c>
      <c r="P2" s="507" t="n">
        <v>21.5021</v>
      </c>
      <c r="Q2" s="507" t="n">
        <v>19.8158640065219</v>
      </c>
    </row>
    <row r="3">
      <c r="A3" s="61" t="inlineStr">
        <is>
          <t>Eur Kuru-ortalama / G.1.2.</t>
        </is>
      </c>
      <c r="B3" s="509" t="n">
        <v>15.2833741935484</v>
      </c>
      <c r="C3" s="509" t="n">
        <v>15.4739071428571</v>
      </c>
      <c r="D3" s="509" t="n">
        <v>16.0675161290323</v>
      </c>
      <c r="E3" s="509" t="n">
        <v>15.9533566666667</v>
      </c>
      <c r="F3" s="509" t="n">
        <v>16.3949451612903</v>
      </c>
      <c r="G3" s="509" t="n">
        <v>17.9854066666667</v>
      </c>
      <c r="H3" s="509" t="n">
        <v>17.7362032258064</v>
      </c>
      <c r="I3" s="509" t="n">
        <v>18.2604774193548</v>
      </c>
      <c r="J3" s="509" t="n">
        <v>18.1432033333333</v>
      </c>
      <c r="K3" s="509" t="n">
        <v>18.1246</v>
      </c>
      <c r="L3" s="509" t="n">
        <v>18.5231</v>
      </c>
      <c r="M3" s="509" t="n">
        <v>19.3071</v>
      </c>
      <c r="N3" s="507" t="n">
        <v>19.3071</v>
      </c>
      <c r="P3" s="507" t="n">
        <v>20.909</v>
      </c>
      <c r="Q3" s="507" t="n">
        <v>19.2497</v>
      </c>
    </row>
    <row r="4">
      <c r="A4" s="61" t="inlineStr">
        <is>
          <t>Net Satışlar-EUR / G.1.</t>
        </is>
      </c>
      <c r="B4" s="64" t="n">
        <v>27781541.9894318</v>
      </c>
      <c r="C4" s="64" t="n">
        <v>26999522.5898743</v>
      </c>
      <c r="D4" s="64" t="n">
        <v>26053549.8743261</v>
      </c>
      <c r="E4" s="64" t="n">
        <v>30377457.5555878</v>
      </c>
      <c r="F4" s="64" t="n">
        <v>29625676.3647345</v>
      </c>
      <c r="G4" s="64" t="n">
        <v>28923741.3182159</v>
      </c>
      <c r="H4" s="64" t="n">
        <v>27089468.4535442</v>
      </c>
      <c r="I4" s="64" t="n">
        <v>31233465.4085009</v>
      </c>
      <c r="J4" s="64" t="n">
        <v>33772847.9576099</v>
      </c>
      <c r="K4" s="64" t="n">
        <v>34531253.7295443</v>
      </c>
      <c r="L4" s="64" t="n">
        <v>34190310.3880008</v>
      </c>
      <c r="M4" s="64" t="n">
        <v>33560628.3065548</v>
      </c>
      <c r="N4" s="65" t="n">
        <v>364139463.935925</v>
      </c>
      <c r="P4" s="65" t="n">
        <v>360321873.638944</v>
      </c>
      <c r="Q4" s="65" t="n">
        <v>358591218.388938</v>
      </c>
    </row>
    <row r="5">
      <c r="A5" s="61" t="inlineStr">
        <is>
          <t>İnci Holding / G.1.1.</t>
        </is>
      </c>
      <c r="B5" s="64" t="n">
        <v>595656.356686139</v>
      </c>
      <c r="C5" s="64" t="n">
        <v>620485.0366077099</v>
      </c>
      <c r="D5" s="64" t="n">
        <v>676120.265432357</v>
      </c>
      <c r="E5" s="64" t="n">
        <v>621193.670214021</v>
      </c>
      <c r="F5" s="64" t="n">
        <v>647210.758292339</v>
      </c>
      <c r="G5" s="64" t="n">
        <v>690721.4121004021</v>
      </c>
      <c r="H5" s="64" t="n">
        <v>599346.020377858</v>
      </c>
      <c r="I5" s="64" t="n">
        <v>758420.197454472</v>
      </c>
      <c r="J5" s="64" t="n">
        <v>806376.868583113</v>
      </c>
      <c r="K5" s="64" t="n">
        <v>808767.3939408869</v>
      </c>
      <c r="L5" s="64" t="n">
        <v>791367.83304204</v>
      </c>
      <c r="M5" s="64" t="n">
        <v>759232.899203972</v>
      </c>
      <c r="N5" s="65" t="n">
        <v>8374898.71193531</v>
      </c>
      <c r="P5" s="65" t="n">
        <v>8308949.15726336</v>
      </c>
      <c r="Q5" s="65" t="n">
        <v>8338106.77921607</v>
      </c>
    </row>
    <row r="6">
      <c r="A6" s="61" t="inlineStr">
        <is>
          <t>ISM / G.1.2.</t>
        </is>
      </c>
      <c r="B6" s="64" t="n">
        <v>940219.670605586</v>
      </c>
      <c r="C6" s="64" t="n">
        <v>1081253.70247703</v>
      </c>
      <c r="D6" s="64" t="n">
        <v>1001048.36247448</v>
      </c>
      <c r="E6" s="64" t="n">
        <v>1182857.52799776</v>
      </c>
      <c r="F6" s="64" t="n">
        <v>1205761.12365869</v>
      </c>
      <c r="G6" s="64" t="n">
        <v>1180742.59315454</v>
      </c>
      <c r="H6" s="64" t="n">
        <v>998192.849089609</v>
      </c>
      <c r="I6" s="64" t="n">
        <v>866681.969290986</v>
      </c>
      <c r="J6" s="64" t="n">
        <v>878802.4928104409</v>
      </c>
      <c r="K6" s="64" t="n">
        <v>618988.924813053</v>
      </c>
      <c r="L6" s="64" t="n">
        <v>605672.196698536</v>
      </c>
      <c r="M6" s="64" t="n">
        <v>581077.772770984</v>
      </c>
      <c r="N6" s="65" t="n">
        <v>11141299.1858417</v>
      </c>
      <c r="P6" s="65" t="n">
        <v>10477972.6374317</v>
      </c>
      <c r="Q6" s="65" t="n">
        <v>10604075.4991258</v>
      </c>
    </row>
    <row r="7">
      <c r="A7" s="61" t="inlineStr">
        <is>
          <t>İncitaş / G.1.3.</t>
        </is>
      </c>
      <c r="B7" s="64" t="n">
        <v>631992.943291107</v>
      </c>
      <c r="C7" s="64" t="n">
        <v>410650.757519457</v>
      </c>
      <c r="D7" s="64" t="n">
        <v>718253.935911565</v>
      </c>
      <c r="E7" s="64" t="n">
        <v>727716.291346835</v>
      </c>
      <c r="F7" s="64" t="n">
        <v>716676.635658553</v>
      </c>
      <c r="G7" s="64" t="n">
        <v>655769.7559243391</v>
      </c>
      <c r="H7" s="64" t="n">
        <v>769511.093002232</v>
      </c>
      <c r="I7" s="64" t="n">
        <v>1070121.62065861</v>
      </c>
      <c r="J7" s="64" t="n">
        <v>856037.004307032</v>
      </c>
      <c r="K7" s="64" t="n">
        <v>967996.336024372</v>
      </c>
      <c r="L7" s="64" t="n">
        <v>947171.1750142979</v>
      </c>
      <c r="M7" s="64" t="n">
        <v>908709.5623841661</v>
      </c>
      <c r="N7" s="65" t="n">
        <v>9380607.11104257</v>
      </c>
      <c r="P7" s="65" t="n">
        <v>8996775.94772937</v>
      </c>
      <c r="Q7" s="65" t="n">
        <v>8906930.708022291</v>
      </c>
    </row>
    <row r="8">
      <c r="A8" s="61" t="inlineStr">
        <is>
          <t>İnci GS Yuasa / G.1.4.</t>
        </is>
      </c>
      <c r="B8" s="64" t="n">
        <v>19381117.9536453</v>
      </c>
      <c r="C8" s="64" t="n">
        <v>16913817.5246868</v>
      </c>
      <c r="D8" s="64" t="n">
        <v>9035943.90778463</v>
      </c>
      <c r="E8" s="64" t="n">
        <v>19466079.3889944</v>
      </c>
      <c r="F8" s="64" t="n">
        <v>14400705.1329454</v>
      </c>
      <c r="G8" s="64" t="n">
        <v>13048368.3067253</v>
      </c>
      <c r="H8" s="64" t="n">
        <v>15970733.3673665</v>
      </c>
      <c r="I8" s="64" t="n">
        <v>18827714.6796448</v>
      </c>
      <c r="J8" s="64" t="n">
        <v>19523078.9410098</v>
      </c>
      <c r="K8" s="64" t="n">
        <v>24890227.6827749</v>
      </c>
      <c r="L8" s="64" t="n">
        <v>24354747.3511033</v>
      </c>
      <c r="M8" s="64" t="n">
        <v>23365778.4265489</v>
      </c>
      <c r="N8" s="65" t="n">
        <v>219178312.66323</v>
      </c>
      <c r="P8" s="65" t="n">
        <v>228301620.268359</v>
      </c>
      <c r="Q8" s="65" t="n">
        <v>232334356.518773</v>
      </c>
    </row>
    <row r="9">
      <c r="A9" s="61" t="inlineStr">
        <is>
          <t>Yusen İnci Loj. / G.1.5.</t>
        </is>
      </c>
      <c r="B9" s="64" t="n">
        <v>8507987.36347698</v>
      </c>
      <c r="C9" s="64" t="n">
        <v>8082885.68848846</v>
      </c>
      <c r="D9" s="64" t="n">
        <v>10899650.1684846</v>
      </c>
      <c r="E9" s="64" t="n">
        <v>9314115.356078651</v>
      </c>
      <c r="F9" s="64" t="n">
        <v>9489627.77486689</v>
      </c>
      <c r="G9" s="64" t="n">
        <v>9394465.435866321</v>
      </c>
      <c r="H9" s="64" t="n">
        <v>8835111.850319671</v>
      </c>
      <c r="I9" s="64" t="n">
        <v>11632878.7030972</v>
      </c>
      <c r="J9" s="64" t="n">
        <v>11515306.8987634</v>
      </c>
      <c r="K9" s="64" t="n">
        <v>8739760.879436331</v>
      </c>
      <c r="L9" s="64" t="n">
        <v>8551736.482307591</v>
      </c>
      <c r="M9" s="64" t="n">
        <v>8204477.62923648</v>
      </c>
      <c r="N9" s="65" t="n">
        <v>113168004.230423</v>
      </c>
      <c r="P9" s="65" t="n">
        <v>97838878.33754811</v>
      </c>
      <c r="Q9" s="65" t="n">
        <v>92134662.8319571</v>
      </c>
    </row>
    <row r="10">
      <c r="A10" s="61" t="inlineStr">
        <is>
          <t>Jantaş / G.1.6.</t>
        </is>
      </c>
      <c r="B10" s="64" t="n">
        <v>12644850.99</v>
      </c>
      <c r="C10" s="64" t="n">
        <v>10865336.32</v>
      </c>
      <c r="D10" s="64" t="n">
        <v>13803063.83</v>
      </c>
      <c r="E10" s="64" t="n">
        <v>12121264.6</v>
      </c>
      <c r="F10" s="64" t="n">
        <v>13003015.67</v>
      </c>
      <c r="G10" s="64" t="n">
        <v>12318501.51</v>
      </c>
      <c r="H10" s="64" t="n">
        <v>10761518.44</v>
      </c>
      <c r="I10" s="64" t="n">
        <v>12034822.26</v>
      </c>
      <c r="J10" s="64" t="n">
        <v>13132192.56</v>
      </c>
      <c r="K10" s="64" t="n">
        <v>14495016.8698207</v>
      </c>
      <c r="L10" s="64" t="n">
        <v>14495016.8698207</v>
      </c>
      <c r="M10" s="64" t="n">
        <v>14495016.8698207</v>
      </c>
      <c r="N10" s="65" t="n">
        <v>154169616.789462</v>
      </c>
      <c r="P10" s="65" t="n">
        <v>160458394.3605</v>
      </c>
      <c r="Q10" s="65" t="n">
        <v>158422697.38081</v>
      </c>
    </row>
    <row r="11">
      <c r="A11" s="61" t="inlineStr">
        <is>
          <t>Çelik / G.1.7.</t>
        </is>
      </c>
      <c r="B11" s="64" t="n">
        <v>5933616.55</v>
      </c>
      <c r="C11" s="64" t="n">
        <v>5841847.42</v>
      </c>
      <c r="D11" s="64" t="n">
        <v>6604982.31</v>
      </c>
      <c r="E11" s="64" t="n">
        <v>5707537.42</v>
      </c>
      <c r="F11" s="64" t="n">
        <v>8949237.550000001</v>
      </c>
      <c r="G11" s="64" t="n">
        <v>7242324.92</v>
      </c>
      <c r="H11" s="64" t="n">
        <v>5438885.23999999</v>
      </c>
      <c r="I11" s="64" t="n">
        <v>6383219.74</v>
      </c>
      <c r="J11" s="64" t="n">
        <v>6514630.35</v>
      </c>
      <c r="K11" s="64" t="n">
        <v>7259744.7757791</v>
      </c>
      <c r="L11" s="64" t="n">
        <v>7259744.7757791</v>
      </c>
      <c r="M11" s="64" t="n">
        <v>7259744.7757791</v>
      </c>
      <c r="N11" s="65" t="n">
        <v>80395515.82733729</v>
      </c>
      <c r="P11" s="65" t="n">
        <v>80114000</v>
      </c>
      <c r="Q11" s="65" t="n">
        <v>79331000</v>
      </c>
    </row>
    <row r="12">
      <c r="A12" s="61" t="inlineStr">
        <is>
          <t>Alüminyum / G.1.8.</t>
        </is>
      </c>
      <c r="B12" s="64" t="n">
        <v>17566609.69</v>
      </c>
      <c r="C12" s="64" t="n">
        <v>20513945.78</v>
      </c>
      <c r="D12" s="64" t="n">
        <v>18801678.06</v>
      </c>
      <c r="E12" s="64" t="n">
        <v>23005228.4</v>
      </c>
      <c r="F12" s="64" t="n">
        <v>21797483.49</v>
      </c>
      <c r="G12" s="64" t="n">
        <v>23987608.72</v>
      </c>
      <c r="H12" s="64" t="n">
        <v>20799797.33</v>
      </c>
      <c r="I12" s="64" t="n">
        <v>22466968.67</v>
      </c>
      <c r="J12" s="64" t="n">
        <v>27393870.23</v>
      </c>
      <c r="K12" s="64" t="n">
        <v>24954002.479104</v>
      </c>
      <c r="L12" s="64" t="n">
        <v>24954002.479104</v>
      </c>
      <c r="M12" s="64" t="n">
        <v>24954002.479104</v>
      </c>
      <c r="N12" s="65" t="n">
        <v>271195197.807312</v>
      </c>
      <c r="P12" s="65" t="n">
        <v>264632546.774893</v>
      </c>
      <c r="Q12" s="65" t="n">
        <v>264632546.774893</v>
      </c>
    </row>
    <row r="13">
      <c r="A13" s="61" t="inlineStr">
        <is>
          <t>x / G.1.9.</t>
        </is>
      </c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5" t="n"/>
      <c r="P13" s="65" t="n"/>
      <c r="Q13" s="65" t="n"/>
    </row>
    <row r="14">
      <c r="A14" s="61" t="inlineStr">
        <is>
          <t>y / G.1.10.</t>
        </is>
      </c>
      <c r="B14" s="64" t="n"/>
      <c r="C14" s="64" t="n"/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65" t="n"/>
      <c r="P14" s="65" t="n"/>
      <c r="Q14" s="65" t="n"/>
    </row>
    <row r="15">
      <c r="A15" s="61" t="inlineStr">
        <is>
          <t>SMM-EUR / G.2.</t>
        </is>
      </c>
      <c r="B15" s="64" t="n">
        <v>-23073316.8411858</v>
      </c>
      <c r="C15" s="64" t="n">
        <v>-21962038.2616479</v>
      </c>
      <c r="D15" s="64" t="n">
        <v>-20747225.6255459</v>
      </c>
      <c r="E15" s="64" t="n">
        <v>-24620639.149901</v>
      </c>
      <c r="F15" s="64" t="n">
        <v>-23517982.0699247</v>
      </c>
      <c r="G15" s="64" t="n">
        <v>-24170338.0899758</v>
      </c>
      <c r="H15" s="64" t="n">
        <v>-23078587.5788142</v>
      </c>
      <c r="I15" s="64" t="n">
        <v>-26531609.7654068</v>
      </c>
      <c r="J15" s="64" t="n">
        <v>-28794429.1754641</v>
      </c>
      <c r="K15" s="64" t="n">
        <v>-29038465.5992116</v>
      </c>
      <c r="L15" s="64" t="n">
        <v>-28759855.3757042</v>
      </c>
      <c r="M15" s="64" t="n">
        <v>-28245295.20082</v>
      </c>
      <c r="N15" s="65" t="n">
        <v>-302539782.733602</v>
      </c>
      <c r="P15" s="65" t="n">
        <v>-296885365.281632</v>
      </c>
      <c r="Q15" s="65" t="n">
        <v>-295177208.526967</v>
      </c>
    </row>
    <row r="16">
      <c r="A16" s="61" t="inlineStr">
        <is>
          <t>İnci Holding / G.2.1.</t>
        </is>
      </c>
      <c r="B16" s="64" t="n"/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  <c r="L16" s="64" t="n"/>
      <c r="M16" s="64" t="n"/>
      <c r="N16" s="65" t="n"/>
      <c r="P16" s="65" t="n"/>
      <c r="Q16" s="65" t="n"/>
    </row>
    <row r="17">
      <c r="A17" s="61" t="inlineStr">
        <is>
          <t>ISM / G.2.2.</t>
        </is>
      </c>
      <c r="B17" s="64" t="n">
        <v>-720202.1914964831</v>
      </c>
      <c r="C17" s="64" t="n">
        <v>-789607.899518598</v>
      </c>
      <c r="D17" s="64" t="n">
        <v>-733416.354318991</v>
      </c>
      <c r="E17" s="64" t="n">
        <v>-927716.691521403</v>
      </c>
      <c r="F17" s="64" t="n">
        <v>-901550.751361798</v>
      </c>
      <c r="G17" s="64" t="n">
        <v>-838428.377508917</v>
      </c>
      <c r="H17" s="64" t="n">
        <v>-801997.99078889</v>
      </c>
      <c r="I17" s="64" t="n">
        <v>-657879.9843070559</v>
      </c>
      <c r="J17" s="64" t="n">
        <v>-687676.05786063</v>
      </c>
      <c r="K17" s="64" t="n">
        <v>-463471.285803084</v>
      </c>
      <c r="L17" s="64" t="n">
        <v>-453500.314022306</v>
      </c>
      <c r="M17" s="64" t="n">
        <v>-435085.106860511</v>
      </c>
      <c r="N17" s="65" t="n">
        <v>-8410533.00536867</v>
      </c>
      <c r="P17" s="65" t="n">
        <v>-7908948.74077883</v>
      </c>
      <c r="Q17" s="65" t="n">
        <v>-8065476.28678984</v>
      </c>
    </row>
    <row r="18">
      <c r="A18" s="61" t="inlineStr">
        <is>
          <t>İncitaş / G.2.3.</t>
        </is>
      </c>
      <c r="B18" s="64" t="n">
        <v>-480287.68301038</v>
      </c>
      <c r="C18" s="64" t="n">
        <v>-323259.239170826</v>
      </c>
      <c r="D18" s="64" t="n">
        <v>-598394.969252728</v>
      </c>
      <c r="E18" s="64" t="n">
        <v>-602011.689493976</v>
      </c>
      <c r="F18" s="64" t="n">
        <v>-576265.653654461</v>
      </c>
      <c r="G18" s="64" t="n">
        <v>-532335.204171084</v>
      </c>
      <c r="H18" s="64" t="n">
        <v>-667178.10116105</v>
      </c>
      <c r="I18" s="64" t="n">
        <v>-932872.1839410641</v>
      </c>
      <c r="J18" s="64" t="n">
        <v>-716348.320702648</v>
      </c>
      <c r="K18" s="64" t="n">
        <v>-842999.154158124</v>
      </c>
      <c r="L18" s="64" t="n">
        <v>-824863.142209152</v>
      </c>
      <c r="M18" s="64" t="n">
        <v>-791368.070267121</v>
      </c>
      <c r="N18" s="65" t="n">
        <v>-7888183.41119262</v>
      </c>
      <c r="P18" s="65" t="n">
        <v>-7582720.75014328</v>
      </c>
      <c r="Q18" s="65" t="n">
        <v>-7453441.87962862</v>
      </c>
    </row>
    <row r="19">
      <c r="A19" s="61" t="inlineStr">
        <is>
          <t>İnci GS Yuasa / G.2.4.</t>
        </is>
      </c>
      <c r="B19" s="64" t="n">
        <v>-16525046.204923</v>
      </c>
      <c r="C19" s="64" t="n">
        <v>-14412286.537797</v>
      </c>
      <c r="D19" s="64" t="n">
        <v>-7647158.26115347</v>
      </c>
      <c r="E19" s="64" t="n">
        <v>-16316357.1518726</v>
      </c>
      <c r="F19" s="64" t="n">
        <v>-12524978.7085844</v>
      </c>
      <c r="G19" s="64" t="n">
        <v>-11331646.4713614</v>
      </c>
      <c r="H19" s="64" t="n">
        <v>-13730157.967811</v>
      </c>
      <c r="I19" s="64" t="n">
        <v>-16496878.865653</v>
      </c>
      <c r="J19" s="64" t="n">
        <v>-17321460.9784716</v>
      </c>
      <c r="K19" s="64" t="n">
        <v>-21305082.904698</v>
      </c>
      <c r="L19" s="64" t="n">
        <v>-20846732.2216308</v>
      </c>
      <c r="M19" s="64" t="n">
        <v>-20000212.6479113</v>
      </c>
      <c r="N19" s="65" t="n">
        <v>-188457998.921868</v>
      </c>
      <c r="P19" s="65" t="n">
        <v>-195286505.395076</v>
      </c>
      <c r="Q19" s="65" t="n">
        <v>-198365034.243357</v>
      </c>
    </row>
    <row r="20">
      <c r="A20" s="61" t="inlineStr">
        <is>
          <t>Yusen İnci Loj. / G.2.5.</t>
        </is>
      </c>
      <c r="B20" s="64" t="n">
        <v>-7449140.67177442</v>
      </c>
      <c r="C20" s="64" t="n">
        <v>-7101697.81959902</v>
      </c>
      <c r="D20" s="64" t="n">
        <v>-9606888.47378201</v>
      </c>
      <c r="E20" s="64" t="n">
        <v>-8185882.48034155</v>
      </c>
      <c r="F20" s="64" t="n">
        <v>-8320484.12368676</v>
      </c>
      <c r="G20" s="64" t="n">
        <v>-8214674.13937819</v>
      </c>
      <c r="H20" s="64" t="n">
        <v>-7800159.3293497</v>
      </c>
      <c r="I20" s="64" t="n">
        <v>-10241812.0372437</v>
      </c>
      <c r="J20" s="64" t="n">
        <v>-10147206.5337804</v>
      </c>
      <c r="K20" s="64" t="n">
        <v>-7804682.21904939</v>
      </c>
      <c r="L20" s="64" t="n">
        <v>-7636774.80267248</v>
      </c>
      <c r="M20" s="64" t="n">
        <v>-7326669.63694095</v>
      </c>
      <c r="N20" s="65" t="n">
        <v>-99836072.26759849</v>
      </c>
      <c r="P20" s="65" t="n">
        <v>-86163642.15303209</v>
      </c>
      <c r="Q20" s="65" t="n">
        <v>-81239392.30220319</v>
      </c>
    </row>
    <row r="21">
      <c r="A21" s="61" t="inlineStr">
        <is>
          <t>Jantaş / G.2.6.</t>
        </is>
      </c>
      <c r="B21" s="64" t="n">
        <v>-10013501.01</v>
      </c>
      <c r="C21" s="64" t="n">
        <v>-8129545.78</v>
      </c>
      <c r="D21" s="64" t="n">
        <v>-9411053.07</v>
      </c>
      <c r="E21" s="64" t="n">
        <v>-9320034.73</v>
      </c>
      <c r="F21" s="64" t="n">
        <v>-9966187.52</v>
      </c>
      <c r="G21" s="64" t="n">
        <v>-9910781.26</v>
      </c>
      <c r="H21" s="64" t="n">
        <v>-9661519.75</v>
      </c>
      <c r="I21" s="64" t="n">
        <v>-11051544.32</v>
      </c>
      <c r="J21" s="64" t="n">
        <v>-12085417.97</v>
      </c>
      <c r="K21" s="64" t="n">
        <v>-12589715.294908</v>
      </c>
      <c r="L21" s="64" t="n">
        <v>-12589715.294908</v>
      </c>
      <c r="M21" s="64" t="n">
        <v>-12589715.294908</v>
      </c>
      <c r="N21" s="65" t="n">
        <v>-127318731.294724</v>
      </c>
      <c r="P21" s="65" t="n">
        <v>-130615655.848</v>
      </c>
      <c r="Q21" s="65" t="n">
        <v>-127863863.275145</v>
      </c>
    </row>
    <row r="22">
      <c r="A22" s="61" t="inlineStr">
        <is>
          <t>Çelik / G.2.7.</t>
        </is>
      </c>
      <c r="B22" s="64" t="n">
        <v>-5053060.68</v>
      </c>
      <c r="C22" s="64" t="n">
        <v>-4655465.93</v>
      </c>
      <c r="D22" s="64" t="n">
        <v>-4998114.64</v>
      </c>
      <c r="E22" s="64" t="n">
        <v>-4954794.99</v>
      </c>
      <c r="F22" s="64" t="n">
        <v>-5149367.26</v>
      </c>
      <c r="G22" s="64" t="n">
        <v>-6156307.1</v>
      </c>
      <c r="H22" s="64" t="n">
        <v>-4347157.8</v>
      </c>
      <c r="I22" s="64" t="n">
        <v>-4885309.86</v>
      </c>
      <c r="J22" s="64" t="n">
        <v>-5337234.56</v>
      </c>
      <c r="K22" s="64" t="n">
        <v>-6156177.0675956</v>
      </c>
      <c r="L22" s="64" t="n">
        <v>-6156177.0675956</v>
      </c>
      <c r="M22" s="64" t="n">
        <v>-6156177.0675956</v>
      </c>
      <c r="N22" s="65" t="n">
        <v>-64005344.0227868</v>
      </c>
      <c r="P22" s="65" t="n">
        <v>-63573000</v>
      </c>
      <c r="Q22" s="65" t="n">
        <v>-63832000</v>
      </c>
    </row>
    <row r="23">
      <c r="A23" s="61" t="inlineStr">
        <is>
          <t>Alüminyum / G.2.8.</t>
        </is>
      </c>
      <c r="B23" s="64" t="n">
        <v>-15641318.85</v>
      </c>
      <c r="C23" s="64" t="n">
        <v>-17823931.74</v>
      </c>
      <c r="D23" s="64" t="n">
        <v>-16875321.31</v>
      </c>
      <c r="E23" s="64" t="n">
        <v>-18950207.57</v>
      </c>
      <c r="F23" s="64" t="n">
        <v>-19139396.55</v>
      </c>
      <c r="G23" s="64" t="n">
        <v>-21385527.3</v>
      </c>
      <c r="H23" s="64" t="n">
        <v>-18484533.87</v>
      </c>
      <c r="I23" s="64" t="n">
        <v>-19676598.91</v>
      </c>
      <c r="J23" s="64" t="n">
        <v>-23584691.95</v>
      </c>
      <c r="K23" s="64" t="n">
        <v>-21474330.411875</v>
      </c>
      <c r="L23" s="64" t="n">
        <v>-21474330.411875</v>
      </c>
      <c r="M23" s="64" t="n">
        <v>-21474330.411875</v>
      </c>
      <c r="N23" s="65" t="n">
        <v>-235984519.285625</v>
      </c>
      <c r="P23" s="65" t="n">
        <v>-227845436.080666</v>
      </c>
      <c r="Q23" s="65" t="n">
        <v>-227845436.080666</v>
      </c>
    </row>
    <row r="24">
      <c r="A24" s="61" t="inlineStr">
        <is>
          <t>x / G.2.9.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5" t="n"/>
      <c r="P24" s="65" t="n"/>
      <c r="Q24" s="65" t="n"/>
    </row>
    <row r="25">
      <c r="A25" s="61" t="inlineStr">
        <is>
          <t>y / G.2.10.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5" t="n"/>
      <c r="P25" s="65" t="n"/>
      <c r="Q25" s="65" t="n"/>
    </row>
    <row r="26">
      <c r="A26" s="61" t="inlineStr">
        <is>
          <t>BRÜT KAR-EUR / G.3.</t>
        </is>
      </c>
      <c r="B26" s="64" t="n">
        <v>4708225.14824593</v>
      </c>
      <c r="C26" s="64" t="n">
        <v>5037484.32822642</v>
      </c>
      <c r="D26" s="64" t="n">
        <v>5306324.24878016</v>
      </c>
      <c r="E26" s="64" t="n">
        <v>5756818.40568683</v>
      </c>
      <c r="F26" s="64" t="n">
        <v>6107694.29480978</v>
      </c>
      <c r="G26" s="64" t="n">
        <v>4753403.22824007</v>
      </c>
      <c r="H26" s="64" t="n">
        <v>4010880.87472997</v>
      </c>
      <c r="I26" s="64" t="n">
        <v>4701855.64309411</v>
      </c>
      <c r="J26" s="64" t="n">
        <v>4978418.78214581</v>
      </c>
      <c r="K26" s="64" t="n">
        <v>5492788.13033272</v>
      </c>
      <c r="L26" s="64" t="n">
        <v>5430455.01229656</v>
      </c>
      <c r="M26" s="64" t="n">
        <v>5315333.1057348</v>
      </c>
      <c r="N26" s="65" t="n">
        <v>61599681.202323</v>
      </c>
      <c r="P26" s="65" t="n">
        <v>63436508.3573125</v>
      </c>
      <c r="Q26" s="65" t="n">
        <v>63414009.8619706</v>
      </c>
    </row>
    <row r="27">
      <c r="A27" s="61" t="inlineStr">
        <is>
          <t>İnci Holding / G.3.1.</t>
        </is>
      </c>
      <c r="B27" s="64" t="n">
        <v>595656.356686139</v>
      </c>
      <c r="C27" s="64" t="n">
        <v>620485.0366077099</v>
      </c>
      <c r="D27" s="64" t="n">
        <v>676120.265432357</v>
      </c>
      <c r="E27" s="64" t="n">
        <v>621193.670214021</v>
      </c>
      <c r="F27" s="64" t="n">
        <v>647210.758292339</v>
      </c>
      <c r="G27" s="64" t="n">
        <v>690721.4121004021</v>
      </c>
      <c r="H27" s="64" t="n">
        <v>599346.020377858</v>
      </c>
      <c r="I27" s="64" t="n">
        <v>758420.197454472</v>
      </c>
      <c r="J27" s="64" t="n">
        <v>806376.868583113</v>
      </c>
      <c r="K27" s="64" t="n">
        <v>808767.3939408869</v>
      </c>
      <c r="L27" s="64" t="n">
        <v>791367.83304204</v>
      </c>
      <c r="M27" s="64" t="n">
        <v>759232.899203972</v>
      </c>
      <c r="N27" s="65" t="n">
        <v>8374898.71193531</v>
      </c>
      <c r="P27" s="65" t="n">
        <v>8308949.15726336</v>
      </c>
      <c r="Q27" s="65" t="n">
        <v>8338106.77921607</v>
      </c>
    </row>
    <row r="28">
      <c r="A28" s="61" t="inlineStr">
        <is>
          <t>ISM / G.3.2.</t>
        </is>
      </c>
      <c r="B28" s="64" t="n">
        <v>220017.479109104</v>
      </c>
      <c r="C28" s="64" t="n">
        <v>291645.802958432</v>
      </c>
      <c r="D28" s="64" t="n">
        <v>267632.008155484</v>
      </c>
      <c r="E28" s="64" t="n">
        <v>255140.836476359</v>
      </c>
      <c r="F28" s="64" t="n">
        <v>304210.372296892</v>
      </c>
      <c r="G28" s="64" t="n">
        <v>342314.215645624</v>
      </c>
      <c r="H28" s="64" t="n">
        <v>196194.858300719</v>
      </c>
      <c r="I28" s="64" t="n">
        <v>208801.98498393</v>
      </c>
      <c r="J28" s="64" t="n">
        <v>191126.434949811</v>
      </c>
      <c r="K28" s="64" t="n">
        <v>155517.639009969</v>
      </c>
      <c r="L28" s="64" t="n">
        <v>152171.88267623</v>
      </c>
      <c r="M28" s="64" t="n">
        <v>145992.665910472</v>
      </c>
      <c r="N28" s="65" t="n">
        <v>2730766.18047303</v>
      </c>
      <c r="P28" s="65" t="n">
        <v>2569023.89665291</v>
      </c>
      <c r="Q28" s="65" t="n">
        <v>2538599.21233597</v>
      </c>
    </row>
    <row r="29">
      <c r="A29" s="61" t="inlineStr">
        <is>
          <t>İncitaş / G.3.3.</t>
        </is>
      </c>
      <c r="B29" s="64" t="n">
        <v>151705.260280726</v>
      </c>
      <c r="C29" s="64" t="n">
        <v>87391.5183486304</v>
      </c>
      <c r="D29" s="64" t="n">
        <v>119858.966658836</v>
      </c>
      <c r="E29" s="64" t="n">
        <v>125704.60185286</v>
      </c>
      <c r="F29" s="64" t="n">
        <v>140410.982004092</v>
      </c>
      <c r="G29" s="64" t="n">
        <v>123434.551753254</v>
      </c>
      <c r="H29" s="64" t="n">
        <v>102332.991841182</v>
      </c>
      <c r="I29" s="64" t="n">
        <v>137249.436717551</v>
      </c>
      <c r="J29" s="64" t="n">
        <v>139688.683604384</v>
      </c>
      <c r="K29" s="64" t="n">
        <v>124997.181866248</v>
      </c>
      <c r="L29" s="64" t="n">
        <v>122308.032805146</v>
      </c>
      <c r="M29" s="64" t="n">
        <v>117341.492117045</v>
      </c>
      <c r="N29" s="65" t="n">
        <v>1492423.69984996</v>
      </c>
      <c r="P29" s="65" t="n">
        <v>1414055.19758609</v>
      </c>
      <c r="Q29" s="65" t="n">
        <v>1453488.82839366</v>
      </c>
    </row>
    <row r="30">
      <c r="A30" s="61" t="inlineStr">
        <is>
          <t>İnci GS Yuasa / G.3.4.</t>
        </is>
      </c>
      <c r="B30" s="64" t="n">
        <v>2856071.74872234</v>
      </c>
      <c r="C30" s="64" t="n">
        <v>2501530.9868897</v>
      </c>
      <c r="D30" s="64" t="n">
        <v>1388785.64663116</v>
      </c>
      <c r="E30" s="64" t="n">
        <v>3149722.23712183</v>
      </c>
      <c r="F30" s="64" t="n">
        <v>1875726.42436101</v>
      </c>
      <c r="G30" s="64" t="n">
        <v>1716721.83536385</v>
      </c>
      <c r="H30" s="64" t="n">
        <v>2240575.39955558</v>
      </c>
      <c r="I30" s="64" t="n">
        <v>2330835.81399183</v>
      </c>
      <c r="J30" s="64" t="n">
        <v>2201617.96253823</v>
      </c>
      <c r="K30" s="64" t="n">
        <v>3585144.77807693</v>
      </c>
      <c r="L30" s="64" t="n">
        <v>3508015.12947255</v>
      </c>
      <c r="M30" s="64" t="n">
        <v>3365565.77863755</v>
      </c>
      <c r="N30" s="65" t="n">
        <v>30720313.7413626</v>
      </c>
      <c r="P30" s="65" t="n">
        <v>33015114.8732824</v>
      </c>
      <c r="Q30" s="65" t="n">
        <v>33969322.2754162</v>
      </c>
    </row>
    <row r="31">
      <c r="A31" s="61" t="inlineStr">
        <is>
          <t>Yusen İnci Loj. / G.3.5.</t>
        </is>
      </c>
      <c r="B31" s="64" t="n">
        <v>1058846.69170256</v>
      </c>
      <c r="C31" s="64" t="n">
        <v>981187.8688894371</v>
      </c>
      <c r="D31" s="64" t="n">
        <v>1292761.69470259</v>
      </c>
      <c r="E31" s="64" t="n">
        <v>1128232.8757371</v>
      </c>
      <c r="F31" s="64" t="n">
        <v>1169143.65118013</v>
      </c>
      <c r="G31" s="64" t="n">
        <v>1179791.29648813</v>
      </c>
      <c r="H31" s="64" t="n">
        <v>1034952.52096997</v>
      </c>
      <c r="I31" s="64" t="n">
        <v>1391066.66585355</v>
      </c>
      <c r="J31" s="64" t="n">
        <v>1368100.36498305</v>
      </c>
      <c r="K31" s="64" t="n">
        <v>935078.660386936</v>
      </c>
      <c r="L31" s="64" t="n">
        <v>914961.67963511</v>
      </c>
      <c r="M31" s="64" t="n">
        <v>877807.992295532</v>
      </c>
      <c r="N31" s="65" t="n">
        <v>13331931.9628241</v>
      </c>
      <c r="P31" s="65" t="n">
        <v>11675236.184516</v>
      </c>
      <c r="Q31" s="65" t="n">
        <v>10895270.529754</v>
      </c>
    </row>
    <row r="32">
      <c r="A32" s="61" t="inlineStr">
        <is>
          <t>Jantaş / G.3.6.</t>
        </is>
      </c>
      <c r="B32" s="64" t="n">
        <v>2631349.98</v>
      </c>
      <c r="C32" s="64" t="n">
        <v>2735790.54</v>
      </c>
      <c r="D32" s="64" t="n">
        <v>4392010.76</v>
      </c>
      <c r="E32" s="64" t="n">
        <v>2801229.87</v>
      </c>
      <c r="F32" s="64" t="n">
        <v>3036828.14999999</v>
      </c>
      <c r="G32" s="64" t="n">
        <v>2407720.25000001</v>
      </c>
      <c r="H32" s="64" t="n">
        <v>1099998.69</v>
      </c>
      <c r="I32" s="64" t="n">
        <v>983277.94000001</v>
      </c>
      <c r="J32" s="64" t="n">
        <v>1046774.59</v>
      </c>
      <c r="K32" s="64" t="n">
        <v>1905301.57491266</v>
      </c>
      <c r="L32" s="64" t="n">
        <v>1905301.57491266</v>
      </c>
      <c r="M32" s="64" t="n">
        <v>1905301.57491266</v>
      </c>
      <c r="N32" s="65" t="n">
        <v>26850885.494738</v>
      </c>
      <c r="P32" s="65" t="n">
        <v>29842738.5125</v>
      </c>
      <c r="Q32" s="65" t="n">
        <v>30558834.105665</v>
      </c>
    </row>
    <row r="33">
      <c r="A33" s="61" t="inlineStr">
        <is>
          <t>Çelik / G.3.7.</t>
        </is>
      </c>
      <c r="B33" s="64" t="n">
        <v>880555.87</v>
      </c>
      <c r="C33" s="64" t="n">
        <v>1186381.49</v>
      </c>
      <c r="D33" s="64" t="n">
        <v>1606867.67</v>
      </c>
      <c r="E33" s="64" t="n">
        <v>752742.4300000001</v>
      </c>
      <c r="F33" s="64" t="n">
        <v>3799870.29</v>
      </c>
      <c r="G33" s="64" t="n">
        <v>1086017.82</v>
      </c>
      <c r="H33" s="64" t="n">
        <v>1091727.44</v>
      </c>
      <c r="I33" s="64" t="n">
        <v>1497909.88</v>
      </c>
      <c r="J33" s="64" t="n">
        <v>1177395.79</v>
      </c>
      <c r="K33" s="64" t="n">
        <v>1103567.7081835</v>
      </c>
      <c r="L33" s="64" t="n">
        <v>1103567.7081835</v>
      </c>
      <c r="M33" s="64" t="n">
        <v>1103567.7081835</v>
      </c>
      <c r="N33" s="65" t="n">
        <v>16390171.8045505</v>
      </c>
      <c r="P33" s="65" t="n">
        <v>16541000</v>
      </c>
      <c r="Q33" s="65" t="n">
        <v>15499000</v>
      </c>
    </row>
    <row r="34">
      <c r="A34" s="61" t="inlineStr">
        <is>
          <t>Alüminyum / G.3.8.</t>
        </is>
      </c>
      <c r="B34" s="64" t="n">
        <v>1925290.84</v>
      </c>
      <c r="C34" s="64" t="n">
        <v>2690014.04</v>
      </c>
      <c r="D34" s="64" t="n">
        <v>1926356.75</v>
      </c>
      <c r="E34" s="64" t="n">
        <v>4055020.83</v>
      </c>
      <c r="F34" s="64" t="n">
        <v>2658086.94</v>
      </c>
      <c r="G34" s="64" t="n">
        <v>2602081.42</v>
      </c>
      <c r="H34" s="64" t="n">
        <v>2315263.46</v>
      </c>
      <c r="I34" s="64" t="n">
        <v>2790369.76</v>
      </c>
      <c r="J34" s="64" t="n">
        <v>3809178.28</v>
      </c>
      <c r="K34" s="64" t="n">
        <v>3479672.067229</v>
      </c>
      <c r="L34" s="64" t="n">
        <v>3479672.067229</v>
      </c>
      <c r="M34" s="64" t="n">
        <v>3479672.067229</v>
      </c>
      <c r="N34" s="65" t="n">
        <v>35210678.521687</v>
      </c>
      <c r="P34" s="65" t="n">
        <v>36787110.694227</v>
      </c>
      <c r="Q34" s="65" t="n">
        <v>36787110.694227</v>
      </c>
    </row>
    <row r="35">
      <c r="A35" s="61" t="inlineStr">
        <is>
          <t>x / G.3.9.</t>
        </is>
      </c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5" t="n"/>
      <c r="P35" s="65" t="n"/>
      <c r="Q35" s="65" t="n"/>
    </row>
    <row r="36">
      <c r="A36" s="61" t="inlineStr">
        <is>
          <t>y / G.3.10.</t>
        </is>
      </c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5" t="n"/>
      <c r="P36" s="65" t="n"/>
      <c r="Q36" s="65" t="n"/>
    </row>
    <row r="37">
      <c r="A37" s="61" t="inlineStr">
        <is>
          <t>Toplam Faaliyet Giderleri-EUR / G.4.</t>
        </is>
      </c>
      <c r="B37" s="64" t="n">
        <v>-1651566.85921471</v>
      </c>
      <c r="C37" s="64" t="n">
        <v>-1532012.48886085</v>
      </c>
      <c r="D37" s="64" t="n">
        <v>-1663015.23828373</v>
      </c>
      <c r="E37" s="64" t="n">
        <v>-1791314.34496124</v>
      </c>
      <c r="F37" s="64" t="n">
        <v>-1703172.31964809</v>
      </c>
      <c r="G37" s="64" t="n">
        <v>-1847202.56790199</v>
      </c>
      <c r="H37" s="64" t="n">
        <v>-1770780.97529965</v>
      </c>
      <c r="I37" s="64" t="n">
        <v>-1876984.03584587</v>
      </c>
      <c r="J37" s="64" t="n">
        <v>-2054810.4682803</v>
      </c>
      <c r="K37" s="64" t="n">
        <v>-2384786.97237872</v>
      </c>
      <c r="L37" s="64" t="n">
        <v>-2351832.13934263</v>
      </c>
      <c r="M37" s="64" t="n">
        <v>-2290968.45517176</v>
      </c>
      <c r="N37" s="65" t="n">
        <v>-22918446.8651896</v>
      </c>
      <c r="P37" s="65" t="n">
        <v>-22040335.1003471</v>
      </c>
      <c r="Q37" s="65" t="n">
        <v>-22496483.4010303</v>
      </c>
    </row>
    <row r="38">
      <c r="A38" s="61" t="inlineStr">
        <is>
          <t>İnci Holding / G.4.1.</t>
        </is>
      </c>
      <c r="B38" s="64" t="n">
        <v>-218871.241889247</v>
      </c>
      <c r="C38" s="64" t="n">
        <v>-172565.678813228</v>
      </c>
      <c r="D38" s="64" t="n">
        <v>-197437.777222325</v>
      </c>
      <c r="E38" s="64" t="n">
        <v>-225110.531597634</v>
      </c>
      <c r="F38" s="64" t="n">
        <v>-226544.496700695</v>
      </c>
      <c r="G38" s="64" t="n">
        <v>-303876.329364807</v>
      </c>
      <c r="H38" s="64" t="n">
        <v>-185128.703037327</v>
      </c>
      <c r="I38" s="64" t="n">
        <v>-214288.889065544</v>
      </c>
      <c r="J38" s="64" t="n">
        <v>-314904.834886747</v>
      </c>
      <c r="K38" s="64" t="n">
        <v>-451007.584903023</v>
      </c>
      <c r="L38" s="64" t="n">
        <v>-441304.753164067</v>
      </c>
      <c r="M38" s="64" t="n">
        <v>-423384.768988265</v>
      </c>
      <c r="N38" s="65" t="n">
        <v>-3374425.58963291</v>
      </c>
      <c r="P38" s="65" t="n">
        <v>-3223334.13317692</v>
      </c>
      <c r="Q38" s="65" t="n">
        <v>-3667095.25539013</v>
      </c>
    </row>
    <row r="39">
      <c r="A39" s="61" t="inlineStr">
        <is>
          <t>ISM / G.4.2.</t>
        </is>
      </c>
      <c r="B39" s="64" t="n">
        <v>-74348.8832783265</v>
      </c>
      <c r="C39" s="64" t="n">
        <v>-66291.213763333</v>
      </c>
      <c r="D39" s="64" t="n">
        <v>-79785.7450687369</v>
      </c>
      <c r="E39" s="64" t="n">
        <v>-83255.26732929979</v>
      </c>
      <c r="F39" s="64" t="n">
        <v>-97438.92072517981</v>
      </c>
      <c r="G39" s="64" t="n">
        <v>-98908.8770696158</v>
      </c>
      <c r="H39" s="64" t="n">
        <v>-123129.400236461</v>
      </c>
      <c r="I39" s="64" t="n">
        <v>-85035.69282274241</v>
      </c>
      <c r="J39" s="64" t="n">
        <v>-93347.4844429388</v>
      </c>
      <c r="K39" s="64" t="n">
        <v>-68061.4744601252</v>
      </c>
      <c r="L39" s="64" t="n">
        <v>-66597.2218473142</v>
      </c>
      <c r="M39" s="64" t="n">
        <v>-63892.9202210578</v>
      </c>
      <c r="N39" s="65" t="n">
        <v>-1000093.10126513</v>
      </c>
      <c r="P39" s="65" t="n">
        <v>-903351.065124675</v>
      </c>
      <c r="Q39" s="65" t="n">
        <v>-1138876.38295957</v>
      </c>
    </row>
    <row r="40">
      <c r="A40" s="61" t="inlineStr">
        <is>
          <t>İncitaş / G.4.3.</t>
        </is>
      </c>
      <c r="B40" s="64" t="n">
        <v>-49248.0929713629</v>
      </c>
      <c r="C40" s="64" t="n">
        <v>-35209.9849520876</v>
      </c>
      <c r="D40" s="64" t="n">
        <v>-48659.0725082463</v>
      </c>
      <c r="E40" s="64" t="n">
        <v>-57246.6048733317</v>
      </c>
      <c r="F40" s="64" t="n">
        <v>-52415.4237202931</v>
      </c>
      <c r="G40" s="64" t="n">
        <v>-46430.5990115689</v>
      </c>
      <c r="H40" s="64" t="n">
        <v>-62020.4936880267</v>
      </c>
      <c r="I40" s="64" t="n">
        <v>-50776.6088745053</v>
      </c>
      <c r="J40" s="64" t="n">
        <v>-73293.69926452309</v>
      </c>
      <c r="K40" s="64" t="n">
        <v>-70473.01083949579</v>
      </c>
      <c r="L40" s="64" t="n">
        <v>-68956.87721070051</v>
      </c>
      <c r="M40" s="64" t="n">
        <v>-66156.75747582631</v>
      </c>
      <c r="N40" s="65" t="n">
        <v>-680887.225389968</v>
      </c>
      <c r="P40" s="65" t="n">
        <v>-646515.335146422</v>
      </c>
      <c r="Q40" s="65" t="n">
        <v>-677749.70400709</v>
      </c>
    </row>
    <row r="41">
      <c r="A41" s="61" t="inlineStr">
        <is>
          <t>İnci GS Yuasa / G.4.4.</t>
        </is>
      </c>
      <c r="B41" s="64" t="n">
        <v>-1164947.71098497</v>
      </c>
      <c r="C41" s="64" t="n">
        <v>-1112066.44863572</v>
      </c>
      <c r="D41" s="64" t="n">
        <v>-1060727.29024221</v>
      </c>
      <c r="E41" s="64" t="n">
        <v>-1224219.73245838</v>
      </c>
      <c r="F41" s="64" t="n">
        <v>-1013037.36716482</v>
      </c>
      <c r="G41" s="64" t="n">
        <v>-1020966.48526651</v>
      </c>
      <c r="H41" s="64" t="n">
        <v>-1180886.94819512</v>
      </c>
      <c r="I41" s="64" t="n">
        <v>-1190032.10104977</v>
      </c>
      <c r="J41" s="64" t="n">
        <v>-1251299.90607825</v>
      </c>
      <c r="K41" s="64" t="n">
        <v>-1778770.69850271</v>
      </c>
      <c r="L41" s="64" t="n">
        <v>-1740502.79931989</v>
      </c>
      <c r="M41" s="64" t="n">
        <v>-1669826.50952666</v>
      </c>
      <c r="N41" s="65" t="n">
        <v>-15407283.997425</v>
      </c>
      <c r="P41" s="65" t="n">
        <v>-15498863.0941568</v>
      </c>
      <c r="Q41" s="65" t="n">
        <v>-15535485.1589427</v>
      </c>
    </row>
    <row r="42">
      <c r="A42" s="61" t="inlineStr">
        <is>
          <t>Yusen İnci Loj. / G.4.5.</t>
        </is>
      </c>
      <c r="B42" s="64" t="n">
        <v>-564436.741704469</v>
      </c>
      <c r="C42" s="64" t="n">
        <v>-512449.539694774</v>
      </c>
      <c r="D42" s="64" t="n">
        <v>-638654.628468833</v>
      </c>
      <c r="E42" s="64" t="n">
        <v>-529211.320444061</v>
      </c>
      <c r="F42" s="64" t="n">
        <v>-574504.699089983</v>
      </c>
      <c r="G42" s="64" t="n">
        <v>-511952.08087348</v>
      </c>
      <c r="H42" s="64" t="n">
        <v>-650387.367649461</v>
      </c>
      <c r="I42" s="64" t="n">
        <v>-580038.471657941</v>
      </c>
      <c r="J42" s="64" t="n">
        <v>-576303.728136993</v>
      </c>
      <c r="K42" s="64" t="n">
        <v>-576895.2540385741</v>
      </c>
      <c r="L42" s="64" t="n">
        <v>-564484.1155825719</v>
      </c>
      <c r="M42" s="64" t="n">
        <v>-541562.208790939</v>
      </c>
      <c r="N42" s="65" t="n">
        <v>-6820880.15613208</v>
      </c>
      <c r="P42" s="65" t="n">
        <v>-6048428.96751304</v>
      </c>
      <c r="Q42" s="65" t="n">
        <v>-5753967.84625633</v>
      </c>
    </row>
    <row r="43">
      <c r="A43" s="61" t="inlineStr">
        <is>
          <t>Jantaş / G.4.6.</t>
        </is>
      </c>
      <c r="B43" s="64" t="n">
        <v>-536381.71</v>
      </c>
      <c r="C43" s="64" t="n">
        <v>-474724.17</v>
      </c>
      <c r="D43" s="64" t="n">
        <v>-613312.2</v>
      </c>
      <c r="E43" s="64" t="n">
        <v>-598019.63</v>
      </c>
      <c r="F43" s="64" t="n">
        <v>-532358.1</v>
      </c>
      <c r="G43" s="64" t="n">
        <v>-582499.89</v>
      </c>
      <c r="H43" s="64" t="n">
        <v>-579773.75</v>
      </c>
      <c r="I43" s="64" t="n">
        <v>-617407.6</v>
      </c>
      <c r="J43" s="64" t="n">
        <v>-677902.51</v>
      </c>
      <c r="K43" s="64" t="n">
        <v>-697226.97167728</v>
      </c>
      <c r="L43" s="64" t="n">
        <v>-697226.97167728</v>
      </c>
      <c r="M43" s="64" t="n">
        <v>-697226.97167728</v>
      </c>
      <c r="N43" s="65" t="n">
        <v>-7304060.47503184</v>
      </c>
      <c r="P43" s="65" t="n">
        <v>-7165795.061</v>
      </c>
      <c r="Q43" s="65" t="n">
        <v>-6905702.84690695</v>
      </c>
    </row>
    <row r="44">
      <c r="A44" s="61" t="inlineStr">
        <is>
          <t>Çelik / G.4.7.</t>
        </is>
      </c>
      <c r="B44" s="64" t="n">
        <v>-251234.37</v>
      </c>
      <c r="C44" s="64" t="n">
        <v>-258247.15</v>
      </c>
      <c r="D44" s="64" t="n">
        <v>-298282.3</v>
      </c>
      <c r="E44" s="64" t="n">
        <v>-256117.48</v>
      </c>
      <c r="F44" s="64" t="n">
        <v>-433999.94</v>
      </c>
      <c r="G44" s="64" t="n">
        <v>-372025.96</v>
      </c>
      <c r="H44" s="64" t="n">
        <v>-277092.69</v>
      </c>
      <c r="I44" s="64" t="n">
        <v>-309936.21</v>
      </c>
      <c r="J44" s="64" t="n">
        <v>-364786.63</v>
      </c>
      <c r="K44" s="64" t="n">
        <v>-338732.6068152</v>
      </c>
      <c r="L44" s="64" t="n">
        <v>-338732.6068152</v>
      </c>
      <c r="M44" s="64" t="n">
        <v>-338732.6068152</v>
      </c>
      <c r="N44" s="65" t="n">
        <v>-3837920.5504456</v>
      </c>
      <c r="P44" s="65" t="n">
        <v>-3683000</v>
      </c>
      <c r="Q44" s="65" t="n">
        <v>-3565000</v>
      </c>
    </row>
    <row r="45">
      <c r="A45" s="61" t="inlineStr">
        <is>
          <t>Alüminyum / G.4.8.</t>
        </is>
      </c>
      <c r="B45" s="64" t="n">
        <v>-755746.0699999999</v>
      </c>
      <c r="C45" s="64" t="n">
        <v>-787376.72</v>
      </c>
      <c r="D45" s="64" t="n">
        <v>-731855.1899999999</v>
      </c>
      <c r="E45" s="64" t="n">
        <v>-956686.6899999999</v>
      </c>
      <c r="F45" s="64" t="n">
        <v>-763033.59</v>
      </c>
      <c r="G45" s="64" t="n">
        <v>-1007522.49</v>
      </c>
      <c r="H45" s="64" t="n">
        <v>-813115.1899999999</v>
      </c>
      <c r="I45" s="64" t="n">
        <v>-1119792.73</v>
      </c>
      <c r="J45" s="64" t="n">
        <v>-1062868.35</v>
      </c>
      <c r="K45" s="64" t="n">
        <v>-1096486.72440643</v>
      </c>
      <c r="L45" s="64" t="n">
        <v>-1096486.72440643</v>
      </c>
      <c r="M45" s="64" t="n">
        <v>-1096486.72440643</v>
      </c>
      <c r="N45" s="65" t="n">
        <v>-11287457.1932193</v>
      </c>
      <c r="P45" s="65" t="n">
        <v>-10771749.2945779</v>
      </c>
      <c r="Q45" s="65" t="n">
        <v>-10771749.2945779</v>
      </c>
    </row>
    <row r="46">
      <c r="A46" s="61" t="inlineStr">
        <is>
          <t>x / G.4.9.</t>
        </is>
      </c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5" t="n"/>
      <c r="P46" s="65" t="n"/>
      <c r="Q46" s="65" t="n"/>
    </row>
    <row r="47">
      <c r="A47" s="61" t="inlineStr">
        <is>
          <t>y / G.4.10.</t>
        </is>
      </c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5" t="n"/>
      <c r="P47" s="65" t="n"/>
      <c r="Q47" s="65" t="n"/>
    </row>
    <row r="48">
      <c r="A48" s="61" t="inlineStr">
        <is>
          <t>Diğer Faaliyet Gelir(Gideri)-EUR / G.5.</t>
        </is>
      </c>
      <c r="B48" s="64" t="n">
        <v>1075.448</v>
      </c>
      <c r="C48" s="64" t="n">
        <v>-821.436</v>
      </c>
      <c r="D48" s="64" t="n">
        <v>-1684.792</v>
      </c>
      <c r="E48" s="64" t="n">
        <v>5883.732</v>
      </c>
      <c r="F48" s="64" t="n">
        <v>4777</v>
      </c>
      <c r="G48" s="64" t="n">
        <v>13515.308</v>
      </c>
      <c r="H48" s="64" t="n">
        <v>441.228</v>
      </c>
      <c r="I48" s="64" t="n">
        <v>4414.67599999996</v>
      </c>
      <c r="J48" s="64" t="n">
        <v>-171.904000000039</v>
      </c>
      <c r="K48" s="64" t="n">
        <v>-933.333333333307</v>
      </c>
      <c r="L48" s="64" t="n">
        <v>-933.333333333307</v>
      </c>
      <c r="M48" s="64" t="n">
        <v>-933.333333333307</v>
      </c>
      <c r="N48" s="65" t="n">
        <v>24629.26</v>
      </c>
      <c r="P48" s="65" t="n">
        <v>20228.884</v>
      </c>
      <c r="Q48" s="65" t="n">
        <v>6272.348</v>
      </c>
    </row>
    <row r="49">
      <c r="A49" s="61" t="inlineStr">
        <is>
          <t>İnci Holding / G.5.1.</t>
        </is>
      </c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5" t="n"/>
      <c r="P49" s="65" t="n"/>
      <c r="Q49" s="65" t="n"/>
    </row>
    <row r="50">
      <c r="A50" s="61" t="inlineStr">
        <is>
          <t>ISM / G.5.2.</t>
        </is>
      </c>
      <c r="B50" s="64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5" t="n"/>
      <c r="P50" s="65" t="n"/>
      <c r="Q50" s="65" t="n"/>
    </row>
    <row r="51">
      <c r="A51" s="61" t="inlineStr">
        <is>
          <t>İncitaş / G.5.3.</t>
        </is>
      </c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5" t="n"/>
      <c r="P51" s="65" t="n"/>
      <c r="Q51" s="65" t="n"/>
    </row>
    <row r="52">
      <c r="A52" s="61" t="inlineStr">
        <is>
          <t>İnci GS Yuasa / G.5.4.</t>
        </is>
      </c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5" t="n"/>
      <c r="P52" s="65" t="n"/>
      <c r="Q52" s="65" t="n"/>
    </row>
    <row r="53">
      <c r="A53" s="61" t="inlineStr">
        <is>
          <t>Yusen İnci Loj. / G.5.5.</t>
        </is>
      </c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5" t="n"/>
      <c r="P53" s="65" t="n"/>
      <c r="Q53" s="65" t="n"/>
    </row>
    <row r="54">
      <c r="A54" s="61" t="inlineStr">
        <is>
          <t>Jantaş / G.5.6.</t>
        </is>
      </c>
      <c r="B54" s="64" t="n">
        <v>2029.04</v>
      </c>
      <c r="C54" s="64" t="n">
        <v>0</v>
      </c>
      <c r="D54" s="64" t="n">
        <v>0</v>
      </c>
      <c r="E54" s="64" t="n">
        <v>709.33</v>
      </c>
      <c r="F54" s="64" t="n">
        <v>11942.5</v>
      </c>
      <c r="G54" s="64" t="n">
        <v>33788.27</v>
      </c>
      <c r="H54" s="64" t="n">
        <v>1103.07</v>
      </c>
      <c r="I54" s="64" t="n">
        <v>11036.6899999999</v>
      </c>
      <c r="J54" s="64" t="n">
        <v>-429.760000000097</v>
      </c>
      <c r="K54" s="64" t="n">
        <v>0</v>
      </c>
      <c r="L54" s="64" t="n">
        <v>0</v>
      </c>
      <c r="M54" s="64" t="n">
        <v>0</v>
      </c>
      <c r="N54" s="65" t="n">
        <v>60179.14</v>
      </c>
      <c r="P54" s="65" t="n">
        <v>49572.21</v>
      </c>
      <c r="Q54" s="65" t="n">
        <v>14680.87</v>
      </c>
    </row>
    <row r="55">
      <c r="A55" s="61" t="inlineStr">
        <is>
          <t>Çelik / G.5.7.</t>
        </is>
      </c>
      <c r="B55" s="64" t="n">
        <v>659.58</v>
      </c>
      <c r="C55" s="64" t="n">
        <v>-2053.59</v>
      </c>
      <c r="D55" s="64" t="n">
        <v>2788.02</v>
      </c>
      <c r="E55" s="64" t="n">
        <v>0</v>
      </c>
      <c r="F55" s="64" t="n">
        <v>0</v>
      </c>
      <c r="G55" s="64" t="n">
        <v>0</v>
      </c>
      <c r="H55" s="64" t="n">
        <v>0</v>
      </c>
      <c r="I55" s="64" t="n">
        <v>0</v>
      </c>
      <c r="J55" s="64" t="n">
        <v>0</v>
      </c>
      <c r="K55" s="64" t="n">
        <v>0</v>
      </c>
      <c r="L55" s="64" t="n">
        <v>0</v>
      </c>
      <c r="M55" s="64" t="n">
        <v>0</v>
      </c>
      <c r="N55" s="65" t="n">
        <v>1394.01</v>
      </c>
      <c r="P55" s="65" t="n">
        <v>1000</v>
      </c>
      <c r="Q55" s="65" t="n">
        <v>1000</v>
      </c>
    </row>
    <row r="56">
      <c r="A56" s="61" t="inlineStr">
        <is>
          <t>Alüminyum / G.5.8.</t>
        </is>
      </c>
      <c r="B56" s="64" t="n">
        <v>0</v>
      </c>
      <c r="C56" s="64" t="n">
        <v>0</v>
      </c>
      <c r="D56" s="64" t="n">
        <v>-7000</v>
      </c>
      <c r="E56" s="64" t="n">
        <v>14000</v>
      </c>
      <c r="F56" s="64" t="n">
        <v>0</v>
      </c>
      <c r="G56" s="64" t="n">
        <v>0</v>
      </c>
      <c r="H56" s="64" t="n">
        <v>0</v>
      </c>
      <c r="I56" s="64" t="n">
        <v>0</v>
      </c>
      <c r="J56" s="64" t="n">
        <v>0</v>
      </c>
      <c r="K56" s="64" t="n">
        <v>-2333.33333333333</v>
      </c>
      <c r="L56" s="64" t="n">
        <v>-2333.33333333333</v>
      </c>
      <c r="M56" s="64" t="n">
        <v>-2333.33333333333</v>
      </c>
      <c r="N56" s="65" t="n">
        <v>0</v>
      </c>
      <c r="P56" s="65" t="n">
        <v>0</v>
      </c>
      <c r="Q56" s="65" t="n">
        <v>0</v>
      </c>
    </row>
    <row r="57">
      <c r="A57" s="61" t="inlineStr">
        <is>
          <t>x / G.5.9.</t>
        </is>
      </c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65" t="n"/>
      <c r="P57" s="65" t="n"/>
      <c r="Q57" s="65" t="n"/>
    </row>
    <row r="58">
      <c r="A58" s="61" t="inlineStr">
        <is>
          <t>y / G.5.10.</t>
        </is>
      </c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5" t="n"/>
      <c r="P58" s="65" t="n"/>
      <c r="Q58" s="65" t="n"/>
    </row>
    <row r="59">
      <c r="A59" s="61" t="inlineStr">
        <is>
          <t>EBİT-EUR / G.6.</t>
        </is>
      </c>
      <c r="B59" s="64" t="n">
        <v>3057733.73703122</v>
      </c>
      <c r="C59" s="64" t="n">
        <v>3504650.40336558</v>
      </c>
      <c r="D59" s="64" t="n">
        <v>3641624.21849643</v>
      </c>
      <c r="E59" s="64" t="n">
        <v>3971387.79272558</v>
      </c>
      <c r="F59" s="64" t="n">
        <v>4409298.97516169</v>
      </c>
      <c r="G59" s="64" t="n">
        <v>2919715.96833808</v>
      </c>
      <c r="H59" s="64" t="n">
        <v>2240541.12743032</v>
      </c>
      <c r="I59" s="64" t="n">
        <v>2829286.28324824</v>
      </c>
      <c r="J59" s="64" t="n">
        <v>2923436.40986551</v>
      </c>
      <c r="K59" s="64" t="n">
        <v>3107067.82462066</v>
      </c>
      <c r="L59" s="64" t="n">
        <v>3077689.5396206</v>
      </c>
      <c r="M59" s="64" t="n">
        <v>3023431.31722971</v>
      </c>
      <c r="N59" s="65" t="n">
        <v>38705863.5971335</v>
      </c>
      <c r="P59" s="65" t="n">
        <v>41416402.1409654</v>
      </c>
      <c r="Q59" s="65" t="n">
        <v>40923798.8089403</v>
      </c>
    </row>
    <row r="60">
      <c r="A60" s="61" t="inlineStr">
        <is>
          <t>İnci Holding / G.6.1.</t>
        </is>
      </c>
      <c r="B60" s="64" t="n">
        <v>376785.114796892</v>
      </c>
      <c r="C60" s="64" t="n">
        <v>447919.357794482</v>
      </c>
      <c r="D60" s="64" t="n">
        <v>478682.488210032</v>
      </c>
      <c r="E60" s="64" t="n">
        <v>396083.138616387</v>
      </c>
      <c r="F60" s="64" t="n">
        <v>420666.261591644</v>
      </c>
      <c r="G60" s="64" t="n">
        <v>386845.082735595</v>
      </c>
      <c r="H60" s="64" t="n">
        <v>414217.317340531</v>
      </c>
      <c r="I60" s="64" t="n">
        <v>544131.308388928</v>
      </c>
      <c r="J60" s="64" t="n">
        <v>491472.033696366</v>
      </c>
      <c r="K60" s="64" t="n">
        <v>357759.809037864</v>
      </c>
      <c r="L60" s="64" t="n">
        <v>350063.079877972</v>
      </c>
      <c r="M60" s="64" t="n">
        <v>335848.130215707</v>
      </c>
      <c r="N60" s="65" t="n">
        <v>5000473.1223024</v>
      </c>
      <c r="P60" s="65" t="n">
        <v>5085615.02408644</v>
      </c>
      <c r="Q60" s="65" t="n">
        <v>4671011.52382594</v>
      </c>
    </row>
    <row r="61">
      <c r="A61" s="61" t="inlineStr">
        <is>
          <t>ISM / G.6.2.</t>
        </is>
      </c>
      <c r="B61" s="64" t="n">
        <v>145668.595830777</v>
      </c>
      <c r="C61" s="64" t="n">
        <v>225354.589195099</v>
      </c>
      <c r="D61" s="64" t="n">
        <v>187846.263086747</v>
      </c>
      <c r="E61" s="64" t="n">
        <v>171885.569147059</v>
      </c>
      <c r="F61" s="64" t="n">
        <v>206771.451571712</v>
      </c>
      <c r="G61" s="64" t="n">
        <v>243405.338576008</v>
      </c>
      <c r="H61" s="64" t="n">
        <v>73065.4580642582</v>
      </c>
      <c r="I61" s="64" t="n">
        <v>123766.292161188</v>
      </c>
      <c r="J61" s="64" t="n">
        <v>97778.950506872</v>
      </c>
      <c r="K61" s="64" t="n">
        <v>87456.1645498438</v>
      </c>
      <c r="L61" s="64" t="n">
        <v>85574.6608289163</v>
      </c>
      <c r="M61" s="64" t="n">
        <v>82099.7456894147</v>
      </c>
      <c r="N61" s="65" t="n">
        <v>1730673.0792079</v>
      </c>
      <c r="P61" s="65" t="n">
        <v>1665672.83152824</v>
      </c>
      <c r="Q61" s="65" t="n">
        <v>1399722.8293764</v>
      </c>
    </row>
    <row r="62">
      <c r="A62" s="61" t="inlineStr">
        <is>
          <t>İncitaş / G.6.3.</t>
        </is>
      </c>
      <c r="B62" s="64" t="n">
        <v>102457.167309364</v>
      </c>
      <c r="C62" s="64" t="n">
        <v>52181.5333965428</v>
      </c>
      <c r="D62" s="64" t="n">
        <v>71199.8941505902</v>
      </c>
      <c r="E62" s="64" t="n">
        <v>68457.996979528</v>
      </c>
      <c r="F62" s="64" t="n">
        <v>87995.5582837987</v>
      </c>
      <c r="G62" s="64" t="n">
        <v>77003.9527416856</v>
      </c>
      <c r="H62" s="64" t="n">
        <v>40312.4981531558</v>
      </c>
      <c r="I62" s="64" t="n">
        <v>86472.8278430455</v>
      </c>
      <c r="J62" s="64" t="n">
        <v>66394.98433986081</v>
      </c>
      <c r="K62" s="64" t="n">
        <v>54524.171026752</v>
      </c>
      <c r="L62" s="64" t="n">
        <v>53351.1555944453</v>
      </c>
      <c r="M62" s="64" t="n">
        <v>51184.7346412185</v>
      </c>
      <c r="N62" s="65" t="n">
        <v>811536.4744599879</v>
      </c>
      <c r="P62" s="65" t="n">
        <v>767539.862439664</v>
      </c>
      <c r="Q62" s="65" t="n">
        <v>775739.124386573</v>
      </c>
    </row>
    <row r="63">
      <c r="A63" s="61" t="inlineStr">
        <is>
          <t>İnci GS Yuasa / G.6.4.</t>
        </is>
      </c>
      <c r="B63" s="64" t="n">
        <v>1691124.03773738</v>
      </c>
      <c r="C63" s="64" t="n">
        <v>1389464.53825398</v>
      </c>
      <c r="D63" s="64" t="n">
        <v>328058.356388946</v>
      </c>
      <c r="E63" s="64" t="n">
        <v>1925502.50466344</v>
      </c>
      <c r="F63" s="64" t="n">
        <v>862689.057196186</v>
      </c>
      <c r="G63" s="64" t="n">
        <v>695755.350097338</v>
      </c>
      <c r="H63" s="64" t="n">
        <v>1059688.45136046</v>
      </c>
      <c r="I63" s="64" t="n">
        <v>1140803.71294206</v>
      </c>
      <c r="J63" s="64" t="n">
        <v>950318.056459983</v>
      </c>
      <c r="K63" s="64" t="n">
        <v>1806374.07957422</v>
      </c>
      <c r="L63" s="64" t="n">
        <v>1767512.33015266</v>
      </c>
      <c r="M63" s="64" t="n">
        <v>1695739.26911088</v>
      </c>
      <c r="N63" s="65" t="n">
        <v>15313029.7439376</v>
      </c>
      <c r="P63" s="65" t="n">
        <v>17516251.7791256</v>
      </c>
      <c r="Q63" s="65" t="n">
        <v>18433837.1164735</v>
      </c>
    </row>
    <row r="64">
      <c r="A64" s="61" t="inlineStr">
        <is>
          <t>Yusen İnci Loj. / G.6.5.</t>
        </is>
      </c>
      <c r="B64" s="64" t="n">
        <v>494409.949998091</v>
      </c>
      <c r="C64" s="64" t="n">
        <v>468738.329194663</v>
      </c>
      <c r="D64" s="64" t="n">
        <v>654107.066233753</v>
      </c>
      <c r="E64" s="64" t="n">
        <v>599021.555293039</v>
      </c>
      <c r="F64" s="64" t="n">
        <v>594638.95209015</v>
      </c>
      <c r="G64" s="64" t="n">
        <v>667839.215614651</v>
      </c>
      <c r="H64" s="64" t="n">
        <v>384565.153320508</v>
      </c>
      <c r="I64" s="64" t="n">
        <v>811028.194195609</v>
      </c>
      <c r="J64" s="64" t="n">
        <v>791796.636846057</v>
      </c>
      <c r="K64" s="64" t="n">
        <v>358183.406348362</v>
      </c>
      <c r="L64" s="64" t="n">
        <v>350477.564052538</v>
      </c>
      <c r="M64" s="64" t="n">
        <v>336245.783504593</v>
      </c>
      <c r="N64" s="65" t="n">
        <v>6511051.80669199</v>
      </c>
      <c r="P64" s="65" t="n">
        <v>5626807.217003</v>
      </c>
      <c r="Q64" s="65" t="n">
        <v>5141302.68349765</v>
      </c>
    </row>
    <row r="65">
      <c r="A65" s="61" t="inlineStr">
        <is>
          <t>Jantaş / G.6.6.</t>
        </is>
      </c>
      <c r="B65" s="64" t="n">
        <v>2096997.31</v>
      </c>
      <c r="C65" s="64" t="n">
        <v>2261066.37</v>
      </c>
      <c r="D65" s="64" t="n">
        <v>3778698.56</v>
      </c>
      <c r="E65" s="64" t="n">
        <v>2203919.57</v>
      </c>
      <c r="F65" s="64" t="n">
        <v>2516412.54999999</v>
      </c>
      <c r="G65" s="64" t="n">
        <v>1859008.63000001</v>
      </c>
      <c r="H65" s="64" t="n">
        <v>521328.01</v>
      </c>
      <c r="I65" s="64" t="n">
        <v>376907.03000001</v>
      </c>
      <c r="J65" s="64" t="n">
        <v>368442.32</v>
      </c>
      <c r="K65" s="64" t="n">
        <v>1208074.60323538</v>
      </c>
      <c r="L65" s="64" t="n">
        <v>1208074.60323538</v>
      </c>
      <c r="M65" s="64" t="n">
        <v>1208074.60323538</v>
      </c>
      <c r="N65" s="65" t="n">
        <v>19607004.1597061</v>
      </c>
      <c r="P65" s="65" t="n">
        <v>22726515.6615</v>
      </c>
      <c r="Q65" s="65" t="n">
        <v>23667812.128758</v>
      </c>
    </row>
    <row r="66">
      <c r="A66" s="61" t="inlineStr">
        <is>
          <t>Çelik / G.6.7.</t>
        </is>
      </c>
      <c r="B66" s="64" t="n">
        <v>629981.08</v>
      </c>
      <c r="C66" s="64" t="n">
        <v>926080.750000001</v>
      </c>
      <c r="D66" s="64" t="n">
        <v>1311373.39</v>
      </c>
      <c r="E66" s="64" t="n">
        <v>496624.95</v>
      </c>
      <c r="F66" s="64" t="n">
        <v>3365870.35</v>
      </c>
      <c r="G66" s="64" t="n">
        <v>713991.86</v>
      </c>
      <c r="H66" s="64" t="n">
        <v>814634.749999998</v>
      </c>
      <c r="I66" s="64" t="n">
        <v>1187973.67</v>
      </c>
      <c r="J66" s="64" t="n">
        <v>812609.16</v>
      </c>
      <c r="K66" s="64" t="n">
        <v>764835.1013683</v>
      </c>
      <c r="L66" s="64" t="n">
        <v>764835.1013683</v>
      </c>
      <c r="M66" s="64" t="n">
        <v>764835.1013683</v>
      </c>
      <c r="N66" s="65" t="n">
        <v>12553645.2641049</v>
      </c>
      <c r="P66" s="65" t="n">
        <v>12859000</v>
      </c>
      <c r="Q66" s="65" t="n">
        <v>11935000</v>
      </c>
    </row>
    <row r="67">
      <c r="A67" s="61" t="inlineStr">
        <is>
          <t>Alüminyum / G.6.8.</t>
        </is>
      </c>
      <c r="B67" s="64" t="n">
        <v>1169544.77</v>
      </c>
      <c r="C67" s="64" t="n">
        <v>1902637.32</v>
      </c>
      <c r="D67" s="64" t="n">
        <v>1187501.56</v>
      </c>
      <c r="E67" s="64" t="n">
        <v>3112334.14</v>
      </c>
      <c r="F67" s="64" t="n">
        <v>1895053.35</v>
      </c>
      <c r="G67" s="64" t="n">
        <v>1594558.93</v>
      </c>
      <c r="H67" s="64" t="n">
        <v>1502148.27</v>
      </c>
      <c r="I67" s="64" t="n">
        <v>1670577.03</v>
      </c>
      <c r="J67" s="64" t="n">
        <v>2746309.93</v>
      </c>
      <c r="K67" s="64" t="n">
        <v>2380852.00948923</v>
      </c>
      <c r="L67" s="64" t="n">
        <v>2380852.00948923</v>
      </c>
      <c r="M67" s="64" t="n">
        <v>2380852.00948923</v>
      </c>
      <c r="N67" s="65" t="n">
        <v>23923221.3284677</v>
      </c>
      <c r="P67" s="65" t="n">
        <v>26015361.3996491</v>
      </c>
      <c r="Q67" s="65" t="n">
        <v>26015361.3996491</v>
      </c>
    </row>
    <row r="68">
      <c r="A68" s="61" t="inlineStr">
        <is>
          <t>x / G.6.9.</t>
        </is>
      </c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5" t="n"/>
      <c r="P68" s="65" t="n"/>
      <c r="Q68" s="65" t="n"/>
    </row>
    <row r="69">
      <c r="A69" s="61" t="inlineStr">
        <is>
          <t>y / G.6.10.</t>
        </is>
      </c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5" t="n"/>
      <c r="P69" s="65" t="n"/>
      <c r="Q69" s="65" t="n"/>
    </row>
    <row r="70">
      <c r="A70" s="61" t="inlineStr">
        <is>
          <t>Amortisman-EUR / G.7.</t>
        </is>
      </c>
      <c r="B70" s="64" t="n">
        <v>726896.682401349</v>
      </c>
      <c r="C70" s="64" t="n">
        <v>623356.928773348</v>
      </c>
      <c r="D70" s="64" t="n">
        <v>652177.9367663499</v>
      </c>
      <c r="E70" s="64" t="n">
        <v>654886.920397196</v>
      </c>
      <c r="F70" s="64" t="n">
        <v>659220.875410262</v>
      </c>
      <c r="G70" s="64" t="n">
        <v>648542.8021935161</v>
      </c>
      <c r="H70" s="64" t="n">
        <v>663552.516652846</v>
      </c>
      <c r="I70" s="64" t="n">
        <v>688021.249504135</v>
      </c>
      <c r="J70" s="64" t="n">
        <v>730599.152088352</v>
      </c>
      <c r="K70" s="64" t="n">
        <v>215472.643448599</v>
      </c>
      <c r="L70" s="64" t="n">
        <v>224394.591162898</v>
      </c>
      <c r="M70" s="64" t="n">
        <v>240872.374778958</v>
      </c>
      <c r="N70" s="65" t="n">
        <v>6727994.67357783</v>
      </c>
      <c r="P70" s="65" t="n">
        <v>8767868.39655127</v>
      </c>
      <c r="Q70" s="65" t="n">
        <v>8484015.340878841</v>
      </c>
    </row>
    <row r="71">
      <c r="A71" s="61" t="inlineStr">
        <is>
          <t>İnci Holding / G.7.1.</t>
        </is>
      </c>
      <c r="B71" s="64" t="n">
        <v>8938.863779025311</v>
      </c>
      <c r="C71" s="64" t="n">
        <v>7481.253372613</v>
      </c>
      <c r="D71" s="64" t="n">
        <v>7950.16597302108</v>
      </c>
      <c r="E71" s="64" t="n">
        <v>9439.55013020246</v>
      </c>
      <c r="F71" s="64" t="n">
        <v>8078.40274529936</v>
      </c>
      <c r="G71" s="64" t="n">
        <v>7360.05265009297</v>
      </c>
      <c r="H71" s="64" t="n">
        <v>7509.06089112794</v>
      </c>
      <c r="I71" s="64" t="n">
        <v>7310.17305486838</v>
      </c>
      <c r="J71" s="64" t="n">
        <v>7702.4744435979</v>
      </c>
      <c r="K71" s="64" t="n">
        <v>11014.8876848776</v>
      </c>
      <c r="L71" s="64" t="n">
        <v>10777.9169433482</v>
      </c>
      <c r="M71" s="64" t="n">
        <v>10340.2599734467</v>
      </c>
      <c r="N71" s="65" t="n">
        <v>103903.061641521</v>
      </c>
      <c r="P71" s="65" t="n">
        <v>101275.878073583</v>
      </c>
      <c r="Q71" s="65" t="n">
        <v>104924.670799368</v>
      </c>
    </row>
    <row r="72">
      <c r="A72" s="61" t="inlineStr">
        <is>
          <t>ISM / G.7.2.</t>
        </is>
      </c>
      <c r="B72" s="64" t="n">
        <v>5393.31164415221</v>
      </c>
      <c r="C72" s="64" t="n">
        <v>5608.66749417339</v>
      </c>
      <c r="D72" s="64" t="n">
        <v>5996.07302250783</v>
      </c>
      <c r="E72" s="64" t="n">
        <v>5590.42726013563</v>
      </c>
      <c r="F72" s="64" t="n">
        <v>5654.2140939192</v>
      </c>
      <c r="G72" s="64" t="n">
        <v>18312.8236188524</v>
      </c>
      <c r="H72" s="64" t="n">
        <v>9935.218815242701</v>
      </c>
      <c r="I72" s="64" t="n">
        <v>10955.882773796</v>
      </c>
      <c r="J72" s="64" t="n">
        <v>8196.73997296694</v>
      </c>
      <c r="K72" s="64" t="n">
        <v>9793.163987067301</v>
      </c>
      <c r="L72" s="64" t="n">
        <v>9582.47701518644</v>
      </c>
      <c r="M72" s="64" t="n">
        <v>9193.36306332903</v>
      </c>
      <c r="N72" s="65" t="n">
        <v>104212.362761329</v>
      </c>
      <c r="P72" s="65" t="n">
        <v>101760.478330732</v>
      </c>
      <c r="Q72" s="65" t="n">
        <v>88094.8045295333</v>
      </c>
    </row>
    <row r="73">
      <c r="A73" s="61" t="inlineStr">
        <is>
          <t>İncitaş / G.7.3.</t>
        </is>
      </c>
      <c r="B73" s="64" t="n">
        <v>536.190496694067</v>
      </c>
      <c r="C73" s="64" t="n">
        <v>545.74322580824</v>
      </c>
      <c r="D73" s="64" t="n">
        <v>558.012198525174</v>
      </c>
      <c r="E73" s="64" t="n">
        <v>535.006530496089</v>
      </c>
      <c r="F73" s="64" t="n">
        <v>589.506088914503</v>
      </c>
      <c r="G73" s="64" t="n">
        <v>773.191302133469</v>
      </c>
      <c r="H73" s="64" t="n">
        <v>639.868626645374</v>
      </c>
      <c r="I73" s="64" t="n">
        <v>4159.30691491655</v>
      </c>
      <c r="J73" s="64" t="n">
        <v>999.075503204967</v>
      </c>
      <c r="K73" s="64" t="n">
        <v>751.593966211668</v>
      </c>
      <c r="L73" s="64" t="n">
        <v>735.424415999482</v>
      </c>
      <c r="M73" s="64" t="n">
        <v>705.561166617462</v>
      </c>
      <c r="N73" s="65" t="n">
        <v>11528.480436167</v>
      </c>
      <c r="P73" s="65" t="n">
        <v>11081.566294866</v>
      </c>
      <c r="Q73" s="65" t="n">
        <v>8147.55693270659</v>
      </c>
    </row>
    <row r="74">
      <c r="A74" s="61" t="inlineStr">
        <is>
          <t>İnci GS Yuasa / G.7.4.</t>
        </is>
      </c>
      <c r="B74" s="64" t="n">
        <v>149794.047328563</v>
      </c>
      <c r="C74" s="64" t="n">
        <v>133420.040407416</v>
      </c>
      <c r="D74" s="64" t="n">
        <v>63759.9566102866</v>
      </c>
      <c r="E74" s="64" t="n">
        <v>133347.955921738</v>
      </c>
      <c r="F74" s="64" t="n">
        <v>94847.0179864486</v>
      </c>
      <c r="G74" s="64" t="n">
        <v>70939.41759658371</v>
      </c>
      <c r="H74" s="64" t="n">
        <v>105446.301752301</v>
      </c>
      <c r="I74" s="64" t="n">
        <v>111135.583461662</v>
      </c>
      <c r="J74" s="64" t="n">
        <v>233896.437764895</v>
      </c>
      <c r="K74" s="64" t="n">
        <v>-1125338.43382399</v>
      </c>
      <c r="L74" s="64" t="n">
        <v>-1101128.26566214</v>
      </c>
      <c r="M74" s="64" t="n">
        <v>-1056414.94464142</v>
      </c>
      <c r="N74" s="65" t="n">
        <v>-2186294.88529766</v>
      </c>
      <c r="P74" s="65" t="n">
        <v>2382928.42580052</v>
      </c>
      <c r="Q74" s="65" t="n">
        <v>2116771.90592852</v>
      </c>
    </row>
    <row r="75">
      <c r="A75" s="61" t="inlineStr">
        <is>
          <t>Yusen İnci Loj. / G.7.5.</t>
        </is>
      </c>
      <c r="B75" s="64" t="n">
        <v>36354.1438751321</v>
      </c>
      <c r="C75" s="64" t="n">
        <v>38490.4212944585</v>
      </c>
      <c r="D75" s="64" t="n">
        <v>31500.7473204562</v>
      </c>
      <c r="E75" s="64" t="n">
        <v>29852.535269174</v>
      </c>
      <c r="F75" s="64" t="n">
        <v>29479.0632188631</v>
      </c>
      <c r="G75" s="64" t="n">
        <v>30877.0089595323</v>
      </c>
      <c r="H75" s="64" t="n">
        <v>31745.9990472707</v>
      </c>
      <c r="I75" s="64" t="n">
        <v>29952.6734397357</v>
      </c>
      <c r="J75" s="64" t="n">
        <v>29708.9076565716</v>
      </c>
      <c r="K75" s="64" t="n">
        <v>34663.09823082</v>
      </c>
      <c r="L75" s="64" t="n">
        <v>33917.3675137704</v>
      </c>
      <c r="M75" s="64" t="n">
        <v>32540.090961062</v>
      </c>
      <c r="N75" s="65" t="n">
        <v>389082.056786847</v>
      </c>
      <c r="P75" s="65" t="n">
        <v>380344.435495696</v>
      </c>
      <c r="Q75" s="65" t="n">
        <v>392230.385039865</v>
      </c>
    </row>
    <row r="76">
      <c r="A76" s="61" t="inlineStr">
        <is>
          <t>Jantaş / G.7.6.</t>
        </is>
      </c>
      <c r="B76" s="64" t="n">
        <v>431528.85</v>
      </c>
      <c r="C76" s="64" t="n">
        <v>366896.779999998</v>
      </c>
      <c r="D76" s="64" t="n">
        <v>403931.07</v>
      </c>
      <c r="E76" s="64" t="n">
        <v>393517.960000005</v>
      </c>
      <c r="F76" s="64" t="n">
        <v>401097.470000006</v>
      </c>
      <c r="G76" s="64" t="n">
        <v>394430.199999988</v>
      </c>
      <c r="H76" s="64" t="n">
        <v>389490.689999999</v>
      </c>
      <c r="I76" s="64" t="n">
        <v>429119.549999992</v>
      </c>
      <c r="J76" s="64" t="n">
        <v>485202.469999999</v>
      </c>
      <c r="K76" s="64" t="n">
        <v>513842.453775186</v>
      </c>
      <c r="L76" s="64" t="n">
        <v>513842.453775186</v>
      </c>
      <c r="M76" s="64" t="n">
        <v>513842.453775186</v>
      </c>
      <c r="N76" s="65" t="n">
        <v>5236742.40132556</v>
      </c>
      <c r="P76" s="65" t="n">
        <v>5668340.5802</v>
      </c>
      <c r="Q76" s="65" t="n">
        <v>5215355.73744056</v>
      </c>
    </row>
    <row r="77">
      <c r="A77" s="61" t="inlineStr">
        <is>
          <t>Çelik / G.7.7.</t>
        </is>
      </c>
      <c r="B77" s="64" t="n">
        <v>260313.45</v>
      </c>
      <c r="C77" s="64" t="n">
        <v>225630.549999999</v>
      </c>
      <c r="D77" s="64" t="n">
        <v>240850.969999999</v>
      </c>
      <c r="E77" s="64" t="n">
        <v>239698.48</v>
      </c>
      <c r="F77" s="64" t="n">
        <v>246808.260000001</v>
      </c>
      <c r="G77" s="64" t="n">
        <v>239867.46</v>
      </c>
      <c r="H77" s="64" t="n">
        <v>254981.680000002</v>
      </c>
      <c r="I77" s="64" t="n">
        <v>254559.919999997</v>
      </c>
      <c r="J77" s="64" t="n">
        <v>245191.6</v>
      </c>
      <c r="K77" s="64" t="n">
        <v>277823.609166668</v>
      </c>
      <c r="L77" s="64" t="n">
        <v>277823.609166668</v>
      </c>
      <c r="M77" s="64" t="n">
        <v>277823.609166668</v>
      </c>
      <c r="N77" s="65" t="n">
        <v>3041373.1975</v>
      </c>
      <c r="P77" s="65" t="n">
        <v>3114000</v>
      </c>
      <c r="Q77" s="65" t="n">
        <v>3144000</v>
      </c>
    </row>
    <row r="78">
      <c r="A78" s="61" t="inlineStr">
        <is>
          <t>Alüminyum / G.7.8.</t>
        </is>
      </c>
      <c r="B78" s="64" t="n">
        <v>902080.3</v>
      </c>
      <c r="C78" s="64" t="n">
        <v>759865.37</v>
      </c>
      <c r="D78" s="64" t="n">
        <v>854141.47</v>
      </c>
      <c r="E78" s="64" t="n">
        <v>801887.91</v>
      </c>
      <c r="F78" s="64" t="n">
        <v>840015.0699999999</v>
      </c>
      <c r="G78" s="64" t="n">
        <v>819127.75</v>
      </c>
      <c r="H78" s="64" t="n">
        <v>832006.250000001</v>
      </c>
      <c r="I78" s="64" t="n">
        <v>839221.99</v>
      </c>
      <c r="J78" s="64" t="n">
        <v>790252.739999998</v>
      </c>
      <c r="K78" s="64" t="n">
        <v>783791.767177433</v>
      </c>
      <c r="L78" s="64" t="n">
        <v>783791.767177433</v>
      </c>
      <c r="M78" s="64" t="n">
        <v>783791.767177433</v>
      </c>
      <c r="N78" s="65" t="n">
        <v>9789974.151532291</v>
      </c>
      <c r="P78" s="65" t="n">
        <v>9838762.743134109</v>
      </c>
      <c r="Q78" s="65" t="n">
        <v>9838762.743134109</v>
      </c>
    </row>
    <row r="79">
      <c r="A79" s="61" t="inlineStr">
        <is>
          <t>x / G.7.9.</t>
        </is>
      </c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65" t="n"/>
      <c r="P79" s="65" t="n"/>
      <c r="Q79" s="65" t="n"/>
    </row>
    <row r="80">
      <c r="A80" s="61" t="inlineStr">
        <is>
          <t>y / G.7.10.</t>
        </is>
      </c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65" t="n"/>
      <c r="P80" s="65" t="n"/>
      <c r="Q80" s="65" t="n"/>
    </row>
    <row r="81">
      <c r="A81" s="61" t="inlineStr">
        <is>
          <t>EBİTDA-EUR / G.8.</t>
        </is>
      </c>
      <c r="B81" s="64" t="n">
        <v>3784630.41943257</v>
      </c>
      <c r="C81" s="64" t="n">
        <v>4128007.33213892</v>
      </c>
      <c r="D81" s="64" t="n">
        <v>4293802.15526278</v>
      </c>
      <c r="E81" s="64" t="n">
        <v>4626274.71312278</v>
      </c>
      <c r="F81" s="64" t="n">
        <v>5068519.85057195</v>
      </c>
      <c r="G81" s="64" t="n">
        <v>3568258.7705316</v>
      </c>
      <c r="H81" s="64" t="n">
        <v>2904093.64408317</v>
      </c>
      <c r="I81" s="64" t="n">
        <v>3517307.53275237</v>
      </c>
      <c r="J81" s="64" t="n">
        <v>3654035.56195386</v>
      </c>
      <c r="K81" s="64" t="n">
        <v>3322540.46806926</v>
      </c>
      <c r="L81" s="64" t="n">
        <v>3302084.1307835</v>
      </c>
      <c r="M81" s="64" t="n">
        <v>3264303.69200867</v>
      </c>
      <c r="N81" s="65" t="n">
        <v>45433858.2707113</v>
      </c>
      <c r="P81" s="65" t="n">
        <v>50184270.5375166</v>
      </c>
      <c r="Q81" s="65" t="n">
        <v>49407814.1498192</v>
      </c>
    </row>
    <row r="82">
      <c r="A82" s="61" t="inlineStr">
        <is>
          <t>İnci Holding / G.8.1.</t>
        </is>
      </c>
      <c r="B82" s="64" t="n">
        <v>385723.978575918</v>
      </c>
      <c r="C82" s="64" t="n">
        <v>455400.611167095</v>
      </c>
      <c r="D82" s="64" t="n">
        <v>486632.654183053</v>
      </c>
      <c r="E82" s="64" t="n">
        <v>405522.688746589</v>
      </c>
      <c r="F82" s="64" t="n">
        <v>428744.664336943</v>
      </c>
      <c r="G82" s="64" t="n">
        <v>394205.135385688</v>
      </c>
      <c r="H82" s="64" t="n">
        <v>421726.378231659</v>
      </c>
      <c r="I82" s="64" t="n">
        <v>551441.481443796</v>
      </c>
      <c r="J82" s="64" t="n">
        <v>499174.508139964</v>
      </c>
      <c r="K82" s="64" t="n">
        <v>368774.696722741</v>
      </c>
      <c r="L82" s="64" t="n">
        <v>360840.99682132</v>
      </c>
      <c r="M82" s="64" t="n">
        <v>346188.390189153</v>
      </c>
      <c r="N82" s="65" t="n">
        <v>5104376.18394392</v>
      </c>
      <c r="P82" s="65" t="n">
        <v>5186890.90216002</v>
      </c>
      <c r="Q82" s="65" t="n">
        <v>4775936.19462531</v>
      </c>
    </row>
    <row r="83">
      <c r="A83" s="61" t="inlineStr">
        <is>
          <t>ISM / G.8.2.</t>
        </is>
      </c>
      <c r="B83" s="64" t="n">
        <v>151061.90747493</v>
      </c>
      <c r="C83" s="64" t="n">
        <v>230963.256689272</v>
      </c>
      <c r="D83" s="64" t="n">
        <v>193842.336109254</v>
      </c>
      <c r="E83" s="64" t="n">
        <v>177475.996407195</v>
      </c>
      <c r="F83" s="64" t="n">
        <v>212425.665665631</v>
      </c>
      <c r="G83" s="64" t="n">
        <v>261718.16219486</v>
      </c>
      <c r="H83" s="64" t="n">
        <v>83000.6768795009</v>
      </c>
      <c r="I83" s="64" t="n">
        <v>134722.174934984</v>
      </c>
      <c r="J83" s="64" t="n">
        <v>105975.690479839</v>
      </c>
      <c r="K83" s="64" t="n">
        <v>97249.3285369111</v>
      </c>
      <c r="L83" s="64" t="n">
        <v>95157.13784410281</v>
      </c>
      <c r="M83" s="64" t="n">
        <v>91293.1087527437</v>
      </c>
      <c r="N83" s="65" t="n">
        <v>1834885.44196922</v>
      </c>
      <c r="P83" s="65" t="n">
        <v>1767433.30985897</v>
      </c>
      <c r="Q83" s="65" t="n">
        <v>1487817.63390593</v>
      </c>
    </row>
    <row r="84">
      <c r="A84" s="61" t="inlineStr">
        <is>
          <t>İncitaş / G.8.3.</t>
        </is>
      </c>
      <c r="B84" s="64" t="n">
        <v>102993.357806058</v>
      </c>
      <c r="C84" s="64" t="n">
        <v>52727.276622351</v>
      </c>
      <c r="D84" s="64" t="n">
        <v>71757.90634911539</v>
      </c>
      <c r="E84" s="64" t="n">
        <v>68993.00351002401</v>
      </c>
      <c r="F84" s="64" t="n">
        <v>88585.0643727132</v>
      </c>
      <c r="G84" s="64" t="n">
        <v>77777.144043819</v>
      </c>
      <c r="H84" s="64" t="n">
        <v>40952.3667798011</v>
      </c>
      <c r="I84" s="64" t="n">
        <v>90632.13475796211</v>
      </c>
      <c r="J84" s="64" t="n">
        <v>67394.0598430657</v>
      </c>
      <c r="K84" s="64" t="n">
        <v>55275.7649929637</v>
      </c>
      <c r="L84" s="64" t="n">
        <v>54086.5800104448</v>
      </c>
      <c r="M84" s="64" t="n">
        <v>51890.295807836</v>
      </c>
      <c r="N84" s="65" t="n">
        <v>823064.954896155</v>
      </c>
      <c r="P84" s="65" t="n">
        <v>778621.4287345289</v>
      </c>
      <c r="Q84" s="65" t="n">
        <v>783886.6813192799</v>
      </c>
    </row>
    <row r="85">
      <c r="A85" s="61" t="inlineStr">
        <is>
          <t>İnci GS Yuasa / G.8.4.</t>
        </is>
      </c>
      <c r="B85" s="64" t="n">
        <v>1840918.08506594</v>
      </c>
      <c r="C85" s="64" t="n">
        <v>1522884.5786614</v>
      </c>
      <c r="D85" s="64" t="n">
        <v>391818.312999233</v>
      </c>
      <c r="E85" s="64" t="n">
        <v>2058850.46058518</v>
      </c>
      <c r="F85" s="64" t="n">
        <v>957536.075182635</v>
      </c>
      <c r="G85" s="64" t="n">
        <v>766694.767693922</v>
      </c>
      <c r="H85" s="64" t="n">
        <v>1165134.75311276</v>
      </c>
      <c r="I85" s="64" t="n">
        <v>1251939.29640373</v>
      </c>
      <c r="J85" s="64" t="n">
        <v>1184214.49422488</v>
      </c>
      <c r="K85" s="64" t="n">
        <v>681035.6457502251</v>
      </c>
      <c r="L85" s="64" t="n">
        <v>666384.064490521</v>
      </c>
      <c r="M85" s="64" t="n">
        <v>639324.3244694649</v>
      </c>
      <c r="N85" s="65" t="n">
        <v>13126734.85864</v>
      </c>
      <c r="P85" s="65" t="n">
        <v>19899180.2049261</v>
      </c>
      <c r="Q85" s="65" t="n">
        <v>20550609.022402</v>
      </c>
    </row>
    <row r="86">
      <c r="A86" s="61" t="inlineStr">
        <is>
          <t>Yusen İnci Loj. / G.8.5.</t>
        </is>
      </c>
      <c r="B86" s="64" t="n">
        <v>530764.0938732231</v>
      </c>
      <c r="C86" s="64" t="n">
        <v>507228.750489122</v>
      </c>
      <c r="D86" s="64" t="n">
        <v>685607.81355421</v>
      </c>
      <c r="E86" s="64" t="n">
        <v>628874.090562213</v>
      </c>
      <c r="F86" s="64" t="n">
        <v>624118.015309013</v>
      </c>
      <c r="G86" s="64" t="n">
        <v>698716.224574183</v>
      </c>
      <c r="H86" s="64" t="n">
        <v>416311.152367779</v>
      </c>
      <c r="I86" s="64" t="n">
        <v>840980.867635345</v>
      </c>
      <c r="J86" s="64" t="n">
        <v>821505.544502629</v>
      </c>
      <c r="K86" s="64" t="n">
        <v>392846.504579182</v>
      </c>
      <c r="L86" s="64" t="n">
        <v>384394.931566309</v>
      </c>
      <c r="M86" s="64" t="n">
        <v>368785.874465655</v>
      </c>
      <c r="N86" s="65" t="n">
        <v>6900133.86347884</v>
      </c>
      <c r="P86" s="65" t="n">
        <v>6007151.65249869</v>
      </c>
      <c r="Q86" s="65" t="n">
        <v>5533533.06853751</v>
      </c>
    </row>
    <row r="87">
      <c r="A87" s="61" t="inlineStr">
        <is>
          <t>Jantaş / G.8.6.</t>
        </is>
      </c>
      <c r="B87" s="64" t="n">
        <v>2528526.16</v>
      </c>
      <c r="C87" s="64" t="n">
        <v>2627963.15</v>
      </c>
      <c r="D87" s="64" t="n">
        <v>4182629.63</v>
      </c>
      <c r="E87" s="64" t="n">
        <v>2597437.53</v>
      </c>
      <c r="F87" s="64" t="n">
        <v>2917510.02</v>
      </c>
      <c r="G87" s="64" t="n">
        <v>2253438.83</v>
      </c>
      <c r="H87" s="64" t="n">
        <v>910818.699999999</v>
      </c>
      <c r="I87" s="64" t="n">
        <v>806026.5800000021</v>
      </c>
      <c r="J87" s="64" t="n">
        <v>853644.789999999</v>
      </c>
      <c r="K87" s="64" t="n">
        <v>1721917.05701057</v>
      </c>
      <c r="L87" s="64" t="n">
        <v>1721917.05701057</v>
      </c>
      <c r="M87" s="64" t="n">
        <v>1721917.05701057</v>
      </c>
      <c r="N87" s="65" t="n">
        <v>24843746.5610317</v>
      </c>
      <c r="P87" s="65" t="n">
        <v>28394856.2417</v>
      </c>
      <c r="Q87" s="65" t="n">
        <v>28883167.8661986</v>
      </c>
    </row>
    <row r="88">
      <c r="A88" s="61" t="inlineStr">
        <is>
          <t>Çelik / G.8.7.</t>
        </is>
      </c>
      <c r="B88" s="64" t="n">
        <v>890294.53</v>
      </c>
      <c r="C88" s="64" t="n">
        <v>1151711.3</v>
      </c>
      <c r="D88" s="64" t="n">
        <v>1552224.36</v>
      </c>
      <c r="E88" s="64" t="n">
        <v>736323.4300000001</v>
      </c>
      <c r="F88" s="64" t="n">
        <v>3612678.61</v>
      </c>
      <c r="G88" s="64" t="n">
        <v>953859.3199999999</v>
      </c>
      <c r="H88" s="64" t="n">
        <v>1069616.43</v>
      </c>
      <c r="I88" s="64" t="n">
        <v>1442533.59</v>
      </c>
      <c r="J88" s="64" t="n">
        <v>1057800.76</v>
      </c>
      <c r="K88" s="64" t="n">
        <v>1042658.71053497</v>
      </c>
      <c r="L88" s="64" t="n">
        <v>1042658.71053497</v>
      </c>
      <c r="M88" s="64" t="n">
        <v>1042658.71053497</v>
      </c>
      <c r="N88" s="65" t="n">
        <v>15595018.4616049</v>
      </c>
      <c r="P88" s="65" t="n">
        <v>15973000</v>
      </c>
      <c r="Q88" s="65" t="n">
        <v>15079000</v>
      </c>
    </row>
    <row r="89">
      <c r="A89" s="61" t="inlineStr">
        <is>
          <t>Alüminyum / G.8.8.</t>
        </is>
      </c>
      <c r="B89" s="64" t="n">
        <v>2071625.07</v>
      </c>
      <c r="C89" s="64" t="n">
        <v>2662502.69</v>
      </c>
      <c r="D89" s="64" t="n">
        <v>2041643.03</v>
      </c>
      <c r="E89" s="64" t="n">
        <v>3914222.05</v>
      </c>
      <c r="F89" s="64" t="n">
        <v>2735068.42</v>
      </c>
      <c r="G89" s="64" t="n">
        <v>2413686.68</v>
      </c>
      <c r="H89" s="64" t="n">
        <v>2334154.52</v>
      </c>
      <c r="I89" s="64" t="n">
        <v>2509799.02</v>
      </c>
      <c r="J89" s="64" t="n">
        <v>3536562.67</v>
      </c>
      <c r="K89" s="64" t="n">
        <v>3164643.77666667</v>
      </c>
      <c r="L89" s="64" t="n">
        <v>3164643.77666667</v>
      </c>
      <c r="M89" s="64" t="n">
        <v>3164643.77666667</v>
      </c>
      <c r="N89" s="65" t="n">
        <v>33713195.48</v>
      </c>
      <c r="P89" s="65" t="n">
        <v>35854124.1427832</v>
      </c>
      <c r="Q89" s="65" t="n">
        <v>35854124.1427832</v>
      </c>
    </row>
    <row r="90">
      <c r="A90" s="61" t="inlineStr">
        <is>
          <t>x / G.8.9.</t>
        </is>
      </c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65" t="n"/>
      <c r="P90" s="65" t="n"/>
      <c r="Q90" s="65" t="n"/>
    </row>
    <row r="91">
      <c r="A91" s="61" t="inlineStr">
        <is>
          <t>y / G.8.10.</t>
        </is>
      </c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5" t="n"/>
      <c r="P91" s="65" t="n"/>
      <c r="Q91" s="65" t="n"/>
    </row>
    <row r="92">
      <c r="A92" s="61" t="inlineStr">
        <is>
          <t>Finansman Gelir/Gideri-EUR / G.9.</t>
        </is>
      </c>
      <c r="B92" s="64" t="n">
        <v>-83238.0931080002</v>
      </c>
      <c r="C92" s="64" t="n">
        <v>-42653.4664176259</v>
      </c>
      <c r="D92" s="64" t="n">
        <v>-124722.759647039</v>
      </c>
      <c r="E92" s="64" t="n">
        <v>-159379.394662926</v>
      </c>
      <c r="F92" s="64" t="n">
        <v>-170105.241822336</v>
      </c>
      <c r="G92" s="64" t="n">
        <v>-243249.49786683</v>
      </c>
      <c r="H92" s="64" t="n">
        <v>-307510.34333376</v>
      </c>
      <c r="I92" s="64" t="n">
        <v>-320825.800933564</v>
      </c>
      <c r="J92" s="64" t="n">
        <v>-398000.043580973</v>
      </c>
      <c r="K92" s="64" t="n">
        <v>-417988.761739925</v>
      </c>
      <c r="L92" s="64" t="n">
        <v>-407168.849625165</v>
      </c>
      <c r="M92" s="64" t="n">
        <v>-387185.749938749</v>
      </c>
      <c r="N92" s="65" t="n">
        <v>-3062028.00267689</v>
      </c>
      <c r="P92" s="65" t="n">
        <v>-2572931.75076206</v>
      </c>
      <c r="Q92" s="65" t="n">
        <v>-3316854.3896308</v>
      </c>
    </row>
    <row r="93">
      <c r="A93" s="61" t="inlineStr">
        <is>
          <t>İnci Holding / G.9.1.</t>
        </is>
      </c>
      <c r="B93" s="64" t="n">
        <v>5757.03171863332</v>
      </c>
      <c r="C93" s="64" t="n">
        <v>20555.5886476174</v>
      </c>
      <c r="D93" s="64" t="n">
        <v>9620.30775377287</v>
      </c>
      <c r="E93" s="64" t="n">
        <v>11655.3828692687</v>
      </c>
      <c r="F93" s="64" t="n">
        <v>7964.4767771656</v>
      </c>
      <c r="G93" s="64" t="n">
        <v>13867.5185177909</v>
      </c>
      <c r="H93" s="64" t="n">
        <v>9711.619663298499</v>
      </c>
      <c r="I93" s="64" t="n">
        <v>78817.3406941982</v>
      </c>
      <c r="J93" s="64" t="n">
        <v>15875.927459337</v>
      </c>
      <c r="K93" s="64" t="n">
        <v>-1919.41315874862</v>
      </c>
      <c r="L93" s="64" t="n">
        <v>-1878.11952303099</v>
      </c>
      <c r="M93" s="64" t="n">
        <v>-1801.85505524161</v>
      </c>
      <c r="N93" s="65" t="n">
        <v>168225.806364061</v>
      </c>
      <c r="P93" s="65" t="n">
        <v>154929.256429047</v>
      </c>
      <c r="Q93" s="65" t="n">
        <v>56753.6481633103</v>
      </c>
    </row>
    <row r="94">
      <c r="A94" s="61" t="inlineStr">
        <is>
          <t>ISM / G.9.2.</t>
        </is>
      </c>
      <c r="B94" s="64" t="n">
        <v>-12365.7896225415</v>
      </c>
      <c r="C94" s="64" t="n">
        <v>-10245.4621535701</v>
      </c>
      <c r="D94" s="64" t="n">
        <v>-8849.57381452859</v>
      </c>
      <c r="E94" s="64" t="n">
        <v>-604.646420283128</v>
      </c>
      <c r="F94" s="64" t="n">
        <v>-313.18677491666</v>
      </c>
      <c r="G94" s="64" t="n">
        <v>-23681.0352912046</v>
      </c>
      <c r="H94" s="64" t="n">
        <v>-504.068987380106</v>
      </c>
      <c r="I94" s="64" t="n">
        <v>-11703.0697003294</v>
      </c>
      <c r="J94" s="64" t="n">
        <v>-12443.1560321671</v>
      </c>
      <c r="K94" s="64" t="n">
        <v>-21213.1305886291</v>
      </c>
      <c r="L94" s="64" t="n">
        <v>-20756.7581380366</v>
      </c>
      <c r="M94" s="64" t="n">
        <v>-19913.89212604</v>
      </c>
      <c r="N94" s="65" t="n">
        <v>-142593.769649627</v>
      </c>
      <c r="P94" s="65" t="n">
        <v>-137739.99399588</v>
      </c>
      <c r="Q94" s="65" t="n">
        <v>-333245.613412176</v>
      </c>
    </row>
    <row r="95">
      <c r="A95" s="61" t="inlineStr">
        <is>
          <t>İncitaş / G.9.3.</t>
        </is>
      </c>
      <c r="B95" s="64" t="n">
        <v>-6546.35545351199</v>
      </c>
      <c r="C95" s="64" t="n">
        <v>-5042.80329974839</v>
      </c>
      <c r="D95" s="64" t="n">
        <v>-4388.49971792415</v>
      </c>
      <c r="E95" s="64" t="n">
        <v>-6555.13019517103</v>
      </c>
      <c r="F95" s="64" t="n">
        <v>-5084.99230585037</v>
      </c>
      <c r="G95" s="64" t="n">
        <v>-6108.3739743073</v>
      </c>
      <c r="H95" s="64" t="n">
        <v>-8931.6032288978</v>
      </c>
      <c r="I95" s="64" t="n">
        <v>-6292.56494018106</v>
      </c>
      <c r="J95" s="64" t="n">
        <v>-7410.66379127098</v>
      </c>
      <c r="K95" s="64" t="n">
        <v>-9065.5897882184</v>
      </c>
      <c r="L95" s="64" t="n">
        <v>-8870.555613020681</v>
      </c>
      <c r="M95" s="64" t="n">
        <v>-8510.35052781326</v>
      </c>
      <c r="N95" s="65" t="n">
        <v>-82807.48283591541</v>
      </c>
      <c r="P95" s="65" t="n">
        <v>-69781.2112111473</v>
      </c>
      <c r="Q95" s="65" t="n">
        <v>-69013.41628104269</v>
      </c>
    </row>
    <row r="96">
      <c r="A96" s="61" t="inlineStr">
        <is>
          <t>İnci GS Yuasa / G.9.4.</t>
        </is>
      </c>
      <c r="B96" s="64" t="n">
        <v>-90392.02747408841</v>
      </c>
      <c r="C96" s="64" t="n">
        <v>-74220.9746638006</v>
      </c>
      <c r="D96" s="64" t="n">
        <v>-237937.903363428</v>
      </c>
      <c r="E96" s="64" t="n">
        <v>-314118.684531802</v>
      </c>
      <c r="F96" s="64" t="n">
        <v>-366870.023097206</v>
      </c>
      <c r="G96" s="64" t="n">
        <v>-528330.3628386121</v>
      </c>
      <c r="H96" s="64" t="n">
        <v>-715573.929686012</v>
      </c>
      <c r="I96" s="64" t="n">
        <v>-886087.00410264</v>
      </c>
      <c r="J96" s="64" t="n">
        <v>-905541.3500115121</v>
      </c>
      <c r="K96" s="64" t="n">
        <v>-1168558.06996097</v>
      </c>
      <c r="L96" s="64" t="n">
        <v>-1143418.0884849</v>
      </c>
      <c r="M96" s="64" t="n">
        <v>-1096987.51209735</v>
      </c>
      <c r="N96" s="65" t="n">
        <v>-7528035.93031232</v>
      </c>
      <c r="P96" s="65" t="n">
        <v>-5924248.79055467</v>
      </c>
      <c r="Q96" s="65" t="n">
        <v>-7080204.28643683</v>
      </c>
    </row>
    <row r="97">
      <c r="A97" s="61" t="inlineStr">
        <is>
          <t>Yusen İnci Loj. / G.9.5.</t>
        </is>
      </c>
      <c r="B97" s="64" t="n">
        <v>-11897.1619023644</v>
      </c>
      <c r="C97" s="64" t="n">
        <v>-11682.5293660088</v>
      </c>
      <c r="D97" s="64" t="n">
        <v>-10833.1613074569</v>
      </c>
      <c r="E97" s="64" t="n">
        <v>-13799.5977600527</v>
      </c>
      <c r="F97" s="64" t="n">
        <v>-3150.17569964674</v>
      </c>
      <c r="G97" s="64" t="n">
        <v>-8171.95495915559</v>
      </c>
      <c r="H97" s="64" t="n">
        <v>-3094.44726593543</v>
      </c>
      <c r="I97" s="64" t="n">
        <v>-6847.52336549134</v>
      </c>
      <c r="J97" s="64" t="n">
        <v>-6960.65803066916</v>
      </c>
      <c r="K97" s="64" t="n">
        <v>-8276.044712710909</v>
      </c>
      <c r="L97" s="64" t="n">
        <v>-8097.99655565214</v>
      </c>
      <c r="M97" s="64" t="n">
        <v>-7769.16263965071</v>
      </c>
      <c r="N97" s="65" t="n">
        <v>-100580.413564795</v>
      </c>
      <c r="P97" s="65" t="n">
        <v>-92531.90500552701</v>
      </c>
      <c r="Q97" s="65" t="n">
        <v>-99084.1474867231</v>
      </c>
    </row>
    <row r="98">
      <c r="A98" s="61" t="inlineStr">
        <is>
          <t>Jantaş / G.9.6.</t>
        </is>
      </c>
      <c r="B98" s="64" t="n">
        <v>-18181.77</v>
      </c>
      <c r="C98" s="64" t="n">
        <v>3883.74</v>
      </c>
      <c r="D98" s="64" t="n">
        <v>-1549.660000001</v>
      </c>
      <c r="E98" s="64" t="n">
        <v>-6562.8399999994</v>
      </c>
      <c r="F98" s="64" t="n">
        <v>1812.7500000004</v>
      </c>
      <c r="G98" s="64" t="n">
        <v>28093.430000001</v>
      </c>
      <c r="H98" s="64" t="n">
        <v>-43375.7100000038</v>
      </c>
      <c r="I98" s="64" t="n">
        <v>-18664.7099999958</v>
      </c>
      <c r="J98" s="64" t="n">
        <v>-50626.2599999994</v>
      </c>
      <c r="K98" s="64" t="n">
        <v>-11495.5084911297</v>
      </c>
      <c r="L98" s="64" t="n">
        <v>-11495.5084911297</v>
      </c>
      <c r="M98" s="64" t="n">
        <v>-11495.5084911297</v>
      </c>
      <c r="N98" s="65" t="n">
        <v>-139657.555473387</v>
      </c>
      <c r="P98" s="65" t="n">
        <v>-97641.3594</v>
      </c>
      <c r="Q98" s="65" t="n">
        <v>-75656.6363286837</v>
      </c>
    </row>
    <row r="99">
      <c r="A99" s="61" t="inlineStr">
        <is>
          <t>Çelik / G.9.7.</t>
        </is>
      </c>
      <c r="B99" s="64" t="n">
        <v>-14993.4699999991</v>
      </c>
      <c r="C99" s="64" t="n">
        <v>-22674.4000000009</v>
      </c>
      <c r="D99" s="64" t="n">
        <v>-22069.71</v>
      </c>
      <c r="E99" s="64" t="n">
        <v>-5179.31</v>
      </c>
      <c r="F99" s="64" t="n">
        <v>-51638.25</v>
      </c>
      <c r="G99" s="64" t="n">
        <v>-24013.78</v>
      </c>
      <c r="H99" s="64" t="n">
        <v>17835.259999999</v>
      </c>
      <c r="I99" s="64" t="n">
        <v>-8270.279999999009</v>
      </c>
      <c r="J99" s="64" t="n">
        <v>12646.52</v>
      </c>
      <c r="K99" s="64" t="n">
        <v>-10445.0073460083</v>
      </c>
      <c r="L99" s="64" t="n">
        <v>-10445.0073460083</v>
      </c>
      <c r="M99" s="64" t="n">
        <v>-10445.0073460083</v>
      </c>
      <c r="N99" s="65" t="n">
        <v>-149692.442038025</v>
      </c>
      <c r="P99" s="65" t="n">
        <v>-205000</v>
      </c>
      <c r="Q99" s="65" t="n">
        <v>-192000</v>
      </c>
    </row>
    <row r="100">
      <c r="A100" s="61" t="inlineStr">
        <is>
          <t>Alüminyum / G.9.8.</t>
        </is>
      </c>
      <c r="B100" s="64" t="n">
        <v>-39743.019999998</v>
      </c>
      <c r="C100" s="64" t="n">
        <v>-15107.810000002</v>
      </c>
      <c r="D100" s="64" t="n">
        <v>-30372.0500000121</v>
      </c>
      <c r="E100" s="64" t="n">
        <v>-70027.06999999689</v>
      </c>
      <c r="F100" s="64" t="n">
        <v>-11833.149999984</v>
      </c>
      <c r="G100" s="64" t="n">
        <v>-35896.350000007</v>
      </c>
      <c r="H100" s="64" t="n">
        <v>-25256.899999999</v>
      </c>
      <c r="I100" s="64" t="n">
        <v>-34249.250000002</v>
      </c>
      <c r="J100" s="64" t="n">
        <v>-34573.629999999</v>
      </c>
      <c r="K100" s="64" t="n">
        <v>234298.06</v>
      </c>
      <c r="L100" s="64" t="n">
        <v>234298.06</v>
      </c>
      <c r="M100" s="64" t="n">
        <v>234298.06</v>
      </c>
      <c r="N100" s="65" t="n">
        <v>405834.95</v>
      </c>
      <c r="P100" s="65" t="n">
        <v>18572.5500000011</v>
      </c>
      <c r="Q100" s="65" t="n">
        <v>18572.5500000011</v>
      </c>
    </row>
    <row r="101">
      <c r="A101" s="61" t="inlineStr">
        <is>
          <t>x / G.9.9.</t>
        </is>
      </c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5" t="n"/>
      <c r="P101" s="65" t="n"/>
      <c r="Q101" s="65" t="n"/>
    </row>
    <row r="102">
      <c r="A102" s="61" t="inlineStr">
        <is>
          <t>y / G.9.10.</t>
        </is>
      </c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5" t="n"/>
      <c r="P102" s="65" t="n"/>
      <c r="Q102" s="65" t="n"/>
    </row>
    <row r="103">
      <c r="A103" s="61" t="inlineStr">
        <is>
          <t>Diğer Gelir/Gideri-EUR / G.10.</t>
        </is>
      </c>
      <c r="B103" s="64" t="n">
        <v>-307838.257174238</v>
      </c>
      <c r="C103" s="64" t="n">
        <v>721869.830451403</v>
      </c>
      <c r="D103" s="64" t="n">
        <v>-1181895.85454508</v>
      </c>
      <c r="E103" s="64" t="n">
        <v>6112527.11111578</v>
      </c>
      <c r="F103" s="64" t="n">
        <v>-247963.131410347</v>
      </c>
      <c r="G103" s="64" t="n">
        <v>-698224.283366267</v>
      </c>
      <c r="H103" s="64" t="n">
        <v>-500708.248171388</v>
      </c>
      <c r="I103" s="64" t="n">
        <v>-2166034.51430695</v>
      </c>
      <c r="J103" s="64" t="n">
        <v>-280272.135016552</v>
      </c>
      <c r="K103" s="64" t="n">
        <v>-214634.738470072</v>
      </c>
      <c r="L103" s="64" t="n">
        <v>-213956.564275438</v>
      </c>
      <c r="M103" s="64" t="n">
        <v>-212704.056640218</v>
      </c>
      <c r="N103" s="65" t="n">
        <v>810165.158190632</v>
      </c>
      <c r="P103" s="65" t="n">
        <v>872344.889629011</v>
      </c>
      <c r="Q103" s="65" t="n">
        <v>2092713.22537718</v>
      </c>
    </row>
    <row r="104">
      <c r="A104" s="61" t="inlineStr">
        <is>
          <t>İnci Holding / G.10.1.</t>
        </is>
      </c>
      <c r="B104" s="64" t="n">
        <v>662313.6135914919</v>
      </c>
      <c r="C104" s="64" t="n">
        <v>490048.897152674</v>
      </c>
      <c r="D104" s="64" t="n">
        <v>192580.176995059</v>
      </c>
      <c r="E104" s="64" t="n">
        <v>7319458.58353319</v>
      </c>
      <c r="F104" s="64" t="n">
        <v>1076857.85565693</v>
      </c>
      <c r="G104" s="64" t="n">
        <v>145032.498199466</v>
      </c>
      <c r="H104" s="64" t="n">
        <v>346951.954804308</v>
      </c>
      <c r="I104" s="64" t="n">
        <v>47761.9730290062</v>
      </c>
      <c r="J104" s="64" t="n">
        <v>75516.7042350663</v>
      </c>
      <c r="K104" s="64" t="n">
        <v>196763.582832752</v>
      </c>
      <c r="L104" s="64" t="n">
        <v>192530.47456476</v>
      </c>
      <c r="M104" s="64" t="n">
        <v>184712.42358565</v>
      </c>
      <c r="N104" s="65" t="n">
        <v>10930528.7381804</v>
      </c>
      <c r="P104" s="65" t="n">
        <v>11112957.4951634</v>
      </c>
      <c r="Q104" s="65" t="n">
        <v>10782794.5601878</v>
      </c>
    </row>
    <row r="105">
      <c r="A105" s="61" t="inlineStr">
        <is>
          <t>ISM / G.10.2.</t>
        </is>
      </c>
      <c r="B105" s="64" t="n">
        <v>-21862.774755659</v>
      </c>
      <c r="C105" s="64" t="n">
        <v>5692.56501843889</v>
      </c>
      <c r="D105" s="64" t="n">
        <v>-2165.33888751698</v>
      </c>
      <c r="E105" s="64" t="n">
        <v>7162.38312020854</v>
      </c>
      <c r="F105" s="64" t="n">
        <v>30077.0772728337</v>
      </c>
      <c r="G105" s="64" t="n">
        <v>-19303.9520281443</v>
      </c>
      <c r="H105" s="64" t="n">
        <v>29004.4236610629</v>
      </c>
      <c r="I105" s="64" t="n">
        <v>20119.6926051116</v>
      </c>
      <c r="J105" s="64" t="n">
        <v>-11647.0081725737</v>
      </c>
      <c r="K105" s="64" t="n">
        <v>19085.2799969838</v>
      </c>
      <c r="L105" s="64" t="n">
        <v>18674.6854378227</v>
      </c>
      <c r="M105" s="64" t="n">
        <v>17916.3657842624</v>
      </c>
      <c r="N105" s="65" t="n">
        <v>92753.3990528307</v>
      </c>
      <c r="P105" s="65" t="n">
        <v>87472.3742907928</v>
      </c>
      <c r="Q105" s="65" t="n">
        <v>89364.79232935869</v>
      </c>
    </row>
    <row r="106">
      <c r="A106" s="61" t="inlineStr">
        <is>
          <t>İncitaş / G.10.3.</t>
        </is>
      </c>
      <c r="B106" s="64" t="n">
        <v>36682.2138161519</v>
      </c>
      <c r="C106" s="64" t="n">
        <v>20885.4284193622</v>
      </c>
      <c r="D106" s="64" t="n">
        <v>20845.8088549728</v>
      </c>
      <c r="E106" s="64" t="n">
        <v>1430.71834203334</v>
      </c>
      <c r="F106" s="64" t="n">
        <v>89337.10760181209</v>
      </c>
      <c r="G106" s="64" t="n">
        <v>260.121446609862</v>
      </c>
      <c r="H106" s="64" t="n">
        <v>59407.6531817645</v>
      </c>
      <c r="I106" s="64" t="n">
        <v>7506.24514640116</v>
      </c>
      <c r="J106" s="64" t="n">
        <v>-93.3793205573218</v>
      </c>
      <c r="K106" s="64" t="n">
        <v>5320.43820553373</v>
      </c>
      <c r="L106" s="64" t="n">
        <v>5205.9760137351</v>
      </c>
      <c r="M106" s="64" t="n">
        <v>4994.57786513856</v>
      </c>
      <c r="N106" s="65" t="n">
        <v>251782.909572958</v>
      </c>
      <c r="P106" s="65" t="n">
        <v>262566.066107339</v>
      </c>
      <c r="Q106" s="65" t="n">
        <v>205950.199057165</v>
      </c>
    </row>
    <row r="107">
      <c r="A107" s="61" t="inlineStr">
        <is>
          <t>İnci GS Yuasa / G.10.4.</t>
        </is>
      </c>
      <c r="B107" s="64" t="n">
        <v>-1731828.72659692</v>
      </c>
      <c r="C107" s="64" t="n">
        <v>-786139.06490325</v>
      </c>
      <c r="D107" s="64" t="n">
        <v>-3437978.70027773</v>
      </c>
      <c r="E107" s="64" t="n">
        <v>-3889687.85173007</v>
      </c>
      <c r="F107" s="64" t="n">
        <v>-2737217.45025518</v>
      </c>
      <c r="G107" s="64" t="n">
        <v>-2773103.73878546</v>
      </c>
      <c r="H107" s="64" t="n">
        <v>-1991687.56331996</v>
      </c>
      <c r="I107" s="64" t="n">
        <v>-5760675.12760451</v>
      </c>
      <c r="J107" s="64" t="n">
        <v>-2279973.27278014</v>
      </c>
      <c r="K107" s="64" t="n">
        <v>-631730.58273019</v>
      </c>
      <c r="L107" s="64" t="n">
        <v>-618139.7346962231</v>
      </c>
      <c r="M107" s="64" t="n">
        <v>-593039.043655008</v>
      </c>
      <c r="N107" s="65" t="n">
        <v>-27231200.8573346</v>
      </c>
      <c r="P107" s="65" t="n">
        <v>-27041188.6996272</v>
      </c>
      <c r="Q107" s="65" t="n">
        <v>-22863512.5000519</v>
      </c>
    </row>
    <row r="108">
      <c r="A108" s="61" t="inlineStr">
        <is>
          <t>Yusen İnci Loj. / G.10.5.</t>
        </is>
      </c>
      <c r="B108" s="64" t="n">
        <v>186247.692031357</v>
      </c>
      <c r="C108" s="64" t="n">
        <v>160457.154555572</v>
      </c>
      <c r="D108" s="64" t="n">
        <v>28304.2865087426</v>
      </c>
      <c r="E108" s="64" t="n">
        <v>-120421.442969056</v>
      </c>
      <c r="F108" s="64" t="n">
        <v>813157.610400374</v>
      </c>
      <c r="G108" s="64" t="n">
        <v>-5852.40867503341</v>
      </c>
      <c r="H108" s="64" t="n">
        <v>461909.203773655</v>
      </c>
      <c r="I108" s="64" t="n">
        <v>-18362.5051141674</v>
      </c>
      <c r="J108" s="64" t="n">
        <v>31609.4533839228</v>
      </c>
      <c r="K108" s="64" t="n">
        <v>0</v>
      </c>
      <c r="L108" s="64" t="n">
        <v>0</v>
      </c>
      <c r="M108" s="64" t="n">
        <v>0</v>
      </c>
      <c r="N108" s="65" t="n">
        <v>1537049.04389537</v>
      </c>
      <c r="P108" s="65" t="n">
        <v>1526834.88099595</v>
      </c>
      <c r="Q108" s="65" t="n">
        <v>1055235.80278346</v>
      </c>
    </row>
    <row r="109">
      <c r="A109" s="61" t="inlineStr">
        <is>
          <t>Jantaş / G.10.6.</t>
        </is>
      </c>
      <c r="B109" s="64" t="n">
        <v>-1201656.43</v>
      </c>
      <c r="C109" s="64" t="n">
        <v>1085616.86</v>
      </c>
      <c r="D109" s="64" t="n">
        <v>-98076.38</v>
      </c>
      <c r="E109" s="64" t="n">
        <v>591170.1800000001</v>
      </c>
      <c r="F109" s="64" t="n">
        <v>-486766.61</v>
      </c>
      <c r="G109" s="64" t="n">
        <v>288759.58</v>
      </c>
      <c r="H109" s="64" t="n">
        <v>-569239.84</v>
      </c>
      <c r="I109" s="64" t="n">
        <v>-117468.31</v>
      </c>
      <c r="J109" s="64" t="n">
        <v>1085178.62</v>
      </c>
      <c r="K109" s="64" t="n">
        <v>-212612.424381817</v>
      </c>
      <c r="L109" s="64" t="n">
        <v>-212612.424381817</v>
      </c>
      <c r="M109" s="64" t="n">
        <v>-212612.424381817</v>
      </c>
      <c r="N109" s="65" t="n">
        <v>-60319.6031454499</v>
      </c>
      <c r="P109" s="65" t="n">
        <v>-419273.7962</v>
      </c>
      <c r="Q109" s="65" t="n">
        <v>81785.8817756498</v>
      </c>
    </row>
    <row r="110">
      <c r="A110" s="61" t="inlineStr">
        <is>
          <t>Çelik / G.10.7.</t>
        </is>
      </c>
      <c r="B110" s="64" t="n">
        <v>-87395.73</v>
      </c>
      <c r="C110" s="64" t="n">
        <v>-79743.92</v>
      </c>
      <c r="D110" s="64" t="n">
        <v>-157100.74</v>
      </c>
      <c r="E110" s="64" t="n">
        <v>397259.04</v>
      </c>
      <c r="F110" s="64" t="n">
        <v>-874446.5600000001</v>
      </c>
      <c r="G110" s="64" t="n">
        <v>198940.99</v>
      </c>
      <c r="H110" s="64" t="n">
        <v>-216661.96</v>
      </c>
      <c r="I110" s="64" t="n">
        <v>203246.14</v>
      </c>
      <c r="J110" s="64" t="n">
        <v>172597.42</v>
      </c>
      <c r="K110" s="64" t="n">
        <v>11842.33834865</v>
      </c>
      <c r="L110" s="64" t="n">
        <v>11842.33834865</v>
      </c>
      <c r="M110" s="64" t="n">
        <v>11842.33834865</v>
      </c>
      <c r="N110" s="65" t="n">
        <v>-407778.30495405</v>
      </c>
      <c r="P110" s="65" t="n">
        <v>-543000</v>
      </c>
      <c r="Q110" s="65" t="n">
        <v>-737000</v>
      </c>
    </row>
    <row r="111">
      <c r="A111" s="61" t="inlineStr">
        <is>
          <t>Alüminyum / G.10.8.</t>
        </is>
      </c>
      <c r="B111" s="64" t="n">
        <v>372204.92</v>
      </c>
      <c r="C111" s="64" t="n">
        <v>132916.32</v>
      </c>
      <c r="D111" s="64" t="n">
        <v>181960.28</v>
      </c>
      <c r="E111" s="64" t="n">
        <v>-17131.36</v>
      </c>
      <c r="F111" s="64" t="n">
        <v>-325314.919999999</v>
      </c>
      <c r="G111" s="64" t="n">
        <v>230723.2</v>
      </c>
      <c r="H111" s="64" t="n">
        <v>-24500.540000001</v>
      </c>
      <c r="I111" s="64" t="n">
        <v>89703.7399999989</v>
      </c>
      <c r="J111" s="64" t="n">
        <v>130466.65</v>
      </c>
      <c r="K111" s="64" t="n">
        <v>-257009.43</v>
      </c>
      <c r="L111" s="64" t="n">
        <v>-257009.43</v>
      </c>
      <c r="M111" s="64" t="n">
        <v>-257009.43</v>
      </c>
      <c r="N111" s="65" t="n">
        <v>0</v>
      </c>
      <c r="P111" s="65" t="n">
        <v>0</v>
      </c>
      <c r="Q111" s="65" t="n">
        <v>0</v>
      </c>
    </row>
    <row r="112">
      <c r="A112" s="61" t="inlineStr">
        <is>
          <t>x / G.10.9.</t>
        </is>
      </c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5" t="n"/>
      <c r="P112" s="65" t="n"/>
      <c r="Q112" s="65" t="n"/>
    </row>
    <row r="113">
      <c r="A113" s="61" t="inlineStr">
        <is>
          <t>y / G.10.10.</t>
        </is>
      </c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5" t="n"/>
      <c r="P113" s="65" t="n"/>
      <c r="Q113" s="65" t="n"/>
    </row>
    <row r="114">
      <c r="A114" s="61" t="inlineStr">
        <is>
          <t>VÖK-EUR / G.11.</t>
        </is>
      </c>
      <c r="B114" s="64" t="n">
        <v>2666657.38674898</v>
      </c>
      <c r="C114" s="64" t="n">
        <v>4183866.76739935</v>
      </c>
      <c r="D114" s="64" t="n">
        <v>2335005.60430431</v>
      </c>
      <c r="E114" s="64" t="n">
        <v>9924535.509178439</v>
      </c>
      <c r="F114" s="64" t="n">
        <v>3991230.60192901</v>
      </c>
      <c r="G114" s="64" t="n">
        <v>1978242.18710499</v>
      </c>
      <c r="H114" s="64" t="n">
        <v>1432322.53592517</v>
      </c>
      <c r="I114" s="64" t="n">
        <v>342425.968007724</v>
      </c>
      <c r="J114" s="64" t="n">
        <v>2245164.23126798</v>
      </c>
      <c r="K114" s="64" t="n">
        <v>2474444.32441066</v>
      </c>
      <c r="L114" s="64" t="n">
        <v>2456564.12572</v>
      </c>
      <c r="M114" s="64" t="n">
        <v>2423541.51065074</v>
      </c>
      <c r="N114" s="65" t="n">
        <v>36454000.7526472</v>
      </c>
      <c r="P114" s="65" t="n">
        <v>39715815.2798323</v>
      </c>
      <c r="Q114" s="65" t="n">
        <v>39699657.6446867</v>
      </c>
    </row>
    <row r="115">
      <c r="A115" s="61" t="inlineStr">
        <is>
          <t>İnci Holding / G.11.1.</t>
        </is>
      </c>
      <c r="B115" s="64" t="n">
        <v>1044855.76010702</v>
      </c>
      <c r="C115" s="64" t="n">
        <v>958523.843594773</v>
      </c>
      <c r="D115" s="64" t="n">
        <v>680882.972958863</v>
      </c>
      <c r="E115" s="64" t="n">
        <v>7727197.10501884</v>
      </c>
      <c r="F115" s="64" t="n">
        <v>1505488.59402574</v>
      </c>
      <c r="G115" s="64" t="n">
        <v>545745.099452852</v>
      </c>
      <c r="H115" s="64" t="n">
        <v>770880.8918081369</v>
      </c>
      <c r="I115" s="64" t="n">
        <v>670710.622112132</v>
      </c>
      <c r="J115" s="64" t="n">
        <v>582864.665390769</v>
      </c>
      <c r="K115" s="64" t="n">
        <v>552603.9787118681</v>
      </c>
      <c r="L115" s="64" t="n">
        <v>540715.434919701</v>
      </c>
      <c r="M115" s="64" t="n">
        <v>518758.698746115</v>
      </c>
      <c r="N115" s="65" t="n">
        <v>16099227.6668468</v>
      </c>
      <c r="P115" s="65" t="n">
        <v>16353501.7756789</v>
      </c>
      <c r="Q115" s="65" t="n">
        <v>15510559.732177</v>
      </c>
    </row>
    <row r="116">
      <c r="A116" s="61" t="inlineStr">
        <is>
          <t>ISM / G.11.2.</t>
        </is>
      </c>
      <c r="B116" s="64" t="n">
        <v>111440.031452577</v>
      </c>
      <c r="C116" s="64" t="n">
        <v>220801.692059968</v>
      </c>
      <c r="D116" s="64" t="n">
        <v>176831.350384701</v>
      </c>
      <c r="E116" s="64" t="n">
        <v>178443.305846985</v>
      </c>
      <c r="F116" s="64" t="n">
        <v>236535.342069629</v>
      </c>
      <c r="G116" s="64" t="n">
        <v>200420.351256659</v>
      </c>
      <c r="H116" s="64" t="n">
        <v>101565.812737941</v>
      </c>
      <c r="I116" s="64" t="n">
        <v>132182.91506597</v>
      </c>
      <c r="J116" s="64" t="n">
        <v>73688.78630213119</v>
      </c>
      <c r="K116" s="64" t="n">
        <v>85328.3139581986</v>
      </c>
      <c r="L116" s="64" t="n">
        <v>83492.58812870239</v>
      </c>
      <c r="M116" s="64" t="n">
        <v>80102.2193476371</v>
      </c>
      <c r="N116" s="65" t="n">
        <v>1680832.7086111</v>
      </c>
      <c r="P116" s="65" t="n">
        <v>1615405.21182315</v>
      </c>
      <c r="Q116" s="65" t="n">
        <v>1155842.00829358</v>
      </c>
    </row>
    <row r="117">
      <c r="A117" s="61" t="inlineStr">
        <is>
          <t>İncitaş / G.11.3.</t>
        </is>
      </c>
      <c r="B117" s="64" t="n">
        <v>132593.025672003</v>
      </c>
      <c r="C117" s="64" t="n">
        <v>68024.1585161566</v>
      </c>
      <c r="D117" s="64" t="n">
        <v>87657.2032876388</v>
      </c>
      <c r="E117" s="64" t="n">
        <v>63333.5851263902</v>
      </c>
      <c r="F117" s="64" t="n">
        <v>172247.67357976</v>
      </c>
      <c r="G117" s="64" t="n">
        <v>71155.70021398809</v>
      </c>
      <c r="H117" s="64" t="n">
        <v>90788.5481060225</v>
      </c>
      <c r="I117" s="64" t="n">
        <v>87686.5080492656</v>
      </c>
      <c r="J117" s="64" t="n">
        <v>58890.9412280325</v>
      </c>
      <c r="K117" s="64" t="n">
        <v>50779.0194440673</v>
      </c>
      <c r="L117" s="64" t="n">
        <v>49686.5759951597</v>
      </c>
      <c r="M117" s="64" t="n">
        <v>47668.9619785438</v>
      </c>
      <c r="N117" s="65" t="n">
        <v>980511.90119703</v>
      </c>
      <c r="P117" s="65" t="n">
        <v>960324.717335855</v>
      </c>
      <c r="Q117" s="65" t="n">
        <v>912675.907162695</v>
      </c>
    </row>
    <row r="118">
      <c r="A118" s="61" t="inlineStr">
        <is>
          <t>İnci GS Yuasa / G.11.4.</t>
        </is>
      </c>
      <c r="B118" s="64" t="n">
        <v>-131096.716333629</v>
      </c>
      <c r="C118" s="64" t="n">
        <v>529104.498686929</v>
      </c>
      <c r="D118" s="64" t="n">
        <v>-3347858.24725221</v>
      </c>
      <c r="E118" s="64" t="n">
        <v>-2278304.03159843</v>
      </c>
      <c r="F118" s="64" t="n">
        <v>-2241398.4161562</v>
      </c>
      <c r="G118" s="64" t="n">
        <v>-2605678.75152674</v>
      </c>
      <c r="H118" s="64" t="n">
        <v>-1647573.04164552</v>
      </c>
      <c r="I118" s="64" t="n">
        <v>-5505958.41876509</v>
      </c>
      <c r="J118" s="64" t="n">
        <v>-2235196.56633167</v>
      </c>
      <c r="K118" s="64" t="n">
        <v>6085.4268830535</v>
      </c>
      <c r="L118" s="64" t="n">
        <v>5954.5069715348</v>
      </c>
      <c r="M118" s="64" t="n">
        <v>5712.7133585306</v>
      </c>
      <c r="N118" s="65" t="n">
        <v>-19446207.0437094</v>
      </c>
      <c r="P118" s="65" t="n">
        <v>-15449185.7110563</v>
      </c>
      <c r="Q118" s="65" t="n">
        <v>-11509879.6700153</v>
      </c>
    </row>
    <row r="119">
      <c r="A119" s="61" t="inlineStr">
        <is>
          <t>Yusen İnci Loj. / G.11.5.</t>
        </is>
      </c>
      <c r="B119" s="64" t="n">
        <v>668760.480127083</v>
      </c>
      <c r="C119" s="64" t="n">
        <v>617512.9543842271</v>
      </c>
      <c r="D119" s="64" t="n">
        <v>671578.191435039</v>
      </c>
      <c r="E119" s="64" t="n">
        <v>464800.514563931</v>
      </c>
      <c r="F119" s="64" t="n">
        <v>1404646.38679088</v>
      </c>
      <c r="G119" s="64" t="n">
        <v>653814.851980462</v>
      </c>
      <c r="H119" s="64" t="n">
        <v>843379.9098282279</v>
      </c>
      <c r="I119" s="64" t="n">
        <v>785818.16571595</v>
      </c>
      <c r="J119" s="64" t="n">
        <v>816445.432199311</v>
      </c>
      <c r="K119" s="64" t="n">
        <v>349907.361635653</v>
      </c>
      <c r="L119" s="64" t="n">
        <v>342379.567496888</v>
      </c>
      <c r="M119" s="64" t="n">
        <v>328476.620864944</v>
      </c>
      <c r="N119" s="65" t="n">
        <v>7947520.43702257</v>
      </c>
      <c r="P119" s="65" t="n">
        <v>7061110.19299341</v>
      </c>
      <c r="Q119" s="65" t="n">
        <v>6097454.33879439</v>
      </c>
    </row>
    <row r="120">
      <c r="A120" s="61" t="inlineStr">
        <is>
          <t>Jantaş / G.11.6.</t>
        </is>
      </c>
      <c r="B120" s="64" t="n">
        <v>877159.11</v>
      </c>
      <c r="C120" s="64" t="n">
        <v>3350566.97</v>
      </c>
      <c r="D120" s="64" t="n">
        <v>3679072.52</v>
      </c>
      <c r="E120" s="64" t="n">
        <v>2788526.91</v>
      </c>
      <c r="F120" s="64" t="n">
        <v>2031458.68999999</v>
      </c>
      <c r="G120" s="64" t="n">
        <v>2175861.64000001</v>
      </c>
      <c r="H120" s="64" t="n">
        <v>-91287.54000000389</v>
      </c>
      <c r="I120" s="64" t="n">
        <v>240774.010000014</v>
      </c>
      <c r="J120" s="64" t="n">
        <v>1402994.68</v>
      </c>
      <c r="K120" s="64" t="n">
        <v>983966.670362434</v>
      </c>
      <c r="L120" s="64" t="n">
        <v>983966.670362434</v>
      </c>
      <c r="M120" s="64" t="n">
        <v>983966.670362434</v>
      </c>
      <c r="N120" s="65" t="n">
        <v>19407027.0010873</v>
      </c>
      <c r="P120" s="65" t="n">
        <v>22209600.5059</v>
      </c>
      <c r="Q120" s="65" t="n">
        <v>23673941.374205</v>
      </c>
    </row>
    <row r="121">
      <c r="A121" s="61" t="inlineStr">
        <is>
          <t>Çelik / G.11.7.</t>
        </is>
      </c>
      <c r="B121" s="64" t="n">
        <v>527591.8800000011</v>
      </c>
      <c r="C121" s="64" t="n">
        <v>823662.4300000001</v>
      </c>
      <c r="D121" s="64" t="n">
        <v>1132202.94</v>
      </c>
      <c r="E121" s="64" t="n">
        <v>888704.6800000001</v>
      </c>
      <c r="F121" s="64" t="n">
        <v>2439785.54</v>
      </c>
      <c r="G121" s="64" t="n">
        <v>888919.0699999999</v>
      </c>
      <c r="H121" s="64" t="n">
        <v>615808.049999997</v>
      </c>
      <c r="I121" s="64" t="n">
        <v>1382949.53</v>
      </c>
      <c r="J121" s="64" t="n">
        <v>997853.1</v>
      </c>
      <c r="K121" s="64" t="n">
        <v>766232.432370942</v>
      </c>
      <c r="L121" s="64" t="n">
        <v>766232.432370942</v>
      </c>
      <c r="M121" s="64" t="n">
        <v>766232.432370942</v>
      </c>
      <c r="N121" s="65" t="n">
        <v>11996174.5171128</v>
      </c>
      <c r="P121" s="65" t="n">
        <v>12111000</v>
      </c>
      <c r="Q121" s="65" t="n">
        <v>11006000</v>
      </c>
    </row>
    <row r="122">
      <c r="A122" s="61" t="inlineStr">
        <is>
          <t>Alüminyum / G.11.8.</t>
        </is>
      </c>
      <c r="B122" s="64" t="n">
        <v>1502006.67</v>
      </c>
      <c r="C122" s="64" t="n">
        <v>2020445.83</v>
      </c>
      <c r="D122" s="64" t="n">
        <v>1339089.78999999</v>
      </c>
      <c r="E122" s="64" t="n">
        <v>3025175.71</v>
      </c>
      <c r="F122" s="64" t="n">
        <v>1557905.28000002</v>
      </c>
      <c r="G122" s="64" t="n">
        <v>1789385.77999999</v>
      </c>
      <c r="H122" s="64" t="n">
        <v>1452390.83</v>
      </c>
      <c r="I122" s="64" t="n">
        <v>1726031.52</v>
      </c>
      <c r="J122" s="64" t="n">
        <v>2842202.95</v>
      </c>
      <c r="K122" s="64" t="n">
        <v>2358140.63948923</v>
      </c>
      <c r="L122" s="64" t="n">
        <v>2358140.63948923</v>
      </c>
      <c r="M122" s="64" t="n">
        <v>2358140.63948923</v>
      </c>
      <c r="N122" s="65" t="n">
        <v>24329056.2784677</v>
      </c>
      <c r="P122" s="65" t="n">
        <v>26033933.9496491</v>
      </c>
      <c r="Q122" s="65" t="n">
        <v>26033933.9496491</v>
      </c>
    </row>
    <row r="123">
      <c r="A123" s="61" t="inlineStr">
        <is>
          <t>x / G.11.9.</t>
        </is>
      </c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5" t="n"/>
      <c r="P123" s="65" t="n"/>
      <c r="Q123" s="65" t="n"/>
    </row>
    <row r="124">
      <c r="A124" s="61" t="inlineStr">
        <is>
          <t>y / G.11.10.</t>
        </is>
      </c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5" t="n"/>
      <c r="P124" s="65" t="n"/>
      <c r="Q124" s="65" t="n"/>
    </row>
    <row r="125">
      <c r="A125" s="61" t="inlineStr">
        <is>
          <t>Vergi-EUR / G.12.</t>
        </is>
      </c>
      <c r="B125" s="64" t="n">
        <v>-851103.762190078</v>
      </c>
      <c r="C125" s="64" t="n">
        <v>-927002.090681717</v>
      </c>
      <c r="D125" s="64" t="n">
        <v>-196191.025937617</v>
      </c>
      <c r="E125" s="64" t="n">
        <v>-1866153.02960659</v>
      </c>
      <c r="F125" s="64" t="n">
        <v>-1585825.78035914</v>
      </c>
      <c r="G125" s="64" t="n">
        <v>-480369.5762713</v>
      </c>
      <c r="H125" s="64" t="n">
        <v>-618429.790938946</v>
      </c>
      <c r="I125" s="64" t="n">
        <v>274005.12979019</v>
      </c>
      <c r="J125" s="64" t="n">
        <v>-749732.005924145</v>
      </c>
      <c r="K125" s="64" t="n">
        <v>-609149.841738764</v>
      </c>
      <c r="L125" s="64" t="n">
        <v>-602937.510106269</v>
      </c>
      <c r="M125" s="64" t="n">
        <v>-591464.067348089</v>
      </c>
      <c r="N125" s="65" t="n">
        <v>-8804353.35131246</v>
      </c>
      <c r="P125" s="65" t="n">
        <v>-9719490.39332551</v>
      </c>
      <c r="Q125" s="65" t="n">
        <v>-9294721.19148647</v>
      </c>
    </row>
    <row r="126">
      <c r="A126" s="61" t="inlineStr">
        <is>
          <t>İnci Holding / G.12.1.</t>
        </is>
      </c>
      <c r="B126" s="64" t="n">
        <v>-229868.267223544</v>
      </c>
      <c r="C126" s="64" t="n">
        <v>-210875.24559085</v>
      </c>
      <c r="D126" s="64" t="n">
        <v>-149794.25405095</v>
      </c>
      <c r="E126" s="64" t="n">
        <v>-1699983.36310415</v>
      </c>
      <c r="F126" s="64" t="n">
        <v>-331207.490685662</v>
      </c>
      <c r="G126" s="64" t="n">
        <v>-120063.921879627</v>
      </c>
      <c r="H126" s="64" t="n">
        <v>-169593.79619779</v>
      </c>
      <c r="I126" s="64" t="n">
        <v>-147556.336864669</v>
      </c>
      <c r="J126" s="64" t="n">
        <v>-128230.226385969</v>
      </c>
      <c r="K126" s="64" t="n">
        <v>-121572.875316611</v>
      </c>
      <c r="L126" s="64" t="n">
        <v>-118957.395682334</v>
      </c>
      <c r="M126" s="64" t="n">
        <v>-114126.913724145</v>
      </c>
      <c r="N126" s="65" t="n">
        <v>-3541830.0867063</v>
      </c>
      <c r="P126" s="65" t="n">
        <v>-3597770.39064935</v>
      </c>
      <c r="Q126" s="65" t="n">
        <v>-3412323.14107894</v>
      </c>
    </row>
    <row r="127">
      <c r="A127" s="61" t="inlineStr">
        <is>
          <t>ISM / G.12.2.</t>
        </is>
      </c>
      <c r="B127" s="64" t="n">
        <v>-6686.40188715461</v>
      </c>
      <c r="C127" s="64" t="n">
        <v>-13248.1015235981</v>
      </c>
      <c r="D127" s="64" t="n">
        <v>-10609.8810230821</v>
      </c>
      <c r="E127" s="64" t="n">
        <v>-10706.5983508191</v>
      </c>
      <c r="F127" s="64" t="n">
        <v>-14192.1205241778</v>
      </c>
      <c r="G127" s="64" t="n">
        <v>-12025.2210753996</v>
      </c>
      <c r="H127" s="64" t="n">
        <v>-6093.94876427646</v>
      </c>
      <c r="I127" s="64" t="n">
        <v>-7930.97490395821</v>
      </c>
      <c r="J127" s="64" t="n">
        <v>-4421.32717812787</v>
      </c>
      <c r="K127" s="64" t="n">
        <v>-5119.69883749191</v>
      </c>
      <c r="L127" s="64" t="n">
        <v>-5009.55528772214</v>
      </c>
      <c r="M127" s="64" t="n">
        <v>-4806.13316085823</v>
      </c>
      <c r="N127" s="65" t="n">
        <v>-100849.962516666</v>
      </c>
      <c r="P127" s="65" t="n">
        <v>-96924.31270938909</v>
      </c>
      <c r="Q127" s="65" t="n">
        <v>-69350.520497615</v>
      </c>
    </row>
    <row r="128">
      <c r="A128" s="61" t="inlineStr">
        <is>
          <t>İncitaş / G.12.3.</t>
        </is>
      </c>
      <c r="B128" s="64" t="n">
        <v>30496.3959045608</v>
      </c>
      <c r="C128" s="64" t="n">
        <v>15645.556458716</v>
      </c>
      <c r="D128" s="64" t="n">
        <v>20161.1567561569</v>
      </c>
      <c r="E128" s="64" t="n">
        <v>14566.7245790698</v>
      </c>
      <c r="F128" s="64" t="n">
        <v>39616.9649233448</v>
      </c>
      <c r="G128" s="64" t="n">
        <v>16365.8110492173</v>
      </c>
      <c r="H128" s="64" t="n">
        <v>20881.3660643852</v>
      </c>
      <c r="I128" s="64" t="n">
        <v>20167.8968513311</v>
      </c>
      <c r="J128" s="64" t="n">
        <v>13544.9164824475</v>
      </c>
      <c r="K128" s="64" t="n">
        <v>-129116.509957169</v>
      </c>
      <c r="L128" s="64" t="n">
        <v>-126338.738999936</v>
      </c>
      <c r="M128" s="64" t="n">
        <v>-121208.524137219</v>
      </c>
      <c r="N128" s="65" t="n">
        <v>-185216.984025094</v>
      </c>
      <c r="P128" s="65" t="n">
        <v>-161965.42601589</v>
      </c>
      <c r="Q128" s="65" t="n">
        <v>-181581.291249622</v>
      </c>
    </row>
    <row r="129">
      <c r="A129" s="61" t="inlineStr">
        <is>
          <t>İnci GS Yuasa / G.12.4.</t>
        </is>
      </c>
      <c r="B129" s="64" t="n">
        <v>0</v>
      </c>
      <c r="C129" s="64" t="n">
        <v>0</v>
      </c>
      <c r="D129" s="64" t="n">
        <v>0</v>
      </c>
      <c r="E129" s="64" t="n">
        <v>0</v>
      </c>
      <c r="F129" s="64" t="n">
        <v>0</v>
      </c>
      <c r="G129" s="64" t="n">
        <v>0</v>
      </c>
      <c r="H129" s="64" t="n">
        <v>0</v>
      </c>
      <c r="I129" s="64" t="n">
        <v>0</v>
      </c>
      <c r="J129" s="64" t="n">
        <v>0</v>
      </c>
      <c r="K129" s="64" t="n">
        <v>0</v>
      </c>
      <c r="L129" s="64" t="n">
        <v>0</v>
      </c>
      <c r="M129" s="64" t="n">
        <v>0</v>
      </c>
      <c r="N129" s="65" t="n">
        <v>0</v>
      </c>
      <c r="P129" s="65" t="n">
        <v>0</v>
      </c>
      <c r="Q129" s="65" t="n">
        <v>0</v>
      </c>
    </row>
    <row r="130">
      <c r="A130" s="61" t="inlineStr">
        <is>
          <t>Yusen İnci Loj. / G.12.5.</t>
        </is>
      </c>
      <c r="B130" s="64" t="n">
        <v>-112751.692459851</v>
      </c>
      <c r="C130" s="64" t="n">
        <v>-112874.020064963</v>
      </c>
      <c r="D130" s="64" t="n">
        <v>-24001.7990493549</v>
      </c>
      <c r="E130" s="64" t="n">
        <v>-103837.801826735</v>
      </c>
      <c r="F130" s="64" t="n">
        <v>-319327.235181601</v>
      </c>
      <c r="G130" s="64" t="n">
        <v>-147677.230913726</v>
      </c>
      <c r="H130" s="64" t="n">
        <v>-189755.460103163</v>
      </c>
      <c r="I130" s="64" t="n">
        <v>-177693.968231283</v>
      </c>
      <c r="J130" s="64" t="n">
        <v>-184867.562106238</v>
      </c>
      <c r="K130" s="64" t="n">
        <v>-82382.1834601248</v>
      </c>
      <c r="L130" s="64" t="n">
        <v>-80609.8397320847</v>
      </c>
      <c r="M130" s="64" t="n">
        <v>-77336.5302060578</v>
      </c>
      <c r="N130" s="65" t="n">
        <v>-1613115.32333518</v>
      </c>
      <c r="P130" s="65" t="n">
        <v>-1397276.51900976</v>
      </c>
      <c r="Q130" s="65" t="n">
        <v>-1176071.46485405</v>
      </c>
    </row>
    <row r="131">
      <c r="A131" s="61" t="inlineStr">
        <is>
          <t>Jantaş / G.12.6.</t>
        </is>
      </c>
      <c r="B131" s="64" t="n">
        <v>-736964.98</v>
      </c>
      <c r="C131" s="64" t="n">
        <v>-708093.05</v>
      </c>
      <c r="D131" s="64" t="n">
        <v>-1167638.66</v>
      </c>
      <c r="E131" s="64" t="n">
        <v>-299655.4</v>
      </c>
      <c r="F131" s="64" t="n">
        <v>-882433.33</v>
      </c>
      <c r="G131" s="64" t="n">
        <v>-366207.72</v>
      </c>
      <c r="H131" s="64" t="n">
        <v>-213931.46</v>
      </c>
      <c r="I131" s="64" t="n">
        <v>1193529.82</v>
      </c>
      <c r="J131" s="64" t="n">
        <v>-397017.96</v>
      </c>
      <c r="K131" s="64" t="n">
        <v>-211262.406427747</v>
      </c>
      <c r="L131" s="64" t="n">
        <v>-211262.406427747</v>
      </c>
      <c r="M131" s="64" t="n">
        <v>-211262.406427747</v>
      </c>
      <c r="N131" s="65" t="n">
        <v>-4212199.95928324</v>
      </c>
      <c r="P131" s="65" t="n">
        <v>-6058410.1734</v>
      </c>
      <c r="Q131" s="65" t="n">
        <v>-5970205.16432925</v>
      </c>
    </row>
    <row r="132">
      <c r="A132" s="61" t="inlineStr">
        <is>
          <t>Çelik / G.12.7.</t>
        </is>
      </c>
      <c r="B132" s="64" t="n">
        <v>-122535.08</v>
      </c>
      <c r="C132" s="64" t="n">
        <v>-213027.36</v>
      </c>
      <c r="D132" s="64" t="n">
        <v>41529.63</v>
      </c>
      <c r="E132" s="64" t="n">
        <v>74207.56</v>
      </c>
      <c r="F132" s="64" t="n">
        <v>-829711.6800000001</v>
      </c>
      <c r="G132" s="64" t="n">
        <v>-164591.28</v>
      </c>
      <c r="H132" s="64" t="n">
        <v>-28108.3300000001</v>
      </c>
      <c r="I132" s="64" t="n">
        <v>132261.34</v>
      </c>
      <c r="J132" s="64" t="n">
        <v>-649919.49</v>
      </c>
      <c r="K132" s="64" t="n">
        <v>-143544.421295057</v>
      </c>
      <c r="L132" s="64" t="n">
        <v>-143544.421295057</v>
      </c>
      <c r="M132" s="64" t="n">
        <v>-143544.421295057</v>
      </c>
      <c r="N132" s="65" t="n">
        <v>-2190527.95388517</v>
      </c>
      <c r="P132" s="65" t="n">
        <v>-2365000</v>
      </c>
      <c r="Q132" s="65" t="n">
        <v>-2096000</v>
      </c>
    </row>
    <row r="133">
      <c r="A133" s="61" t="inlineStr">
        <is>
          <t>Alüminyum / G.12.8.</t>
        </is>
      </c>
      <c r="B133" s="64" t="n">
        <v>-640361.97</v>
      </c>
      <c r="C133" s="64" t="n">
        <v>-762316.3199999999</v>
      </c>
      <c r="D133" s="64" t="n">
        <v>1010240.71</v>
      </c>
      <c r="E133" s="64" t="n">
        <v>-95788.84</v>
      </c>
      <c r="F133" s="64" t="n">
        <v>-1168635.59</v>
      </c>
      <c r="G133" s="64" t="n">
        <v>-233139.38</v>
      </c>
      <c r="H133" s="64" t="n">
        <v>-727263.28</v>
      </c>
      <c r="I133" s="64" t="n">
        <v>-124785.83</v>
      </c>
      <c r="J133" s="64" t="n">
        <v>-344758.41</v>
      </c>
      <c r="K133" s="64" t="n">
        <v>-446162.882885803</v>
      </c>
      <c r="L133" s="64" t="n">
        <v>-446162.882885803</v>
      </c>
      <c r="M133" s="64" t="n">
        <v>-446162.882885803</v>
      </c>
      <c r="N133" s="65" t="n">
        <v>-4425297.55865741</v>
      </c>
      <c r="P133" s="65" t="n">
        <v>-4836388.96746742</v>
      </c>
      <c r="Q133" s="65" t="n">
        <v>-4836388.96746742</v>
      </c>
    </row>
    <row r="134">
      <c r="A134" s="61" t="inlineStr">
        <is>
          <t>x / G.12.9.</t>
        </is>
      </c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5" t="n"/>
      <c r="P134" s="65" t="n"/>
      <c r="Q134" s="65" t="n"/>
    </row>
    <row r="135">
      <c r="A135" s="61" t="inlineStr">
        <is>
          <t>y / G.12.10.</t>
        </is>
      </c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5" t="n"/>
      <c r="P135" s="65" t="n"/>
      <c r="Q135" s="65" t="n"/>
    </row>
    <row r="136">
      <c r="A136" s="61" t="inlineStr">
        <is>
          <t>Net Kar-EUR / G.13.</t>
        </is>
      </c>
      <c r="B136" s="64" t="n">
        <v>1815553.6245589</v>
      </c>
      <c r="C136" s="64" t="n">
        <v>3256864.67671764</v>
      </c>
      <c r="D136" s="64" t="n">
        <v>2138814.5783667</v>
      </c>
      <c r="E136" s="64" t="n">
        <v>8058382.47957185</v>
      </c>
      <c r="F136" s="64" t="n">
        <v>2405404.82156987</v>
      </c>
      <c r="G136" s="64" t="n">
        <v>1497872.61083369</v>
      </c>
      <c r="H136" s="64" t="n">
        <v>813892.7449862279</v>
      </c>
      <c r="I136" s="64" t="n">
        <v>616431.0977979139</v>
      </c>
      <c r="J136" s="64" t="n">
        <v>1495432.22534384</v>
      </c>
      <c r="K136" s="64" t="n">
        <v>1865294.4826719</v>
      </c>
      <c r="L136" s="64" t="n">
        <v>1853626.61561373</v>
      </c>
      <c r="M136" s="64" t="n">
        <v>1832077.44330265</v>
      </c>
      <c r="N136" s="65" t="n">
        <v>27649647.4013348</v>
      </c>
      <c r="P136" s="65" t="n">
        <v>29996324.8865068</v>
      </c>
      <c r="Q136" s="65" t="n">
        <v>30404936.4532002</v>
      </c>
    </row>
    <row r="137">
      <c r="A137" s="61" t="inlineStr">
        <is>
          <t>İnci Holding / G.13.1.</t>
        </is>
      </c>
      <c r="B137" s="64" t="n">
        <v>814987.492883474</v>
      </c>
      <c r="C137" s="64" t="n">
        <v>747648.598003923</v>
      </c>
      <c r="D137" s="64" t="n">
        <v>531088.718907913</v>
      </c>
      <c r="E137" s="64" t="n">
        <v>6027213.7419147</v>
      </c>
      <c r="F137" s="64" t="n">
        <v>1174281.10334008</v>
      </c>
      <c r="G137" s="64" t="n">
        <v>425681.177573224</v>
      </c>
      <c r="H137" s="64" t="n">
        <v>601287.095610347</v>
      </c>
      <c r="I137" s="64" t="n">
        <v>523154.285247463</v>
      </c>
      <c r="J137" s="64" t="n">
        <v>454634.4390048</v>
      </c>
      <c r="K137" s="64" t="n">
        <v>431031.103395257</v>
      </c>
      <c r="L137" s="64" t="n">
        <v>421758.039237367</v>
      </c>
      <c r="M137" s="64" t="n">
        <v>404631.78502197</v>
      </c>
      <c r="N137" s="65" t="n">
        <v>12557397.5801405</v>
      </c>
      <c r="P137" s="65" t="n">
        <v>12755731.3850295</v>
      </c>
      <c r="Q137" s="65" t="n">
        <v>12098236.5910981</v>
      </c>
    </row>
    <row r="138">
      <c r="A138" s="61" t="inlineStr">
        <is>
          <t>ISM / G.13.2.</t>
        </is>
      </c>
      <c r="B138" s="64" t="n">
        <v>104753.629565422</v>
      </c>
      <c r="C138" s="64" t="n">
        <v>207553.59053637</v>
      </c>
      <c r="D138" s="64" t="n">
        <v>166221.469361619</v>
      </c>
      <c r="E138" s="64" t="n">
        <v>167736.707496166</v>
      </c>
      <c r="F138" s="64" t="n">
        <v>222343.221545452</v>
      </c>
      <c r="G138" s="64" t="n">
        <v>188395.13018126</v>
      </c>
      <c r="H138" s="64" t="n">
        <v>95471.8639736646</v>
      </c>
      <c r="I138" s="64" t="n">
        <v>124251.940162012</v>
      </c>
      <c r="J138" s="64" t="n">
        <v>69267.45912400341</v>
      </c>
      <c r="K138" s="64" t="n">
        <v>80208.6151207066</v>
      </c>
      <c r="L138" s="64" t="n">
        <v>78483.0328409802</v>
      </c>
      <c r="M138" s="64" t="n">
        <v>75296.08618677891</v>
      </c>
      <c r="N138" s="65" t="n">
        <v>1579982.74609443</v>
      </c>
      <c r="P138" s="65" t="n">
        <v>1518480.89911376</v>
      </c>
      <c r="Q138" s="65" t="n">
        <v>1086491.48779597</v>
      </c>
    </row>
    <row r="139">
      <c r="A139" s="61" t="inlineStr">
        <is>
          <t>İncitaş / G.13.3.</t>
        </is>
      </c>
      <c r="B139" s="64" t="n">
        <v>163089.421576564</v>
      </c>
      <c r="C139" s="64" t="n">
        <v>83669.71497487259</v>
      </c>
      <c r="D139" s="64" t="n">
        <v>107818.360043796</v>
      </c>
      <c r="E139" s="64" t="n">
        <v>77900.30970545999</v>
      </c>
      <c r="F139" s="64" t="n">
        <v>211864.638503105</v>
      </c>
      <c r="G139" s="64" t="n">
        <v>87521.51126320539</v>
      </c>
      <c r="H139" s="64" t="n">
        <v>111669.914170408</v>
      </c>
      <c r="I139" s="64" t="n">
        <v>107854.404900597</v>
      </c>
      <c r="J139" s="64" t="n">
        <v>72435.8577104799</v>
      </c>
      <c r="K139" s="64" t="n">
        <v>-78337.4905131016</v>
      </c>
      <c r="L139" s="64" t="n">
        <v>-76652.16300477579</v>
      </c>
      <c r="M139" s="64" t="n">
        <v>-73539.5621586754</v>
      </c>
      <c r="N139" s="65" t="n">
        <v>795294.917171936</v>
      </c>
      <c r="P139" s="65" t="n">
        <v>798359.291319966</v>
      </c>
      <c r="Q139" s="65" t="n">
        <v>731094.615913073</v>
      </c>
    </row>
    <row r="140">
      <c r="A140" s="61" t="inlineStr">
        <is>
          <t>İnci GS Yuasa / G.13.4.</t>
        </is>
      </c>
      <c r="B140" s="64" t="n">
        <v>-131096.716333629</v>
      </c>
      <c r="C140" s="64" t="n">
        <v>529104.498686929</v>
      </c>
      <c r="D140" s="64" t="n">
        <v>-3347858.24725221</v>
      </c>
      <c r="E140" s="64" t="n">
        <v>-2278304.03159843</v>
      </c>
      <c r="F140" s="64" t="n">
        <v>-2241398.4161562</v>
      </c>
      <c r="G140" s="64" t="n">
        <v>-2605678.75152674</v>
      </c>
      <c r="H140" s="64" t="n">
        <v>-1647573.04164552</v>
      </c>
      <c r="I140" s="64" t="n">
        <v>-5505958.41876509</v>
      </c>
      <c r="J140" s="64" t="n">
        <v>-2235196.56633167</v>
      </c>
      <c r="K140" s="64" t="n">
        <v>6085.4268830535</v>
      </c>
      <c r="L140" s="64" t="n">
        <v>5954.5069715348</v>
      </c>
      <c r="M140" s="64" t="n">
        <v>5712.7133585306</v>
      </c>
      <c r="N140" s="65" t="n">
        <v>-19446207.0437094</v>
      </c>
      <c r="P140" s="65" t="n">
        <v>-15449185.7110563</v>
      </c>
      <c r="Q140" s="65" t="n">
        <v>-11509879.6700153</v>
      </c>
    </row>
    <row r="141">
      <c r="A141" s="61" t="inlineStr">
        <is>
          <t>Yusen İnci Loj. / G.13.5.</t>
        </is>
      </c>
      <c r="B141" s="64" t="n">
        <v>556008.787667233</v>
      </c>
      <c r="C141" s="64" t="n">
        <v>504638.934319264</v>
      </c>
      <c r="D141" s="64" t="n">
        <v>647576.392385684</v>
      </c>
      <c r="E141" s="64" t="n">
        <v>360962.712737196</v>
      </c>
      <c r="F141" s="64" t="n">
        <v>1085319.15160928</v>
      </c>
      <c r="G141" s="64" t="n">
        <v>506137.621066736</v>
      </c>
      <c r="H141" s="64" t="n">
        <v>653624.449725065</v>
      </c>
      <c r="I141" s="64" t="n">
        <v>608124.1974846669</v>
      </c>
      <c r="J141" s="64" t="n">
        <v>631577.8700930719</v>
      </c>
      <c r="K141" s="64" t="n">
        <v>267525.178175528</v>
      </c>
      <c r="L141" s="64" t="n">
        <v>261769.727764803</v>
      </c>
      <c r="M141" s="64" t="n">
        <v>251140.090658886</v>
      </c>
      <c r="N141" s="65" t="n">
        <v>6334405.11368738</v>
      </c>
      <c r="P141" s="65" t="n">
        <v>5663833.67398365</v>
      </c>
      <c r="Q141" s="65" t="n">
        <v>4921382.87394034</v>
      </c>
    </row>
    <row r="142">
      <c r="A142" s="61" t="inlineStr">
        <is>
          <t>Jantaş / G.13.6.</t>
        </is>
      </c>
      <c r="B142" s="64" t="n">
        <v>140194.13</v>
      </c>
      <c r="C142" s="64" t="n">
        <v>2642473.92</v>
      </c>
      <c r="D142" s="64" t="n">
        <v>2511433.86</v>
      </c>
      <c r="E142" s="64" t="n">
        <v>2488871.51</v>
      </c>
      <c r="F142" s="64" t="n">
        <v>1149025.35999999</v>
      </c>
      <c r="G142" s="64" t="n">
        <v>1809653.92000001</v>
      </c>
      <c r="H142" s="64" t="n">
        <v>-305219.000000003</v>
      </c>
      <c r="I142" s="64" t="n">
        <v>1434303.83000001</v>
      </c>
      <c r="J142" s="64" t="n">
        <v>1005976.72</v>
      </c>
      <c r="K142" s="64" t="n">
        <v>772704.263934687</v>
      </c>
      <c r="L142" s="64" t="n">
        <v>772704.263934687</v>
      </c>
      <c r="M142" s="64" t="n">
        <v>772704.263934687</v>
      </c>
      <c r="N142" s="65" t="n">
        <v>15194827.0418041</v>
      </c>
      <c r="P142" s="65" t="n">
        <v>16151190.3325</v>
      </c>
      <c r="Q142" s="65" t="n">
        <v>17703736.2098758</v>
      </c>
    </row>
    <row r="143">
      <c r="A143" s="61" t="inlineStr">
        <is>
          <t>Çelik / G.13.7.</t>
        </is>
      </c>
      <c r="B143" s="64" t="n">
        <v>405056.800000001</v>
      </c>
      <c r="C143" s="64" t="n">
        <v>610635.0699999999</v>
      </c>
      <c r="D143" s="64" t="n">
        <v>1173732.57</v>
      </c>
      <c r="E143" s="64" t="n">
        <v>962912.24</v>
      </c>
      <c r="F143" s="64" t="n">
        <v>1610073.86</v>
      </c>
      <c r="G143" s="64" t="n">
        <v>724327.79</v>
      </c>
      <c r="H143" s="64" t="n">
        <v>587699.7199999969</v>
      </c>
      <c r="I143" s="64" t="n">
        <v>1515210.87</v>
      </c>
      <c r="J143" s="64" t="n">
        <v>347933.61</v>
      </c>
      <c r="K143" s="64" t="n">
        <v>622688.011075885</v>
      </c>
      <c r="L143" s="64" t="n">
        <v>622688.011075885</v>
      </c>
      <c r="M143" s="64" t="n">
        <v>622688.011075885</v>
      </c>
      <c r="N143" s="65" t="n">
        <v>9805646.56322765</v>
      </c>
      <c r="P143" s="65" t="n">
        <v>9746000</v>
      </c>
      <c r="Q143" s="65" t="n">
        <v>8910000</v>
      </c>
    </row>
    <row r="144">
      <c r="A144" s="61" t="inlineStr">
        <is>
          <t>Alüminyum / G.13.8.</t>
        </is>
      </c>
      <c r="B144" s="64" t="n">
        <v>861644.700000002</v>
      </c>
      <c r="C144" s="64" t="n">
        <v>1258129.51</v>
      </c>
      <c r="D144" s="64" t="n">
        <v>2349330.49999999</v>
      </c>
      <c r="E144" s="64" t="n">
        <v>2929386.87</v>
      </c>
      <c r="F144" s="64" t="n">
        <v>389269.690000017</v>
      </c>
      <c r="G144" s="64" t="n">
        <v>1556246.39999999</v>
      </c>
      <c r="H144" s="64" t="n">
        <v>725127.55</v>
      </c>
      <c r="I144" s="64" t="n">
        <v>1601245.69</v>
      </c>
      <c r="J144" s="64" t="n">
        <v>2497444.54</v>
      </c>
      <c r="K144" s="64" t="n">
        <v>1911977.75660343</v>
      </c>
      <c r="L144" s="64" t="n">
        <v>1911977.75660343</v>
      </c>
      <c r="M144" s="64" t="n">
        <v>1911977.75660343</v>
      </c>
      <c r="N144" s="65" t="n">
        <v>19903758.7198103</v>
      </c>
      <c r="P144" s="65" t="n">
        <v>21197544.9821817</v>
      </c>
      <c r="Q144" s="65" t="n">
        <v>21197544.9821817</v>
      </c>
    </row>
    <row r="145">
      <c r="A145" s="61" t="inlineStr">
        <is>
          <t>x / G.13.9.</t>
        </is>
      </c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5" t="n"/>
      <c r="P145" s="65" t="n"/>
      <c r="Q145" s="65" t="n"/>
    </row>
    <row r="146">
      <c r="A146" s="61" t="inlineStr">
        <is>
          <t>y / G.13.10.</t>
        </is>
      </c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5" t="n"/>
      <c r="P146" s="65" t="n"/>
      <c r="Q146" s="65" t="n"/>
    </row>
    <row r="147">
      <c r="A147" s="61" t="inlineStr">
        <is>
          <t>Operasyonel Nakit -EUR / G.14.</t>
        </is>
      </c>
      <c r="B147" s="64" t="n">
        <v>2935778.89982345</v>
      </c>
      <c r="C147" s="64" t="n">
        <v>1514733.60945721</v>
      </c>
      <c r="D147" s="64" t="n">
        <v>-881362.3676698559</v>
      </c>
      <c r="E147" s="64" t="n">
        <v>2434946.32351618</v>
      </c>
      <c r="F147" s="64" t="n">
        <v>2395588.25119785</v>
      </c>
      <c r="G147" s="64" t="n">
        <v>-812007.761739691</v>
      </c>
      <c r="H147" s="64" t="n">
        <v>-2709284.81085577</v>
      </c>
      <c r="I147" s="64" t="n">
        <v>3509037.13386596</v>
      </c>
      <c r="J147" s="64" t="n">
        <v>1323467.86343652</v>
      </c>
      <c r="K147" s="64" t="n">
        <v>72568077.2752043</v>
      </c>
      <c r="L147" s="64" t="n">
        <v>70126314.669551</v>
      </c>
      <c r="M147" s="64" t="n">
        <v>68662216.1775344</v>
      </c>
      <c r="N147" s="65" t="n">
        <v>19919168.7810029</v>
      </c>
      <c r="P147" s="65" t="n">
        <v>27531047.0680888</v>
      </c>
      <c r="Q147" s="93" t="n">
        <v>30124447.01517021</v>
      </c>
    </row>
    <row r="148">
      <c r="A148" s="61" t="inlineStr">
        <is>
          <t>İnci Holding / G.14.1.</t>
        </is>
      </c>
      <c r="B148" s="64" t="n">
        <v>155855.711352374</v>
      </c>
      <c r="C148" s="64" t="n">
        <v>244525.365576245</v>
      </c>
      <c r="D148" s="64" t="n">
        <v>336838.400132103</v>
      </c>
      <c r="E148" s="64" t="n">
        <v>-1294460.67435756</v>
      </c>
      <c r="F148" s="64" t="n">
        <v>97537.173651281</v>
      </c>
      <c r="G148" s="64" t="n">
        <v>274141.21350606</v>
      </c>
      <c r="H148" s="64" t="n">
        <v>252132.582033869</v>
      </c>
      <c r="I148" s="64" t="n">
        <v>403885.144579127</v>
      </c>
      <c r="J148" s="64" t="n">
        <v>370944.281753994</v>
      </c>
      <c r="K148" s="64" t="n">
        <v>247201.821406131</v>
      </c>
      <c r="L148" s="64" t="n">
        <v>241883.601138986</v>
      </c>
      <c r="M148" s="64" t="n">
        <v>232061.476465008</v>
      </c>
      <c r="N148" s="65" t="n">
        <v>1293922.38042369</v>
      </c>
      <c r="P148" s="65" t="n">
        <v>2480003.46180828</v>
      </c>
      <c r="Q148" s="65" t="n">
        <v>1017901.17437008</v>
      </c>
    </row>
    <row r="149">
      <c r="A149" s="61" t="inlineStr">
        <is>
          <t>ISM / G.14.2.</t>
        </is>
      </c>
      <c r="B149" s="64" t="n">
        <v>144375.505587775</v>
      </c>
      <c r="C149" s="64" t="n">
        <v>217715.155165674</v>
      </c>
      <c r="D149" s="64" t="n">
        <v>183232.455086172</v>
      </c>
      <c r="E149" s="64" t="n">
        <v>166769.398056376</v>
      </c>
      <c r="F149" s="64" t="n">
        <v>198233.545141454</v>
      </c>
      <c r="G149" s="64" t="n">
        <v>249692.941119461</v>
      </c>
      <c r="H149" s="64" t="n">
        <v>76906.7281152244</v>
      </c>
      <c r="I149" s="64" t="n">
        <v>126791.200031026</v>
      </c>
      <c r="J149" s="64" t="n">
        <v>101554.363301711</v>
      </c>
      <c r="K149" s="64" t="n">
        <v>92129.62969941919</v>
      </c>
      <c r="L149" s="64" t="n">
        <v>90147.5825563806</v>
      </c>
      <c r="M149" s="64" t="n">
        <v>86486.97559188549</v>
      </c>
      <c r="N149" s="65" t="n">
        <v>1637912.87578408</v>
      </c>
      <c r="P149" s="65" t="n">
        <v>1646260.87874197</v>
      </c>
      <c r="Q149" s="65" t="n">
        <v>1146913.0703064</v>
      </c>
    </row>
    <row r="150">
      <c r="A150" s="61" t="inlineStr">
        <is>
          <t>İncitaş / G.14.3.</t>
        </is>
      </c>
      <c r="B150" s="64" t="n">
        <v>133489.753710618</v>
      </c>
      <c r="C150" s="64" t="n">
        <v>68372.833081067</v>
      </c>
      <c r="D150" s="64" t="n">
        <v>91919.0631052723</v>
      </c>
      <c r="E150" s="64" t="n">
        <v>83559.7280890938</v>
      </c>
      <c r="F150" s="64" t="n">
        <v>128202.029296058</v>
      </c>
      <c r="G150" s="64" t="n">
        <v>94142.9550930363</v>
      </c>
      <c r="H150" s="64" t="n">
        <v>61833.7328441863</v>
      </c>
      <c r="I150" s="64" t="n">
        <v>110800.031609293</v>
      </c>
      <c r="J150" s="64" t="n">
        <v>80938.9763255132</v>
      </c>
      <c r="K150" s="64" t="n">
        <v>-73840.74496420519</v>
      </c>
      <c r="L150" s="64" t="n">
        <v>-72252.15898949069</v>
      </c>
      <c r="M150" s="64" t="n">
        <v>-69318.2283293832</v>
      </c>
      <c r="N150" s="65" t="n">
        <v>316929.109097766</v>
      </c>
      <c r="P150" s="65" t="n">
        <v>413844.471325714</v>
      </c>
      <c r="Q150" s="65" t="n">
        <v>220860.72264789</v>
      </c>
    </row>
    <row r="151">
      <c r="A151" s="61" t="inlineStr">
        <is>
          <t>İnci GS Yuasa / G.14.4.</t>
        </is>
      </c>
      <c r="B151" s="64" t="n">
        <v>1840918.08506594</v>
      </c>
      <c r="C151" s="64" t="n">
        <v>1522884.5786614</v>
      </c>
      <c r="D151" s="64" t="n">
        <v>391818.312999233</v>
      </c>
      <c r="E151" s="64" t="n">
        <v>2058850.46058518</v>
      </c>
      <c r="F151" s="64" t="n">
        <v>957536.075182635</v>
      </c>
      <c r="G151" s="64" t="n">
        <v>766694.767693922</v>
      </c>
      <c r="H151" s="64" t="n">
        <v>1165134.75311276</v>
      </c>
      <c r="I151" s="64" t="n">
        <v>1251939.29640373</v>
      </c>
      <c r="J151" s="64" t="n">
        <v>1184214.49422488</v>
      </c>
      <c r="K151" s="64" t="n">
        <v>681035.6457502251</v>
      </c>
      <c r="L151" s="64" t="n">
        <v>666384.064490521</v>
      </c>
      <c r="M151" s="64" t="n">
        <v>639324.3244694649</v>
      </c>
      <c r="N151" s="65" t="n">
        <v>-16262706.6778208</v>
      </c>
      <c r="P151" s="65" t="n">
        <v>-2917437.34636966</v>
      </c>
      <c r="Q151" s="65" t="n">
        <v>302104.86263303</v>
      </c>
    </row>
    <row r="152">
      <c r="A152" s="61" t="inlineStr">
        <is>
          <t>Yusen / G.14.5.</t>
        </is>
      </c>
      <c r="B152" s="64" t="n">
        <v>418012.401413372</v>
      </c>
      <c r="C152" s="64" t="n">
        <v>394354.730424159</v>
      </c>
      <c r="D152" s="64" t="n">
        <v>661606.014504854</v>
      </c>
      <c r="E152" s="64" t="n">
        <v>525036.288735478</v>
      </c>
      <c r="F152" s="64" t="n">
        <v>304790.780127412</v>
      </c>
      <c r="G152" s="64" t="n">
        <v>551038.993660458</v>
      </c>
      <c r="H152" s="64" t="n">
        <v>226555.692264616</v>
      </c>
      <c r="I152" s="64" t="n">
        <v>663286.899404061</v>
      </c>
      <c r="J152" s="64" t="n">
        <v>636637.9823963901</v>
      </c>
      <c r="K152" s="64" t="n">
        <v>310464.321119058</v>
      </c>
      <c r="L152" s="64" t="n">
        <v>303785.091834224</v>
      </c>
      <c r="M152" s="64" t="n">
        <v>291449.344259598</v>
      </c>
      <c r="N152" s="65" t="n">
        <v>5590096.7474604</v>
      </c>
      <c r="P152" s="65" t="n">
        <v>4245110.67921229</v>
      </c>
      <c r="Q152" s="65" t="n">
        <v>5022716.80088457</v>
      </c>
    </row>
    <row r="153">
      <c r="A153" s="61" t="inlineStr">
        <is>
          <t>Jantaş / G.14.6.</t>
        </is>
      </c>
      <c r="B153" s="64" t="n">
        <v>6441165.0564524</v>
      </c>
      <c r="C153" s="64" t="n">
        <v>4697544.52</v>
      </c>
      <c r="D153" s="64" t="n">
        <v>-146623.970000001</v>
      </c>
      <c r="E153" s="64" t="n">
        <v>3818068.17</v>
      </c>
      <c r="F153" s="64" t="n">
        <v>1678222.4</v>
      </c>
      <c r="G153" s="64" t="n">
        <v>3464299.34</v>
      </c>
      <c r="H153" s="64" t="n">
        <v>-51958.3600000002</v>
      </c>
      <c r="I153" s="64" t="n">
        <v>5567758.7783085</v>
      </c>
      <c r="J153" s="64" t="n">
        <v>801290.208516999</v>
      </c>
      <c r="K153" s="64" t="n">
        <v>39128305.2505148</v>
      </c>
      <c r="L153" s="64" t="n">
        <v>36273642.8305148</v>
      </c>
      <c r="M153" s="64" t="n">
        <v>37949270.5805148</v>
      </c>
      <c r="N153" s="65" t="n">
        <v>19504696.3215444</v>
      </c>
      <c r="P153" s="65" t="n">
        <v>17665111.8192</v>
      </c>
      <c r="Q153" s="65" t="n">
        <v>22898468.8621278</v>
      </c>
    </row>
    <row r="154">
      <c r="A154" s="61" t="inlineStr">
        <is>
          <t>Çelik / G.14.7.</t>
        </is>
      </c>
      <c r="B154" s="64" t="n">
        <v>-6391931.62</v>
      </c>
      <c r="C154" s="64" t="n">
        <v>-8692784.439999999</v>
      </c>
      <c r="D154" s="64" t="n">
        <v>-3242117.14</v>
      </c>
      <c r="E154" s="64" t="n">
        <v>-4296695.11</v>
      </c>
      <c r="F154" s="64" t="n">
        <v>-3833068.26</v>
      </c>
      <c r="G154" s="64" t="n">
        <v>-4431430.26</v>
      </c>
      <c r="H154" s="64" t="n">
        <v>-4203716.59</v>
      </c>
      <c r="I154" s="64" t="n">
        <v>1855468.43</v>
      </c>
      <c r="J154" s="64" t="n">
        <v>5514801.28</v>
      </c>
      <c r="K154" s="64" t="n">
        <v>65300985.094614</v>
      </c>
      <c r="L154" s="64" t="n">
        <v>63473148.434614</v>
      </c>
      <c r="M154" s="64" t="n">
        <v>60699801.294614</v>
      </c>
      <c r="N154" s="65" t="n">
        <v>13643858.0038421</v>
      </c>
      <c r="P154" s="65" t="n">
        <v>14110824.84</v>
      </c>
      <c r="Q154" s="65" t="n">
        <v>14340061.5805972</v>
      </c>
    </row>
    <row r="155">
      <c r="A155" s="61" t="inlineStr">
        <is>
          <t>Alüminyum / G.14.8.</t>
        </is>
      </c>
      <c r="B155" s="66" t="n">
        <v>3946980.9</v>
      </c>
      <c r="C155" s="66" t="n">
        <v>4538301.25</v>
      </c>
      <c r="D155" s="66" t="n">
        <v>-1398063.9324876</v>
      </c>
      <c r="E155" s="66" t="n">
        <v>6592434.87</v>
      </c>
      <c r="F155" s="66" t="n">
        <v>5821557.7624626</v>
      </c>
      <c r="G155" s="66" t="n">
        <v>-3925565.02</v>
      </c>
      <c r="H155" s="66" t="n">
        <v>-4886410.13</v>
      </c>
      <c r="I155" s="66" t="n">
        <v>-2169551.51</v>
      </c>
      <c r="J155" s="66" t="n">
        <v>-6211868.36</v>
      </c>
      <c r="K155" s="66" t="n">
        <v>75335676.1106593</v>
      </c>
      <c r="L155" s="66" t="n">
        <v>73949378.6906593</v>
      </c>
      <c r="M155" s="66" t="n">
        <v>71452619.34065931</v>
      </c>
      <c r="N155" s="67" t="n">
        <v>21609909.0091</v>
      </c>
      <c r="P155" s="67" t="n">
        <v>26783578.013372</v>
      </c>
      <c r="Q155" s="67" t="n">
        <v>26783578.013372</v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O155"/>
  <sheetViews>
    <sheetView showGridLines="0" zoomScale="70" zoomScaleNormal="70" workbookViewId="0">
      <pane xSplit="1" ySplit="1" topLeftCell="B2" activePane="bottomRight" state="frozen"/>
      <selection pane="topRight" activeCell="N2" sqref="N2:N155"/>
      <selection pane="bottomLeft" activeCell="N2" sqref="N2:N155"/>
      <selection pane="bottomRight" activeCell="A5" sqref="A5"/>
    </sheetView>
  </sheetViews>
  <sheetFormatPr baseColWidth="8" defaultRowHeight="14.5"/>
  <cols>
    <col width="28.453125" bestFit="1" customWidth="1" min="1" max="1"/>
    <col width="12.26953125" bestFit="1" customWidth="1" min="2" max="3"/>
    <col width="13.453125" bestFit="1" customWidth="1" min="4" max="4"/>
    <col width="12.1796875" bestFit="1" customWidth="1" min="5" max="6"/>
    <col width="14.54296875" bestFit="1" customWidth="1" min="7" max="10"/>
    <col width="12.1796875" bestFit="1" customWidth="1" min="11" max="15"/>
  </cols>
  <sheetData>
    <row r="1">
      <c r="A1" s="60" t="inlineStr">
        <is>
          <t>Yapı</t>
        </is>
      </c>
      <c r="B1" s="61" t="inlineStr">
        <is>
          <t>Eylül Tahmin</t>
        </is>
      </c>
      <c r="C1" s="61" t="inlineStr">
        <is>
          <t>Ağustos Tahmin</t>
        </is>
      </c>
      <c r="D1" s="61" t="inlineStr">
        <is>
          <t>Temmuz Tahmin</t>
        </is>
      </c>
      <c r="E1" s="61" t="inlineStr">
        <is>
          <t>Haziran Tahmin</t>
        </is>
      </c>
      <c r="F1" s="61" t="inlineStr">
        <is>
          <t>Mayıs Tahmin</t>
        </is>
      </c>
      <c r="G1" s="61" t="inlineStr">
        <is>
          <t>Nisan Tahmin</t>
        </is>
      </c>
      <c r="H1" s="61" t="inlineStr">
        <is>
          <t>Mart Tahmin</t>
        </is>
      </c>
      <c r="I1" s="61" t="inlineStr">
        <is>
          <t>Şubat Tahmin</t>
        </is>
      </c>
      <c r="J1" s="61" t="inlineStr">
        <is>
          <t>Ocak Tahmin</t>
        </is>
      </c>
      <c r="K1" s="61" t="n"/>
      <c r="L1" s="61" t="n"/>
      <c r="M1" s="61" t="n"/>
      <c r="N1" s="61" t="n"/>
      <c r="O1" s="61" t="n"/>
    </row>
    <row r="2">
      <c r="A2" s="61" t="inlineStr">
        <is>
          <t>Eur Kuru-kapanış / G.1.1.</t>
        </is>
      </c>
      <c r="B2" s="507" t="n">
        <v>19.894</v>
      </c>
      <c r="C2" s="507" t="n">
        <v>21.5021</v>
      </c>
      <c r="D2" s="507" t="n">
        <v>21.5021</v>
      </c>
      <c r="E2" s="507" t="n">
        <v>19.8158640065219</v>
      </c>
      <c r="F2" s="507" t="n">
        <v>19.8158640065219</v>
      </c>
      <c r="G2" s="507" t="n">
        <v>17.5024912500001</v>
      </c>
      <c r="H2" s="507" t="n">
        <v>17.5024912500001</v>
      </c>
      <c r="I2" s="507" t="n">
        <v>17.5024912500001</v>
      </c>
      <c r="J2" s="507" t="n">
        <v>17.5024912500001</v>
      </c>
      <c r="K2" s="507" t="n"/>
      <c r="L2" s="507" t="n"/>
      <c r="M2" s="507" t="n"/>
      <c r="N2" s="507" t="n"/>
      <c r="O2" s="507" t="n"/>
    </row>
    <row r="3">
      <c r="A3" s="61" t="inlineStr">
        <is>
          <t>Eur Kuru-ortalama / G.1.2.</t>
        </is>
      </c>
      <c r="B3" s="507" t="n">
        <v>19.3071</v>
      </c>
      <c r="C3" s="507" t="n">
        <v>20.909</v>
      </c>
      <c r="D3" s="507" t="n">
        <v>20.909</v>
      </c>
      <c r="E3" s="507" t="n">
        <v>19.2497</v>
      </c>
      <c r="F3" s="507" t="n">
        <v>19.2497</v>
      </c>
      <c r="G3" s="507" t="n">
        <v>17.4102865421197</v>
      </c>
      <c r="H3" s="507" t="n">
        <v>17.4102865421197</v>
      </c>
      <c r="I3" s="507" t="n">
        <v>17.4102865421197</v>
      </c>
      <c r="J3" s="507" t="n">
        <v>17.4102865421197</v>
      </c>
      <c r="K3" s="507" t="n"/>
      <c r="L3" s="507" t="n"/>
      <c r="M3" s="507" t="n"/>
      <c r="N3" s="507" t="n"/>
      <c r="O3" s="507" t="n"/>
    </row>
    <row r="4">
      <c r="A4" s="61" t="inlineStr">
        <is>
          <t>Net Satışlar-TL / G.1.</t>
        </is>
      </c>
      <c r="B4" s="65" t="n">
        <v>6322222706.18998</v>
      </c>
      <c r="C4" s="65" t="n">
        <v>6429379557.41536</v>
      </c>
      <c r="D4" s="65" t="n">
        <v>6442905766.86354</v>
      </c>
      <c r="E4" s="65" t="n">
        <v>6153221200.59719</v>
      </c>
      <c r="F4" s="65" t="n">
        <v>6561798755.59408</v>
      </c>
      <c r="G4" s="65" t="n">
        <v>6175741572.31719</v>
      </c>
      <c r="H4" s="65" t="n">
        <v>6124270914.27152</v>
      </c>
      <c r="I4" s="65" t="n">
        <v>5845577191.88813</v>
      </c>
      <c r="J4" s="65" t="n">
        <v>5753071625.21244</v>
      </c>
      <c r="K4" s="65" t="n"/>
      <c r="L4" s="65" t="n"/>
      <c r="M4" s="65" t="n"/>
      <c r="N4" s="65" t="n"/>
      <c r="O4" s="65" t="n"/>
    </row>
    <row r="5">
      <c r="A5" s="61" t="inlineStr">
        <is>
          <t>İnci Holding / G.1.1.</t>
        </is>
      </c>
      <c r="B5" s="65" t="n">
        <v>145597808.384663</v>
      </c>
      <c r="C5" s="65" t="n">
        <v>148529646.827592</v>
      </c>
      <c r="D5" s="65" t="n">
        <v>148492630.506261</v>
      </c>
      <c r="E5" s="65" t="n">
        <v>143274887.147533</v>
      </c>
      <c r="F5" s="65" t="n">
        <v>142781654.970282</v>
      </c>
      <c r="G5" s="65" t="n">
        <v>140095820.127379</v>
      </c>
      <c r="H5" s="65" t="n">
        <v>135983614.377541</v>
      </c>
      <c r="I5" s="65" t="n">
        <v>126992181.354869</v>
      </c>
      <c r="J5" s="65" t="n">
        <v>126041514.704857</v>
      </c>
      <c r="K5" s="65" t="n"/>
      <c r="L5" s="65" t="n"/>
      <c r="M5" s="65" t="n"/>
      <c r="N5" s="65" t="n"/>
      <c r="O5" s="65" t="n"/>
    </row>
    <row r="6">
      <c r="A6" s="61" t="inlineStr">
        <is>
          <t>ISM / G.1.2.</t>
        </is>
      </c>
      <c r="B6" s="65" t="n">
        <v>190191630.463439</v>
      </c>
      <c r="C6" s="65" t="n">
        <v>180716181.586539</v>
      </c>
      <c r="D6" s="65" t="n">
        <v>179281084.645163</v>
      </c>
      <c r="E6" s="65" t="n">
        <v>179281084.645163</v>
      </c>
      <c r="F6" s="65" t="n">
        <v>173627953.68</v>
      </c>
      <c r="G6" s="65" t="n">
        <v>176697480.54</v>
      </c>
      <c r="H6" s="65" t="n">
        <v>173703600.15</v>
      </c>
      <c r="I6" s="65" t="n">
        <v>162270992.44</v>
      </c>
      <c r="J6" s="65" t="n">
        <v>161007159.05</v>
      </c>
      <c r="K6" s="65" t="n"/>
      <c r="L6" s="65" t="n"/>
      <c r="M6" s="65" t="n"/>
      <c r="N6" s="65" t="n"/>
      <c r="O6" s="65" t="n"/>
    </row>
    <row r="7">
      <c r="A7" s="61" t="inlineStr">
        <is>
          <t>İncitaş / G.1.3.</t>
        </is>
      </c>
      <c r="B7" s="65" t="n">
        <v>164061619.883722</v>
      </c>
      <c r="C7" s="65" t="n">
        <v>161331325.974582</v>
      </c>
      <c r="D7" s="65" t="n">
        <v>154354473.110144</v>
      </c>
      <c r="E7" s="65" t="n">
        <v>153534815.558018</v>
      </c>
      <c r="F7" s="65" t="n">
        <v>137342016.681655</v>
      </c>
      <c r="G7" s="65" t="n">
        <v>136306995.866112</v>
      </c>
      <c r="H7" s="65" t="n">
        <v>139694711.578132</v>
      </c>
      <c r="I7" s="65" t="n">
        <v>107451385.877258</v>
      </c>
      <c r="J7" s="65" t="n">
        <v>106906980.439174</v>
      </c>
      <c r="K7" s="65" t="n"/>
      <c r="L7" s="65" t="n"/>
      <c r="M7" s="65" t="n"/>
      <c r="N7" s="65" t="n"/>
      <c r="O7" s="65" t="n"/>
    </row>
    <row r="8">
      <c r="A8" s="61" t="inlineStr">
        <is>
          <t>İnci GS Yuasa / G.1.4.</t>
        </is>
      </c>
      <c r="B8" s="65" t="n">
        <v>3819095867.2598</v>
      </c>
      <c r="C8" s="65" t="n">
        <v>4121688526.22158</v>
      </c>
      <c r="D8" s="65" t="n">
        <v>4278863671.87119</v>
      </c>
      <c r="E8" s="65" t="n">
        <v>4006078278.13602</v>
      </c>
      <c r="F8" s="65" t="n">
        <v>4140986029.54493</v>
      </c>
      <c r="G8" s="65" t="n">
        <v>4019731584.82727</v>
      </c>
      <c r="H8" s="65" t="n">
        <v>3794945892.88922</v>
      </c>
      <c r="I8" s="65" t="n">
        <v>3797283913.44518</v>
      </c>
      <c r="J8" s="65" t="n">
        <v>3574738343.53823</v>
      </c>
      <c r="K8" s="65" t="n"/>
      <c r="L8" s="65" t="n"/>
      <c r="M8" s="65" t="n"/>
      <c r="N8" s="65" t="n"/>
      <c r="O8" s="65" t="n"/>
    </row>
    <row r="9">
      <c r="A9" s="61" t="inlineStr">
        <is>
          <t>Yusen İnci Loj. / G.1.5.</t>
        </is>
      </c>
      <c r="B9" s="65" t="n">
        <v>1956633317.33923</v>
      </c>
      <c r="C9" s="65" t="n">
        <v>1702933917.45051</v>
      </c>
      <c r="D9" s="65" t="n">
        <v>1598084667.39167</v>
      </c>
      <c r="E9" s="65" t="n">
        <v>1559409507.45068</v>
      </c>
      <c r="F9" s="65" t="n">
        <v>1520060152.92404</v>
      </c>
      <c r="G9" s="65" t="n">
        <v>1487478210.6359</v>
      </c>
      <c r="H9" s="65" t="n">
        <v>1630291408.02176</v>
      </c>
      <c r="I9" s="65" t="n">
        <v>1392554455.46765</v>
      </c>
      <c r="J9" s="65" t="n">
        <v>1318699101.00578</v>
      </c>
      <c r="K9" s="65" t="n"/>
      <c r="L9" s="65" t="n"/>
      <c r="M9" s="65" t="n"/>
      <c r="N9" s="65" t="n"/>
      <c r="O9" s="65" t="n"/>
    </row>
    <row r="10">
      <c r="A10" s="61" t="inlineStr">
        <is>
          <t>Jantaş / G.1.6.</t>
        </is>
      </c>
      <c r="B10" s="65" t="n">
        <v>2671233878.71999</v>
      </c>
      <c r="C10" s="65" t="n">
        <v>2872275316.69771</v>
      </c>
      <c r="D10" s="65" t="n">
        <v>2870819124.14078</v>
      </c>
      <c r="E10" s="65" t="n">
        <v>2719453284.31976</v>
      </c>
      <c r="F10" s="65" t="n">
        <v>2702569048.58375</v>
      </c>
      <c r="G10" s="65" t="n">
        <v>2461451519.49999</v>
      </c>
      <c r="H10" s="65" t="n">
        <v>2466841616.4018</v>
      </c>
      <c r="I10" s="65" t="n">
        <v>2460926812.30065</v>
      </c>
      <c r="J10" s="65" t="n">
        <v>2445997139.3688</v>
      </c>
      <c r="K10" s="65" t="n"/>
      <c r="L10" s="65" t="n"/>
      <c r="M10" s="65" t="n"/>
      <c r="N10" s="65" t="n"/>
      <c r="O10" s="65" t="n"/>
    </row>
    <row r="11">
      <c r="A11" s="61" t="inlineStr">
        <is>
          <t>Çelik / G.1.7.</t>
        </is>
      </c>
      <c r="B11" s="65" t="n">
        <v>1392679988.2128</v>
      </c>
      <c r="C11" s="65" t="n">
        <v>1425060613.15572</v>
      </c>
      <c r="D11" s="65" t="n">
        <v>1425781616.51679</v>
      </c>
      <c r="E11" s="65" t="n">
        <v>1359181851.02753</v>
      </c>
      <c r="F11" s="65" t="n">
        <v>1351091376.46579</v>
      </c>
      <c r="G11" s="65" t="n">
        <v>1353432983.41358</v>
      </c>
      <c r="H11" s="65" t="n">
        <v>1355578023.31463</v>
      </c>
      <c r="I11" s="65" t="n">
        <v>1230115657.63483</v>
      </c>
      <c r="J11" s="65" t="n">
        <v>1273977544.55585</v>
      </c>
      <c r="K11" s="65" t="n"/>
      <c r="L11" s="65" t="n"/>
      <c r="M11" s="65" t="n"/>
      <c r="N11" s="65" t="n"/>
      <c r="O11" s="65" t="n"/>
    </row>
    <row r="12">
      <c r="A12" s="61" t="inlineStr">
        <is>
          <t>Alüminyum / G.1.8.</t>
        </is>
      </c>
      <c r="B12" s="65" t="n">
        <v>4716286067.11358</v>
      </c>
      <c r="C12" s="65" t="n">
        <v>4725047634.04108</v>
      </c>
      <c r="D12" s="65" t="n">
        <v>4728394866.58451</v>
      </c>
      <c r="E12" s="65" t="n">
        <v>4548703112.1822</v>
      </c>
      <c r="F12" s="65" t="n">
        <v>4520164710.7506</v>
      </c>
      <c r="G12" s="65" t="n">
        <v>3979575994.87568</v>
      </c>
      <c r="H12" s="65" t="n">
        <v>3990829056.5649</v>
      </c>
      <c r="I12" s="65" t="n">
        <v>3791954763.3304</v>
      </c>
      <c r="J12" s="65" t="n">
        <v>3890693213.19282</v>
      </c>
      <c r="K12" s="65" t="n"/>
      <c r="L12" s="65" t="n"/>
      <c r="M12" s="65" t="n"/>
      <c r="N12" s="65" t="n"/>
      <c r="O12" s="65" t="n"/>
    </row>
    <row r="13">
      <c r="A13" s="61" t="inlineStr">
        <is>
          <t>x / G.1.9.</t>
        </is>
      </c>
      <c r="B13" s="65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</row>
    <row r="14">
      <c r="A14" s="61" t="inlineStr">
        <is>
          <t>y / G.1.10.</t>
        </is>
      </c>
      <c r="B14" s="65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</row>
    <row r="15">
      <c r="A15" s="61" t="inlineStr">
        <is>
          <t>SMM-TL / G.2.</t>
        </is>
      </c>
      <c r="B15" s="65" t="n">
        <v>-5259500835.71062</v>
      </c>
      <c r="C15" s="65" t="n">
        <v>-5301783099.9872</v>
      </c>
      <c r="D15" s="65" t="n">
        <v>-5301402438.25358</v>
      </c>
      <c r="E15" s="65" t="n">
        <v>-5068776129.49824</v>
      </c>
      <c r="F15" s="65" t="n">
        <v>-5394562179.13305</v>
      </c>
      <c r="G15" s="65" t="n">
        <v>-5075900609.80401</v>
      </c>
      <c r="H15" s="65" t="n">
        <v>-5038291600.8617</v>
      </c>
      <c r="I15" s="65" t="n">
        <v>-4817824587.86309</v>
      </c>
      <c r="J15" s="65" t="n">
        <v>-4693533956.52798</v>
      </c>
      <c r="K15" s="65" t="n"/>
      <c r="L15" s="65" t="n"/>
      <c r="M15" s="65" t="n"/>
      <c r="N15" s="65" t="n"/>
      <c r="O15" s="65" t="n"/>
    </row>
    <row r="16">
      <c r="A16" s="61" t="inlineStr">
        <is>
          <t>İnci Holding / G.2.1.</t>
        </is>
      </c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</row>
    <row r="17">
      <c r="A17" s="61" t="inlineStr">
        <is>
          <t>ISM / G.2.2.</t>
        </is>
      </c>
      <c r="B17" s="65" t="n">
        <v>-143585107.225552</v>
      </c>
      <c r="C17" s="65" t="n">
        <v>-136443444.680322</v>
      </c>
      <c r="D17" s="65" t="n">
        <v>-136453110.201699</v>
      </c>
      <c r="E17" s="65" t="n">
        <v>-136453110.201699</v>
      </c>
      <c r="F17" s="65" t="n">
        <v>-129083613.400546</v>
      </c>
      <c r="G17" s="65" t="n">
        <v>-132305316.35</v>
      </c>
      <c r="H17" s="65" t="n">
        <v>-128912625.006388</v>
      </c>
      <c r="I17" s="65" t="n">
        <v>-119601924.904072</v>
      </c>
      <c r="J17" s="65" t="n">
        <v>-118812502.587654</v>
      </c>
      <c r="K17" s="65" t="n"/>
      <c r="L17" s="65" t="n"/>
      <c r="M17" s="65" t="n"/>
      <c r="N17" s="65" t="n"/>
      <c r="O17" s="65" t="n"/>
    </row>
    <row r="18">
      <c r="A18" s="61" t="inlineStr">
        <is>
          <t>İncitaş / G.2.3.</t>
        </is>
      </c>
      <c r="B18" s="65" t="n">
        <v>-138285255.258363</v>
      </c>
      <c r="C18" s="65" t="n">
        <v>-136429540.338475</v>
      </c>
      <c r="D18" s="65" t="n">
        <v>-129593546.00772</v>
      </c>
      <c r="E18" s="65" t="n">
        <v>-128720751.12412</v>
      </c>
      <c r="F18" s="65" t="n">
        <v>-115476947.065122</v>
      </c>
      <c r="G18" s="65" t="n">
        <v>-115065229.152647</v>
      </c>
      <c r="H18" s="65" t="n">
        <v>-117412288.069428</v>
      </c>
      <c r="I18" s="65" t="n">
        <v>-89670404.47265559</v>
      </c>
      <c r="J18" s="65" t="n">
        <v>-89700717.81933761</v>
      </c>
      <c r="K18" s="65" t="n"/>
      <c r="L18" s="65" t="n"/>
      <c r="M18" s="65" t="n"/>
      <c r="N18" s="65" t="n"/>
      <c r="O18" s="65" t="n"/>
    </row>
    <row r="19">
      <c r="A19" s="61" t="inlineStr">
        <is>
          <t>İnci GS Yuasa / G.2.4.</t>
        </is>
      </c>
      <c r="B19" s="65" t="n">
        <v>-3285361822.69031</v>
      </c>
      <c r="C19" s="65" t="n">
        <v>-3525943843.56115</v>
      </c>
      <c r="D19" s="65" t="n">
        <v>-3629486438.48457</v>
      </c>
      <c r="E19" s="65" t="n">
        <v>-3420867991.06759</v>
      </c>
      <c r="F19" s="65" t="n">
        <v>-3491987968.36206</v>
      </c>
      <c r="G19" s="65" t="n">
        <v>-3369373355.10342</v>
      </c>
      <c r="H19" s="65" t="n">
        <v>-3182585563.4162</v>
      </c>
      <c r="I19" s="65" t="n">
        <v>-3181276344.13751</v>
      </c>
      <c r="J19" s="65" t="n">
        <v>-2994627273.19416</v>
      </c>
      <c r="K19" s="65" t="n"/>
      <c r="L19" s="65" t="n"/>
      <c r="M19" s="65" t="n"/>
      <c r="N19" s="65" t="n"/>
      <c r="O19" s="65" t="n"/>
    </row>
    <row r="20">
      <c r="A20" s="61" t="inlineStr">
        <is>
          <t>Yusen İnci Loj. / G.2.5.</t>
        </is>
      </c>
      <c r="B20" s="65" t="n">
        <v>-1726686941.16916</v>
      </c>
      <c r="C20" s="65" t="n">
        <v>-1500228432.55906</v>
      </c>
      <c r="D20" s="65" t="n">
        <v>-1408806980.26196</v>
      </c>
      <c r="E20" s="65" t="n">
        <v>-1375349158.57375</v>
      </c>
      <c r="F20" s="65" t="n">
        <v>-1342702151.07401</v>
      </c>
      <c r="G20" s="65" t="n">
        <v>-1316043061.45385</v>
      </c>
      <c r="H20" s="65" t="n">
        <v>-1443235562.42277</v>
      </c>
      <c r="I20" s="65" t="n">
        <v>-1233878725.2762</v>
      </c>
      <c r="J20" s="65" t="n">
        <v>-1168454846.76534</v>
      </c>
      <c r="K20" s="65" t="n"/>
      <c r="L20" s="65" t="n"/>
      <c r="M20" s="65" t="n"/>
      <c r="N20" s="65" t="n"/>
      <c r="O20" s="65" t="n"/>
    </row>
    <row r="21">
      <c r="A21" s="61" t="inlineStr">
        <is>
          <t>Jantaş / G.2.6.</t>
        </is>
      </c>
      <c r="B21" s="65" t="n">
        <v>-2217266884.06851</v>
      </c>
      <c r="C21" s="65" t="n">
        <v>-2350022534.30068</v>
      </c>
      <c r="D21" s="65" t="n">
        <v>-2349972838.25809</v>
      </c>
      <c r="E21" s="65" t="n">
        <v>-2202257143.8766</v>
      </c>
      <c r="F21" s="65" t="n">
        <v>-2187984934.73972</v>
      </c>
      <c r="G21" s="65" t="n">
        <v>-1936029431.06374</v>
      </c>
      <c r="H21" s="65" t="n">
        <v>-1940040348.36411</v>
      </c>
      <c r="I21" s="65" t="n">
        <v>-1934446412.15862</v>
      </c>
      <c r="J21" s="65" t="n">
        <v>-1894799974.33671</v>
      </c>
      <c r="K21" s="65" t="n"/>
      <c r="L21" s="65" t="n"/>
      <c r="M21" s="65" t="n"/>
      <c r="N21" s="65" t="n"/>
      <c r="O21" s="65" t="n"/>
    </row>
    <row r="22">
      <c r="A22" s="61" t="inlineStr">
        <is>
          <t>Çelik / G.2.7.</t>
        </is>
      </c>
      <c r="B22" s="65" t="n">
        <v>-1111378597.60497</v>
      </c>
      <c r="C22" s="65" t="n">
        <v>-1134664069.73384</v>
      </c>
      <c r="D22" s="65" t="n">
        <v>-1134676158.57943</v>
      </c>
      <c r="E22" s="65" t="n">
        <v>-1096188740.90717</v>
      </c>
      <c r="F22" s="65" t="n">
        <v>-1089371349.80157</v>
      </c>
      <c r="G22" s="65" t="n">
        <v>-1097268822.93851</v>
      </c>
      <c r="H22" s="65" t="n">
        <v>-1099256147.74638</v>
      </c>
      <c r="I22" s="65" t="n">
        <v>-1037725472.52655</v>
      </c>
      <c r="J22" s="65" t="n">
        <v>-1072611989.9537</v>
      </c>
      <c r="K22" s="65" t="n"/>
      <c r="L22" s="65" t="n"/>
      <c r="M22" s="65" t="n"/>
      <c r="N22" s="65" t="n"/>
      <c r="O22" s="65" t="n"/>
    </row>
    <row r="23">
      <c r="A23" s="61" t="inlineStr">
        <is>
          <t>Alüminyum / G.2.8.</t>
        </is>
      </c>
      <c r="B23" s="65" t="n">
        <v>-4103381937.53382</v>
      </c>
      <c r="C23" s="65" t="n">
        <v>-4061416407.26626</v>
      </c>
      <c r="D23" s="65" t="n">
        <v>-4065447039.52634</v>
      </c>
      <c r="E23" s="65" t="n">
        <v>-3914342636.00595</v>
      </c>
      <c r="F23" s="65" t="n">
        <v>-3889960650.60059</v>
      </c>
      <c r="G23" s="65" t="n">
        <v>-3510267151.41803</v>
      </c>
      <c r="H23" s="65" t="n">
        <v>-3519152706.6612</v>
      </c>
      <c r="I23" s="65" t="n">
        <v>-3338734606.08265</v>
      </c>
      <c r="J23" s="65" t="n">
        <v>-3333400937.75403</v>
      </c>
      <c r="K23" s="65" t="n"/>
      <c r="L23" s="65" t="n"/>
      <c r="M23" s="65" t="n"/>
      <c r="N23" s="65" t="n"/>
      <c r="O23" s="65" t="n"/>
    </row>
    <row r="24">
      <c r="A24" s="61" t="inlineStr">
        <is>
          <t>x / G.2.9.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</row>
    <row r="25">
      <c r="A25" s="61" t="inlineStr">
        <is>
          <t>y / G.2.10.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</row>
    <row r="26">
      <c r="A26" s="61" t="inlineStr">
        <is>
          <t>BRÜT KAR-TL / G.3.</t>
        </is>
      </c>
      <c r="B26" s="65" t="n">
        <v>1062721870.47936</v>
      </c>
      <c r="C26" s="65" t="n">
        <v>1127596457.42816</v>
      </c>
      <c r="D26" s="65" t="n">
        <v>1141503328.60997</v>
      </c>
      <c r="E26" s="65" t="n">
        <v>1084445071.09895</v>
      </c>
      <c r="F26" s="65" t="n">
        <v>1167236576.46103</v>
      </c>
      <c r="G26" s="65" t="n">
        <v>1099840962.51318</v>
      </c>
      <c r="H26" s="65" t="n">
        <v>1085979313.40982</v>
      </c>
      <c r="I26" s="65" t="n">
        <v>1027752604.02504</v>
      </c>
      <c r="J26" s="65" t="n">
        <v>1059537668.68446</v>
      </c>
      <c r="K26" s="65" t="n"/>
      <c r="L26" s="65" t="n"/>
      <c r="M26" s="65" t="n"/>
      <c r="N26" s="65" t="n"/>
      <c r="O26" s="65" t="n"/>
    </row>
    <row r="27">
      <c r="A27" s="61" t="inlineStr">
        <is>
          <t>İnci Holding / G.3.1.</t>
        </is>
      </c>
      <c r="B27" s="65" t="n">
        <v>145597808.384663</v>
      </c>
      <c r="C27" s="65" t="n">
        <v>148529646.827592</v>
      </c>
      <c r="D27" s="65" t="n">
        <v>148492630.506261</v>
      </c>
      <c r="E27" s="65" t="n">
        <v>143274887.147533</v>
      </c>
      <c r="F27" s="65" t="n">
        <v>142781654.970282</v>
      </c>
      <c r="G27" s="65" t="n">
        <v>140095820.127379</v>
      </c>
      <c r="H27" s="65" t="n">
        <v>135983614.377541</v>
      </c>
      <c r="I27" s="65" t="n">
        <v>126992181.354869</v>
      </c>
      <c r="J27" s="65" t="n">
        <v>126041514.704857</v>
      </c>
      <c r="K27" s="65" t="n"/>
      <c r="L27" s="65" t="n"/>
      <c r="M27" s="65" t="n"/>
      <c r="N27" s="65" t="n"/>
      <c r="O27" s="65" t="n"/>
    </row>
    <row r="28">
      <c r="A28" s="61" t="inlineStr">
        <is>
          <t>ISM / G.3.2.</t>
        </is>
      </c>
      <c r="B28" s="65" t="n">
        <v>46606523.237887</v>
      </c>
      <c r="C28" s="65" t="n">
        <v>44272736.906217</v>
      </c>
      <c r="D28" s="65" t="n">
        <v>42827974.443464</v>
      </c>
      <c r="E28" s="65" t="n">
        <v>42827974.443464</v>
      </c>
      <c r="F28" s="65" t="n">
        <v>44544340.279454</v>
      </c>
      <c r="G28" s="65" t="n">
        <v>44392164.19</v>
      </c>
      <c r="H28" s="65" t="n">
        <v>44790975.143612</v>
      </c>
      <c r="I28" s="65" t="n">
        <v>42669067.535928</v>
      </c>
      <c r="J28" s="65" t="n">
        <v>42194656.462346</v>
      </c>
      <c r="K28" s="65" t="n"/>
      <c r="L28" s="65" t="n"/>
      <c r="M28" s="65" t="n"/>
      <c r="N28" s="65" t="n"/>
      <c r="O28" s="65" t="n"/>
    </row>
    <row r="29">
      <c r="A29" s="61" t="inlineStr">
        <is>
          <t>İncitaş / G.3.3.</t>
        </is>
      </c>
      <c r="B29" s="65" t="n">
        <v>25776364.625359</v>
      </c>
      <c r="C29" s="65" t="n">
        <v>24901785.636107</v>
      </c>
      <c r="D29" s="65" t="n">
        <v>24760927.102424</v>
      </c>
      <c r="E29" s="65" t="n">
        <v>24814064.433898</v>
      </c>
      <c r="F29" s="65" t="n">
        <v>21865069.616533</v>
      </c>
      <c r="G29" s="65" t="n">
        <v>21241766.713465</v>
      </c>
      <c r="H29" s="65" t="n">
        <v>22282423.508704</v>
      </c>
      <c r="I29" s="65" t="n">
        <v>17780981.4046024</v>
      </c>
      <c r="J29" s="65" t="n">
        <v>17206262.6198364</v>
      </c>
      <c r="K29" s="65" t="n"/>
      <c r="L29" s="65" t="n"/>
      <c r="M29" s="65" t="n"/>
      <c r="N29" s="65" t="n"/>
      <c r="O29" s="65" t="n"/>
    </row>
    <row r="30">
      <c r="A30" s="61" t="inlineStr">
        <is>
          <t>İnci GS Yuasa / G.3.4.</t>
        </is>
      </c>
      <c r="B30" s="65" t="n">
        <v>533734044.569485</v>
      </c>
      <c r="C30" s="65" t="n">
        <v>595744682.660432</v>
      </c>
      <c r="D30" s="65" t="n">
        <v>649377233.386623</v>
      </c>
      <c r="E30" s="65" t="n">
        <v>585210287.068431</v>
      </c>
      <c r="F30" s="65" t="n">
        <v>648998061.182874</v>
      </c>
      <c r="G30" s="65" t="n">
        <v>650358229.72385</v>
      </c>
      <c r="H30" s="65" t="n">
        <v>612360329.4730231</v>
      </c>
      <c r="I30" s="65" t="n">
        <v>616007569.307672</v>
      </c>
      <c r="J30" s="65" t="n">
        <v>580111070.344067</v>
      </c>
      <c r="K30" s="65" t="n"/>
      <c r="L30" s="65" t="n"/>
      <c r="M30" s="65" t="n"/>
      <c r="N30" s="65" t="n"/>
      <c r="O30" s="65" t="n"/>
    </row>
    <row r="31">
      <c r="A31" s="61" t="inlineStr">
        <is>
          <t>Yusen İnci Loj. / G.3.5.</t>
        </is>
      </c>
      <c r="B31" s="65" t="n">
        <v>229946376.17007</v>
      </c>
      <c r="C31" s="65" t="n">
        <v>202705484.89145</v>
      </c>
      <c r="D31" s="65" t="n">
        <v>189277687.12971</v>
      </c>
      <c r="E31" s="65" t="n">
        <v>184060348.87693</v>
      </c>
      <c r="F31" s="65" t="n">
        <v>177358001.85003</v>
      </c>
      <c r="G31" s="65" t="n">
        <v>171435149.18205</v>
      </c>
      <c r="H31" s="65" t="n">
        <v>187055845.598991</v>
      </c>
      <c r="I31" s="65" t="n">
        <v>158675730.19145</v>
      </c>
      <c r="J31" s="65" t="n">
        <v>150244254.24044</v>
      </c>
      <c r="K31" s="65" t="n"/>
      <c r="L31" s="65" t="n"/>
      <c r="M31" s="65" t="n"/>
      <c r="N31" s="65" t="n"/>
      <c r="O31" s="65" t="n"/>
    </row>
    <row r="32">
      <c r="A32" s="61" t="inlineStr">
        <is>
          <t>Jantaş / G.3.6.</t>
        </is>
      </c>
      <c r="B32" s="65" t="n">
        <v>453966994.651478</v>
      </c>
      <c r="C32" s="65" t="n">
        <v>522252782.397037</v>
      </c>
      <c r="D32" s="65" t="n">
        <v>520846285.882688</v>
      </c>
      <c r="E32" s="65" t="n">
        <v>517196140.443154</v>
      </c>
      <c r="F32" s="65" t="n">
        <v>514584113.844034</v>
      </c>
      <c r="G32" s="65" t="n">
        <v>525422088.436257</v>
      </c>
      <c r="H32" s="65" t="n">
        <v>526801268.037694</v>
      </c>
      <c r="I32" s="65" t="n">
        <v>526480400.142033</v>
      </c>
      <c r="J32" s="65" t="n">
        <v>551197165.032089</v>
      </c>
      <c r="K32" s="65" t="n"/>
      <c r="L32" s="65" t="n"/>
      <c r="M32" s="65" t="n"/>
      <c r="N32" s="65" t="n"/>
      <c r="O32" s="65" t="n"/>
    </row>
    <row r="33">
      <c r="A33" s="61" t="inlineStr">
        <is>
          <t>Çelik / G.3.7.</t>
        </is>
      </c>
      <c r="B33" s="65" t="n">
        <v>281301390.607826</v>
      </c>
      <c r="C33" s="65" t="n">
        <v>290396543.421872</v>
      </c>
      <c r="D33" s="65" t="n">
        <v>291105457.937354</v>
      </c>
      <c r="E33" s="65" t="n">
        <v>262993110.120362</v>
      </c>
      <c r="F33" s="65" t="n">
        <v>261720026.664228</v>
      </c>
      <c r="G33" s="65" t="n">
        <v>256164160.475078</v>
      </c>
      <c r="H33" s="65" t="n">
        <v>256321875.568247</v>
      </c>
      <c r="I33" s="65" t="n">
        <v>192390185.108283</v>
      </c>
      <c r="J33" s="65" t="n">
        <v>201365554.602157</v>
      </c>
      <c r="K33" s="65" t="n"/>
      <c r="L33" s="65" t="n"/>
      <c r="M33" s="65" t="n"/>
      <c r="N33" s="65" t="n"/>
      <c r="O33" s="65" t="n"/>
    </row>
    <row r="34">
      <c r="A34" s="61" t="inlineStr">
        <is>
          <t>Alüminyum / G.3.8.</t>
        </is>
      </c>
      <c r="B34" s="65" t="n">
        <v>612904129.579758</v>
      </c>
      <c r="C34" s="65" t="n">
        <v>663631226.774821</v>
      </c>
      <c r="D34" s="65" t="n">
        <v>662947827.058167</v>
      </c>
      <c r="E34" s="65" t="n">
        <v>634360476.1762559</v>
      </c>
      <c r="F34" s="65" t="n">
        <v>630204060.150009</v>
      </c>
      <c r="G34" s="65" t="n">
        <v>469308843.457648</v>
      </c>
      <c r="H34" s="65" t="n">
        <v>471676349.9037</v>
      </c>
      <c r="I34" s="65" t="n">
        <v>453220157.247743</v>
      </c>
      <c r="J34" s="65" t="n">
        <v>557292275.438789</v>
      </c>
      <c r="K34" s="65" t="n"/>
      <c r="L34" s="65" t="n"/>
      <c r="M34" s="65" t="n"/>
      <c r="N34" s="65" t="n"/>
      <c r="O34" s="65" t="n"/>
    </row>
    <row r="35">
      <c r="A35" s="61" t="inlineStr">
        <is>
          <t>x / G.3.9.</t>
        </is>
      </c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</row>
    <row r="36">
      <c r="A36" s="61" t="inlineStr">
        <is>
          <t>y / G.3.10.</t>
        </is>
      </c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</row>
    <row r="37">
      <c r="A37" s="61" t="inlineStr">
        <is>
          <t>Toplam Faaliyet Giderleri-TL / G.4.</t>
        </is>
      </c>
      <c r="B37" s="65" t="n">
        <v>-399372729.188402</v>
      </c>
      <c r="C37" s="65" t="n">
        <v>-394020354.552644</v>
      </c>
      <c r="D37" s="65" t="n">
        <v>-399216915.912864</v>
      </c>
      <c r="E37" s="65" t="n">
        <v>-387059992.720216</v>
      </c>
      <c r="F37" s="65" t="n">
        <v>-402678414.28536</v>
      </c>
      <c r="G37" s="65" t="n">
        <v>-389005714.913451</v>
      </c>
      <c r="H37" s="65" t="n">
        <v>-382217274.580907</v>
      </c>
      <c r="I37" s="65" t="n">
        <v>-366364313.713889</v>
      </c>
      <c r="J37" s="65" t="n">
        <v>-366866659.18038</v>
      </c>
      <c r="K37" s="65" t="n"/>
      <c r="L37" s="65" t="n"/>
      <c r="M37" s="65" t="n"/>
      <c r="N37" s="65" t="n"/>
      <c r="O37" s="65" t="n"/>
    </row>
    <row r="38">
      <c r="A38" s="61" t="inlineStr">
        <is>
          <t>İnci Holding / G.4.1.</t>
        </is>
      </c>
      <c r="B38" s="65" t="n">
        <v>-59391360</v>
      </c>
      <c r="C38" s="65" t="n">
        <v>-58526707</v>
      </c>
      <c r="D38" s="65" t="n">
        <v>-57726619.3936651</v>
      </c>
      <c r="E38" s="65" t="n">
        <v>-63771205</v>
      </c>
      <c r="F38" s="65" t="n">
        <v>-52965707</v>
      </c>
      <c r="G38" s="65" t="n">
        <v>-51873385</v>
      </c>
      <c r="H38" s="65" t="n">
        <v>-51554770.2893871</v>
      </c>
      <c r="I38" s="65" t="n">
        <v>-49803251</v>
      </c>
      <c r="J38" s="65" t="n">
        <v>-48971457.9676337</v>
      </c>
      <c r="K38" s="65" t="n"/>
      <c r="L38" s="65" t="n"/>
      <c r="M38" s="65" t="n"/>
      <c r="N38" s="65" t="n"/>
      <c r="O38" s="65" t="n"/>
    </row>
    <row r="39">
      <c r="A39" s="61" t="inlineStr">
        <is>
          <t>ISM / G.4.2.</t>
        </is>
      </c>
      <c r="B39" s="65" t="n">
        <v>-17279691.5541208</v>
      </c>
      <c r="C39" s="65" t="n">
        <v>-15759611.2532174</v>
      </c>
      <c r="D39" s="65" t="n">
        <v>-19648119.5810586</v>
      </c>
      <c r="E39" s="65" t="n">
        <v>-19648119.5810586</v>
      </c>
      <c r="F39" s="65" t="n">
        <v>-17670543.3518827</v>
      </c>
      <c r="G39" s="65" t="n">
        <v>-17866373.14</v>
      </c>
      <c r="H39" s="65" t="n">
        <v>-17738175.615935</v>
      </c>
      <c r="I39" s="65" t="n">
        <v>-16803922.8901762</v>
      </c>
      <c r="J39" s="65" t="n">
        <v>-17164520.8040151</v>
      </c>
      <c r="K39" s="65" t="n"/>
      <c r="L39" s="65" t="n"/>
      <c r="M39" s="65" t="n"/>
      <c r="N39" s="65" t="n"/>
      <c r="O39" s="65" t="n"/>
    </row>
    <row r="40">
      <c r="A40" s="61" t="inlineStr">
        <is>
          <t>İncitaş / G.4.3.</t>
        </is>
      </c>
      <c r="B40" s="65" t="n">
        <v>-11875921.296793</v>
      </c>
      <c r="C40" s="65" t="n">
        <v>-11568291.6793149</v>
      </c>
      <c r="D40" s="65" t="n">
        <v>-11792165.9186399</v>
      </c>
      <c r="E40" s="65" t="n">
        <v>-11680878.8555255</v>
      </c>
      <c r="F40" s="65" t="n">
        <v>-10083156.7942836</v>
      </c>
      <c r="G40" s="65" t="n">
        <v>-10168393.1875552</v>
      </c>
      <c r="H40" s="65" t="n">
        <v>-10082595.675092</v>
      </c>
      <c r="I40" s="65" t="n">
        <v>-9279606.084271699</v>
      </c>
      <c r="J40" s="65" t="n">
        <v>-9162225.47709096</v>
      </c>
      <c r="K40" s="65" t="n"/>
      <c r="L40" s="65" t="n"/>
      <c r="M40" s="65" t="n"/>
      <c r="N40" s="65" t="n"/>
      <c r="O40" s="65" t="n"/>
    </row>
    <row r="41">
      <c r="A41" s="61" t="inlineStr">
        <is>
          <t>İnci GS Yuasa / G.4.4.</t>
        </is>
      </c>
      <c r="B41" s="65" t="n">
        <v>-268653317.174712</v>
      </c>
      <c r="C41" s="65" t="n">
        <v>-278906561.122321</v>
      </c>
      <c r="D41" s="65" t="n">
        <v>-286926669.546513</v>
      </c>
      <c r="E41" s="65" t="n">
        <v>-267471323.793145</v>
      </c>
      <c r="F41" s="65" t="n">
        <v>-277165920.726857</v>
      </c>
      <c r="G41" s="65" t="n">
        <v>-278489690.540565</v>
      </c>
      <c r="H41" s="65" t="n">
        <v>-254570395.399523</v>
      </c>
      <c r="I41" s="65" t="n">
        <v>-253969551.512774</v>
      </c>
      <c r="J41" s="65" t="n">
        <v>-253872204.456735</v>
      </c>
      <c r="K41" s="65" t="n"/>
      <c r="L41" s="65" t="n"/>
      <c r="M41" s="65" t="n"/>
      <c r="N41" s="65" t="n"/>
      <c r="O41" s="65" t="n"/>
    </row>
    <row r="42">
      <c r="A42" s="61" t="inlineStr">
        <is>
          <t>Yusen İnci Loj. / G.4.5.</t>
        </is>
      </c>
      <c r="B42" s="65" t="n">
        <v>-117838189.248004</v>
      </c>
      <c r="C42" s="65" t="n">
        <v>-105525315.168446</v>
      </c>
      <c r="D42" s="65" t="n">
        <v>-101624822.474982</v>
      </c>
      <c r="E42" s="65" t="n">
        <v>-97496881.60401361</v>
      </c>
      <c r="F42" s="65" t="n">
        <v>-95782797.10334811</v>
      </c>
      <c r="G42" s="65" t="n">
        <v>-93805553.9788941</v>
      </c>
      <c r="H42" s="65" t="n">
        <v>-107209500.691825</v>
      </c>
      <c r="I42" s="65" t="n">
        <v>-89409224.9540077</v>
      </c>
      <c r="J42" s="65" t="n">
        <v>-87317174.6433709</v>
      </c>
      <c r="K42" s="65" t="n"/>
      <c r="L42" s="65" t="n"/>
      <c r="M42" s="65" t="n"/>
      <c r="N42" s="65" t="n"/>
      <c r="O42" s="65" t="n"/>
    </row>
    <row r="43">
      <c r="A43" s="61" t="inlineStr">
        <is>
          <t>Jantaş / G.4.6.</t>
        </is>
      </c>
      <c r="B43" s="65" t="n">
        <v>-127012524.914094</v>
      </c>
      <c r="C43" s="65" t="n">
        <v>-128002056.355323</v>
      </c>
      <c r="D43" s="65" t="n">
        <v>-128093593.372072</v>
      </c>
      <c r="E43" s="65" t="n">
        <v>-118466970.716998</v>
      </c>
      <c r="F43" s="65" t="n">
        <v>-117738827.766143</v>
      </c>
      <c r="G43" s="65" t="n">
        <v>-107571805.499077</v>
      </c>
      <c r="H43" s="65" t="n">
        <v>-107860418.526042</v>
      </c>
      <c r="I43" s="65" t="n">
        <v>-107606148.734697</v>
      </c>
      <c r="J43" s="65" t="n">
        <v>-107697953.819729</v>
      </c>
      <c r="K43" s="65" t="n"/>
      <c r="L43" s="65" t="n"/>
      <c r="M43" s="65" t="n"/>
      <c r="N43" s="65" t="n"/>
      <c r="O43" s="65" t="n"/>
    </row>
    <row r="44">
      <c r="A44" s="61" t="inlineStr">
        <is>
          <t>Çelik / G.4.7.</t>
        </is>
      </c>
      <c r="B44" s="65" t="n">
        <v>-66667102.5722863</v>
      </c>
      <c r="C44" s="65" t="n">
        <v>-65465154.9274168</v>
      </c>
      <c r="D44" s="65" t="n">
        <v>-65537567.6546999</v>
      </c>
      <c r="E44" s="65" t="n">
        <v>-61076576.689521</v>
      </c>
      <c r="F44" s="65" t="n">
        <v>-60717293.7256199</v>
      </c>
      <c r="G44" s="65" t="n">
        <v>-58905952.4756175</v>
      </c>
      <c r="H44" s="65" t="n">
        <v>-59005597.2273477</v>
      </c>
      <c r="I44" s="65" t="n">
        <v>-53116027.4629825</v>
      </c>
      <c r="J44" s="65" t="n">
        <v>-54669086.803709</v>
      </c>
      <c r="K44" s="65" t="n"/>
      <c r="L44" s="65" t="n"/>
      <c r="M44" s="65" t="n"/>
      <c r="N44" s="65" t="n"/>
      <c r="O44" s="65" t="n"/>
    </row>
    <row r="45">
      <c r="A45" s="61" t="inlineStr">
        <is>
          <t>Alüminyum / G.4.8.</t>
        </is>
      </c>
      <c r="B45" s="65" t="n">
        <v>-196893256.934624</v>
      </c>
      <c r="C45" s="65" t="n">
        <v>-192515273.976772</v>
      </c>
      <c r="D45" s="65" t="n">
        <v>-192942374.500483</v>
      </c>
      <c r="E45" s="65" t="n">
        <v>-185387720.405401</v>
      </c>
      <c r="F45" s="65" t="n">
        <v>-184201198.344302</v>
      </c>
      <c r="G45" s="65" t="n">
        <v>-164348483.835446</v>
      </c>
      <c r="H45" s="65" t="n">
        <v>-164815821.806615</v>
      </c>
      <c r="I45" s="65" t="n">
        <v>-158600493.805948</v>
      </c>
      <c r="J45" s="65" t="n">
        <v>-161896666.491373</v>
      </c>
      <c r="K45" s="65" t="n"/>
      <c r="L45" s="65" t="n"/>
      <c r="M45" s="65" t="n"/>
      <c r="N45" s="65" t="n"/>
      <c r="O45" s="65" t="n"/>
    </row>
    <row r="46">
      <c r="A46" s="61" t="inlineStr">
        <is>
          <t>x / G.4.9.</t>
        </is>
      </c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</row>
    <row r="47">
      <c r="A47" s="61" t="inlineStr">
        <is>
          <t>y / G.4.10.</t>
        </is>
      </c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</row>
    <row r="48">
      <c r="A48" s="61" t="inlineStr">
        <is>
          <t>Diğer Faaliyet Gelir(Gideri)-TL / G.5.</t>
        </is>
      </c>
      <c r="B48" s="65" t="n">
        <v>425013.897618527</v>
      </c>
      <c r="C48" s="65" t="n">
        <v>333820.30035434</v>
      </c>
      <c r="D48" s="65" t="n">
        <v>341780.762065533</v>
      </c>
      <c r="E48" s="65" t="n">
        <v>94976.7542436565</v>
      </c>
      <c r="F48" s="65" t="n">
        <v>96061.0499822884</v>
      </c>
      <c r="G48" s="65" t="n">
        <v>16277.7134885088</v>
      </c>
      <c r="H48" s="65" t="n">
        <v>20779.3439387811</v>
      </c>
      <c r="I48" s="65" t="n">
        <v>19605.6103519024</v>
      </c>
      <c r="J48" s="65" t="n">
        <v>18490.1174113381</v>
      </c>
      <c r="K48" s="65" t="n"/>
      <c r="L48" s="65" t="n"/>
      <c r="M48" s="65" t="n"/>
      <c r="N48" s="65" t="n"/>
      <c r="O48" s="65" t="n"/>
    </row>
    <row r="49">
      <c r="A49" s="61" t="inlineStr">
        <is>
          <t>İnci Holding / G.5.1.</t>
        </is>
      </c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</row>
    <row r="50">
      <c r="A50" s="61" t="inlineStr">
        <is>
          <t>ISM / G.5.2.</t>
        </is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</row>
    <row r="51">
      <c r="A51" s="61" t="inlineStr">
        <is>
          <t>İncitaş / G.5.3.</t>
        </is>
      </c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</row>
    <row r="52">
      <c r="A52" s="61" t="inlineStr">
        <is>
          <t>İnci GS Yuasa / G.5.4.</t>
        </is>
      </c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</row>
    <row r="53">
      <c r="A53" s="61" t="inlineStr">
        <is>
          <t>Yusen İnci Loj. / G.5.5.</t>
        </is>
      </c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</row>
    <row r="54">
      <c r="A54" s="61" t="inlineStr">
        <is>
          <t>Jantaş / G.5.6.</t>
        </is>
      </c>
      <c r="B54" s="65" t="n">
        <v>1059121.46031706</v>
      </c>
      <c r="C54" s="65" t="n">
        <v>847545.155424097</v>
      </c>
      <c r="D54" s="65" t="n">
        <v>865383.454852178</v>
      </c>
      <c r="E54" s="65" t="n">
        <v>236751.826139888</v>
      </c>
      <c r="F54" s="65" t="n">
        <v>238123.404646754</v>
      </c>
      <c r="G54" s="65" t="n">
        <v>30456.3465920519</v>
      </c>
      <c r="H54" s="65" t="n">
        <v>31010.5775736774</v>
      </c>
      <c r="I54" s="65" t="n">
        <v>31010.5775736774</v>
      </c>
      <c r="J54" s="65" t="n">
        <v>30531.7590996628</v>
      </c>
      <c r="K54" s="65" t="n"/>
      <c r="L54" s="65" t="n"/>
      <c r="M54" s="65" t="n"/>
      <c r="N54" s="65" t="n"/>
      <c r="O54" s="65" t="n"/>
    </row>
    <row r="55">
      <c r="A55" s="61" t="inlineStr">
        <is>
          <t>Çelik / G.5.7.</t>
        </is>
      </c>
      <c r="B55" s="65" t="n">
        <v>23100.1032991454</v>
      </c>
      <c r="C55" s="65" t="n">
        <v>15268.4650316454</v>
      </c>
      <c r="D55" s="65" t="n">
        <v>15378.3898815454</v>
      </c>
      <c r="E55" s="65" t="n">
        <v>15997.6790391454</v>
      </c>
      <c r="F55" s="65" t="n">
        <v>16069.0398788597</v>
      </c>
      <c r="G55" s="65" t="n">
        <v>16506.4637549902</v>
      </c>
      <c r="H55" s="65" t="n">
        <v>16520.7173021038</v>
      </c>
      <c r="I55" s="65" t="n">
        <v>18003.4483060785</v>
      </c>
      <c r="J55" s="65" t="n">
        <v>15693.5344286825</v>
      </c>
      <c r="K55" s="65" t="n"/>
      <c r="L55" s="65" t="n"/>
      <c r="M55" s="65" t="n"/>
      <c r="N55" s="65" t="n"/>
      <c r="O55" s="65" t="n"/>
    </row>
    <row r="56">
      <c r="A56" s="61" t="inlineStr">
        <is>
          <t>Alüminyum / G.5.8.</t>
        </is>
      </c>
      <c r="B56" s="65" t="n">
        <v>-19686.8195698923</v>
      </c>
      <c r="C56" s="65" t="n">
        <v>-28262.8695698923</v>
      </c>
      <c r="D56" s="65" t="n">
        <v>-26309.9395698923</v>
      </c>
      <c r="E56" s="65" t="n">
        <v>-15307.6195698923</v>
      </c>
      <c r="F56" s="65" t="n">
        <v>-14039.8195698923</v>
      </c>
      <c r="G56" s="65" t="n">
        <v>-6268.52662577</v>
      </c>
      <c r="H56" s="65" t="n">
        <v>4417.0649711715</v>
      </c>
      <c r="I56" s="65" t="n">
        <v>0</v>
      </c>
      <c r="J56" s="65" t="n">
        <v>0</v>
      </c>
      <c r="K56" s="65" t="n"/>
      <c r="L56" s="65" t="n"/>
      <c r="M56" s="65" t="n"/>
      <c r="N56" s="65" t="n"/>
      <c r="O56" s="65" t="n"/>
    </row>
    <row r="57">
      <c r="A57" s="61" t="inlineStr">
        <is>
          <t>x / G.5.9.</t>
        </is>
      </c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</row>
    <row r="58">
      <c r="A58" s="61" t="inlineStr">
        <is>
          <t>y / G.5.10.</t>
        </is>
      </c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</row>
    <row r="59">
      <c r="A59" s="61" t="inlineStr">
        <is>
          <t>EBİT-TL / G.6.</t>
        </is>
      </c>
      <c r="B59" s="65" t="n">
        <v>663774155.188574</v>
      </c>
      <c r="C59" s="65" t="n">
        <v>733909923.175872</v>
      </c>
      <c r="D59" s="65" t="n">
        <v>742628193.459169</v>
      </c>
      <c r="E59" s="65" t="n">
        <v>697480055.1329761</v>
      </c>
      <c r="F59" s="65" t="n">
        <v>764654223.225649</v>
      </c>
      <c r="G59" s="65" t="n">
        <v>710851525.31322</v>
      </c>
      <c r="H59" s="65" t="n">
        <v>703782818.172853</v>
      </c>
      <c r="I59" s="65" t="n">
        <v>661407895.921502</v>
      </c>
      <c r="J59" s="65" t="n">
        <v>692689499.6214941</v>
      </c>
      <c r="K59" s="65" t="n"/>
      <c r="L59" s="65" t="n"/>
      <c r="M59" s="65" t="n"/>
      <c r="N59" s="65" t="n"/>
      <c r="O59" s="65" t="n"/>
    </row>
    <row r="60">
      <c r="A60" s="61" t="inlineStr">
        <is>
          <t>İnci Holding / G.6.1.</t>
        </is>
      </c>
      <c r="B60" s="65" t="n">
        <v>86206448.384663</v>
      </c>
      <c r="C60" s="65" t="n">
        <v>90002939.827592</v>
      </c>
      <c r="D60" s="65" t="n">
        <v>90766011.1125959</v>
      </c>
      <c r="E60" s="65" t="n">
        <v>79503682.147533</v>
      </c>
      <c r="F60" s="65" t="n">
        <v>89815947.97028209</v>
      </c>
      <c r="G60" s="65" t="n">
        <v>88222435.127379</v>
      </c>
      <c r="H60" s="65" t="n">
        <v>84428844.0881539</v>
      </c>
      <c r="I60" s="65" t="n">
        <v>77188930.35486899</v>
      </c>
      <c r="J60" s="65" t="n">
        <v>77070056.73722351</v>
      </c>
      <c r="K60" s="65" t="n"/>
      <c r="L60" s="65" t="n"/>
      <c r="M60" s="65" t="n"/>
      <c r="N60" s="65" t="n"/>
      <c r="O60" s="65" t="n"/>
    </row>
    <row r="61">
      <c r="A61" s="61" t="inlineStr">
        <is>
          <t>ISM / G.6.2.</t>
        </is>
      </c>
      <c r="B61" s="65" t="n">
        <v>29326831.6837662</v>
      </c>
      <c r="C61" s="65" t="n">
        <v>28513125.6529996</v>
      </c>
      <c r="D61" s="65" t="n">
        <v>23179854.8624054</v>
      </c>
      <c r="E61" s="65" t="n">
        <v>23179854.8624054</v>
      </c>
      <c r="F61" s="65" t="n">
        <v>26873796.9275713</v>
      </c>
      <c r="G61" s="65" t="n">
        <v>26525791.05</v>
      </c>
      <c r="H61" s="65" t="n">
        <v>27052799.527677</v>
      </c>
      <c r="I61" s="65" t="n">
        <v>25865144.6457518</v>
      </c>
      <c r="J61" s="65" t="n">
        <v>25030135.6583309</v>
      </c>
      <c r="K61" s="65" t="n"/>
      <c r="L61" s="65" t="n"/>
      <c r="M61" s="65" t="n"/>
      <c r="N61" s="65" t="n"/>
      <c r="O61" s="65" t="n"/>
    </row>
    <row r="62">
      <c r="A62" s="61" t="inlineStr">
        <is>
          <t>İncitaş / G.6.3.</t>
        </is>
      </c>
      <c r="B62" s="65" t="n">
        <v>13900443.328566</v>
      </c>
      <c r="C62" s="65" t="n">
        <v>13333493.9567921</v>
      </c>
      <c r="D62" s="65" t="n">
        <v>12968761.1837841</v>
      </c>
      <c r="E62" s="65" t="n">
        <v>13133185.5783725</v>
      </c>
      <c r="F62" s="65" t="n">
        <v>11781912.8222494</v>
      </c>
      <c r="G62" s="65" t="n">
        <v>11073373.5259098</v>
      </c>
      <c r="H62" s="65" t="n">
        <v>12199827.833612</v>
      </c>
      <c r="I62" s="65" t="n">
        <v>8501375.320330691</v>
      </c>
      <c r="J62" s="65" t="n">
        <v>8044037.14274548</v>
      </c>
      <c r="K62" s="65" t="n"/>
      <c r="L62" s="65" t="n"/>
      <c r="M62" s="65" t="n"/>
      <c r="N62" s="65" t="n"/>
      <c r="O62" s="65" t="n"/>
    </row>
    <row r="63">
      <c r="A63" s="61" t="inlineStr">
        <is>
          <t>İnci GS Yuasa / G.6.4.</t>
        </is>
      </c>
      <c r="B63" s="65" t="n">
        <v>265080727.394773</v>
      </c>
      <c r="C63" s="65" t="n">
        <v>316838121.538111</v>
      </c>
      <c r="D63" s="65" t="n">
        <v>362450563.84011</v>
      </c>
      <c r="E63" s="65" t="n">
        <v>317738963.275286</v>
      </c>
      <c r="F63" s="65" t="n">
        <v>371832140.456017</v>
      </c>
      <c r="G63" s="65" t="n">
        <v>371868539.183285</v>
      </c>
      <c r="H63" s="65" t="n">
        <v>357789934.0735</v>
      </c>
      <c r="I63" s="65" t="n">
        <v>362038017.794898</v>
      </c>
      <c r="J63" s="65" t="n">
        <v>326238865.887332</v>
      </c>
      <c r="K63" s="65" t="n"/>
      <c r="L63" s="65" t="n"/>
      <c r="M63" s="65" t="n"/>
      <c r="N63" s="65" t="n"/>
      <c r="O63" s="65" t="n"/>
    </row>
    <row r="64">
      <c r="A64" s="61" t="inlineStr">
        <is>
          <t>Yusen İnci Loj. / G.6.5.</t>
        </is>
      </c>
      <c r="B64" s="65" t="n">
        <v>112108186.922066</v>
      </c>
      <c r="C64" s="65" t="n">
        <v>97180169.72300389</v>
      </c>
      <c r="D64" s="65" t="n">
        <v>87652864.6547282</v>
      </c>
      <c r="E64" s="65" t="n">
        <v>86563467.2729165</v>
      </c>
      <c r="F64" s="65" t="n">
        <v>81575204.74668179</v>
      </c>
      <c r="G64" s="65" t="n">
        <v>77629595.20315599</v>
      </c>
      <c r="H64" s="65" t="n">
        <v>79846344.9071662</v>
      </c>
      <c r="I64" s="65" t="n">
        <v>69266505.2374423</v>
      </c>
      <c r="J64" s="65" t="n">
        <v>62927079.5970691</v>
      </c>
      <c r="K64" s="65" t="n"/>
      <c r="L64" s="65" t="n"/>
      <c r="M64" s="65" t="n"/>
      <c r="N64" s="65" t="n"/>
      <c r="O64" s="65" t="n"/>
    </row>
    <row r="65">
      <c r="A65" s="61" t="inlineStr">
        <is>
          <t>Jantaş / G.6.6.</t>
        </is>
      </c>
      <c r="B65" s="65" t="n">
        <v>328013591.197701</v>
      </c>
      <c r="C65" s="65" t="n">
        <v>395098271.197138</v>
      </c>
      <c r="D65" s="65" t="n">
        <v>393618075.965468</v>
      </c>
      <c r="E65" s="65" t="n">
        <v>398965921.552297</v>
      </c>
      <c r="F65" s="65" t="n">
        <v>397083409.482538</v>
      </c>
      <c r="G65" s="65" t="n">
        <v>417880739.283772</v>
      </c>
      <c r="H65" s="65" t="n">
        <v>418971860.089226</v>
      </c>
      <c r="I65" s="65" t="n">
        <v>418905261.984909</v>
      </c>
      <c r="J65" s="65" t="n">
        <v>443529742.97146</v>
      </c>
      <c r="K65" s="65" t="n"/>
      <c r="L65" s="65" t="n"/>
      <c r="M65" s="65" t="n"/>
      <c r="N65" s="65" t="n"/>
      <c r="O65" s="65" t="n"/>
    </row>
    <row r="66">
      <c r="A66" s="61" t="inlineStr">
        <is>
          <t>Çelik / G.6.7.</t>
        </is>
      </c>
      <c r="B66" s="65" t="n">
        <v>214657388.138839</v>
      </c>
      <c r="C66" s="65" t="n">
        <v>224946656.959487</v>
      </c>
      <c r="D66" s="65" t="n">
        <v>225583268.672535</v>
      </c>
      <c r="E66" s="65" t="n">
        <v>201932531.10988</v>
      </c>
      <c r="F66" s="65" t="n">
        <v>201018801.978487</v>
      </c>
      <c r="G66" s="65" t="n">
        <v>197274714.463216</v>
      </c>
      <c r="H66" s="65" t="n">
        <v>197332799.058201</v>
      </c>
      <c r="I66" s="65" t="n">
        <v>139292161.093606</v>
      </c>
      <c r="J66" s="65" t="n">
        <v>146712161.332877</v>
      </c>
      <c r="K66" s="65" t="n"/>
      <c r="L66" s="65" t="n"/>
      <c r="M66" s="65" t="n"/>
      <c r="N66" s="65" t="n"/>
      <c r="O66" s="65" t="n"/>
    </row>
    <row r="67">
      <c r="A67" s="61" t="inlineStr">
        <is>
          <t>Alüminyum / G.6.8.</t>
        </is>
      </c>
      <c r="B67" s="65" t="n">
        <v>415991185.825564</v>
      </c>
      <c r="C67" s="65" t="n">
        <v>471087689.92848</v>
      </c>
      <c r="D67" s="65" t="n">
        <v>469979142.618114</v>
      </c>
      <c r="E67" s="65" t="n">
        <v>448957448.151285</v>
      </c>
      <c r="F67" s="65" t="n">
        <v>445988821.986137</v>
      </c>
      <c r="G67" s="65" t="n">
        <v>304954091.095577</v>
      </c>
      <c r="H67" s="65" t="n">
        <v>306864945.162057</v>
      </c>
      <c r="I67" s="65" t="n">
        <v>294619663.441795</v>
      </c>
      <c r="J67" s="65" t="n">
        <v>395395608.947416</v>
      </c>
      <c r="K67" s="65" t="n"/>
      <c r="L67" s="65" t="n"/>
      <c r="M67" s="65" t="n"/>
      <c r="N67" s="65" t="n"/>
      <c r="O67" s="65" t="n"/>
    </row>
    <row r="68">
      <c r="A68" s="61" t="inlineStr">
        <is>
          <t>x / G.6.9.</t>
        </is>
      </c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</row>
    <row r="69">
      <c r="A69" s="61" t="inlineStr">
        <is>
          <t>y / G.6.10.</t>
        </is>
      </c>
      <c r="B69" s="65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</row>
    <row r="70">
      <c r="A70" s="61" t="inlineStr">
        <is>
          <t>Amortisman-TL / G.7.</t>
        </is>
      </c>
      <c r="B70" s="65" t="n">
        <v>114454215.205596</v>
      </c>
      <c r="C70" s="65" t="n">
        <v>157067373.078164</v>
      </c>
      <c r="D70" s="65" t="n">
        <v>155390445.079382</v>
      </c>
      <c r="E70" s="65" t="n">
        <v>145595637.310809</v>
      </c>
      <c r="F70" s="65" t="n">
        <v>149914199.287066</v>
      </c>
      <c r="G70" s="65" t="n">
        <v>148659210.287002</v>
      </c>
      <c r="H70" s="65" t="n">
        <v>150651256.467732</v>
      </c>
      <c r="I70" s="65" t="n">
        <v>148490161.365396</v>
      </c>
      <c r="J70" s="65" t="n">
        <v>149157014.761019</v>
      </c>
      <c r="K70" s="65" t="n"/>
      <c r="L70" s="65" t="n"/>
      <c r="M70" s="65" t="n"/>
      <c r="N70" s="65" t="n"/>
      <c r="O70" s="65" t="n"/>
    </row>
    <row r="71">
      <c r="A71" s="61" t="inlineStr">
        <is>
          <t>İnci Holding / G.7.1.</t>
        </is>
      </c>
      <c r="B71" s="65" t="n">
        <v>1800869</v>
      </c>
      <c r="C71" s="65" t="n">
        <v>1800869</v>
      </c>
      <c r="D71" s="65" t="n">
        <v>1800869</v>
      </c>
      <c r="E71" s="65" t="n">
        <v>1800869</v>
      </c>
      <c r="F71" s="65" t="n">
        <v>1800869</v>
      </c>
      <c r="G71" s="65" t="n">
        <v>1800869</v>
      </c>
      <c r="H71" s="65" t="n">
        <v>1800874</v>
      </c>
      <c r="I71" s="65" t="n">
        <v>1798241.41967571</v>
      </c>
      <c r="J71" s="65" t="n">
        <v>1798241.41967571</v>
      </c>
      <c r="K71" s="65" t="n"/>
      <c r="L71" s="65" t="n"/>
      <c r="M71" s="65" t="n"/>
      <c r="N71" s="65" t="n"/>
      <c r="O71" s="65" t="n"/>
    </row>
    <row r="72">
      <c r="A72" s="61" t="inlineStr">
        <is>
          <t>ISM / G.7.2.</t>
        </is>
      </c>
      <c r="B72" s="65" t="n">
        <v>1834287.56</v>
      </c>
      <c r="C72" s="65" t="n">
        <v>1834287.56</v>
      </c>
      <c r="D72" s="65" t="n">
        <v>1524528.19</v>
      </c>
      <c r="E72" s="65" t="n">
        <v>1524528.19</v>
      </c>
      <c r="F72" s="65" t="n">
        <v>1195164.61</v>
      </c>
      <c r="G72" s="65" t="n">
        <v>1216098</v>
      </c>
      <c r="H72" s="65" t="n">
        <v>1226912</v>
      </c>
      <c r="I72" s="65" t="n">
        <v>1237387</v>
      </c>
      <c r="J72" s="65" t="n">
        <v>1275685.38</v>
      </c>
      <c r="K72" s="65" t="n"/>
      <c r="L72" s="65" t="n"/>
      <c r="M72" s="65" t="n"/>
      <c r="N72" s="65" t="n"/>
      <c r="O72" s="65" t="n"/>
    </row>
    <row r="73">
      <c r="A73" s="61" t="inlineStr">
        <is>
          <t>İncitaş / G.7.3.</t>
        </is>
      </c>
      <c r="B73" s="65" t="n">
        <v>204004.9</v>
      </c>
      <c r="C73" s="65" t="n">
        <v>199500.68</v>
      </c>
      <c r="D73" s="65" t="n">
        <v>137171.83</v>
      </c>
      <c r="E73" s="65" t="n">
        <v>140691.431111111</v>
      </c>
      <c r="F73" s="65" t="n">
        <v>115849.387777778</v>
      </c>
      <c r="G73" s="65" t="n">
        <v>116476.358888889</v>
      </c>
      <c r="H73" s="65" t="n">
        <v>118233.26</v>
      </c>
      <c r="I73" s="65" t="n">
        <v>119559.281111111</v>
      </c>
      <c r="J73" s="65" t="n">
        <v>121406.182222222</v>
      </c>
      <c r="K73" s="65" t="n"/>
      <c r="L73" s="65" t="n"/>
      <c r="M73" s="65" t="n"/>
      <c r="N73" s="65" t="n"/>
      <c r="O73" s="65" t="n"/>
    </row>
    <row r="74">
      <c r="A74" s="61" t="inlineStr">
        <is>
          <t>İnci GS Yuasa / G.7.4.</t>
        </is>
      </c>
      <c r="B74" s="65" t="n">
        <v>-42709105.0950387</v>
      </c>
      <c r="C74" s="65" t="n">
        <v>44416308.9093603</v>
      </c>
      <c r="D74" s="65" t="n">
        <v>41135241.0923651</v>
      </c>
      <c r="E74" s="65" t="n">
        <v>36808981.9452549</v>
      </c>
      <c r="F74" s="65" t="n">
        <v>40221445.8986307</v>
      </c>
      <c r="G74" s="65" t="n">
        <v>40817627.5890715</v>
      </c>
      <c r="H74" s="65" t="n">
        <v>40580941.8294746</v>
      </c>
      <c r="I74" s="65" t="n">
        <v>40565189.369292</v>
      </c>
      <c r="J74" s="65" t="n">
        <v>41455644.8567707</v>
      </c>
      <c r="K74" s="65" t="n"/>
      <c r="L74" s="65" t="n"/>
      <c r="M74" s="65" t="n"/>
      <c r="N74" s="65" t="n"/>
      <c r="O74" s="65" t="n"/>
    </row>
    <row r="75">
      <c r="A75" s="61" t="inlineStr">
        <is>
          <t>Yusen İnci Loj. / G.7.5.</t>
        </is>
      </c>
      <c r="B75" s="65" t="n">
        <v>6706024.0159096</v>
      </c>
      <c r="C75" s="65" t="n">
        <v>6706024.0159096</v>
      </c>
      <c r="D75" s="65" t="n">
        <v>6585584.24177477</v>
      </c>
      <c r="E75" s="65" t="n">
        <v>6694527.83853527</v>
      </c>
      <c r="F75" s="65" t="n">
        <v>6811063.39321695</v>
      </c>
      <c r="G75" s="65" t="n">
        <v>7057706.85418644</v>
      </c>
      <c r="H75" s="65" t="n">
        <v>11694302.5092073</v>
      </c>
      <c r="I75" s="65" t="n">
        <v>6609282.82821356</v>
      </c>
      <c r="J75" s="65" t="n">
        <v>6609282.82821356</v>
      </c>
      <c r="K75" s="65" t="n"/>
      <c r="L75" s="65" t="n"/>
      <c r="M75" s="65" t="n"/>
      <c r="N75" s="65" t="n"/>
      <c r="O75" s="65" t="n"/>
    </row>
    <row r="76">
      <c r="A76" s="61" t="inlineStr">
        <is>
          <t>Jantaş / G.7.6.</t>
        </is>
      </c>
      <c r="B76" s="65" t="n">
        <v>91009696.2099767</v>
      </c>
      <c r="C76" s="65" t="n">
        <v>102318188.683175</v>
      </c>
      <c r="D76" s="65" t="n">
        <v>102206193.850838</v>
      </c>
      <c r="E76" s="65" t="n">
        <v>89615187.6435772</v>
      </c>
      <c r="F76" s="65" t="n">
        <v>89048303.631945</v>
      </c>
      <c r="G76" s="65" t="n">
        <v>91829211.46605401</v>
      </c>
      <c r="H76" s="65" t="n">
        <v>91978071.13079239</v>
      </c>
      <c r="I76" s="65" t="n">
        <v>91679832.2535904</v>
      </c>
      <c r="J76" s="65" t="n">
        <v>90824912.50249989</v>
      </c>
      <c r="K76" s="65" t="n"/>
      <c r="L76" s="65" t="n"/>
      <c r="M76" s="65" t="n"/>
      <c r="N76" s="65" t="n"/>
      <c r="O76" s="65" t="n"/>
    </row>
    <row r="77">
      <c r="A77" s="61" t="inlineStr">
        <is>
          <t>Çelik / G.7.7.</t>
        </is>
      </c>
      <c r="B77" s="65" t="n">
        <v>52689166.04157</v>
      </c>
      <c r="C77" s="65" t="n">
        <v>55578928.7033479</v>
      </c>
      <c r="D77" s="65" t="n">
        <v>55598149.0678167</v>
      </c>
      <c r="E77" s="65" t="n">
        <v>54003164.4761554</v>
      </c>
      <c r="F77" s="65" t="n">
        <v>53663224.4541916</v>
      </c>
      <c r="G77" s="65" t="n">
        <v>52455728.956024</v>
      </c>
      <c r="H77" s="65" t="n">
        <v>52553730.2162803</v>
      </c>
      <c r="I77" s="65" t="n">
        <v>52841908.9718763</v>
      </c>
      <c r="J77" s="65" t="n">
        <v>53206792.7658783</v>
      </c>
      <c r="K77" s="65" t="n"/>
      <c r="L77" s="65" t="n"/>
      <c r="M77" s="65" t="n"/>
      <c r="N77" s="65" t="n"/>
      <c r="O77" s="65" t="n"/>
    </row>
    <row r="78">
      <c r="A78" s="61" t="inlineStr">
        <is>
          <t>Alüminyum / G.7.8.</t>
        </is>
      </c>
      <c r="B78" s="65" t="n">
        <v>168841853.191573</v>
      </c>
      <c r="C78" s="65" t="n">
        <v>174062339.283619</v>
      </c>
      <c r="D78" s="65" t="n">
        <v>174294521.895661</v>
      </c>
      <c r="E78" s="65" t="n">
        <v>168202009.820724</v>
      </c>
      <c r="F78" s="65" t="n">
        <v>167206391.870579</v>
      </c>
      <c r="G78" s="65" t="n">
        <v>161449735.557679</v>
      </c>
      <c r="H78" s="65" t="n">
        <v>161810811.876206</v>
      </c>
      <c r="I78" s="65" t="n">
        <v>161499923.396227</v>
      </c>
      <c r="J78" s="65" t="n">
        <v>162443660.280248</v>
      </c>
      <c r="K78" s="65" t="n"/>
      <c r="L78" s="65" t="n"/>
      <c r="M78" s="65" t="n"/>
      <c r="N78" s="65" t="n"/>
      <c r="O78" s="65" t="n"/>
    </row>
    <row r="79">
      <c r="A79" s="61" t="inlineStr">
        <is>
          <t>x / G.7.9.</t>
        </is>
      </c>
      <c r="B79" s="65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</row>
    <row r="80">
      <c r="A80" s="61" t="inlineStr">
        <is>
          <t>y / G.7.10.</t>
        </is>
      </c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</row>
    <row r="81">
      <c r="A81" s="61" t="inlineStr">
        <is>
          <t>EBİTDA-TL / G.8.</t>
        </is>
      </c>
      <c r="B81" s="65" t="n">
        <v>778228370.394171</v>
      </c>
      <c r="C81" s="65" t="n">
        <v>890977296.2540359</v>
      </c>
      <c r="D81" s="65" t="n">
        <v>898018638.538551</v>
      </c>
      <c r="E81" s="65" t="n">
        <v>843075692.443785</v>
      </c>
      <c r="F81" s="65" t="n">
        <v>914568422.512715</v>
      </c>
      <c r="G81" s="65" t="n">
        <v>859510735.600222</v>
      </c>
      <c r="H81" s="65" t="n">
        <v>854434074.6405849</v>
      </c>
      <c r="I81" s="65" t="n">
        <v>809898057.286898</v>
      </c>
      <c r="J81" s="65" t="n">
        <v>841846514.382514</v>
      </c>
      <c r="K81" s="65" t="n"/>
      <c r="L81" s="65" t="n"/>
      <c r="M81" s="65" t="n"/>
      <c r="N81" s="65" t="n"/>
      <c r="O81" s="65" t="n"/>
    </row>
    <row r="82">
      <c r="A82" s="61" t="inlineStr">
        <is>
          <t>İnci Holding / G.8.1.</t>
        </is>
      </c>
      <c r="B82" s="65" t="n">
        <v>88007317.384663</v>
      </c>
      <c r="C82" s="65" t="n">
        <v>91803808.827592</v>
      </c>
      <c r="D82" s="65" t="n">
        <v>92566880.1125959</v>
      </c>
      <c r="E82" s="65" t="n">
        <v>81304551.147533</v>
      </c>
      <c r="F82" s="65" t="n">
        <v>91616816.97028209</v>
      </c>
      <c r="G82" s="65" t="n">
        <v>90023304.127379</v>
      </c>
      <c r="H82" s="65" t="n">
        <v>86229718.0881539</v>
      </c>
      <c r="I82" s="65" t="n">
        <v>78987171.7745447</v>
      </c>
      <c r="J82" s="65" t="n">
        <v>78868298.1568992</v>
      </c>
      <c r="K82" s="65" t="n"/>
      <c r="L82" s="65" t="n"/>
      <c r="M82" s="65" t="n"/>
      <c r="N82" s="65" t="n"/>
      <c r="O82" s="65" t="n"/>
    </row>
    <row r="83">
      <c r="A83" s="61" t="inlineStr">
        <is>
          <t>ISM / G.8.2.</t>
        </is>
      </c>
      <c r="B83" s="65" t="n">
        <v>31161119.2437662</v>
      </c>
      <c r="C83" s="65" t="n">
        <v>30347413.2129996</v>
      </c>
      <c r="D83" s="65" t="n">
        <v>24704383.0524054</v>
      </c>
      <c r="E83" s="65" t="n">
        <v>24704383.0524054</v>
      </c>
      <c r="F83" s="65" t="n">
        <v>28068961.5375713</v>
      </c>
      <c r="G83" s="65" t="n">
        <v>27741889.05</v>
      </c>
      <c r="H83" s="65" t="n">
        <v>28279711.527677</v>
      </c>
      <c r="I83" s="65" t="n">
        <v>27102531.6457518</v>
      </c>
      <c r="J83" s="65" t="n">
        <v>26305821.0383309</v>
      </c>
      <c r="K83" s="65" t="n"/>
      <c r="L83" s="65" t="n"/>
      <c r="M83" s="65" t="n"/>
      <c r="N83" s="65" t="n"/>
      <c r="O83" s="65" t="n"/>
    </row>
    <row r="84">
      <c r="A84" s="61" t="inlineStr">
        <is>
          <t>İncitaş / G.8.3.</t>
        </is>
      </c>
      <c r="B84" s="65" t="n">
        <v>14104448.228566</v>
      </c>
      <c r="C84" s="65" t="n">
        <v>13532994.6367921</v>
      </c>
      <c r="D84" s="65" t="n">
        <v>13105933.0137841</v>
      </c>
      <c r="E84" s="65" t="n">
        <v>13273877.0094836</v>
      </c>
      <c r="F84" s="65" t="n">
        <v>11897762.2100272</v>
      </c>
      <c r="G84" s="65" t="n">
        <v>11189849.8847987</v>
      </c>
      <c r="H84" s="65" t="n">
        <v>12318061.093612</v>
      </c>
      <c r="I84" s="65" t="n">
        <v>8620934.601441801</v>
      </c>
      <c r="J84" s="65" t="n">
        <v>8165443.3249677</v>
      </c>
      <c r="K84" s="65" t="n"/>
      <c r="L84" s="65" t="n"/>
      <c r="M84" s="65" t="n"/>
      <c r="N84" s="65" t="n"/>
      <c r="O84" s="65" t="n"/>
    </row>
    <row r="85">
      <c r="A85" s="61" t="inlineStr">
        <is>
          <t>İnci GS Yuasa / G.8.4.</t>
        </is>
      </c>
      <c r="B85" s="65" t="n">
        <v>222371622.299734</v>
      </c>
      <c r="C85" s="65" t="n">
        <v>361254430.447471</v>
      </c>
      <c r="D85" s="65" t="n">
        <v>403585804.932475</v>
      </c>
      <c r="E85" s="65" t="n">
        <v>354547945.220541</v>
      </c>
      <c r="F85" s="65" t="n">
        <v>412053586.354648</v>
      </c>
      <c r="G85" s="65" t="n">
        <v>412686166.772356</v>
      </c>
      <c r="H85" s="65" t="n">
        <v>398370875.902975</v>
      </c>
      <c r="I85" s="65" t="n">
        <v>402603207.16419</v>
      </c>
      <c r="J85" s="65" t="n">
        <v>367694510.744102</v>
      </c>
      <c r="K85" s="65" t="n"/>
      <c r="L85" s="65" t="n"/>
      <c r="M85" s="65" t="n"/>
      <c r="N85" s="65" t="n"/>
      <c r="O85" s="65" t="n"/>
    </row>
    <row r="86">
      <c r="A86" s="61" t="inlineStr">
        <is>
          <t>Yusen İnci Loj. / G.8.5.</t>
        </is>
      </c>
      <c r="B86" s="65" t="n">
        <v>118814210.937976</v>
      </c>
      <c r="C86" s="65" t="n">
        <v>103886193.738913</v>
      </c>
      <c r="D86" s="65" t="n">
        <v>94238448.896503</v>
      </c>
      <c r="E86" s="65" t="n">
        <v>93257995.1114518</v>
      </c>
      <c r="F86" s="65" t="n">
        <v>88386268.13989881</v>
      </c>
      <c r="G86" s="65" t="n">
        <v>84687302.0573424</v>
      </c>
      <c r="H86" s="65" t="n">
        <v>91540647.41637351</v>
      </c>
      <c r="I86" s="65" t="n">
        <v>75875788.0656559</v>
      </c>
      <c r="J86" s="65" t="n">
        <v>69536362.4252826</v>
      </c>
      <c r="K86" s="65" t="n"/>
      <c r="L86" s="65" t="n"/>
      <c r="M86" s="65" t="n"/>
      <c r="N86" s="65" t="n"/>
      <c r="O86" s="65" t="n"/>
    </row>
    <row r="87">
      <c r="A87" s="61" t="inlineStr">
        <is>
          <t>Jantaş / G.8.6.</t>
        </is>
      </c>
      <c r="B87" s="65" t="n">
        <v>419023287.407678</v>
      </c>
      <c r="C87" s="65" t="n">
        <v>497416459.880313</v>
      </c>
      <c r="D87" s="65" t="n">
        <v>495824269.816306</v>
      </c>
      <c r="E87" s="65" t="n">
        <v>488581109.195874</v>
      </c>
      <c r="F87" s="65" t="n">
        <v>486131713.114483</v>
      </c>
      <c r="G87" s="65" t="n">
        <v>509709950.749826</v>
      </c>
      <c r="H87" s="65" t="n">
        <v>510949931.220018</v>
      </c>
      <c r="I87" s="65" t="n">
        <v>510585094.2385</v>
      </c>
      <c r="J87" s="65" t="n">
        <v>534354655.47396</v>
      </c>
      <c r="K87" s="65" t="n"/>
      <c r="L87" s="65" t="n"/>
      <c r="M87" s="65" t="n"/>
      <c r="N87" s="65" t="n"/>
      <c r="O87" s="65" t="n"/>
    </row>
    <row r="88">
      <c r="A88" s="61" t="inlineStr">
        <is>
          <t>Çelik / G.8.7.</t>
        </is>
      </c>
      <c r="B88" s="65" t="n">
        <v>267346554.180409</v>
      </c>
      <c r="C88" s="65" t="n">
        <v>280525585.662835</v>
      </c>
      <c r="D88" s="65" t="n">
        <v>281181417.740352</v>
      </c>
      <c r="E88" s="65" t="n">
        <v>255935695.586035</v>
      </c>
      <c r="F88" s="65" t="n">
        <v>254682026.432679</v>
      </c>
      <c r="G88" s="65" t="n">
        <v>249730443.41924</v>
      </c>
      <c r="H88" s="65" t="n">
        <v>249886529.274481</v>
      </c>
      <c r="I88" s="65" t="n">
        <v>192134070.065483</v>
      </c>
      <c r="J88" s="65" t="n">
        <v>199918954.098755</v>
      </c>
      <c r="K88" s="65" t="n"/>
      <c r="L88" s="65" t="n"/>
      <c r="M88" s="65" t="n"/>
      <c r="N88" s="65" t="n"/>
      <c r="O88" s="65" t="n"/>
    </row>
    <row r="89">
      <c r="A89" s="61" t="inlineStr">
        <is>
          <t>Alüminyum / G.8.8.</t>
        </is>
      </c>
      <c r="B89" s="65" t="n">
        <v>584833039.0171371</v>
      </c>
      <c r="C89" s="65" t="n">
        <v>645150029.212099</v>
      </c>
      <c r="D89" s="65" t="n">
        <v>644273664.513775</v>
      </c>
      <c r="E89" s="65" t="n">
        <v>617159457.97201</v>
      </c>
      <c r="F89" s="65" t="n">
        <v>613195213.856717</v>
      </c>
      <c r="G89" s="65" t="n">
        <v>466403826.653256</v>
      </c>
      <c r="H89" s="65" t="n">
        <v>468675757.038262</v>
      </c>
      <c r="I89" s="65" t="n">
        <v>456119586.838022</v>
      </c>
      <c r="J89" s="65" t="n">
        <v>557839269.227664</v>
      </c>
      <c r="K89" s="65" t="n"/>
      <c r="L89" s="65" t="n"/>
      <c r="M89" s="65" t="n"/>
      <c r="N89" s="65" t="n"/>
      <c r="O89" s="65" t="n"/>
    </row>
    <row r="90">
      <c r="A90" s="61" t="inlineStr">
        <is>
          <t>x / G.8.9.</t>
        </is>
      </c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</row>
    <row r="91">
      <c r="A91" s="61" t="inlineStr">
        <is>
          <t>y / G.8.10.</t>
        </is>
      </c>
      <c r="B91" s="65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</row>
    <row r="92">
      <c r="A92" s="61" t="inlineStr">
        <is>
          <t>Finansman Gelir/Gideri-TL / G.9.</t>
        </is>
      </c>
      <c r="B92" s="65" t="n">
        <v>-54769439.6118079</v>
      </c>
      <c r="C92" s="65" t="n">
        <v>-47212717.7448232</v>
      </c>
      <c r="D92" s="65" t="n">
        <v>-54498141.6843666</v>
      </c>
      <c r="E92" s="65" t="n">
        <v>-58525550.4989938</v>
      </c>
      <c r="F92" s="65" t="n">
        <v>-48434142.7042428</v>
      </c>
      <c r="G92" s="65" t="n">
        <v>-32964857.1370768</v>
      </c>
      <c r="H92" s="65" t="n">
        <v>-29089566.5791303</v>
      </c>
      <c r="I92" s="65" t="n">
        <v>-28443764.8182827</v>
      </c>
      <c r="J92" s="65" t="n">
        <v>-27475687.4642289</v>
      </c>
      <c r="K92" s="65" t="n"/>
      <c r="L92" s="65" t="n"/>
      <c r="M92" s="65" t="n"/>
      <c r="N92" s="65" t="n"/>
      <c r="O92" s="65" t="n"/>
    </row>
    <row r="93">
      <c r="A93" s="61" t="inlineStr">
        <is>
          <t>İnci Holding / G.9.1.</t>
        </is>
      </c>
      <c r="B93" s="65" t="n">
        <v>2921733.11278883</v>
      </c>
      <c r="C93" s="65" t="n">
        <v>2678104.78028983</v>
      </c>
      <c r="D93" s="65" t="n">
        <v>2924247.36256578</v>
      </c>
      <c r="E93" s="65" t="n">
        <v>898603.05</v>
      </c>
      <c r="F93" s="65" t="n">
        <v>-1079043.77396233</v>
      </c>
      <c r="G93" s="65" t="n">
        <v>-1224878.34390939</v>
      </c>
      <c r="H93" s="65" t="n">
        <v>-1426008</v>
      </c>
      <c r="I93" s="65" t="n">
        <v>-848678.89752275</v>
      </c>
      <c r="J93" s="65" t="n">
        <v>630191.890875242</v>
      </c>
      <c r="K93" s="65" t="n"/>
      <c r="L93" s="65" t="n"/>
      <c r="M93" s="65" t="n"/>
      <c r="N93" s="65" t="n"/>
      <c r="O93" s="65" t="n"/>
    </row>
    <row r="94">
      <c r="A94" s="61" t="inlineStr">
        <is>
          <t>ISM / G.9.2.</t>
        </is>
      </c>
      <c r="B94" s="65" t="n">
        <v>-2532254</v>
      </c>
      <c r="C94" s="65" t="n">
        <v>-2532254</v>
      </c>
      <c r="D94" s="65" t="n">
        <v>-3400626</v>
      </c>
      <c r="E94" s="65" t="n">
        <v>-5919845</v>
      </c>
      <c r="F94" s="65" t="n">
        <v>-5045958</v>
      </c>
      <c r="G94" s="65" t="n">
        <v>-5012737</v>
      </c>
      <c r="H94" s="65" t="n">
        <v>-4936533</v>
      </c>
      <c r="I94" s="65" t="n">
        <v>-5212322</v>
      </c>
      <c r="J94" s="65" t="n">
        <v>-5174260</v>
      </c>
      <c r="K94" s="65" t="n"/>
      <c r="L94" s="65" t="n"/>
      <c r="M94" s="65" t="n"/>
      <c r="N94" s="65" t="n"/>
      <c r="O94" s="65" t="n"/>
    </row>
    <row r="95">
      <c r="A95" s="61" t="inlineStr">
        <is>
          <t>İncitaş / G.9.3.</t>
        </is>
      </c>
      <c r="B95" s="65" t="n">
        <v>-1447102.36602663</v>
      </c>
      <c r="C95" s="65" t="n">
        <v>-1233258.21789234</v>
      </c>
      <c r="D95" s="65" t="n">
        <v>-1289302.58712634</v>
      </c>
      <c r="E95" s="65" t="n">
        <v>-1181582.25034028</v>
      </c>
      <c r="F95" s="65" t="n">
        <v>-765753.681890329</v>
      </c>
      <c r="G95" s="65" t="n">
        <v>-737746.695704074</v>
      </c>
      <c r="H95" s="65" t="n">
        <v>-799166.037429436</v>
      </c>
      <c r="I95" s="65" t="n">
        <v>-439109.947328324</v>
      </c>
      <c r="J95" s="65" t="n">
        <v>-266506.54372972</v>
      </c>
      <c r="K95" s="65" t="n"/>
      <c r="L95" s="65" t="n"/>
      <c r="M95" s="65" t="n"/>
      <c r="N95" s="65" t="n"/>
      <c r="O95" s="65" t="n"/>
    </row>
    <row r="96">
      <c r="A96" s="61" t="inlineStr">
        <is>
          <t>İnci GS Yuasa / G.9.4.</t>
        </is>
      </c>
      <c r="B96" s="65" t="n">
        <v>-135721652.494444</v>
      </c>
      <c r="C96" s="65" t="n">
        <v>-109567085.827778</v>
      </c>
      <c r="D96" s="65" t="n">
        <v>-125964986.114722</v>
      </c>
      <c r="E96" s="65" t="n">
        <v>-125313058.65</v>
      </c>
      <c r="F96" s="65" t="n">
        <v>-78685831.11690611</v>
      </c>
      <c r="G96" s="65" t="n">
        <v>-51736437.8827549</v>
      </c>
      <c r="H96" s="65" t="n">
        <v>-44272558.3740461</v>
      </c>
      <c r="I96" s="65" t="n">
        <v>-44122558.3740461</v>
      </c>
      <c r="J96" s="65" t="n">
        <v>-46460392.5490461</v>
      </c>
      <c r="K96" s="65" t="n"/>
      <c r="L96" s="65" t="n"/>
      <c r="M96" s="65" t="n"/>
      <c r="N96" s="65" t="n"/>
      <c r="O96" s="65" t="n"/>
    </row>
    <row r="97">
      <c r="A97" s="61" t="inlineStr">
        <is>
          <t>Yusen İnci Loj. / G.9.5.</t>
        </is>
      </c>
      <c r="B97" s="65" t="n">
        <v>-1711649.36716171</v>
      </c>
      <c r="C97" s="65" t="n">
        <v>-1592978.80180957</v>
      </c>
      <c r="D97" s="65" t="n">
        <v>-1585388.54295448</v>
      </c>
      <c r="E97" s="65" t="n">
        <v>-1667346.84055065</v>
      </c>
      <c r="F97" s="65" t="n">
        <v>-1663488.61977817</v>
      </c>
      <c r="G97" s="65" t="n">
        <v>-1755643.87720285</v>
      </c>
      <c r="H97" s="65" t="n">
        <v>-859094.480670018</v>
      </c>
      <c r="I97" s="65" t="n">
        <v>1694325.0175785</v>
      </c>
      <c r="J97" s="65" t="n">
        <v>5337482.20237722</v>
      </c>
      <c r="K97" s="65" t="n"/>
      <c r="L97" s="65" t="n"/>
      <c r="M97" s="65" t="n"/>
      <c r="N97" s="65" t="n"/>
      <c r="O97" s="65" t="n"/>
    </row>
    <row r="98">
      <c r="A98" s="61" t="inlineStr">
        <is>
          <t>Jantaş / G.9.6.</t>
        </is>
      </c>
      <c r="B98" s="65" t="n">
        <v>-2484287.30736522</v>
      </c>
      <c r="C98" s="65" t="n">
        <v>-1779156.03301605</v>
      </c>
      <c r="D98" s="65" t="n">
        <v>-1792092.50709513</v>
      </c>
      <c r="E98" s="65" t="n">
        <v>-1311292.089903</v>
      </c>
      <c r="F98" s="65" t="n">
        <v>-1300179.73849832</v>
      </c>
      <c r="G98" s="65" t="n">
        <v>-2776717.84633088</v>
      </c>
      <c r="H98" s="65" t="n">
        <v>-2776356.74322125</v>
      </c>
      <c r="I98" s="65" t="n">
        <v>-2759628.98570163</v>
      </c>
      <c r="J98" s="65" t="n">
        <v>-3094370.67535073</v>
      </c>
      <c r="K98" s="65" t="n"/>
      <c r="L98" s="65" t="n"/>
      <c r="M98" s="65" t="n"/>
      <c r="N98" s="65" t="n"/>
      <c r="O98" s="65" t="n"/>
    </row>
    <row r="99">
      <c r="A99" s="61" t="inlineStr">
        <is>
          <t>Çelik / G.9.7.</t>
        </is>
      </c>
      <c r="B99" s="65" t="n">
        <v>-2485438.42804591</v>
      </c>
      <c r="C99" s="65" t="n">
        <v>-3601239.70042555</v>
      </c>
      <c r="D99" s="65" t="n">
        <v>-3591655.24102721</v>
      </c>
      <c r="E99" s="65" t="n">
        <v>-3222845.69765391</v>
      </c>
      <c r="F99" s="65" t="n">
        <v>-3210156.35510032</v>
      </c>
      <c r="G99" s="65" t="n">
        <v>-2573848.1504293</v>
      </c>
      <c r="H99" s="65" t="n">
        <v>-2574342.68363934</v>
      </c>
      <c r="I99" s="65" t="n">
        <v>-2409651.62805518</v>
      </c>
      <c r="J99" s="65" t="n">
        <v>-2240823.69519793</v>
      </c>
      <c r="K99" s="65" t="n"/>
      <c r="L99" s="65" t="n"/>
      <c r="M99" s="65" t="n"/>
      <c r="N99" s="65" t="n"/>
      <c r="O99" s="65" t="n"/>
    </row>
    <row r="100">
      <c r="A100" s="61" t="inlineStr">
        <is>
          <t>Alüminyum / G.9.8.</t>
        </is>
      </c>
      <c r="B100" s="65" t="n">
        <v>8123486.70059151</v>
      </c>
      <c r="C100" s="65" t="n">
        <v>1227184.59497747</v>
      </c>
      <c r="D100" s="65" t="n">
        <v>1102971.2562838</v>
      </c>
      <c r="E100" s="65" t="n">
        <v>707727.531473671</v>
      </c>
      <c r="F100" s="65" t="n">
        <v>672645.4885341011</v>
      </c>
      <c r="G100" s="65" t="n">
        <v>6803019.48374824</v>
      </c>
      <c r="H100" s="65" t="n">
        <v>6730843.02083607</v>
      </c>
      <c r="I100" s="65" t="n">
        <v>3769018.63015678</v>
      </c>
      <c r="J100" s="65" t="n">
        <v>1410420.82604296</v>
      </c>
      <c r="K100" s="65" t="n"/>
      <c r="L100" s="65" t="n"/>
      <c r="M100" s="65" t="n"/>
      <c r="N100" s="65" t="n"/>
      <c r="O100" s="65" t="n"/>
    </row>
    <row r="101">
      <c r="A101" s="61" t="inlineStr">
        <is>
          <t>x / G.9.9.</t>
        </is>
      </c>
      <c r="B101" s="65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</row>
    <row r="102">
      <c r="A102" s="61" t="inlineStr">
        <is>
          <t>y / G.9.10.</t>
        </is>
      </c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</row>
    <row r="103">
      <c r="A103" s="61" t="inlineStr">
        <is>
          <t>Diğer Gelir/Gideri-TL / G.10.</t>
        </is>
      </c>
      <c r="B103" s="65" t="n">
        <v>2888816.23304643</v>
      </c>
      <c r="C103" s="65" t="n">
        <v>2854783.3553262</v>
      </c>
      <c r="D103" s="65" t="n">
        <v>24866202.4804492</v>
      </c>
      <c r="E103" s="65" t="n">
        <v>26855000.3089005</v>
      </c>
      <c r="F103" s="65" t="n">
        <v>-1793287.27707624</v>
      </c>
      <c r="G103" s="65" t="n">
        <v>56544859.7858836</v>
      </c>
      <c r="H103" s="65" t="n">
        <v>-85456772.10801131</v>
      </c>
      <c r="I103" s="65" t="n">
        <v>-60940691.7266006</v>
      </c>
      <c r="J103" s="65" t="n">
        <v>-62615787.1163801</v>
      </c>
      <c r="K103" s="65" t="n"/>
      <c r="L103" s="65" t="n"/>
      <c r="M103" s="65" t="n"/>
      <c r="N103" s="65" t="n"/>
      <c r="O103" s="65" t="n"/>
    </row>
    <row r="104">
      <c r="A104" s="61" t="inlineStr">
        <is>
          <t>İnci Holding / G.10.1.</t>
        </is>
      </c>
      <c r="B104" s="65" t="n">
        <v>176927735.790232</v>
      </c>
      <c r="C104" s="65" t="n">
        <v>181374939.127126</v>
      </c>
      <c r="D104" s="65" t="n">
        <v>184134075.851241</v>
      </c>
      <c r="E104" s="65" t="n">
        <v>173970400.041198</v>
      </c>
      <c r="F104" s="65" t="n">
        <v>179666461.160172</v>
      </c>
      <c r="G104" s="65" t="n">
        <v>180485100.032758</v>
      </c>
      <c r="H104" s="65" t="n">
        <v>37305083</v>
      </c>
      <c r="I104" s="65" t="n">
        <v>50008152.2638398</v>
      </c>
      <c r="J104" s="65" t="n">
        <v>40589496.279268</v>
      </c>
      <c r="K104" s="65" t="n"/>
      <c r="L104" s="65" t="n"/>
      <c r="M104" s="65" t="n"/>
      <c r="N104" s="65" t="n"/>
      <c r="O104" s="65" t="n"/>
    </row>
    <row r="105">
      <c r="A105" s="61" t="inlineStr">
        <is>
          <t>ISM / G.10.2.</t>
        </is>
      </c>
      <c r="B105" s="65" t="n">
        <v>1687593</v>
      </c>
      <c r="C105" s="65" t="n">
        <v>1630408</v>
      </c>
      <c r="D105" s="65" t="n">
        <v>1595139</v>
      </c>
      <c r="E105" s="65" t="n">
        <v>1595139</v>
      </c>
      <c r="F105" s="65" t="n">
        <v>1042433</v>
      </c>
      <c r="G105" s="65" t="n">
        <v>798863</v>
      </c>
      <c r="H105" s="65" t="n">
        <v>788041</v>
      </c>
      <c r="I105" s="65" t="n">
        <v>720903</v>
      </c>
      <c r="J105" s="65" t="n">
        <v>582677</v>
      </c>
      <c r="K105" s="65" t="n"/>
      <c r="L105" s="65" t="n"/>
      <c r="M105" s="65" t="n"/>
      <c r="N105" s="65" t="n"/>
      <c r="O105" s="65" t="n"/>
    </row>
    <row r="106">
      <c r="A106" s="61" t="inlineStr">
        <is>
          <t>İncitaş / G.10.3.</t>
        </is>
      </c>
      <c r="B106" s="65" t="n">
        <v>4189259.75290005</v>
      </c>
      <c r="C106" s="65" t="n">
        <v>4422003.75007619</v>
      </c>
      <c r="D106" s="65" t="n">
        <v>4336768.45997472</v>
      </c>
      <c r="E106" s="65" t="n">
        <v>3368097.36290119</v>
      </c>
      <c r="F106" s="65" t="n">
        <v>3515321.06249734</v>
      </c>
      <c r="G106" s="65" t="n">
        <v>2137790.29906693</v>
      </c>
      <c r="H106" s="65" t="n">
        <v>2145766.40023571</v>
      </c>
      <c r="I106" s="65" t="n">
        <v>1685267.05427211</v>
      </c>
      <c r="J106" s="65" t="n">
        <v>1541226.35350951</v>
      </c>
      <c r="K106" s="65" t="n"/>
      <c r="L106" s="65" t="n"/>
      <c r="M106" s="65" t="n"/>
      <c r="N106" s="65" t="n"/>
      <c r="O106" s="65" t="n"/>
    </row>
    <row r="107">
      <c r="A107" s="61" t="inlineStr">
        <is>
          <t>İnci GS Yuasa / G.10.4.</t>
        </is>
      </c>
      <c r="B107" s="65" t="n">
        <v>-466911378.175491</v>
      </c>
      <c r="C107" s="65" t="n">
        <v>-469272019.466736</v>
      </c>
      <c r="D107" s="65" t="n">
        <v>-422003215.910219</v>
      </c>
      <c r="E107" s="65" t="n">
        <v>-385817100.839902</v>
      </c>
      <c r="F107" s="65" t="n">
        <v>-376905186.509094</v>
      </c>
      <c r="G107" s="65" t="n">
        <v>-255020414.325618</v>
      </c>
      <c r="H107" s="65" t="n">
        <v>-256020771.898729</v>
      </c>
      <c r="I107" s="65" t="n">
        <v>-229381231.898648</v>
      </c>
      <c r="J107" s="65" t="n">
        <v>-202157233.387593</v>
      </c>
      <c r="K107" s="65" t="n"/>
      <c r="L107" s="65" t="n"/>
      <c r="M107" s="65" t="n"/>
      <c r="N107" s="65" t="n"/>
      <c r="O107" s="65" t="n"/>
    </row>
    <row r="108">
      <c r="A108" s="61" t="inlineStr">
        <is>
          <t>Yusen İnci Loj. / G.10.5.</t>
        </is>
      </c>
      <c r="B108" s="65" t="n">
        <v>25520166.25</v>
      </c>
      <c r="C108" s="65" t="n">
        <v>25337392.33</v>
      </c>
      <c r="D108" s="65" t="n">
        <v>26132175.03</v>
      </c>
      <c r="E108" s="65" t="n">
        <v>16971230.78</v>
      </c>
      <c r="F108" s="65" t="n">
        <v>17393217.37</v>
      </c>
      <c r="G108" s="65" t="n">
        <v>3756636.19</v>
      </c>
      <c r="H108" s="65" t="n">
        <v>7192926.51378448</v>
      </c>
      <c r="I108" s="65" t="n">
        <v>1926284.96952792</v>
      </c>
      <c r="J108" s="65" t="n">
        <v>1937647.97952792</v>
      </c>
      <c r="K108" s="65" t="n"/>
      <c r="L108" s="65" t="n"/>
      <c r="M108" s="65" t="n"/>
      <c r="N108" s="65" t="n"/>
      <c r="O108" s="65" t="n"/>
    </row>
    <row r="109">
      <c r="A109" s="61" t="inlineStr">
        <is>
          <t>Jantaş / G.10.6.</t>
        </is>
      </c>
      <c r="B109" s="65" t="n">
        <v>-947629.11166819</v>
      </c>
      <c r="C109" s="65" t="n">
        <v>-6982710.4242204</v>
      </c>
      <c r="D109" s="65" t="n">
        <v>-7164457.88099988</v>
      </c>
      <c r="E109" s="65" t="n">
        <v>1748388.6028836</v>
      </c>
      <c r="F109" s="65" t="n">
        <v>1725427.2458707</v>
      </c>
      <c r="G109" s="65" t="n">
        <v>2547569.24633874</v>
      </c>
      <c r="H109" s="65" t="n">
        <v>2996177.97753355</v>
      </c>
      <c r="I109" s="65" t="n">
        <v>2903155.91846874</v>
      </c>
      <c r="J109" s="65" t="n">
        <v>-12732051.839752</v>
      </c>
      <c r="K109" s="65" t="n"/>
      <c r="L109" s="65" t="n"/>
      <c r="M109" s="65" t="n"/>
      <c r="N109" s="65" t="n"/>
      <c r="O109" s="65" t="n"/>
    </row>
    <row r="110">
      <c r="A110" s="61" t="inlineStr">
        <is>
          <t>Çelik / G.10.7.</t>
        </is>
      </c>
      <c r="B110" s="65" t="n">
        <v>-5852007.21143147</v>
      </c>
      <c r="C110" s="65" t="n">
        <v>-8197043.43383624</v>
      </c>
      <c r="D110" s="65" t="n">
        <v>-7945585.04666346</v>
      </c>
      <c r="E110" s="65" t="n">
        <v>-11939456.7473907</v>
      </c>
      <c r="F110" s="65" t="n">
        <v>-11943049.8843697</v>
      </c>
      <c r="G110" s="65" t="n">
        <v>-3905134.67628765</v>
      </c>
      <c r="H110" s="65" t="n">
        <v>-3597979.26386453</v>
      </c>
      <c r="I110" s="65" t="n">
        <v>-859285.398801507</v>
      </c>
      <c r="J110" s="65" t="n">
        <v>616435.503165721</v>
      </c>
      <c r="K110" s="65" t="n"/>
      <c r="L110" s="65" t="n"/>
      <c r="M110" s="65" t="n"/>
      <c r="N110" s="65" t="n"/>
      <c r="O110" s="65" t="n"/>
    </row>
    <row r="111">
      <c r="A111" s="61" t="inlineStr">
        <is>
          <t>Alüminyum / G.10.8.</t>
        </is>
      </c>
      <c r="B111" s="65" t="n">
        <v>-1598582.52662217</v>
      </c>
      <c r="C111" s="65" t="n">
        <v>-2317037.809897</v>
      </c>
      <c r="D111" s="65" t="n">
        <v>-2018368.26903267</v>
      </c>
      <c r="E111" s="65" t="n">
        <v>-1159652.03358668</v>
      </c>
      <c r="F111" s="65" t="n">
        <v>-1087867.84449678</v>
      </c>
      <c r="G111" s="65" t="n">
        <v>-815786.71788186</v>
      </c>
      <c r="H111" s="65" t="n">
        <v>-804316.6246598</v>
      </c>
      <c r="I111" s="65" t="n">
        <v>-631150.727666449</v>
      </c>
      <c r="J111" s="65" t="n">
        <v>-448456.781344434</v>
      </c>
      <c r="K111" s="65" t="n"/>
      <c r="L111" s="65" t="n"/>
      <c r="M111" s="65" t="n"/>
      <c r="N111" s="65" t="n"/>
      <c r="O111" s="65" t="n"/>
    </row>
    <row r="112">
      <c r="A112" s="61" t="inlineStr">
        <is>
          <t>x / G.10.9.</t>
        </is>
      </c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</row>
    <row r="113">
      <c r="A113" s="61" t="inlineStr">
        <is>
          <t>y / G.10.10.</t>
        </is>
      </c>
      <c r="B113" s="65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</row>
    <row r="114">
      <c r="A114" s="61" t="inlineStr">
        <is>
          <t>VÖK-TL / G.11.</t>
        </is>
      </c>
      <c r="B114" s="65" t="n">
        <v>611893531.809813</v>
      </c>
      <c r="C114" s="65" t="n">
        <v>689551988.786375</v>
      </c>
      <c r="D114" s="65" t="n">
        <v>712996254.255252</v>
      </c>
      <c r="E114" s="65" t="n">
        <v>665809504.942883</v>
      </c>
      <c r="F114" s="65" t="n">
        <v>714426793.24433</v>
      </c>
      <c r="G114" s="65" t="n">
        <v>734431527.962026</v>
      </c>
      <c r="H114" s="65" t="n">
        <v>589236479.4857121</v>
      </c>
      <c r="I114" s="65" t="n">
        <v>572023439.376619</v>
      </c>
      <c r="J114" s="65" t="n">
        <v>602598025.040886</v>
      </c>
      <c r="K114" s="65" t="n"/>
      <c r="L114" s="65" t="n"/>
      <c r="M114" s="65" t="n"/>
      <c r="N114" s="65" t="n"/>
      <c r="O114" s="65" t="n"/>
    </row>
    <row r="115">
      <c r="A115" s="61" t="inlineStr">
        <is>
          <t>İnci Holding / G.11.1.</t>
        </is>
      </c>
      <c r="B115" s="65" t="n">
        <v>266055917.287683</v>
      </c>
      <c r="C115" s="65" t="n">
        <v>274055983.735008</v>
      </c>
      <c r="D115" s="65" t="n">
        <v>277824334.326402</v>
      </c>
      <c r="E115" s="65" t="n">
        <v>254372685.238731</v>
      </c>
      <c r="F115" s="65" t="n">
        <v>268403365.356491</v>
      </c>
      <c r="G115" s="65" t="n">
        <v>267482656.816228</v>
      </c>
      <c r="H115" s="65" t="n">
        <v>120307919.088154</v>
      </c>
      <c r="I115" s="65" t="n">
        <v>126348403.721186</v>
      </c>
      <c r="J115" s="65" t="n">
        <v>118289744.907367</v>
      </c>
      <c r="K115" s="65" t="n"/>
      <c r="L115" s="65" t="n"/>
      <c r="M115" s="65" t="n"/>
      <c r="N115" s="65" t="n"/>
      <c r="O115" s="65" t="n"/>
    </row>
    <row r="116">
      <c r="A116" s="61" t="inlineStr">
        <is>
          <t>ISM / G.11.2.</t>
        </is>
      </c>
      <c r="B116" s="65" t="n">
        <v>28482170.6837662</v>
      </c>
      <c r="C116" s="65" t="n">
        <v>27611279.6529996</v>
      </c>
      <c r="D116" s="65" t="n">
        <v>21374367.8624054</v>
      </c>
      <c r="E116" s="65" t="n">
        <v>18855148.8624054</v>
      </c>
      <c r="F116" s="65" t="n">
        <v>22870271.9275713</v>
      </c>
      <c r="G116" s="65" t="n">
        <v>22311917.05</v>
      </c>
      <c r="H116" s="65" t="n">
        <v>22904307.527677</v>
      </c>
      <c r="I116" s="65" t="n">
        <v>21373725.6457518</v>
      </c>
      <c r="J116" s="65" t="n">
        <v>20438552.6583309</v>
      </c>
      <c r="K116" s="65" t="n"/>
      <c r="L116" s="65" t="n"/>
      <c r="M116" s="65" t="n"/>
      <c r="N116" s="65" t="n"/>
      <c r="O116" s="65" t="n"/>
    </row>
    <row r="117">
      <c r="A117" s="61" t="inlineStr">
        <is>
          <t>İncitaş / G.11.3.</t>
        </is>
      </c>
      <c r="B117" s="65" t="n">
        <v>16642600.7154394</v>
      </c>
      <c r="C117" s="65" t="n">
        <v>16522239.488976</v>
      </c>
      <c r="D117" s="65" t="n">
        <v>16016227.0566325</v>
      </c>
      <c r="E117" s="65" t="n">
        <v>15319700.6909334</v>
      </c>
      <c r="F117" s="65" t="n">
        <v>14531480.2028564</v>
      </c>
      <c r="G117" s="65" t="n">
        <v>12473417.1292726</v>
      </c>
      <c r="H117" s="65" t="n">
        <v>13546428.1964183</v>
      </c>
      <c r="I117" s="65" t="n">
        <v>9747532.42727448</v>
      </c>
      <c r="J117" s="65" t="n">
        <v>9318756.952525269</v>
      </c>
      <c r="K117" s="65" t="n"/>
      <c r="L117" s="65" t="n"/>
      <c r="M117" s="65" t="n"/>
      <c r="N117" s="65" t="n"/>
      <c r="O117" s="65" t="n"/>
    </row>
    <row r="118">
      <c r="A118" s="61" t="inlineStr">
        <is>
          <t>İnci GS Yuasa / G.11.4.</t>
        </is>
      </c>
      <c r="B118" s="65" t="n">
        <v>-337552303.275162</v>
      </c>
      <c r="C118" s="65" t="n">
        <v>-262000983.756403</v>
      </c>
      <c r="D118" s="65" t="n">
        <v>-185517638.184831</v>
      </c>
      <c r="E118" s="65" t="n">
        <v>-193391196.214616</v>
      </c>
      <c r="F118" s="65" t="n">
        <v>-83758877.1699831</v>
      </c>
      <c r="G118" s="65" t="n">
        <v>65111686.9749121</v>
      </c>
      <c r="H118" s="65" t="n">
        <v>57496603.8007251</v>
      </c>
      <c r="I118" s="65" t="n">
        <v>88534227.5222044</v>
      </c>
      <c r="J118" s="65" t="n">
        <v>77621239.95069259</v>
      </c>
      <c r="K118" s="65" t="n"/>
      <c r="L118" s="65" t="n"/>
      <c r="M118" s="65" t="n"/>
      <c r="N118" s="65" t="n"/>
      <c r="O118" s="65" t="n"/>
    </row>
    <row r="119">
      <c r="A119" s="61" t="inlineStr">
        <is>
          <t>Yusen İnci Loj. / G.11.5.</t>
        </is>
      </c>
      <c r="B119" s="65" t="n">
        <v>135916703.804904</v>
      </c>
      <c r="C119" s="65" t="n">
        <v>120924583.251194</v>
      </c>
      <c r="D119" s="65" t="n">
        <v>112199651.141774</v>
      </c>
      <c r="E119" s="65" t="n">
        <v>101867351.212366</v>
      </c>
      <c r="F119" s="65" t="n">
        <v>97304933.4969036</v>
      </c>
      <c r="G119" s="65" t="n">
        <v>79630587.5159532</v>
      </c>
      <c r="H119" s="65" t="n">
        <v>86180176.94028071</v>
      </c>
      <c r="I119" s="65" t="n">
        <v>72887115.2245487</v>
      </c>
      <c r="J119" s="65" t="n">
        <v>70202209.77897421</v>
      </c>
      <c r="K119" s="65" t="n"/>
      <c r="L119" s="65" t="n"/>
      <c r="M119" s="65" t="n"/>
      <c r="N119" s="65" t="n"/>
      <c r="O119" s="65" t="n"/>
    </row>
    <row r="120">
      <c r="A120" s="61" t="inlineStr">
        <is>
          <t>Jantaş / G.11.6.</t>
        </is>
      </c>
      <c r="B120" s="65" t="n">
        <v>324581674.778668</v>
      </c>
      <c r="C120" s="65" t="n">
        <v>386336404.739902</v>
      </c>
      <c r="D120" s="65" t="n">
        <v>384661525.577373</v>
      </c>
      <c r="E120" s="65" t="n">
        <v>399403018.065277</v>
      </c>
      <c r="F120" s="65" t="n">
        <v>397508656.98991</v>
      </c>
      <c r="G120" s="65" t="n">
        <v>417651590.68378</v>
      </c>
      <c r="H120" s="65" t="n">
        <v>419191681.323538</v>
      </c>
      <c r="I120" s="65" t="n">
        <v>419048788.917676</v>
      </c>
      <c r="J120" s="65" t="n">
        <v>427703320.456357</v>
      </c>
      <c r="K120" s="65" t="n"/>
      <c r="L120" s="65" t="n"/>
      <c r="M120" s="65" t="n"/>
      <c r="N120" s="65" t="n"/>
      <c r="O120" s="65" t="n"/>
    </row>
    <row r="121">
      <c r="A121" s="61" t="inlineStr">
        <is>
          <t>Çelik / G.11.7.</t>
        </is>
      </c>
      <c r="B121" s="65" t="n">
        <v>206319942.499362</v>
      </c>
      <c r="C121" s="65" t="n">
        <v>213148373.825226</v>
      </c>
      <c r="D121" s="65" t="n">
        <v>214046028.384845</v>
      </c>
      <c r="E121" s="65" t="n">
        <v>186770228.664835</v>
      </c>
      <c r="F121" s="65" t="n">
        <v>185865595.739017</v>
      </c>
      <c r="G121" s="65" t="n">
        <v>190795731.636499</v>
      </c>
      <c r="H121" s="65" t="n">
        <v>191160477.110697</v>
      </c>
      <c r="I121" s="65" t="n">
        <v>136023224.06675</v>
      </c>
      <c r="J121" s="65" t="n">
        <v>145087773.140845</v>
      </c>
      <c r="K121" s="65" t="n"/>
      <c r="L121" s="65" t="n"/>
      <c r="M121" s="65" t="n"/>
      <c r="N121" s="65" t="n"/>
      <c r="O121" s="65" t="n"/>
    </row>
    <row r="122">
      <c r="A122" s="61" t="inlineStr">
        <is>
          <t>Alüminyum / G.11.8.</t>
        </is>
      </c>
      <c r="B122" s="65" t="n">
        <v>422516089.999533</v>
      </c>
      <c r="C122" s="65" t="n">
        <v>469997836.71356</v>
      </c>
      <c r="D122" s="65" t="n">
        <v>469063745.605366</v>
      </c>
      <c r="E122" s="65" t="n">
        <v>448505523.649172</v>
      </c>
      <c r="F122" s="65" t="n">
        <v>445573599.630175</v>
      </c>
      <c r="G122" s="65" t="n">
        <v>310941323.861443</v>
      </c>
      <c r="H122" s="65" t="n">
        <v>312791471.558233</v>
      </c>
      <c r="I122" s="65" t="n">
        <v>297757531.344285</v>
      </c>
      <c r="J122" s="65" t="n">
        <v>396357572.992114</v>
      </c>
      <c r="K122" s="65" t="n"/>
      <c r="L122" s="65" t="n"/>
      <c r="M122" s="65" t="n"/>
      <c r="N122" s="65" t="n"/>
      <c r="O122" s="65" t="n"/>
    </row>
    <row r="123">
      <c r="A123" s="61" t="inlineStr">
        <is>
          <t>x / G.11.9.</t>
        </is>
      </c>
      <c r="B123" s="65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</row>
    <row r="124">
      <c r="A124" s="61" t="inlineStr">
        <is>
          <t>y / G.11.10.</t>
        </is>
      </c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</row>
    <row r="125">
      <c r="A125" s="61" t="inlineStr">
        <is>
          <t>Vergi-TL / G.12.</t>
        </is>
      </c>
      <c r="B125" s="65" t="n">
        <v>-148110954.88731</v>
      </c>
      <c r="C125" s="65" t="n">
        <v>-169794352.563183</v>
      </c>
      <c r="D125" s="65" t="n">
        <v>-167994977.987645</v>
      </c>
      <c r="E125" s="65" t="n">
        <v>-155958751.704324</v>
      </c>
      <c r="F125" s="65" t="n">
        <v>-158225492.79856</v>
      </c>
      <c r="G125" s="65" t="n">
        <v>-147173601.387611</v>
      </c>
      <c r="H125" s="65" t="n">
        <v>-112311336.725503</v>
      </c>
      <c r="I125" s="65" t="n">
        <v>-115671541.652234</v>
      </c>
      <c r="J125" s="65" t="n">
        <v>-122073762.682239</v>
      </c>
      <c r="K125" s="65" t="n"/>
      <c r="L125" s="65" t="n"/>
      <c r="M125" s="65" t="n"/>
      <c r="N125" s="65" t="n"/>
      <c r="O125" s="65" t="n"/>
    </row>
    <row r="126">
      <c r="A126" s="61" t="inlineStr">
        <is>
          <t>İnci Holding / G.12.1.</t>
        </is>
      </c>
      <c r="B126" s="65" t="n">
        <v>-58532301.8032903</v>
      </c>
      <c r="C126" s="65" t="n">
        <v>-60292316.4217017</v>
      </c>
      <c r="D126" s="65" t="n">
        <v>-61121353.5518085</v>
      </c>
      <c r="E126" s="65" t="n">
        <v>-55961990.7525208</v>
      </c>
      <c r="F126" s="65" t="n">
        <v>-59048740.3784281</v>
      </c>
      <c r="G126" s="65" t="n">
        <v>-58846184.4995701</v>
      </c>
      <c r="H126" s="65" t="n">
        <v>-26467742.1993939</v>
      </c>
      <c r="I126" s="65" t="n">
        <v>-27796648.8186609</v>
      </c>
      <c r="J126" s="65" t="n">
        <v>-26023743.8796207</v>
      </c>
      <c r="K126" s="65" t="n"/>
      <c r="L126" s="65" t="n"/>
      <c r="M126" s="65" t="n"/>
      <c r="N126" s="65" t="n"/>
      <c r="O126" s="65" t="n"/>
    </row>
    <row r="127">
      <c r="A127" s="61" t="inlineStr">
        <is>
          <t>ISM / G.12.2.</t>
        </is>
      </c>
      <c r="B127" s="65" t="n">
        <v>-1708930.24102597</v>
      </c>
      <c r="C127" s="65" t="n">
        <v>-1656676.77917998</v>
      </c>
      <c r="D127" s="65" t="n">
        <v>-1282462.07174433</v>
      </c>
      <c r="E127" s="65" t="n">
        <v>-1131308.93174432</v>
      </c>
      <c r="F127" s="65" t="n">
        <v>-1372216.31565428</v>
      </c>
      <c r="G127" s="65" t="n">
        <v>-1338715.023</v>
      </c>
      <c r="H127" s="65" t="n">
        <v>-1374258.45166062</v>
      </c>
      <c r="I127" s="65" t="n">
        <v>-1282423.53874511</v>
      </c>
      <c r="J127" s="65" t="n">
        <v>-1226313.15949985</v>
      </c>
      <c r="K127" s="65" t="n"/>
      <c r="L127" s="65" t="n"/>
      <c r="M127" s="65" t="n"/>
      <c r="N127" s="65" t="n"/>
      <c r="O127" s="65" t="n"/>
    </row>
    <row r="128">
      <c r="A128" s="61" t="inlineStr">
        <is>
          <t>İncitaş / G.12.3.</t>
        </is>
      </c>
      <c r="B128" s="65" t="n">
        <v>-3827798.22147105</v>
      </c>
      <c r="C128" s="65" t="n">
        <v>-3800115.15424241</v>
      </c>
      <c r="D128" s="65" t="n">
        <v>-3683732.29448158</v>
      </c>
      <c r="E128" s="65" t="n">
        <v>-3523531.22912874</v>
      </c>
      <c r="F128" s="65" t="n">
        <v>-3342240.59065511</v>
      </c>
      <c r="G128" s="65" t="n">
        <v>-3118354.44479304</v>
      </c>
      <c r="H128" s="65" t="n">
        <v>-3386607.28907944</v>
      </c>
      <c r="I128" s="65" t="n">
        <v>-2436968.26750436</v>
      </c>
      <c r="J128" s="65" t="n">
        <v>-2329689.48815636</v>
      </c>
      <c r="K128" s="65" t="n"/>
      <c r="L128" s="65" t="n"/>
      <c r="M128" s="65" t="n"/>
      <c r="N128" s="65" t="n"/>
      <c r="O128" s="65" t="n"/>
    </row>
    <row r="129">
      <c r="A129" s="61" t="inlineStr">
        <is>
          <t>İnci GS Yuasa / G.12.4.</t>
        </is>
      </c>
      <c r="B129" s="65" t="n">
        <v>0</v>
      </c>
      <c r="C129" s="65" t="n">
        <v>0</v>
      </c>
      <c r="D129" s="65" t="n">
        <v>0</v>
      </c>
      <c r="E129" s="65" t="n">
        <v>0</v>
      </c>
      <c r="F129" s="65" t="n">
        <v>0</v>
      </c>
      <c r="G129" s="65" t="n">
        <v>0</v>
      </c>
      <c r="H129" s="65" t="n">
        <v>0</v>
      </c>
      <c r="I129" s="65" t="n">
        <v>0</v>
      </c>
      <c r="J129" s="65" t="n">
        <v>0</v>
      </c>
      <c r="K129" s="65" t="n"/>
      <c r="L129" s="65" t="n"/>
      <c r="M129" s="65" t="n"/>
      <c r="N129" s="65" t="n"/>
      <c r="O129" s="65" t="n"/>
    </row>
    <row r="130">
      <c r="A130" s="61" t="inlineStr">
        <is>
          <t>Yusen İnci Loj. / G.12.5.</t>
        </is>
      </c>
      <c r="B130" s="65" t="n">
        <v>-27847266.9903155</v>
      </c>
      <c r="C130" s="65" t="n">
        <v>-24163314.8385596</v>
      </c>
      <c r="D130" s="65" t="n">
        <v>-22161960.3821053</v>
      </c>
      <c r="E130" s="65" t="n">
        <v>-19804944.5625361</v>
      </c>
      <c r="F130" s="65" t="n">
        <v>-18734257.3228452</v>
      </c>
      <c r="G130" s="65" t="n">
        <v>-14673629.9324178</v>
      </c>
      <c r="H130" s="65" t="n">
        <v>-7765779.59258577</v>
      </c>
      <c r="I130" s="65" t="n">
        <v>-6881936.21444736</v>
      </c>
      <c r="J130" s="65" t="n">
        <v>-5443562.16611452</v>
      </c>
      <c r="K130" s="65" t="n"/>
      <c r="L130" s="65" t="n"/>
      <c r="M130" s="65" t="n"/>
      <c r="N130" s="65" t="n"/>
      <c r="O130" s="65" t="n"/>
    </row>
    <row r="131">
      <c r="A131" s="61" t="inlineStr">
        <is>
          <t>Jantaş / G.12.6.</t>
        </is>
      </c>
      <c r="B131" s="65" t="n">
        <v>-67839911.75729071</v>
      </c>
      <c r="C131" s="65" t="n">
        <v>-106001304.203606</v>
      </c>
      <c r="D131" s="65" t="n">
        <v>-103602559.041234</v>
      </c>
      <c r="E131" s="65" t="n">
        <v>-99428536.90988439</v>
      </c>
      <c r="F131" s="65" t="n">
        <v>-99049402.9088086</v>
      </c>
      <c r="G131" s="65" t="n">
        <v>-94673160.5249764</v>
      </c>
      <c r="H131" s="65" t="n">
        <v>-94790722.1941776</v>
      </c>
      <c r="I131" s="65" t="n">
        <v>-95020412.99157719</v>
      </c>
      <c r="J131" s="65" t="n">
        <v>-97447916.64977691</v>
      </c>
      <c r="K131" s="65" t="n"/>
      <c r="L131" s="65" t="n"/>
      <c r="M131" s="65" t="n"/>
      <c r="N131" s="65" t="n"/>
      <c r="O131" s="65" t="n"/>
    </row>
    <row r="132">
      <c r="A132" s="61" t="inlineStr">
        <is>
          <t>Çelik / G.12.7.</t>
        </is>
      </c>
      <c r="B132" s="65" t="n">
        <v>-37788296.6757142</v>
      </c>
      <c r="C132" s="65" t="n">
        <v>-42910490.0270672</v>
      </c>
      <c r="D132" s="65" t="n">
        <v>-42383479.8720404</v>
      </c>
      <c r="E132" s="65" t="n">
        <v>-35777916.8795128</v>
      </c>
      <c r="F132" s="65" t="n">
        <v>-35595068.7767562</v>
      </c>
      <c r="G132" s="65" t="n">
        <v>-41377090.8286781</v>
      </c>
      <c r="H132" s="65" t="n">
        <v>-41239520.8472625</v>
      </c>
      <c r="I132" s="65" t="n">
        <v>-31775525.5724409</v>
      </c>
      <c r="J132" s="65" t="n">
        <v>-33537834.9613334</v>
      </c>
      <c r="K132" s="65" t="n"/>
      <c r="L132" s="65" t="n"/>
      <c r="M132" s="65" t="n"/>
      <c r="N132" s="65" t="n"/>
      <c r="O132" s="65" t="n"/>
    </row>
    <row r="133">
      <c r="A133" s="61" t="inlineStr">
        <is>
          <t>Alüminyum / G.12.8.</t>
        </is>
      </c>
      <c r="B133" s="65" t="n">
        <v>-76629336.1304875</v>
      </c>
      <c r="C133" s="65" t="n">
        <v>-87038001.45091531</v>
      </c>
      <c r="D133" s="65" t="n">
        <v>-86620575.8786469</v>
      </c>
      <c r="E133" s="65" t="n">
        <v>-83343403.625393</v>
      </c>
      <c r="F133" s="65" t="n">
        <v>-82777009.7761474</v>
      </c>
      <c r="G133" s="65" t="n">
        <v>-58951987.2645479</v>
      </c>
      <c r="H133" s="65" t="n">
        <v>-58910799.3293967</v>
      </c>
      <c r="I133" s="65" t="n">
        <v>-76710877.7898432</v>
      </c>
      <c r="J133" s="65" t="n">
        <v>-94805726.61018009</v>
      </c>
      <c r="K133" s="65" t="n"/>
      <c r="L133" s="65" t="n"/>
      <c r="M133" s="65" t="n"/>
      <c r="N133" s="65" t="n"/>
      <c r="O133" s="65" t="n"/>
    </row>
    <row r="134">
      <c r="A134" s="61" t="inlineStr">
        <is>
          <t>x / G.12.9.</t>
        </is>
      </c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</row>
    <row r="135">
      <c r="A135" s="61" t="inlineStr">
        <is>
          <t>y / G.12.10.</t>
        </is>
      </c>
      <c r="B135" s="65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</row>
    <row r="136">
      <c r="A136" s="61" t="inlineStr">
        <is>
          <t>Net Kar-TL / G.13.</t>
        </is>
      </c>
      <c r="B136" s="65" t="n">
        <v>463782576.922503</v>
      </c>
      <c r="C136" s="65" t="n">
        <v>519757636.223192</v>
      </c>
      <c r="D136" s="65" t="n">
        <v>545001276.267606</v>
      </c>
      <c r="E136" s="65" t="n">
        <v>509850753.238558</v>
      </c>
      <c r="F136" s="65" t="n">
        <v>556201300.445769</v>
      </c>
      <c r="G136" s="65" t="n">
        <v>587257926.574415</v>
      </c>
      <c r="H136" s="65" t="n">
        <v>476925142.760209</v>
      </c>
      <c r="I136" s="65" t="n">
        <v>456351897.724385</v>
      </c>
      <c r="J136" s="65" t="n">
        <v>480524262.358646</v>
      </c>
      <c r="K136" s="65" t="n"/>
      <c r="L136" s="65" t="n"/>
      <c r="M136" s="65" t="n"/>
      <c r="N136" s="65" t="n"/>
      <c r="O136" s="65" t="n"/>
    </row>
    <row r="137">
      <c r="A137" s="61" t="inlineStr">
        <is>
          <t>İnci Holding / G.13.1.</t>
        </is>
      </c>
      <c r="B137" s="65" t="n">
        <v>207523615.484393</v>
      </c>
      <c r="C137" s="65" t="n">
        <v>213763667.313306</v>
      </c>
      <c r="D137" s="65" t="n">
        <v>216702980.774594</v>
      </c>
      <c r="E137" s="65" t="n">
        <v>198410694.48621</v>
      </c>
      <c r="F137" s="65" t="n">
        <v>209354624.978063</v>
      </c>
      <c r="G137" s="65" t="n">
        <v>208636472.316658</v>
      </c>
      <c r="H137" s="65" t="n">
        <v>93840176.88876</v>
      </c>
      <c r="I137" s="65" t="n">
        <v>98551754.9025251</v>
      </c>
      <c r="J137" s="65" t="n">
        <v>92266001.0277461</v>
      </c>
      <c r="K137" s="65" t="n"/>
      <c r="L137" s="65" t="n"/>
      <c r="M137" s="65" t="n"/>
      <c r="N137" s="65" t="n"/>
      <c r="O137" s="65" t="n"/>
    </row>
    <row r="138">
      <c r="A138" s="61" t="inlineStr">
        <is>
          <t>ISM / G.13.2.</t>
        </is>
      </c>
      <c r="B138" s="65" t="n">
        <v>26773240.4427402</v>
      </c>
      <c r="C138" s="65" t="n">
        <v>25954602.8738197</v>
      </c>
      <c r="D138" s="65" t="n">
        <v>20091905.7906611</v>
      </c>
      <c r="E138" s="65" t="n">
        <v>17723839.9306611</v>
      </c>
      <c r="F138" s="65" t="n">
        <v>21498055.611917</v>
      </c>
      <c r="G138" s="65" t="n">
        <v>20973202.027</v>
      </c>
      <c r="H138" s="65" t="n">
        <v>21530049.0760164</v>
      </c>
      <c r="I138" s="65" t="n">
        <v>20091302.1070067</v>
      </c>
      <c r="J138" s="65" t="n">
        <v>19212239.498831</v>
      </c>
      <c r="K138" s="65" t="n"/>
      <c r="L138" s="65" t="n"/>
      <c r="M138" s="65" t="n"/>
      <c r="N138" s="65" t="n"/>
      <c r="O138" s="65" t="n"/>
    </row>
    <row r="139">
      <c r="A139" s="61" t="inlineStr">
        <is>
          <t>İncitaş / G.13.3.</t>
        </is>
      </c>
      <c r="B139" s="65" t="n">
        <v>12814802.4939684</v>
      </c>
      <c r="C139" s="65" t="n">
        <v>12722124.3347336</v>
      </c>
      <c r="D139" s="65" t="n">
        <v>12332494.7621509</v>
      </c>
      <c r="E139" s="65" t="n">
        <v>11796169.4618047</v>
      </c>
      <c r="F139" s="65" t="n">
        <v>11189239.6122013</v>
      </c>
      <c r="G139" s="65" t="n">
        <v>9355062.684479591</v>
      </c>
      <c r="H139" s="65" t="n">
        <v>10159820.9073388</v>
      </c>
      <c r="I139" s="65" t="n">
        <v>7310564.15977012</v>
      </c>
      <c r="J139" s="65" t="n">
        <v>6989067.46436891</v>
      </c>
      <c r="K139" s="65" t="n"/>
      <c r="L139" s="65" t="n"/>
      <c r="M139" s="65" t="n"/>
      <c r="N139" s="65" t="n"/>
      <c r="O139" s="65" t="n"/>
    </row>
    <row r="140">
      <c r="A140" s="61" t="inlineStr">
        <is>
          <t>İnci GS Yuasa / G.13.4.</t>
        </is>
      </c>
      <c r="B140" s="65" t="n">
        <v>-337552303.275162</v>
      </c>
      <c r="C140" s="65" t="n">
        <v>-262000983.756403</v>
      </c>
      <c r="D140" s="65" t="n">
        <v>-185517638.184831</v>
      </c>
      <c r="E140" s="65" t="n">
        <v>-193391196.214616</v>
      </c>
      <c r="F140" s="65" t="n">
        <v>-83758877.1699831</v>
      </c>
      <c r="G140" s="65" t="n">
        <v>65111686.9749121</v>
      </c>
      <c r="H140" s="65" t="n">
        <v>57496603.8007251</v>
      </c>
      <c r="I140" s="65" t="n">
        <v>88534227.5222044</v>
      </c>
      <c r="J140" s="65" t="n">
        <v>77621239.95069259</v>
      </c>
      <c r="K140" s="65" t="n"/>
      <c r="L140" s="65" t="n"/>
      <c r="M140" s="65" t="n"/>
      <c r="N140" s="65" t="n"/>
      <c r="O140" s="65" t="n"/>
    </row>
    <row r="141">
      <c r="A141" s="61" t="inlineStr">
        <is>
          <t>Yusen İnci Loj. / G.13.5.</t>
        </is>
      </c>
      <c r="B141" s="65" t="n">
        <v>108069436.814589</v>
      </c>
      <c r="C141" s="65" t="n">
        <v>96761268.4126347</v>
      </c>
      <c r="D141" s="65" t="n">
        <v>90037690.75966839</v>
      </c>
      <c r="E141" s="65" t="n">
        <v>82062406.6498298</v>
      </c>
      <c r="F141" s="65" t="n">
        <v>78570676.17405839</v>
      </c>
      <c r="G141" s="65" t="n">
        <v>64956957.5835354</v>
      </c>
      <c r="H141" s="65" t="n">
        <v>78414397.34769499</v>
      </c>
      <c r="I141" s="65" t="n">
        <v>66005179.0101014</v>
      </c>
      <c r="J141" s="65" t="n">
        <v>64758647.6128597</v>
      </c>
      <c r="K141" s="65" t="n"/>
      <c r="L141" s="65" t="n"/>
      <c r="M141" s="65" t="n"/>
      <c r="N141" s="65" t="n"/>
      <c r="O141" s="65" t="n"/>
    </row>
    <row r="142">
      <c r="A142" s="61" t="inlineStr">
        <is>
          <t>Jantaş / G.13.6.</t>
        </is>
      </c>
      <c r="B142" s="65" t="n">
        <v>256741763.021377</v>
      </c>
      <c r="C142" s="65" t="n">
        <v>280335100.536296</v>
      </c>
      <c r="D142" s="65" t="n">
        <v>281058966.536139</v>
      </c>
      <c r="E142" s="65" t="n">
        <v>299974481.155393</v>
      </c>
      <c r="F142" s="65" t="n">
        <v>298459254.081102</v>
      </c>
      <c r="G142" s="65" t="n">
        <v>322978430.158804</v>
      </c>
      <c r="H142" s="65" t="n">
        <v>324400959.129361</v>
      </c>
      <c r="I142" s="65" t="n">
        <v>324028375.926099</v>
      </c>
      <c r="J142" s="65" t="n">
        <v>330255403.80658</v>
      </c>
      <c r="K142" s="65" t="n"/>
      <c r="L142" s="65" t="n"/>
      <c r="M142" s="65" t="n"/>
      <c r="N142" s="65" t="n"/>
      <c r="O142" s="65" t="n"/>
    </row>
    <row r="143">
      <c r="A143" s="61" t="inlineStr">
        <is>
          <t>Çelik / G.13.7.</t>
        </is>
      </c>
      <c r="B143" s="65" t="n">
        <v>168531645.823648</v>
      </c>
      <c r="C143" s="65" t="n">
        <v>170237883.798158</v>
      </c>
      <c r="D143" s="65" t="n">
        <v>171662548.512804</v>
      </c>
      <c r="E143" s="65" t="n">
        <v>150992311.785323</v>
      </c>
      <c r="F143" s="65" t="n">
        <v>150270526.962261</v>
      </c>
      <c r="G143" s="65" t="n">
        <v>149418640.807821</v>
      </c>
      <c r="H143" s="65" t="n">
        <v>149920956.263435</v>
      </c>
      <c r="I143" s="65" t="n">
        <v>104247698.494309</v>
      </c>
      <c r="J143" s="65" t="n">
        <v>111549938.179511</v>
      </c>
      <c r="K143" s="65" t="n"/>
      <c r="L143" s="65" t="n"/>
      <c r="M143" s="65" t="n"/>
      <c r="N143" s="65" t="n"/>
      <c r="O143" s="65" t="n"/>
    </row>
    <row r="144">
      <c r="A144" s="61" t="inlineStr">
        <is>
          <t>Alüminyum / G.13.8.</t>
        </is>
      </c>
      <c r="B144" s="65" t="n">
        <v>345886753.869046</v>
      </c>
      <c r="C144" s="65" t="n">
        <v>382959835.262645</v>
      </c>
      <c r="D144" s="65" t="n">
        <v>382443169.726719</v>
      </c>
      <c r="E144" s="65" t="n">
        <v>365162120.023779</v>
      </c>
      <c r="F144" s="65" t="n">
        <v>362796589.854027</v>
      </c>
      <c r="G144" s="65" t="n">
        <v>251989336.596895</v>
      </c>
      <c r="H144" s="65" t="n">
        <v>253880672.228837</v>
      </c>
      <c r="I144" s="65" t="n">
        <v>221046653.554442</v>
      </c>
      <c r="J144" s="65" t="n">
        <v>301551846.381934</v>
      </c>
      <c r="K144" s="65" t="n"/>
      <c r="L144" s="65" t="n"/>
      <c r="M144" s="65" t="n"/>
      <c r="N144" s="65" t="n"/>
      <c r="O144" s="65" t="n"/>
    </row>
    <row r="145">
      <c r="A145" s="61" t="inlineStr">
        <is>
          <t>x / G.13.9.</t>
        </is>
      </c>
      <c r="B145" s="65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</row>
    <row r="146">
      <c r="A146" s="61" t="inlineStr">
        <is>
          <t>y / G.13.10.</t>
        </is>
      </c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</row>
    <row r="147">
      <c r="A147" s="61" t="inlineStr">
        <is>
          <t>Operasyonel Nakit-TL / G.14.</t>
        </is>
      </c>
      <c r="B147" s="65" t="n">
        <v>216731221.378086</v>
      </c>
      <c r="C147" s="65" t="n">
        <v>337151929.67237</v>
      </c>
      <c r="D147" s="65" t="n">
        <v>392317793.23543</v>
      </c>
      <c r="E147" s="93" t="n">
        <v>404497739.6491807</v>
      </c>
      <c r="F147" s="65" t="n">
        <v>511862104.616576</v>
      </c>
      <c r="G147" s="65" t="n">
        <v>529279077.902175</v>
      </c>
      <c r="H147" s="65" t="n">
        <v>550049960.292806</v>
      </c>
      <c r="I147" s="65" t="n">
        <v>477343029.336905</v>
      </c>
      <c r="J147" s="65" t="n">
        <v>531205266.245543</v>
      </c>
      <c r="K147" s="65" t="n"/>
      <c r="L147" s="65" t="n"/>
      <c r="M147" s="65" t="n"/>
      <c r="N147" s="65" t="n"/>
      <c r="O147" s="65" t="n"/>
    </row>
    <row r="148">
      <c r="A148" s="61" t="inlineStr">
        <is>
          <t>İnci Holding / G.14.1.</t>
        </is>
      </c>
      <c r="B148" s="65" t="n">
        <v>18656866.5878833</v>
      </c>
      <c r="C148" s="65" t="n">
        <v>43504117.378483</v>
      </c>
      <c r="D148" s="65" t="n">
        <v>16869743.410477</v>
      </c>
      <c r="E148" s="65" t="n">
        <v>13099902.4372158</v>
      </c>
      <c r="F148" s="65" t="n">
        <v>20425674.3063297</v>
      </c>
      <c r="G148" s="65" t="n">
        <v>20371546.0658197</v>
      </c>
      <c r="H148" s="65" t="n">
        <v>50949946.0031427</v>
      </c>
      <c r="I148" s="65" t="n">
        <v>43158994.2584506</v>
      </c>
      <c r="J148" s="65" t="n">
        <v>44813025.5798454</v>
      </c>
      <c r="K148" s="65" t="n"/>
      <c r="L148" s="65" t="n"/>
      <c r="M148" s="65" t="n"/>
      <c r="N148" s="65" t="n"/>
      <c r="O148" s="65" t="n"/>
    </row>
    <row r="149">
      <c r="A149" s="61" t="inlineStr">
        <is>
          <t>ISM / G.14.2.</t>
        </is>
      </c>
      <c r="B149" s="65" t="n">
        <v>23032223.1438168</v>
      </c>
      <c r="C149" s="65" t="n">
        <v>22270770.5748963</v>
      </c>
      <c r="D149" s="65" t="n">
        <v>17001955.1217377</v>
      </c>
      <c r="E149" s="65" t="n">
        <v>13751874.7223377</v>
      </c>
      <c r="F149" s="65" t="n">
        <v>16895535.6335936</v>
      </c>
      <c r="G149" s="65" t="n">
        <v>16601964.4386766</v>
      </c>
      <c r="H149" s="65" t="n">
        <v>17104243.487693</v>
      </c>
      <c r="I149" s="65" t="n">
        <v>16018898.5186833</v>
      </c>
      <c r="J149" s="65" t="n">
        <v>15278298.2905077</v>
      </c>
      <c r="K149" s="65" t="n"/>
      <c r="L149" s="65" t="n"/>
      <c r="M149" s="65" t="n"/>
      <c r="N149" s="65" t="n"/>
      <c r="O149" s="65" t="n"/>
    </row>
    <row r="150">
      <c r="A150" s="61" t="inlineStr">
        <is>
          <t>İncitaş / G.14.3.</t>
        </is>
      </c>
      <c r="B150" s="65" t="n">
        <v>1983647.64186834</v>
      </c>
      <c r="C150" s="65" t="n">
        <v>2874440.4980593</v>
      </c>
      <c r="D150" s="65" t="n">
        <v>455377.414172749</v>
      </c>
      <c r="E150" s="65" t="n">
        <v>311662.765357381</v>
      </c>
      <c r="F150" s="65" t="n">
        <v>1919566.49884086</v>
      </c>
      <c r="G150" s="65" t="n">
        <v>1623841.76333792</v>
      </c>
      <c r="H150" s="65" t="n">
        <v>1026307.43457187</v>
      </c>
      <c r="I150" s="65" t="n">
        <v>-3144454.71978256</v>
      </c>
      <c r="J150" s="65" t="n">
        <v>1949871.26955524</v>
      </c>
      <c r="K150" s="65" t="n"/>
      <c r="L150" s="65" t="n"/>
      <c r="M150" s="65" t="n"/>
      <c r="N150" s="65" t="n"/>
      <c r="O150" s="65" t="n"/>
    </row>
    <row r="151">
      <c r="A151" s="61" t="inlineStr">
        <is>
          <t>İnci GS Yuasa / G.14.4.</t>
        </is>
      </c>
      <c r="B151" s="65" t="n">
        <v>-312064425.814381</v>
      </c>
      <c r="C151" s="65" t="n">
        <v>-63612189.9621387</v>
      </c>
      <c r="D151" s="65" t="n">
        <v>140908027.289242</v>
      </c>
      <c r="E151" s="65" t="n">
        <v>2790660.5580788</v>
      </c>
      <c r="F151" s="65" t="n">
        <v>201078563.856606</v>
      </c>
      <c r="G151" s="65" t="n">
        <v>214136480.701844</v>
      </c>
      <c r="H151" s="65" t="n">
        <v>180719645.242625</v>
      </c>
      <c r="I151" s="65" t="n">
        <v>194951976.50384</v>
      </c>
      <c r="J151" s="65" t="n">
        <v>146086972.725388</v>
      </c>
      <c r="K151" s="65" t="n"/>
      <c r="L151" s="65" t="n"/>
      <c r="M151" s="65" t="n"/>
      <c r="N151" s="65" t="n"/>
      <c r="O151" s="65" t="n"/>
    </row>
    <row r="152">
      <c r="A152" s="61" t="inlineStr">
        <is>
          <t>Yusen / G.14.5.</t>
        </is>
      </c>
      <c r="B152" s="65" t="n">
        <v>83736542.2543523</v>
      </c>
      <c r="C152" s="65" t="n">
        <v>54528437.8470459</v>
      </c>
      <c r="D152" s="65" t="n">
        <v>72198052.56108969</v>
      </c>
      <c r="E152" s="65" t="n">
        <v>73574614.59560759</v>
      </c>
      <c r="F152" s="65" t="n">
        <v>69773574.8637456</v>
      </c>
      <c r="G152" s="65" t="n">
        <v>75317831.58015861</v>
      </c>
      <c r="H152" s="65" t="n">
        <v>89079027.2790218</v>
      </c>
      <c r="I152" s="65" t="n">
        <v>74298788.7864425</v>
      </c>
      <c r="J152" s="65" t="n">
        <v>69708219.06440809</v>
      </c>
      <c r="K152" s="65" t="n"/>
      <c r="L152" s="65" t="n"/>
      <c r="M152" s="65" t="n"/>
      <c r="N152" s="65" t="n"/>
      <c r="O152" s="65" t="n"/>
    </row>
    <row r="153">
      <c r="A153" s="61" t="inlineStr">
        <is>
          <t>Jantaş / G.14.6.</t>
        </is>
      </c>
      <c r="B153" s="65" t="n">
        <v>262261180.766223</v>
      </c>
      <c r="C153" s="65" t="n">
        <v>203946636.481038</v>
      </c>
      <c r="D153" s="65" t="n">
        <v>204753191.579403</v>
      </c>
      <c r="E153" s="65" t="n">
        <v>323357794.321537</v>
      </c>
      <c r="F153" s="65" t="n">
        <v>321287532.241222</v>
      </c>
      <c r="G153" s="65" t="n">
        <v>369801303.914398</v>
      </c>
      <c r="H153" s="65" t="n">
        <v>370923722.715389</v>
      </c>
      <c r="I153" s="65" t="n">
        <v>370329194.936471</v>
      </c>
      <c r="J153" s="65" t="n">
        <v>399685180.232111</v>
      </c>
      <c r="K153" s="65" t="n"/>
      <c r="L153" s="65" t="n"/>
      <c r="M153" s="65" t="n"/>
      <c r="N153" s="65" t="n"/>
      <c r="O153" s="65" t="n"/>
    </row>
    <row r="154">
      <c r="A154" s="61" t="inlineStr">
        <is>
          <t>Çelik / G.14.7.</t>
        </is>
      </c>
      <c r="B154" s="65" t="n">
        <v>154099122.209626</v>
      </c>
      <c r="C154" s="65" t="n">
        <v>143453087.9399</v>
      </c>
      <c r="D154" s="65" t="n">
        <v>144635930.172444</v>
      </c>
      <c r="E154" s="65" t="n">
        <v>168030722.752838</v>
      </c>
      <c r="F154" s="65" t="n">
        <v>166959901.702238</v>
      </c>
      <c r="G154" s="65" t="n">
        <v>175136033.942199</v>
      </c>
      <c r="H154" s="65" t="n">
        <v>175429689.778856</v>
      </c>
      <c r="I154" s="65" t="n">
        <v>67213363.5628576</v>
      </c>
      <c r="J154" s="65" t="n">
        <v>199377842.159035</v>
      </c>
      <c r="K154" s="65" t="n"/>
      <c r="L154" s="65" t="n"/>
      <c r="M154" s="65" t="n"/>
      <c r="N154" s="65" t="n"/>
      <c r="O154" s="65" t="n"/>
    </row>
    <row r="155">
      <c r="A155" s="61" t="inlineStr">
        <is>
          <t>Alüminyum / G.14.8.</t>
        </is>
      </c>
      <c r="B155" s="67" t="n">
        <v>279995819.149387</v>
      </c>
      <c r="C155" s="67" t="n">
        <v>368322559.3004</v>
      </c>
      <c r="D155" s="67" t="n">
        <v>367863620.174345</v>
      </c>
      <c r="E155" s="67" t="n">
        <v>375581957.082613</v>
      </c>
      <c r="F155" s="67" t="n">
        <v>372184106.816566</v>
      </c>
      <c r="G155" s="67" t="n">
        <v>338778543.77179</v>
      </c>
      <c r="H155" s="67" t="n">
        <v>341091662.091948</v>
      </c>
      <c r="I155" s="67" t="n">
        <v>297742660.283312</v>
      </c>
      <c r="J155" s="67" t="n">
        <v>321530220.401796</v>
      </c>
      <c r="K155" s="67" t="n"/>
      <c r="L155" s="67" t="n"/>
      <c r="M155" s="67" t="n"/>
      <c r="N155" s="67" t="n"/>
      <c r="O155" s="67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zoomScale="85" zoomScaleNormal="85" workbookViewId="0">
      <selection activeCell="C3" sqref="C3"/>
    </sheetView>
  </sheetViews>
  <sheetFormatPr baseColWidth="8" defaultRowHeight="14.5"/>
  <cols>
    <col width="26.453125" customWidth="1" min="1" max="1"/>
    <col width="15.1796875" bestFit="1" customWidth="1" min="2" max="3"/>
    <col width="14.1796875" bestFit="1" customWidth="1" min="4" max="4"/>
    <col width="10.81640625" customWidth="1" min="5" max="5"/>
    <col width="3.81640625" customWidth="1" min="6" max="6"/>
    <col width="26.1796875" customWidth="1" min="7" max="7"/>
    <col width="13" bestFit="1" customWidth="1" min="8" max="8"/>
    <col width="12.81640625" customWidth="1" min="9" max="10"/>
    <col width="10.81640625" customWidth="1" min="11" max="11"/>
    <col width="3.1796875" customWidth="1" min="12" max="12"/>
    <col width="13.54296875" bestFit="1" customWidth="1" min="13" max="13"/>
    <col width="18.81640625" bestFit="1" customWidth="1" min="14" max="14"/>
    <col width="9.1796875" bestFit="1" customWidth="1" min="15" max="15"/>
  </cols>
  <sheetData>
    <row r="1">
      <c r="A1" s="2" t="n"/>
      <c r="B1" s="510" t="n">
        <v>45657</v>
      </c>
      <c r="C1" s="511" t="n"/>
      <c r="D1" s="511" t="n"/>
      <c r="E1" s="464" t="n"/>
      <c r="G1" s="2" t="n"/>
      <c r="H1" s="510" t="n">
        <v>45657</v>
      </c>
      <c r="I1" s="511" t="n"/>
      <c r="J1" s="511" t="n"/>
      <c r="K1" s="464" t="n"/>
      <c r="M1" s="3" t="n"/>
      <c r="N1" s="11" t="inlineStr">
        <is>
          <t>Budget</t>
        </is>
      </c>
      <c r="O1" s="11" t="inlineStr">
        <is>
          <t>Forecast</t>
        </is>
      </c>
    </row>
    <row r="2">
      <c r="A2" s="11" t="inlineStr">
        <is>
          <t>TL</t>
        </is>
      </c>
      <c r="B2" s="11" t="inlineStr">
        <is>
          <t>Budget</t>
        </is>
      </c>
      <c r="C2" s="11" t="inlineStr">
        <is>
          <t>Forecast</t>
        </is>
      </c>
      <c r="D2" s="11" t="inlineStr">
        <is>
          <t>Difference</t>
        </is>
      </c>
      <c r="E2" s="11" t="inlineStr">
        <is>
          <t>Variance %</t>
        </is>
      </c>
      <c r="G2" s="11" t="inlineStr">
        <is>
          <t>EUR</t>
        </is>
      </c>
      <c r="H2" s="11" t="inlineStr">
        <is>
          <t>Budget</t>
        </is>
      </c>
      <c r="I2" s="11" t="inlineStr">
        <is>
          <t>Forecast</t>
        </is>
      </c>
      <c r="J2" s="11" t="inlineStr">
        <is>
          <t>Difference</t>
        </is>
      </c>
      <c r="K2" s="11" t="inlineStr">
        <is>
          <t>Variance %</t>
        </is>
      </c>
      <c r="M2" s="2" t="inlineStr">
        <is>
          <t>Eur Kapanış</t>
        </is>
      </c>
      <c r="N2" s="465">
        <f>'C-TRY'!AI3</f>
        <v/>
      </c>
      <c r="O2" s="465">
        <f>'Tahmin-eur'!N2</f>
        <v/>
      </c>
    </row>
    <row r="3">
      <c r="A3" s="2" t="inlineStr">
        <is>
          <t>Net Sales</t>
        </is>
      </c>
      <c r="B3" s="7">
        <f>'C-TRY'!AI6</f>
        <v/>
      </c>
      <c r="C3" s="53">
        <f>SUM('Bağış - İş Geliştirme Hariç'!D3:D10)</f>
        <v/>
      </c>
      <c r="D3" s="53">
        <f>C3-B3</f>
        <v/>
      </c>
      <c r="E3" s="476">
        <f>C3/B3-1</f>
        <v/>
      </c>
      <c r="G3" s="2" t="inlineStr">
        <is>
          <t>Net Sales</t>
        </is>
      </c>
      <c r="H3" s="7">
        <f>'C-Döviz'!AI6</f>
        <v/>
      </c>
      <c r="I3" s="53">
        <f>SUM('Bağış - İş Geliştirme Hariç'!C3:C10)</f>
        <v/>
      </c>
      <c r="J3" s="53">
        <f>I3-H3</f>
        <v/>
      </c>
      <c r="K3" s="142">
        <f>I3/H3-1</f>
        <v/>
      </c>
      <c r="M3" s="2" t="inlineStr">
        <is>
          <t>Eur Ortaoama</t>
        </is>
      </c>
      <c r="N3" s="465">
        <f>'C-TRY'!AI4</f>
        <v/>
      </c>
      <c r="O3" s="465">
        <f>AVERAGE('Tahmin-eur'!B3:N3)</f>
        <v/>
      </c>
    </row>
    <row r="4">
      <c r="A4" s="2" t="inlineStr">
        <is>
          <t>COGS</t>
        </is>
      </c>
      <c r="B4" s="7">
        <f>'C-TRY'!AI31</f>
        <v/>
      </c>
      <c r="C4" s="53">
        <f>-SUM('Bağış - İş Geliştirme Hariç'!D11:D18)</f>
        <v/>
      </c>
      <c r="D4" s="53">
        <f>C4-B4</f>
        <v/>
      </c>
      <c r="E4" s="512">
        <f>C4/B4-1</f>
        <v/>
      </c>
      <c r="G4" s="2" t="inlineStr">
        <is>
          <t>COGS</t>
        </is>
      </c>
      <c r="H4" s="7">
        <f>'C-Döviz'!AI31</f>
        <v/>
      </c>
      <c r="I4" s="53">
        <f>-SUM('Bağış - İş Geliştirme Hariç'!C11:C18)</f>
        <v/>
      </c>
      <c r="J4" s="53">
        <f>I4-H4</f>
        <v/>
      </c>
      <c r="K4" s="142">
        <f>I4/H4-1</f>
        <v/>
      </c>
      <c r="M4" s="13" t="n"/>
      <c r="N4" s="13" t="n"/>
      <c r="O4" s="13" t="n"/>
    </row>
    <row r="5" customFormat="1" s="1">
      <c r="A5" s="3" t="inlineStr">
        <is>
          <t>Gross Profit</t>
        </is>
      </c>
      <c r="B5" s="8">
        <f>'C-TRY'!AI32</f>
        <v/>
      </c>
      <c r="C5" s="54">
        <f>SUM('Bağış - İş Geliştirme Hariç'!D19:D26)</f>
        <v/>
      </c>
      <c r="D5" s="54">
        <f>C5-B5</f>
        <v/>
      </c>
      <c r="E5" s="513">
        <f>C5/B5-1</f>
        <v/>
      </c>
      <c r="G5" s="3" t="inlineStr">
        <is>
          <t>Gross Profit</t>
        </is>
      </c>
      <c r="H5" s="8">
        <f>'C-Döviz'!AI32</f>
        <v/>
      </c>
      <c r="I5" s="54">
        <f>SUM('Bağış - İş Geliştirme Hariç'!C19:C26)</f>
        <v/>
      </c>
      <c r="J5" s="54">
        <f>I5-H5</f>
        <v/>
      </c>
      <c r="K5" s="143">
        <f>I5/H5-1</f>
        <v/>
      </c>
    </row>
    <row r="6" customFormat="1" s="13">
      <c r="A6" s="20" t="inlineStr">
        <is>
          <t>Gross Profit Margin</t>
        </is>
      </c>
      <c r="B6" s="12">
        <f>B5/B3</f>
        <v/>
      </c>
      <c r="C6" s="12">
        <f>C5/C3</f>
        <v/>
      </c>
      <c r="D6" s="12">
        <f>C6-B6</f>
        <v/>
      </c>
      <c r="E6" s="20" t="n"/>
      <c r="G6" s="20" t="inlineStr">
        <is>
          <t>Gross Profit Margin</t>
        </is>
      </c>
      <c r="H6" s="58">
        <f>H5/H3</f>
        <v/>
      </c>
      <c r="I6" s="58">
        <f>I5/I3</f>
        <v/>
      </c>
      <c r="J6" s="12">
        <f>I6-H6</f>
        <v/>
      </c>
      <c r="K6" s="58" t="n"/>
    </row>
    <row r="7">
      <c r="A7" s="2" t="n"/>
      <c r="B7" s="53" t="n"/>
      <c r="C7" s="53" t="n"/>
      <c r="D7" s="122" t="n"/>
      <c r="E7" s="2" t="n"/>
      <c r="G7" s="2" t="n"/>
      <c r="H7" s="2" t="n"/>
      <c r="I7" s="2" t="n"/>
      <c r="J7" s="2" t="n"/>
      <c r="K7" s="142" t="n"/>
      <c r="M7" s="1" t="n"/>
      <c r="N7" s="1" t="n"/>
      <c r="O7" s="1" t="n"/>
    </row>
    <row r="8">
      <c r="A8" s="2" t="inlineStr">
        <is>
          <t>Operating Expenses</t>
        </is>
      </c>
      <c r="B8" s="7">
        <f>-'C-TRY'!AI88</f>
        <v/>
      </c>
      <c r="C8" s="53">
        <f>SUM('Bağış - İş Geliştirme Hariç'!D27:D34)</f>
        <v/>
      </c>
      <c r="D8" s="53">
        <f>C8-B8</f>
        <v/>
      </c>
      <c r="E8" s="5">
        <f>C8/B8-1</f>
        <v/>
      </c>
      <c r="G8" s="2" t="inlineStr">
        <is>
          <t>Operating Expenses</t>
        </is>
      </c>
      <c r="H8" s="7">
        <f>-'C-Döviz'!AI88</f>
        <v/>
      </c>
      <c r="I8" s="53">
        <f>SUM('Bağış - İş Geliştirme Hariç'!C27:C34)</f>
        <v/>
      </c>
      <c r="J8" s="53">
        <f>I8-H8</f>
        <v/>
      </c>
      <c r="K8" s="142">
        <f>I8/H8-1</f>
        <v/>
      </c>
      <c r="M8" s="92">
        <f>-I8/I3</f>
        <v/>
      </c>
      <c r="N8" s="13" t="n"/>
      <c r="O8" s="13" t="n"/>
    </row>
    <row r="9" customFormat="1" s="1">
      <c r="A9" s="3" t="inlineStr">
        <is>
          <t>EBIT</t>
        </is>
      </c>
      <c r="B9" s="8">
        <f>'C-TRY'!AI112</f>
        <v/>
      </c>
      <c r="C9" s="54">
        <f>SUM('Bağış - İş Geliştirme Hariç'!D43:D50)</f>
        <v/>
      </c>
      <c r="D9" s="54">
        <f>C9-B9</f>
        <v/>
      </c>
      <c r="E9" s="55">
        <f>C9/B9-1</f>
        <v/>
      </c>
      <c r="G9" s="3" t="inlineStr">
        <is>
          <t>EBIT</t>
        </is>
      </c>
      <c r="H9" s="8">
        <f>'C-Döviz'!AI112</f>
        <v/>
      </c>
      <c r="I9" s="54">
        <f>SUM('Bağış - İş Geliştirme Hariç'!C43:C50)</f>
        <v/>
      </c>
      <c r="J9" s="54">
        <f>I9-H9</f>
        <v/>
      </c>
      <c r="K9" s="143">
        <f>I9/H9-1</f>
        <v/>
      </c>
      <c r="M9" s="52">
        <f>I5-I8</f>
        <v/>
      </c>
    </row>
    <row r="10" customFormat="1" s="13">
      <c r="A10" s="20" t="inlineStr">
        <is>
          <t>EBIT Margin</t>
        </is>
      </c>
      <c r="B10" s="58">
        <f>B9/B3</f>
        <v/>
      </c>
      <c r="C10" s="58">
        <f>C9/C3</f>
        <v/>
      </c>
      <c r="D10" s="12">
        <f>C10-B10</f>
        <v/>
      </c>
      <c r="E10" s="20" t="n"/>
      <c r="G10" s="20" t="inlineStr">
        <is>
          <t>EBIT Margin</t>
        </is>
      </c>
      <c r="H10" s="58">
        <f>H9/H3</f>
        <v/>
      </c>
      <c r="I10" s="58">
        <f>I9/I3</f>
        <v/>
      </c>
      <c r="J10" s="12">
        <f>I10-H10</f>
        <v/>
      </c>
      <c r="K10" s="58" t="n"/>
      <c r="M10" s="52" t="n"/>
    </row>
    <row r="11">
      <c r="A11" s="2" t="n"/>
      <c r="B11" s="2" t="n"/>
      <c r="C11" s="2" t="n"/>
      <c r="D11" s="2" t="n"/>
      <c r="E11" s="2" t="n"/>
      <c r="G11" s="2" t="n"/>
      <c r="H11" s="2" t="n"/>
      <c r="I11" s="2" t="n"/>
      <c r="J11" s="2" t="n"/>
      <c r="K11" s="142" t="n"/>
      <c r="M11" s="1" t="n"/>
      <c r="N11" s="1" t="n"/>
      <c r="O11" s="1" t="n"/>
    </row>
    <row r="12">
      <c r="A12" s="2" t="inlineStr">
        <is>
          <t>Depreciation</t>
        </is>
      </c>
      <c r="B12" s="7">
        <f>B13-B9</f>
        <v/>
      </c>
      <c r="C12" s="7">
        <f>SUM('Bağış - İş Geliştirme Hariç'!D51:D58)</f>
        <v/>
      </c>
      <c r="D12" s="53">
        <f>C12-B12</f>
        <v/>
      </c>
      <c r="E12" s="5">
        <f>C12/B12-1</f>
        <v/>
      </c>
      <c r="G12" s="2" t="inlineStr">
        <is>
          <t>Depreciation</t>
        </is>
      </c>
      <c r="H12" s="7">
        <f>H13-H9</f>
        <v/>
      </c>
      <c r="I12" s="7">
        <f>SUM('Bağış - İş Geliştirme Hariç'!C51:C58)</f>
        <v/>
      </c>
      <c r="J12" s="53">
        <f>I12-H12</f>
        <v/>
      </c>
      <c r="K12" s="142">
        <f>I12/H12-1</f>
        <v/>
      </c>
      <c r="M12" s="144" t="n"/>
      <c r="N12" s="13" t="n"/>
      <c r="O12" s="13" t="n"/>
    </row>
    <row r="13" customFormat="1" s="1">
      <c r="A13" s="3" t="inlineStr">
        <is>
          <t>EBITDA</t>
        </is>
      </c>
      <c r="B13" s="8">
        <f>'C-TRY'!AI136</f>
        <v/>
      </c>
      <c r="C13" s="54">
        <f>SUM('Bağış - İş Geliştirme Hariç'!D59:D66)</f>
        <v/>
      </c>
      <c r="D13" s="54">
        <f>C13-B13</f>
        <v/>
      </c>
      <c r="E13" s="55">
        <f>C13/B13-1</f>
        <v/>
      </c>
      <c r="G13" s="3" t="inlineStr">
        <is>
          <t>EBITDA</t>
        </is>
      </c>
      <c r="H13" s="8">
        <f>'C-Döviz'!AI136</f>
        <v/>
      </c>
      <c r="I13" s="54">
        <f>SUM('Bağış - İş Geliştirme Hariç'!C59:C66)</f>
        <v/>
      </c>
      <c r="J13" s="54">
        <f>I13-H13</f>
        <v/>
      </c>
      <c r="K13" s="143">
        <f>I13/H13-1</f>
        <v/>
      </c>
    </row>
    <row r="14" customFormat="1" s="13">
      <c r="A14" s="20" t="inlineStr">
        <is>
          <t>EBITDA Margin</t>
        </is>
      </c>
      <c r="B14" s="12">
        <f>B13/B3</f>
        <v/>
      </c>
      <c r="C14" s="58">
        <f>C13/C3</f>
        <v/>
      </c>
      <c r="D14" s="12">
        <f>C14-B14</f>
        <v/>
      </c>
      <c r="E14" s="20" t="n"/>
      <c r="G14" s="20" t="inlineStr">
        <is>
          <t>EBITDA Margin</t>
        </is>
      </c>
      <c r="H14" s="58">
        <f>H13/H3</f>
        <v/>
      </c>
      <c r="I14" s="58">
        <f>I13/I3</f>
        <v/>
      </c>
      <c r="J14" s="12">
        <f>I14-H14</f>
        <v/>
      </c>
      <c r="K14" s="58" t="n"/>
      <c r="M14" s="145">
        <f>Tahmin!I14-'Tahmin - Bağış, İş Gel. Hrç'!I14</f>
        <v/>
      </c>
    </row>
    <row r="15">
      <c r="A15" s="2" t="n"/>
      <c r="B15" s="2" t="n"/>
      <c r="C15" s="2" t="n"/>
      <c r="D15" s="2" t="n"/>
      <c r="E15" s="2" t="n"/>
      <c r="G15" s="2" t="n"/>
      <c r="H15" s="2" t="n"/>
      <c r="I15" s="2" t="n"/>
      <c r="J15" s="2" t="n"/>
      <c r="K15" s="142" t="n"/>
    </row>
    <row r="16">
      <c r="A16" s="2" t="inlineStr">
        <is>
          <t>Financial Income&amp;Expense</t>
        </is>
      </c>
      <c r="B16" s="7">
        <f>'C-TRY'!AI160</f>
        <v/>
      </c>
      <c r="C16" s="53">
        <f>SUM('Bağış - İş Geliştirme Hariç'!D67:D74)</f>
        <v/>
      </c>
      <c r="D16" s="53">
        <f>C16-B16</f>
        <v/>
      </c>
      <c r="E16" s="5">
        <f>C16/B16-1</f>
        <v/>
      </c>
      <c r="G16" s="2" t="inlineStr">
        <is>
          <t>Financial Income&amp;Expense</t>
        </is>
      </c>
      <c r="H16" s="7">
        <f>'C-Döviz'!AI160</f>
        <v/>
      </c>
      <c r="I16" s="53">
        <f>SUM('Bağış - İş Geliştirme Hariç'!C67:C74)</f>
        <v/>
      </c>
      <c r="J16" s="53">
        <f>I16-H16</f>
        <v/>
      </c>
      <c r="K16" s="142">
        <f>I16/H16-1</f>
        <v/>
      </c>
      <c r="M16" s="94" t="n"/>
    </row>
    <row r="17">
      <c r="A17" s="2" t="inlineStr">
        <is>
          <t>Other Income &amp;Expense</t>
        </is>
      </c>
      <c r="B17" s="7">
        <f>'C-TRY'!AI173</f>
        <v/>
      </c>
      <c r="C17" s="53">
        <f>SUM('Bağış - İş Geliştirme Hariç'!D75:D82)</f>
        <v/>
      </c>
      <c r="D17" s="53">
        <f>C17-B17</f>
        <v/>
      </c>
      <c r="E17" s="5">
        <f>C17/B17-1</f>
        <v/>
      </c>
      <c r="G17" s="2" t="inlineStr">
        <is>
          <t>Other Income &amp;Expense</t>
        </is>
      </c>
      <c r="H17" s="7">
        <f>'C-Döviz'!AI173</f>
        <v/>
      </c>
      <c r="I17" s="53">
        <f>SUM('Bağış - İş Geliştirme Hariç'!C75:C82)</f>
        <v/>
      </c>
      <c r="J17" s="53">
        <f>I17-H17</f>
        <v/>
      </c>
      <c r="K17" s="142">
        <f>I17/H17-1</f>
        <v/>
      </c>
      <c r="M17" s="52" t="n"/>
      <c r="N17" s="1" t="n"/>
      <c r="O17" s="1" t="n"/>
    </row>
    <row r="18">
      <c r="A18" s="2" t="n"/>
      <c r="B18" s="2" t="n"/>
      <c r="C18" s="53" t="n"/>
      <c r="D18" s="2" t="n"/>
      <c r="E18" s="2" t="n"/>
      <c r="G18" s="2" t="n"/>
      <c r="H18" s="2" t="n"/>
      <c r="I18" s="2" t="n"/>
      <c r="J18" s="2" t="n"/>
      <c r="K18" s="142" t="n"/>
    </row>
    <row r="19" customFormat="1" s="1">
      <c r="A19" s="3" t="inlineStr">
        <is>
          <t>Profit Before Tax</t>
        </is>
      </c>
      <c r="B19" s="8">
        <f>'C-TRY'!AI186</f>
        <v/>
      </c>
      <c r="C19" s="54">
        <f>SUM('Bağış - İş Geliştirme Hariç'!D83:D90)</f>
        <v/>
      </c>
      <c r="D19" s="54">
        <f>C19-B19</f>
        <v/>
      </c>
      <c r="E19" s="55">
        <f>C19/B19-1</f>
        <v/>
      </c>
      <c r="G19" s="3" t="inlineStr">
        <is>
          <t>Profit Before Tax</t>
        </is>
      </c>
      <c r="H19" s="8">
        <f>'C-Döviz'!AI186</f>
        <v/>
      </c>
      <c r="I19" s="54">
        <f>SUM('Bağış - İş Geliştirme Hariç'!C83:C90)</f>
        <v/>
      </c>
      <c r="J19" s="54">
        <f>I19-H19</f>
        <v/>
      </c>
      <c r="K19" s="143">
        <f>I19/H19-1</f>
        <v/>
      </c>
    </row>
    <row r="20">
      <c r="A20" s="2" t="inlineStr">
        <is>
          <t>Profit Before Tax/Net Sales</t>
        </is>
      </c>
      <c r="B20" s="12">
        <f>B19/B3</f>
        <v/>
      </c>
      <c r="C20" s="12">
        <f>C19/C3</f>
        <v/>
      </c>
      <c r="D20" s="12">
        <f>C20-B20</f>
        <v/>
      </c>
      <c r="E20" s="2" t="n"/>
      <c r="G20" s="2" t="inlineStr">
        <is>
          <t>Profit Before Tax/Net Sales</t>
        </is>
      </c>
      <c r="H20" s="12">
        <f>H19/H3</f>
        <v/>
      </c>
      <c r="I20" s="12">
        <f>I19/I3</f>
        <v/>
      </c>
      <c r="J20" s="12">
        <f>I20-H20</f>
        <v/>
      </c>
      <c r="K20" s="142" t="n"/>
    </row>
    <row r="21">
      <c r="A21" s="2" t="n"/>
      <c r="B21" s="2" t="n"/>
      <c r="C21" s="2" t="n"/>
      <c r="D21" s="2" t="n"/>
      <c r="E21" s="2" t="n"/>
      <c r="G21" s="2" t="n"/>
      <c r="H21" s="2" t="n"/>
      <c r="I21" s="2" t="n"/>
      <c r="J21" s="2" t="n"/>
      <c r="K21" s="142" t="n"/>
      <c r="M21" s="1" t="n"/>
      <c r="N21" s="1" t="n"/>
      <c r="O21" s="1" t="n"/>
    </row>
    <row r="22">
      <c r="A22" s="2" t="inlineStr">
        <is>
          <t>Tax</t>
        </is>
      </c>
      <c r="B22" s="7">
        <f>'C-TRY'!AI199</f>
        <v/>
      </c>
      <c r="C22" s="53">
        <f>-SUM('Bağış - İş Geliştirme Hariç'!D91:D98)</f>
        <v/>
      </c>
      <c r="D22" s="53">
        <f>C22-B22</f>
        <v/>
      </c>
      <c r="E22" s="5">
        <f>IFERROR((C22/B22-1),"")</f>
        <v/>
      </c>
      <c r="G22" s="2" t="inlineStr">
        <is>
          <t>Tax</t>
        </is>
      </c>
      <c r="H22" s="7">
        <f>'C-Döviz'!AI199</f>
        <v/>
      </c>
      <c r="I22" s="53">
        <f>-SUM('Bağış - İş Geliştirme Hariç'!C91:C98)</f>
        <v/>
      </c>
      <c r="J22" s="53">
        <f>I22-H22</f>
        <v/>
      </c>
      <c r="K22" s="142">
        <f>IFERROR((I22/H22-1),"")</f>
        <v/>
      </c>
      <c r="M22" s="13" t="n"/>
      <c r="N22" s="13" t="n"/>
      <c r="O22" s="13" t="n"/>
    </row>
    <row r="23" customFormat="1" s="1">
      <c r="A23" s="3" t="inlineStr">
        <is>
          <t>Net Income</t>
        </is>
      </c>
      <c r="B23" s="8">
        <f>'C-TRY'!AI212</f>
        <v/>
      </c>
      <c r="C23" s="54">
        <f>SUM('Bağış - İş Geliştirme Hariç'!D99:D106)</f>
        <v/>
      </c>
      <c r="D23" s="54">
        <f>C23-B23</f>
        <v/>
      </c>
      <c r="E23" s="55">
        <f>C23/B23-1</f>
        <v/>
      </c>
      <c r="G23" s="3" t="inlineStr">
        <is>
          <t>Net Income</t>
        </is>
      </c>
      <c r="H23" s="8">
        <f>'C-Döviz'!AI212</f>
        <v/>
      </c>
      <c r="I23" s="54">
        <f>SUM('Bağış - İş Geliştirme Hariç'!C99:C106)</f>
        <v/>
      </c>
      <c r="J23" s="54">
        <f>I23-H23</f>
        <v/>
      </c>
      <c r="K23" s="143">
        <f>I23/H23-1</f>
        <v/>
      </c>
    </row>
    <row r="24" customFormat="1" s="13">
      <c r="A24" s="20" t="inlineStr">
        <is>
          <t>Net Income/Net Sales</t>
        </is>
      </c>
      <c r="B24" s="12">
        <f>B23/B3</f>
        <v/>
      </c>
      <c r="C24" s="12">
        <f>C23/C3</f>
        <v/>
      </c>
      <c r="D24" s="12">
        <f>C24-B24</f>
        <v/>
      </c>
      <c r="E24" s="20" t="n"/>
      <c r="G24" s="20" t="inlineStr">
        <is>
          <t>Net Income/Net Sales</t>
        </is>
      </c>
      <c r="H24" s="12">
        <f>H23/H3</f>
        <v/>
      </c>
      <c r="I24" s="12">
        <f>I23/I3</f>
        <v/>
      </c>
      <c r="J24" s="12">
        <f>I24-H24</f>
        <v/>
      </c>
      <c r="K24" s="58" t="n"/>
    </row>
    <row r="26">
      <c r="B26" s="52" t="n"/>
      <c r="C26" s="52" t="n"/>
      <c r="H26" s="52" t="n"/>
      <c r="I26" s="52" t="n"/>
    </row>
    <row r="27">
      <c r="C27" s="52" t="n"/>
    </row>
    <row r="28">
      <c r="C28" s="52" t="n"/>
    </row>
  </sheetData>
  <mergeCells count="2">
    <mergeCell ref="H1:K1"/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C2:Z62"/>
  <sheetViews>
    <sheetView topLeftCell="G1" zoomScale="85" zoomScaleNormal="85" workbookViewId="0">
      <selection activeCell="W20" sqref="W20"/>
    </sheetView>
  </sheetViews>
  <sheetFormatPr baseColWidth="8" defaultColWidth="8.7265625" defaultRowHeight="13"/>
  <cols>
    <col width="8.7265625" customWidth="1" style="323" min="1" max="1"/>
    <col width="4.1796875" customWidth="1" style="323" min="2" max="2"/>
    <col width="3.81640625" customWidth="1" style="323" min="3" max="3"/>
    <col width="51.26953125" customWidth="1" style="323" min="4" max="4"/>
    <col width="8.1796875" bestFit="1" customWidth="1" style="323" min="5" max="5"/>
    <col width="11" bestFit="1" customWidth="1" style="323" min="6" max="7"/>
    <col width="9" customWidth="1" style="323" min="8" max="8"/>
    <col width="8.7265625" customWidth="1" style="323" min="9" max="9"/>
    <col width="7.1796875" customWidth="1" style="323" min="10" max="10"/>
    <col width="7.54296875" bestFit="1" customWidth="1" style="323" min="11" max="11"/>
    <col width="8.7265625" customWidth="1" style="323" min="12" max="13"/>
    <col width="10.1796875" bestFit="1" customWidth="1" style="323" min="14" max="14"/>
    <col width="8.7265625" customWidth="1" style="323" min="15" max="16"/>
    <col width="25.26953125" customWidth="1" style="323" min="17" max="17"/>
    <col width="12.7265625" customWidth="1" style="323" min="18" max="18"/>
    <col width="9.7265625" customWidth="1" style="323" min="19" max="21"/>
    <col width="8.1796875" customWidth="1" style="323" min="22" max="22"/>
    <col width="9.7265625" customWidth="1" style="323" min="23" max="25"/>
    <col width="8.7265625" customWidth="1" style="323" min="26" max="16384"/>
  </cols>
  <sheetData>
    <row r="1" ht="12.5" customFormat="1" customHeight="1" s="319"/>
    <row r="2" ht="16.5" customFormat="1" customHeight="1" s="319">
      <c r="C2" s="323" t="n"/>
      <c r="D2" s="416" t="n"/>
      <c r="E2" s="417" t="inlineStr">
        <is>
          <t>Jantas</t>
        </is>
      </c>
      <c r="F2" s="417" t="inlineStr">
        <is>
          <t>Çelik</t>
        </is>
      </c>
      <c r="G2" s="417" t="inlineStr">
        <is>
          <t>JAWS</t>
        </is>
      </c>
      <c r="H2" s="417" t="inlineStr">
        <is>
          <t>IGYA</t>
        </is>
      </c>
      <c r="I2" s="417" t="inlineStr">
        <is>
          <t>Yusen</t>
        </is>
      </c>
      <c r="J2" s="417" t="inlineStr">
        <is>
          <t>ISM</t>
        </is>
      </c>
      <c r="K2" s="417" t="inlineStr">
        <is>
          <t>İncitaş</t>
        </is>
      </c>
      <c r="L2" s="417" t="inlineStr">
        <is>
          <t>Toplam</t>
        </is>
      </c>
    </row>
    <row r="3" ht="22" customFormat="1" customHeight="1" s="319">
      <c r="C3" s="323" t="n"/>
      <c r="D3" s="320" t="n"/>
      <c r="I3" s="320" t="n"/>
      <c r="Q3" s="369" t="inlineStr">
        <is>
          <t xml:space="preserve">   Kümülatif EBITDA Bütçe / Gerçekleşme Farkları (Avro)</t>
        </is>
      </c>
      <c r="R3" s="363" t="n"/>
      <c r="S3" s="363" t="n"/>
      <c r="T3" s="363" t="n"/>
      <c r="U3" s="363" t="n"/>
      <c r="V3" s="363" t="n"/>
      <c r="W3" s="363" t="n"/>
      <c r="X3" s="363" t="n"/>
      <c r="Y3" s="363" t="n"/>
    </row>
    <row r="4" ht="25" customFormat="1" customHeight="1" s="319">
      <c r="C4" s="323" t="n"/>
      <c r="D4" s="344" t="n"/>
      <c r="E4" s="514" t="inlineStr">
        <is>
          <t>EBITDA</t>
        </is>
      </c>
      <c r="F4" s="514" t="inlineStr">
        <is>
          <t>EBITDA</t>
        </is>
      </c>
      <c r="G4" s="514" t="inlineStr">
        <is>
          <t>EBITDA</t>
        </is>
      </c>
      <c r="H4" s="514" t="inlineStr">
        <is>
          <t>EBITDA</t>
        </is>
      </c>
      <c r="I4" s="514" t="inlineStr">
        <is>
          <t>EBITDA</t>
        </is>
      </c>
      <c r="J4" s="514" t="inlineStr">
        <is>
          <t>EBITDA</t>
        </is>
      </c>
      <c r="K4" s="514" t="inlineStr">
        <is>
          <t>EBITDA</t>
        </is>
      </c>
      <c r="L4" s="514" t="inlineStr">
        <is>
          <t>EBITDA</t>
        </is>
      </c>
      <c r="Q4" s="363" t="n"/>
      <c r="R4" s="364" t="inlineStr">
        <is>
          <t>Jantas</t>
        </is>
      </c>
      <c r="S4" s="364" t="inlineStr">
        <is>
          <t>Çelik</t>
        </is>
      </c>
      <c r="T4" s="364" t="inlineStr">
        <is>
          <t>JAWS</t>
        </is>
      </c>
      <c r="U4" s="364" t="inlineStr">
        <is>
          <t>IGYA</t>
        </is>
      </c>
      <c r="V4" s="364" t="inlineStr">
        <is>
          <t>Yusen</t>
        </is>
      </c>
      <c r="W4" s="364" t="inlineStr">
        <is>
          <t>ISM</t>
        </is>
      </c>
      <c r="X4" s="364" t="inlineStr">
        <is>
          <t>İncitaş</t>
        </is>
      </c>
      <c r="Y4" s="364" t="inlineStr">
        <is>
          <t>Toplam</t>
        </is>
      </c>
    </row>
    <row r="5" ht="14.5" customFormat="1" customHeight="1" s="319">
      <c r="C5" s="323" t="n"/>
      <c r="D5" s="345" t="inlineStr">
        <is>
          <t>2025 AOP</t>
        </is>
      </c>
      <c r="E5" s="515" t="n">
        <v>11310</v>
      </c>
      <c r="F5" s="515" t="n">
        <v>11785.08776882603</v>
      </c>
      <c r="G5" s="515" t="n">
        <v>18699.97485055889</v>
      </c>
      <c r="H5" s="515" t="n">
        <v>12010</v>
      </c>
      <c r="I5" s="515" t="n">
        <v>2894</v>
      </c>
      <c r="J5" s="515" t="n">
        <v>999</v>
      </c>
      <c r="K5" s="515" t="n">
        <v>399</v>
      </c>
      <c r="L5" s="516">
        <f>SUM(E5:K5)</f>
        <v/>
      </c>
      <c r="Q5" s="361" t="inlineStr">
        <is>
          <t>Adet</t>
        </is>
      </c>
      <c r="R5" s="517">
        <f>E7</f>
        <v/>
      </c>
      <c r="S5" s="517">
        <f>F7</f>
        <v/>
      </c>
      <c r="T5" s="517">
        <f>G7</f>
        <v/>
      </c>
      <c r="U5" s="518">
        <f>H7</f>
        <v/>
      </c>
      <c r="V5" s="518">
        <f>I7</f>
        <v/>
      </c>
      <c r="W5" s="518">
        <f>J7</f>
        <v/>
      </c>
      <c r="X5" s="518">
        <f>K7</f>
        <v/>
      </c>
      <c r="Y5" s="518">
        <f>SUM(R5:X5)</f>
        <v/>
      </c>
    </row>
    <row r="6" ht="14.5" customFormat="1" customHeight="1" s="319">
      <c r="C6" s="323" t="n"/>
      <c r="D6" s="346" t="n"/>
      <c r="E6" s="519" t="n"/>
      <c r="F6" s="519" t="n"/>
      <c r="G6" s="519" t="n"/>
      <c r="H6" s="519" t="n"/>
      <c r="I6" s="519" t="n"/>
      <c r="J6" s="519" t="n"/>
      <c r="K6" s="519" t="n"/>
      <c r="L6" s="516">
        <f>SUM(E6:K6)</f>
        <v/>
      </c>
      <c r="Q6" s="321" t="inlineStr">
        <is>
          <t>Fiyat</t>
        </is>
      </c>
      <c r="R6" s="520">
        <f>E8+E9</f>
        <v/>
      </c>
      <c r="S6" s="521">
        <f>F8+F9</f>
        <v/>
      </c>
      <c r="T6" s="520">
        <f>G8+G9</f>
        <v/>
      </c>
      <c r="U6" s="521">
        <f>H8+H9</f>
        <v/>
      </c>
      <c r="V6" s="521">
        <f>I8+I9</f>
        <v/>
      </c>
      <c r="W6" s="521">
        <f>J8+J9</f>
        <v/>
      </c>
      <c r="X6" s="521">
        <f>K8+K9</f>
        <v/>
      </c>
      <c r="Y6" s="521">
        <f>SUM(R6:X6)</f>
        <v/>
      </c>
    </row>
    <row r="7" ht="14.5" customFormat="1" customHeight="1" s="319">
      <c r="C7" s="323" t="n"/>
      <c r="D7" s="347" t="inlineStr">
        <is>
          <t>Volume (Produced Sales)</t>
        </is>
      </c>
      <c r="E7" s="522" t="n">
        <v>2056</v>
      </c>
      <c r="F7" s="522" t="n">
        <v>3686.389880470653</v>
      </c>
      <c r="G7" s="522" t="n">
        <v>1388.445018085538</v>
      </c>
      <c r="H7" s="522">
        <f>H54*0.75</f>
        <v/>
      </c>
      <c r="I7" s="522">
        <f>I54*0.65</f>
        <v/>
      </c>
      <c r="J7" s="522">
        <f>J54*0.81</f>
        <v/>
      </c>
      <c r="K7" s="522">
        <f>K54*0.17</f>
        <v/>
      </c>
      <c r="L7" s="516">
        <f>SUM(E7:K7)</f>
        <v/>
      </c>
      <c r="N7" s="523" t="n"/>
      <c r="Q7" s="321" t="inlineStr">
        <is>
          <t>Miks</t>
        </is>
      </c>
      <c r="R7" s="520">
        <f>E10+E11</f>
        <v/>
      </c>
      <c r="S7" s="521">
        <f>F10+F11</f>
        <v/>
      </c>
      <c r="T7" s="520">
        <f>G10+G11</f>
        <v/>
      </c>
      <c r="U7" s="521">
        <f>H10+H11</f>
        <v/>
      </c>
      <c r="V7" s="521">
        <f>I10+I11</f>
        <v/>
      </c>
      <c r="W7" s="521">
        <f>J10+J11</f>
        <v/>
      </c>
      <c r="X7" s="521">
        <f>K10+K11</f>
        <v/>
      </c>
      <c r="Y7" s="521">
        <f>SUM(R7:X7)</f>
        <v/>
      </c>
    </row>
    <row r="8" ht="14.5" customFormat="1" customHeight="1" s="319">
      <c r="C8" s="323" t="n"/>
      <c r="D8" s="348" t="inlineStr">
        <is>
          <t>Price</t>
        </is>
      </c>
      <c r="E8" s="524" t="n">
        <v>726</v>
      </c>
      <c r="F8" s="524" t="n">
        <v>-89.33242901147057</v>
      </c>
      <c r="G8" s="524" t="n">
        <v>420.6556841279789</v>
      </c>
      <c r="H8" s="524">
        <f>H54*0.13</f>
        <v/>
      </c>
      <c r="I8" s="524">
        <f>I54*0.35</f>
        <v/>
      </c>
      <c r="J8" s="524">
        <f>J54*0.09</f>
        <v/>
      </c>
      <c r="K8" s="524">
        <f>K54*0.63</f>
        <v/>
      </c>
      <c r="L8" s="516">
        <f>SUM(E8:K8)</f>
        <v/>
      </c>
      <c r="N8" s="523" t="n"/>
      <c r="Q8" s="321" t="inlineStr">
        <is>
          <t>Hammadde</t>
        </is>
      </c>
      <c r="R8" s="521">
        <f>E17+E20</f>
        <v/>
      </c>
      <c r="S8" s="520">
        <f>F17+F20</f>
        <v/>
      </c>
      <c r="T8" s="521">
        <f>G17+G20</f>
        <v/>
      </c>
      <c r="U8" s="521">
        <f>H17+H20</f>
        <v/>
      </c>
      <c r="V8" s="521">
        <f>I17+I20</f>
        <v/>
      </c>
      <c r="W8" s="521">
        <f>J17+J20</f>
        <v/>
      </c>
      <c r="X8" s="521">
        <f>K17+K20</f>
        <v/>
      </c>
      <c r="Y8" s="520">
        <f>SUM(R8:X8)</f>
        <v/>
      </c>
    </row>
    <row r="9" ht="14.5" customFormat="1" customHeight="1" s="319">
      <c r="C9" s="323" t="n"/>
      <c r="D9" s="348" t="inlineStr">
        <is>
          <t>Resale</t>
        </is>
      </c>
      <c r="E9" s="525" t="n"/>
      <c r="F9" s="525" t="n"/>
      <c r="G9" s="525" t="n"/>
      <c r="H9" s="525" t="n"/>
      <c r="I9" s="525" t="n"/>
      <c r="J9" s="525" t="n"/>
      <c r="K9" s="525" t="n"/>
      <c r="L9" s="516">
        <f>SUM(E9:K9)</f>
        <v/>
      </c>
      <c r="Q9" s="321" t="inlineStr">
        <is>
          <t>Verimlilik</t>
        </is>
      </c>
      <c r="R9" s="521">
        <f>E30</f>
        <v/>
      </c>
      <c r="S9" s="521">
        <f>F30</f>
        <v/>
      </c>
      <c r="T9" s="521">
        <f>G30</f>
        <v/>
      </c>
      <c r="U9" s="521">
        <f>H30</f>
        <v/>
      </c>
      <c r="V9" s="521">
        <f>I30</f>
        <v/>
      </c>
      <c r="W9" s="521">
        <f>J30</f>
        <v/>
      </c>
      <c r="X9" s="521">
        <f>K30</f>
        <v/>
      </c>
      <c r="Y9" s="521">
        <f>SUM(R9:X9)</f>
        <v/>
      </c>
    </row>
    <row r="10" ht="14.5" customFormat="1" customHeight="1" s="319">
      <c r="C10" s="323" t="n"/>
      <c r="D10" s="349" t="inlineStr">
        <is>
          <t>Mix (Produced Sales)</t>
        </is>
      </c>
      <c r="E10" s="526" t="n">
        <v>533</v>
      </c>
      <c r="F10" s="526" t="n">
        <v>-147.6749911711211</v>
      </c>
      <c r="G10" s="526" t="n">
        <v>24.63310794648007</v>
      </c>
      <c r="H10" s="526">
        <f>H54*0.12</f>
        <v/>
      </c>
      <c r="I10" s="526" t="n"/>
      <c r="J10" s="526">
        <f>J54*0.1</f>
        <v/>
      </c>
      <c r="K10" s="526">
        <f>K54*0.2</f>
        <v/>
      </c>
      <c r="L10" s="516">
        <f>SUM(E10:K10)</f>
        <v/>
      </c>
      <c r="Q10" s="321" t="inlineStr">
        <is>
          <t>Enflasyon</t>
        </is>
      </c>
      <c r="R10" s="521">
        <f>E34+E35+E33</f>
        <v/>
      </c>
      <c r="S10" s="520">
        <f>F34+F35+F33</f>
        <v/>
      </c>
      <c r="T10" s="521">
        <f>G34+G35+G33</f>
        <v/>
      </c>
      <c r="U10" s="521">
        <f>H34+H35+H33</f>
        <v/>
      </c>
      <c r="V10" s="521">
        <f>I34+I35+I33</f>
        <v/>
      </c>
      <c r="W10" s="521">
        <f>J34+J35+J33</f>
        <v/>
      </c>
      <c r="X10" s="521">
        <f>K34+K35+K33</f>
        <v/>
      </c>
      <c r="Y10" s="521">
        <f>SUM(R10:X10)</f>
        <v/>
      </c>
    </row>
    <row r="11" ht="14.5" customFormat="1" customHeight="1" s="319" thickBot="1">
      <c r="C11" s="323" t="n"/>
      <c r="D11" s="350" t="inlineStr">
        <is>
          <t>Tooling</t>
        </is>
      </c>
      <c r="E11" s="527" t="n">
        <v>-35</v>
      </c>
      <c r="F11" s="527" t="n">
        <v>29.92156000000003</v>
      </c>
      <c r="G11" s="527" t="n">
        <v>205.6232999999999</v>
      </c>
      <c r="H11" s="527" t="n"/>
      <c r="I11" s="527" t="n"/>
      <c r="J11" s="527" t="n"/>
      <c r="K11" s="527" t="n"/>
      <c r="L11" s="516">
        <f>SUM(E11:K11)</f>
        <v/>
      </c>
      <c r="Q11" s="362" t="inlineStr">
        <is>
          <t>Döviz</t>
        </is>
      </c>
      <c r="R11" s="528">
        <f>E37+E38+E36</f>
        <v/>
      </c>
      <c r="S11" s="529">
        <f>F37+F38+F36</f>
        <v/>
      </c>
      <c r="T11" s="528">
        <f>G37+G38+G36</f>
        <v/>
      </c>
      <c r="U11" s="529">
        <f>H37+H38+H36</f>
        <v/>
      </c>
      <c r="V11" s="529">
        <f>I37+I38+I36</f>
        <v/>
      </c>
      <c r="W11" s="529">
        <f>J37+J38+J36</f>
        <v/>
      </c>
      <c r="X11" s="529">
        <f>K37+K38+K36</f>
        <v/>
      </c>
      <c r="Y11" s="529">
        <f>SUM(R11:X11)</f>
        <v/>
      </c>
    </row>
    <row r="12" ht="14.5" customFormat="1" customHeight="1" s="319">
      <c r="C12" s="323" t="n"/>
      <c r="D12" s="346" t="n"/>
      <c r="E12" s="530" t="n"/>
      <c r="F12" s="530" t="n"/>
      <c r="G12" s="530" t="n"/>
      <c r="H12" s="530" t="n"/>
      <c r="I12" s="530" t="n"/>
      <c r="J12" s="530" t="n"/>
      <c r="K12" s="530" t="n"/>
      <c r="L12" s="516">
        <f>SUM(E12:K12)</f>
        <v/>
      </c>
      <c r="Q12" s="321" t="inlineStr">
        <is>
          <t>Açıklanabilen Bütçe Farkı</t>
        </is>
      </c>
      <c r="R12" s="516">
        <f>SUM(R5:R11)</f>
        <v/>
      </c>
      <c r="S12" s="516">
        <f>SUM(S5:S11)</f>
        <v/>
      </c>
      <c r="T12" s="531">
        <f>SUM(T5:T11)</f>
        <v/>
      </c>
      <c r="U12" s="531">
        <f>SUM(U5:U11)</f>
        <v/>
      </c>
      <c r="V12" s="531">
        <f>SUM(V5:V11)</f>
        <v/>
      </c>
      <c r="W12" s="531">
        <f>SUM(W5:W11)</f>
        <v/>
      </c>
      <c r="X12" s="531">
        <f>SUM(X5:X11)</f>
        <v/>
      </c>
      <c r="Y12" s="531">
        <f>SUM(Y5:Y11)</f>
        <v/>
      </c>
    </row>
    <row r="13" ht="14.5" customFormat="1" customHeight="1" s="319">
      <c r="C13" s="323" t="n"/>
      <c r="D13" s="351" t="inlineStr">
        <is>
          <t>Metal Impact</t>
        </is>
      </c>
      <c r="E13" s="522" t="n"/>
      <c r="F13" s="522" t="n"/>
      <c r="G13" s="522" t="n"/>
      <c r="H13" s="522" t="n"/>
      <c r="I13" s="522" t="n"/>
      <c r="J13" s="522" t="n"/>
      <c r="K13" s="522" t="n"/>
      <c r="L13" s="516">
        <f>SUM(E13:K13)</f>
        <v/>
      </c>
      <c r="P13" s="323" t="n"/>
      <c r="Q13" s="323" t="n"/>
      <c r="R13" s="323" t="n"/>
      <c r="S13" s="323" t="n"/>
      <c r="T13" s="323" t="n"/>
      <c r="U13" s="323" t="n"/>
      <c r="V13" s="323" t="n"/>
      <c r="W13" s="323" t="n"/>
      <c r="X13" s="323" t="n"/>
      <c r="Y13" s="323" t="n"/>
      <c r="Z13" s="323" t="n"/>
    </row>
    <row r="14" ht="14.5" customFormat="1" customHeight="1" s="319">
      <c r="C14" s="323" t="n"/>
      <c r="D14" s="348" t="inlineStr">
        <is>
          <t xml:space="preserve">  Gross Steel Costs</t>
        </is>
      </c>
      <c r="E14" s="524" t="n">
        <v>1380</v>
      </c>
      <c r="F14" s="524" t="n">
        <v>1451.043065118065</v>
      </c>
      <c r="G14" s="524" t="n"/>
      <c r="H14" s="524" t="n"/>
      <c r="I14" s="524" t="n"/>
      <c r="J14" s="524" t="n"/>
      <c r="K14" s="524" t="n"/>
      <c r="L14" s="516">
        <f>SUM(E14:K14)</f>
        <v/>
      </c>
      <c r="P14" s="323" t="n"/>
      <c r="Q14" s="319" t="inlineStr">
        <is>
          <t>Maxion grubu dışındaki rakamlar ERP sistemleri bu kırılımda data tutmadığı için tahmini verilerden oluşmuştur.</t>
        </is>
      </c>
      <c r="R14" s="323" t="n"/>
      <c r="S14" s="323" t="n"/>
      <c r="T14" s="323" t="n"/>
      <c r="U14" s="323" t="n"/>
      <c r="V14" s="323" t="n"/>
      <c r="W14" s="323" t="n"/>
      <c r="X14" s="323" t="n"/>
      <c r="Y14" s="323" t="n"/>
      <c r="Z14" s="323" t="n"/>
    </row>
    <row r="15" ht="15" customFormat="1" customHeight="1" s="319">
      <c r="C15" s="323" t="n"/>
      <c r="D15" s="348" t="inlineStr">
        <is>
          <t xml:space="preserve">  Steel Price Recovery</t>
        </is>
      </c>
      <c r="E15" s="524" t="n">
        <v>-912</v>
      </c>
      <c r="F15" s="524" t="n">
        <v>0</v>
      </c>
      <c r="G15" s="524" t="n"/>
      <c r="H15" s="524" t="n"/>
      <c r="I15" s="524" t="n"/>
      <c r="J15" s="524" t="n"/>
      <c r="K15" s="524" t="n"/>
      <c r="L15" s="516">
        <f>SUM(E15:K15)</f>
        <v/>
      </c>
      <c r="P15" s="323" t="n"/>
      <c r="Q15" s="319" t="inlineStr">
        <is>
          <t>IGYA 9 uncu ay itibarı ile diğer şirketlerimiz ise ERP sistemlerinde gereken değişiklikleri yaptıktans sonra veriler sağlıklı hale gelecektir.</t>
        </is>
      </c>
      <c r="R15" s="323" t="n"/>
      <c r="S15" s="323" t="n"/>
      <c r="T15" s="323" t="n"/>
      <c r="U15" s="323" t="n"/>
      <c r="V15" s="323" t="n"/>
      <c r="W15" s="323" t="n"/>
      <c r="X15" s="323" t="n"/>
      <c r="Y15" s="323" t="n"/>
      <c r="Z15" s="323" t="n"/>
    </row>
    <row r="16" ht="14.5" customHeight="1">
      <c r="D16" s="349" t="inlineStr">
        <is>
          <t xml:space="preserve">  Scrap Steel Recovery</t>
        </is>
      </c>
      <c r="E16" s="532" t="n">
        <v>-623</v>
      </c>
      <c r="F16" s="532" t="n">
        <v>-177.2780460000001</v>
      </c>
      <c r="G16" s="532" t="n"/>
      <c r="H16" s="532" t="n"/>
      <c r="I16" s="532" t="n"/>
      <c r="J16" s="532" t="n"/>
      <c r="K16" s="532" t="n"/>
      <c r="L16" s="516">
        <f>SUM(E16:K16)</f>
        <v/>
      </c>
      <c r="Q16" s="319" t="n"/>
    </row>
    <row r="17" ht="13.5" customHeight="1">
      <c r="D17" s="352" t="inlineStr">
        <is>
          <t>Net Steel Impact</t>
        </is>
      </c>
      <c r="E17" s="533">
        <f>SUM(E14:E16)</f>
        <v/>
      </c>
      <c r="F17" s="533">
        <f>SUM(F14:F16)</f>
        <v/>
      </c>
      <c r="G17" s="533">
        <f>SUM(G14:G16)</f>
        <v/>
      </c>
      <c r="H17" s="533" t="n"/>
      <c r="I17" s="533" t="n"/>
      <c r="J17" s="533" t="n"/>
      <c r="K17" s="533" t="n"/>
      <c r="L17" s="516">
        <f>SUM(E17:K17)</f>
        <v/>
      </c>
    </row>
    <row r="18" ht="14.5" customHeight="1">
      <c r="D18" s="348" t="n"/>
      <c r="E18" s="525" t="n"/>
      <c r="F18" s="525" t="n"/>
      <c r="G18" s="525" t="n"/>
      <c r="H18" s="525" t="n"/>
      <c r="I18" s="525" t="n"/>
      <c r="J18" s="525" t="n"/>
      <c r="K18" s="525" t="n"/>
      <c r="L18" s="516">
        <f>SUM(E18:K18)</f>
        <v/>
      </c>
    </row>
    <row r="19" ht="13.5" customHeight="1">
      <c r="D19" s="349" t="inlineStr">
        <is>
          <t>Aluminum Impact</t>
        </is>
      </c>
      <c r="E19" s="534" t="n"/>
      <c r="F19" s="534" t="n"/>
      <c r="G19" s="534" t="n">
        <v>-168.9294260148654</v>
      </c>
      <c r="H19" s="534" t="n"/>
      <c r="I19" s="534" t="n"/>
      <c r="J19" s="534" t="n"/>
      <c r="K19" s="534" t="n"/>
      <c r="L19" s="516">
        <f>SUM(E19:K19)</f>
        <v/>
      </c>
    </row>
    <row r="20" ht="14.5" customHeight="1">
      <c r="D20" s="353" t="inlineStr">
        <is>
          <t>Net Metal Impact</t>
        </is>
      </c>
      <c r="E20" s="535">
        <f>SUM(E18:E19)</f>
        <v/>
      </c>
      <c r="F20" s="535">
        <f>SUM(F18:F19)</f>
        <v/>
      </c>
      <c r="G20" s="535">
        <f>SUM(G18:G19)</f>
        <v/>
      </c>
      <c r="H20" s="535" t="n"/>
      <c r="I20" s="535" t="n"/>
      <c r="J20" s="535" t="n"/>
      <c r="K20" s="535" t="n"/>
      <c r="L20" s="516">
        <f>SUM(E20:K20)</f>
        <v/>
      </c>
    </row>
    <row r="21" ht="14.5" customHeight="1">
      <c r="D21" s="346" t="n"/>
      <c r="E21" s="530" t="n"/>
      <c r="F21" s="530" t="n"/>
      <c r="G21" s="530" t="n"/>
      <c r="H21" s="530" t="n"/>
      <c r="I21" s="530" t="n"/>
      <c r="J21" s="530" t="n"/>
      <c r="K21" s="530" t="n"/>
      <c r="L21" s="516">
        <f>SUM(E21:K21)</f>
        <v/>
      </c>
    </row>
    <row r="22" ht="13.5" customHeight="1">
      <c r="D22" s="354" t="inlineStr">
        <is>
          <t>Productivity</t>
        </is>
      </c>
      <c r="E22" s="536" t="n"/>
      <c r="F22" s="536" t="n"/>
      <c r="G22" s="525" t="n"/>
      <c r="H22" s="525" t="n"/>
      <c r="I22" s="536" t="n"/>
      <c r="J22" s="536" t="n"/>
      <c r="K22" s="536" t="n"/>
      <c r="L22" s="516">
        <f>SUM(E22:K22)</f>
        <v/>
      </c>
    </row>
    <row r="23" ht="13.5" customHeight="1">
      <c r="D23" s="348" t="inlineStr">
        <is>
          <t xml:space="preserve">  Scrap &amp; Rework</t>
        </is>
      </c>
      <c r="E23" s="525" t="inlineStr">
        <is>
          <t xml:space="preserve">- </t>
        </is>
      </c>
      <c r="F23" s="525" t="n">
        <v>0</v>
      </c>
      <c r="G23" s="525" t="n">
        <v>0</v>
      </c>
      <c r="H23" s="525" t="n"/>
      <c r="I23" s="525" t="n"/>
      <c r="J23" s="525" t="n"/>
      <c r="K23" s="525" t="n"/>
      <c r="L23" s="516">
        <f>SUM(E23:K23)</f>
        <v/>
      </c>
    </row>
    <row r="24" ht="13.5" customHeight="1">
      <c r="D24" s="348" t="inlineStr">
        <is>
          <t xml:space="preserve">  Direct Materials</t>
        </is>
      </c>
      <c r="E24" s="525" t="n">
        <v>-14</v>
      </c>
      <c r="F24" s="525" t="n">
        <v>-290.8165073768804</v>
      </c>
      <c r="G24" s="525" t="n">
        <v>-747.1746583131071</v>
      </c>
      <c r="H24" s="525" t="n"/>
      <c r="I24" s="525" t="n"/>
      <c r="J24" s="525" t="n"/>
      <c r="K24" s="525" t="n"/>
      <c r="L24" s="516">
        <f>SUM(E24:K24)</f>
        <v/>
      </c>
    </row>
    <row r="25" ht="13.5" customHeight="1">
      <c r="D25" s="348" t="inlineStr">
        <is>
          <t xml:space="preserve">  Utilities Spending</t>
        </is>
      </c>
      <c r="E25" s="525" t="n">
        <v>12</v>
      </c>
      <c r="F25" s="525" t="n">
        <v>5.459103629119824</v>
      </c>
      <c r="G25" s="525" t="n">
        <v>-52.273224719263</v>
      </c>
      <c r="H25" s="525" t="n"/>
      <c r="I25" s="525" t="n"/>
      <c r="J25" s="525" t="n"/>
      <c r="K25" s="525" t="n"/>
      <c r="L25" s="516">
        <f>SUM(E25:K25)</f>
        <v/>
      </c>
    </row>
    <row r="26" ht="14.5" customHeight="1">
      <c r="D26" s="348" t="inlineStr">
        <is>
          <t xml:space="preserve">  Supply Spending </t>
        </is>
      </c>
      <c r="E26" s="525" t="n">
        <v>-106</v>
      </c>
      <c r="F26" s="525" t="n">
        <v>-379.8765587095824</v>
      </c>
      <c r="G26" s="525" t="n">
        <v>-1312.653009059284</v>
      </c>
      <c r="H26" s="525" t="n"/>
      <c r="I26" s="525" t="n"/>
      <c r="J26" s="525" t="n"/>
      <c r="K26" s="525" t="n"/>
      <c r="L26" s="516">
        <f>SUM(E26:K26)</f>
        <v/>
      </c>
    </row>
    <row r="27" ht="13.5" customHeight="1">
      <c r="D27" s="348" t="inlineStr">
        <is>
          <t xml:space="preserve">  Labor Variances</t>
        </is>
      </c>
      <c r="E27" s="525" t="n">
        <v>2</v>
      </c>
      <c r="F27" s="525" t="n">
        <v>104.1717541535087</v>
      </c>
      <c r="G27" s="525" t="n">
        <v>-684.0157605957245</v>
      </c>
      <c r="H27" s="525" t="n"/>
      <c r="I27" s="525" t="n"/>
      <c r="J27" s="525" t="n"/>
      <c r="K27" s="525" t="n"/>
      <c r="L27" s="516">
        <f>SUM(E27:K27)</f>
        <v/>
      </c>
    </row>
    <row r="28" ht="13.5" customHeight="1">
      <c r="C28" s="324" t="n"/>
      <c r="D28" s="348" t="inlineStr">
        <is>
          <t xml:space="preserve">  Other Manufacturing</t>
        </is>
      </c>
      <c r="E28" s="525" t="n">
        <v>-16</v>
      </c>
      <c r="F28" s="525" t="n">
        <v>-7.027402512554531</v>
      </c>
      <c r="G28" s="525" t="n">
        <v>-1102.890444674623</v>
      </c>
      <c r="H28" s="525" t="n"/>
      <c r="I28" s="525" t="n"/>
      <c r="J28" s="525" t="n"/>
      <c r="K28" s="525" t="n"/>
      <c r="L28" s="516">
        <f>SUM(E28:K28)</f>
        <v/>
      </c>
    </row>
    <row r="29" ht="14.5" customHeight="1">
      <c r="D29" s="349" t="inlineStr">
        <is>
          <t xml:space="preserve">  SG&amp;A</t>
        </is>
      </c>
      <c r="E29" s="532" t="n">
        <v>-67</v>
      </c>
      <c r="F29" s="532" t="n">
        <v>-108.3229057566229</v>
      </c>
      <c r="G29" s="532" t="n">
        <v>-360.0639022187754</v>
      </c>
      <c r="H29" s="532" t="n"/>
      <c r="I29" s="532" t="n"/>
      <c r="J29" s="532" t="n"/>
      <c r="K29" s="532" t="n"/>
      <c r="L29" s="516">
        <f>SUM(E29:K29)</f>
        <v/>
      </c>
    </row>
    <row r="30" ht="13.5" customHeight="1">
      <c r="C30" s="325" t="n"/>
      <c r="D30" s="353" t="inlineStr">
        <is>
          <t>Total Productivity</t>
        </is>
      </c>
      <c r="E30" s="535">
        <f>SUM(E24:E29)</f>
        <v/>
      </c>
      <c r="F30" s="535">
        <f>SUM(F24:F29)</f>
        <v/>
      </c>
      <c r="G30" s="535">
        <f>SUM(G24:G29)</f>
        <v/>
      </c>
      <c r="H30" s="535" t="n"/>
      <c r="I30" s="535" t="n"/>
      <c r="J30" s="535" t="n"/>
      <c r="K30" s="535" t="n"/>
      <c r="L30" s="516">
        <f>SUM(E30:K30)</f>
        <v/>
      </c>
    </row>
    <row r="31" ht="13.5" customHeight="1">
      <c r="C31" s="328" t="n"/>
      <c r="D31" s="346" t="n"/>
      <c r="E31" s="530" t="n"/>
      <c r="F31" s="530" t="n"/>
      <c r="G31" s="530" t="n"/>
      <c r="H31" s="530" t="n"/>
      <c r="I31" s="530" t="n"/>
      <c r="J31" s="530" t="n"/>
      <c r="K31" s="530" t="n"/>
      <c r="L31" s="516">
        <f>SUM(E31:K31)</f>
        <v/>
      </c>
    </row>
    <row r="32" ht="13.5" customHeight="1">
      <c r="C32" s="324" t="n"/>
      <c r="D32" s="355" t="inlineStr">
        <is>
          <t xml:space="preserve">  Startup Costs</t>
        </is>
      </c>
      <c r="E32" s="537" t="inlineStr">
        <is>
          <t xml:space="preserve">- </t>
        </is>
      </c>
      <c r="F32" s="537" t="n">
        <v>0</v>
      </c>
      <c r="G32" s="537" t="n">
        <v>0</v>
      </c>
      <c r="H32" s="537" t="n"/>
      <c r="I32" s="537" t="n"/>
      <c r="J32" s="537" t="n"/>
      <c r="K32" s="537" t="n"/>
      <c r="L32" s="516">
        <f>SUM(E32:K32)</f>
        <v/>
      </c>
    </row>
    <row r="33" ht="13.5" customHeight="1">
      <c r="C33" s="324" t="n"/>
      <c r="D33" s="356" t="inlineStr">
        <is>
          <t xml:space="preserve">  GLSFA/Sev/Rest/Impair</t>
        </is>
      </c>
      <c r="E33" s="538" t="n">
        <v>37</v>
      </c>
      <c r="F33" s="538" t="n">
        <v>-6.270030000000006</v>
      </c>
      <c r="G33" s="538" t="n">
        <v>-117.42706</v>
      </c>
      <c r="H33" s="538" t="n"/>
      <c r="I33" s="538" t="n"/>
      <c r="J33" s="538" t="n"/>
      <c r="K33" s="538" t="n"/>
      <c r="L33" s="516">
        <f>SUM(E33:K33)</f>
        <v/>
      </c>
    </row>
    <row r="34" ht="13.5" customHeight="1">
      <c r="C34" s="324" t="n"/>
      <c r="D34" s="348" t="inlineStr">
        <is>
          <t xml:space="preserve">  Economics / Inflation</t>
        </is>
      </c>
      <c r="E34" s="525" t="n">
        <v>-2186</v>
      </c>
      <c r="F34" s="525" t="n">
        <v>161.4912890233562</v>
      </c>
      <c r="G34" s="525" t="n">
        <v>-785.5764142640348</v>
      </c>
      <c r="H34" s="525" t="n"/>
      <c r="I34" s="525" t="n"/>
      <c r="J34" s="525" t="n"/>
      <c r="K34" s="525" t="n"/>
      <c r="L34" s="516">
        <f>SUM(E34:K34)</f>
        <v/>
      </c>
    </row>
    <row r="35" ht="13.5" customHeight="1">
      <c r="C35" s="324" t="n"/>
      <c r="D35" s="348" t="inlineStr">
        <is>
          <t xml:space="preserve">  Other Misc. Income / Expense</t>
        </is>
      </c>
      <c r="E35" s="525" t="n">
        <v>217</v>
      </c>
      <c r="F35" s="525" t="n">
        <v>39.90558992832111</v>
      </c>
      <c r="G35" s="525" t="n">
        <v>553.592320298541</v>
      </c>
      <c r="H35" s="525" t="n"/>
      <c r="I35" s="525" t="n"/>
      <c r="J35" s="525" t="n"/>
      <c r="K35" s="525" t="n"/>
      <c r="L35" s="516">
        <f>SUM(E35:K35)</f>
        <v/>
      </c>
    </row>
    <row r="36" ht="13.5" customHeight="1">
      <c r="C36" s="324" t="n"/>
      <c r="D36" s="348" t="inlineStr">
        <is>
          <t xml:space="preserve">  Foreign Exchange Translation</t>
        </is>
      </c>
      <c r="E36" s="525" t="n"/>
      <c r="F36" s="525" t="n"/>
      <c r="G36" s="525" t="n"/>
      <c r="H36" s="525" t="n"/>
      <c r="I36" s="525" t="n"/>
      <c r="J36" s="525" t="n"/>
      <c r="K36" s="525" t="n"/>
      <c r="L36" s="516">
        <f>SUM(E36:K36)</f>
        <v/>
      </c>
    </row>
    <row r="37" ht="13.5" customHeight="1">
      <c r="C37" s="324" t="n"/>
      <c r="D37" s="348" t="inlineStr">
        <is>
          <t xml:space="preserve">  Foreign Exchange Transaction</t>
        </is>
      </c>
      <c r="E37" s="525" t="n">
        <v>388</v>
      </c>
      <c r="F37" s="525" t="n">
        <v>-1523.403804261902</v>
      </c>
      <c r="G37" s="525" t="n">
        <v>90.89718416761639</v>
      </c>
      <c r="H37" s="525" t="n"/>
      <c r="I37" s="525" t="n"/>
      <c r="J37" s="525" t="n"/>
      <c r="K37" s="525" t="n"/>
      <c r="L37" s="516">
        <f>SUM(E37:K37)</f>
        <v/>
      </c>
    </row>
    <row r="38" ht="13.5" customHeight="1">
      <c r="C38" s="324" t="n"/>
      <c r="D38" s="357" t="inlineStr">
        <is>
          <t xml:space="preserve">  Allocations / Royalties</t>
        </is>
      </c>
      <c r="E38" s="539" t="n">
        <v>-79</v>
      </c>
      <c r="F38" s="539" t="n">
        <v>-85.52680634891485</v>
      </c>
      <c r="G38" s="539" t="n">
        <v>48.64697467463573</v>
      </c>
      <c r="H38" s="539" t="n"/>
      <c r="I38" s="539" t="n"/>
      <c r="J38" s="539" t="n"/>
      <c r="K38" s="539" t="n"/>
      <c r="L38" s="516">
        <f>SUM(E38:K38)</f>
        <v/>
      </c>
    </row>
    <row r="39" ht="13.5" customHeight="1">
      <c r="C39" s="324" t="n"/>
      <c r="D39" s="346" t="n"/>
      <c r="E39" s="519">
        <f>SUM(E32:E38)</f>
        <v/>
      </c>
      <c r="F39" s="519">
        <f>SUM(F32:F38)</f>
        <v/>
      </c>
      <c r="G39" s="540">
        <f>SUM(G32:G38)</f>
        <v/>
      </c>
      <c r="H39" s="519">
        <f>SUM(H32:H38)</f>
        <v/>
      </c>
      <c r="I39" s="519">
        <f>SUM(I32:I38)</f>
        <v/>
      </c>
      <c r="J39" s="519">
        <f>SUM(J32:J38)</f>
        <v/>
      </c>
      <c r="K39" s="519">
        <f>SUM(K32:K38)</f>
        <v/>
      </c>
      <c r="L39" s="516">
        <f>SUM(E39:K39)</f>
        <v/>
      </c>
    </row>
    <row r="40" ht="13.5" customHeight="1">
      <c r="C40" s="324" t="n"/>
      <c r="D40" s="358" t="n"/>
      <c r="E40" s="541" t="n"/>
      <c r="F40" s="541" t="n"/>
      <c r="G40" s="541" t="n"/>
      <c r="H40" s="541" t="n"/>
      <c r="I40" s="541" t="n"/>
      <c r="J40" s="541" t="n"/>
      <c r="K40" s="541" t="n"/>
      <c r="L40" s="516">
        <f>SUM(E40:K40)</f>
        <v/>
      </c>
    </row>
    <row r="41" ht="36" customHeight="1">
      <c r="C41" s="325" t="n"/>
      <c r="D41" s="347" t="inlineStr">
        <is>
          <t>Depreciation/Amortization</t>
        </is>
      </c>
      <c r="E41" s="522" t="n"/>
      <c r="F41" s="522" t="n"/>
      <c r="G41" s="522" t="n"/>
      <c r="H41" s="522" t="n"/>
      <c r="I41" s="522" t="n"/>
      <c r="J41" s="522" t="n"/>
      <c r="K41" s="522" t="n"/>
      <c r="L41" s="516">
        <f>SUM(E41:K41)</f>
        <v/>
      </c>
    </row>
    <row r="42" ht="13.5" customHeight="1">
      <c r="C42" s="326" t="n"/>
      <c r="D42" s="348" t="inlineStr">
        <is>
          <t>Intercompany Interest</t>
        </is>
      </c>
      <c r="E42" s="525" t="n"/>
      <c r="F42" s="525" t="n"/>
      <c r="G42" s="525" t="n"/>
      <c r="H42" s="525" t="n"/>
      <c r="I42" s="525" t="n"/>
      <c r="J42" s="525" t="n"/>
      <c r="K42" s="525" t="n"/>
      <c r="L42" s="516">
        <f>SUM(E42:K42)</f>
        <v/>
      </c>
    </row>
    <row r="43" ht="13.5" customHeight="1">
      <c r="C43" s="327" t="n"/>
      <c r="D43" s="348" t="inlineStr">
        <is>
          <t>Third Party Interest</t>
        </is>
      </c>
      <c r="E43" s="525" t="n"/>
      <c r="F43" s="525" t="n"/>
      <c r="G43" s="525" t="n"/>
      <c r="H43" s="525" t="n"/>
      <c r="I43" s="525" t="n"/>
      <c r="J43" s="525" t="n"/>
      <c r="K43" s="525" t="n"/>
      <c r="L43" s="516">
        <f>SUM(E43:K43)</f>
        <v/>
      </c>
    </row>
    <row r="44" ht="13.5" customHeight="1">
      <c r="C44" s="327" t="n"/>
      <c r="D44" s="348" t="inlineStr">
        <is>
          <t>Interest Expense</t>
        </is>
      </c>
      <c r="E44" s="525" t="n"/>
      <c r="F44" s="525" t="n"/>
      <c r="G44" s="525" t="n"/>
      <c r="H44" s="525" t="n"/>
      <c r="I44" s="525" t="n"/>
      <c r="J44" s="525" t="n"/>
      <c r="K44" s="525" t="n"/>
      <c r="L44" s="516">
        <f>SUM(E44:K44)</f>
        <v/>
      </c>
    </row>
    <row r="45" ht="13.5" customHeight="1">
      <c r="C45" s="327" t="n"/>
      <c r="D45" s="348" t="inlineStr">
        <is>
          <t>Amortization Cost of Debt</t>
        </is>
      </c>
      <c r="E45" s="525" t="n"/>
      <c r="F45" s="525" t="n"/>
      <c r="G45" s="525" t="n"/>
      <c r="H45" s="525" t="n"/>
      <c r="I45" s="525" t="n"/>
      <c r="J45" s="525" t="n"/>
      <c r="K45" s="525" t="n"/>
      <c r="L45" s="516">
        <f>SUM(E45:K45)</f>
        <v/>
      </c>
    </row>
    <row r="46" ht="13.5" customHeight="1">
      <c r="C46" s="327" t="n"/>
      <c r="D46" s="348" t="inlineStr">
        <is>
          <t>IOF</t>
        </is>
      </c>
      <c r="E46" s="525" t="n"/>
      <c r="F46" s="525" t="n"/>
      <c r="G46" s="525" t="n"/>
      <c r="H46" s="525" t="n"/>
      <c r="I46" s="525" t="n"/>
      <c r="J46" s="525" t="n"/>
      <c r="K46" s="525" t="n"/>
      <c r="L46" s="516">
        <f>SUM(E46:K46)</f>
        <v/>
      </c>
    </row>
    <row r="47" ht="13.5" customHeight="1">
      <c r="C47" s="327" t="n"/>
      <c r="D47" s="348" t="inlineStr">
        <is>
          <t>FX Income/Expense</t>
        </is>
      </c>
      <c r="E47" s="525" t="n"/>
      <c r="F47" s="525" t="n"/>
      <c r="G47" s="525" t="n"/>
      <c r="H47" s="525" t="n"/>
      <c r="I47" s="525" t="n"/>
      <c r="J47" s="525" t="n"/>
      <c r="K47" s="525" t="n"/>
      <c r="L47" s="516">
        <f>SUM(E47:K47)</f>
        <v/>
      </c>
    </row>
    <row r="48" ht="13.5" customHeight="1">
      <c r="C48" s="327" t="n"/>
      <c r="D48" s="348" t="inlineStr">
        <is>
          <t>Other Financial Income/Expense</t>
        </is>
      </c>
      <c r="E48" s="525" t="n"/>
      <c r="F48" s="525" t="n"/>
      <c r="G48" s="525" t="n"/>
      <c r="H48" s="525" t="n"/>
      <c r="I48" s="525" t="n"/>
      <c r="J48" s="525" t="n"/>
      <c r="K48" s="525" t="n"/>
      <c r="L48" s="516">
        <f>SUM(E48:K48)</f>
        <v/>
      </c>
    </row>
    <row r="49" ht="13.5" customHeight="1">
      <c r="D49" s="348" t="inlineStr">
        <is>
          <t>Minority Interest</t>
        </is>
      </c>
      <c r="E49" s="525" t="n"/>
      <c r="F49" s="525" t="n"/>
      <c r="G49" s="525" t="n"/>
      <c r="H49" s="525" t="n"/>
      <c r="I49" s="525" t="n"/>
      <c r="J49" s="525" t="n"/>
      <c r="K49" s="525" t="n"/>
      <c r="L49" s="516">
        <f>SUM(E49:K49)</f>
        <v/>
      </c>
    </row>
    <row r="50" ht="13.5" customHeight="1">
      <c r="C50" s="325" t="n"/>
      <c r="D50" s="348" t="inlineStr">
        <is>
          <t>Taxes</t>
        </is>
      </c>
      <c r="E50" s="525" t="n"/>
      <c r="F50" s="525" t="n"/>
      <c r="G50" s="525" t="n"/>
      <c r="H50" s="525" t="n"/>
      <c r="I50" s="525" t="n"/>
      <c r="J50" s="525" t="n"/>
      <c r="K50" s="525" t="n"/>
      <c r="L50" s="516">
        <f>SUM(E50:K50)</f>
        <v/>
      </c>
    </row>
    <row r="51" ht="14.15" customHeight="1">
      <c r="C51" s="326" t="n"/>
      <c r="D51" s="357" t="inlineStr">
        <is>
          <t>Other</t>
        </is>
      </c>
      <c r="E51" s="539" t="n"/>
      <c r="F51" s="539" t="n"/>
      <c r="G51" s="539" t="n"/>
      <c r="H51" s="539" t="n"/>
      <c r="I51" s="539" t="n"/>
      <c r="J51" s="539" t="n"/>
      <c r="K51" s="539" t="n"/>
      <c r="L51" s="516">
        <f>SUM(E51:K51)</f>
        <v/>
      </c>
    </row>
    <row r="52" ht="14.15" customHeight="1">
      <c r="C52" s="327" t="n"/>
      <c r="D52" s="346" t="n"/>
      <c r="E52" s="530" t="n"/>
      <c r="F52" s="530" t="n"/>
      <c r="G52" s="530" t="n"/>
      <c r="H52" s="530" t="n"/>
      <c r="I52" s="530" t="n"/>
      <c r="J52" s="530" t="n"/>
      <c r="K52" s="530" t="n"/>
      <c r="L52" s="516">
        <f>SUM(E52:K52)</f>
        <v/>
      </c>
    </row>
    <row r="53" ht="14.15" customHeight="1">
      <c r="C53" s="327" t="n"/>
      <c r="D53" s="345" t="inlineStr">
        <is>
          <t>2025 Actuals</t>
        </is>
      </c>
      <c r="E53" s="515" t="n">
        <v>12627</v>
      </c>
      <c r="F53" s="515" t="n">
        <v>14447.94053000001</v>
      </c>
      <c r="G53" s="515" t="n">
        <v>16101.46453999999</v>
      </c>
      <c r="H53" s="515" t="n">
        <v>182.6</v>
      </c>
      <c r="I53" s="515" t="n">
        <v>2060</v>
      </c>
      <c r="J53" s="515" t="n">
        <v>217</v>
      </c>
      <c r="K53" s="515" t="n">
        <v>177</v>
      </c>
      <c r="L53" s="516">
        <f>SUM(E53:K53)</f>
        <v/>
      </c>
    </row>
    <row r="54" ht="14.15" customHeight="1">
      <c r="C54" s="327" t="n"/>
      <c r="D54" s="359" t="inlineStr">
        <is>
          <t>Variance to 2025 AOP</t>
        </is>
      </c>
      <c r="E54" s="542">
        <f>E53-E5</f>
        <v/>
      </c>
      <c r="F54" s="542">
        <f>F53-F5</f>
        <v/>
      </c>
      <c r="G54" s="542">
        <f>G53-G5</f>
        <v/>
      </c>
      <c r="H54" s="542">
        <f>H53-H5</f>
        <v/>
      </c>
      <c r="I54" s="542">
        <f>I53-I5</f>
        <v/>
      </c>
      <c r="J54" s="542">
        <f>J53-J5</f>
        <v/>
      </c>
      <c r="K54" s="542">
        <f>K53-K5</f>
        <v/>
      </c>
      <c r="L54" s="516">
        <f>SUM(E54:K54)</f>
        <v/>
      </c>
    </row>
    <row r="55" ht="14.15" customHeight="1">
      <c r="C55" s="327" t="n"/>
      <c r="F55" s="319" t="n"/>
      <c r="G55" s="319" t="n"/>
    </row>
    <row r="56" ht="14.15" customHeight="1">
      <c r="C56" s="327" t="n"/>
      <c r="E56" s="543">
        <f>SUM(E7:E11)+E20+E30+E39</f>
        <v/>
      </c>
      <c r="F56" s="543">
        <f>SUM(F7:F11)+F20+F30+F39</f>
        <v/>
      </c>
      <c r="G56" s="543">
        <f>SUM(G7:G11)+G20+G30+G39</f>
        <v/>
      </c>
      <c r="H56" s="543">
        <f>SUM(H7:H11)+H20+H30+H39</f>
        <v/>
      </c>
      <c r="I56" s="543">
        <f>SUM(I7:I11)+I20+I30+I39</f>
        <v/>
      </c>
      <c r="J56" s="543">
        <f>SUM(J7:J11)+J20+J30+J39</f>
        <v/>
      </c>
      <c r="K56" s="543">
        <f>SUM(K7:K11)+K20+K30+K39</f>
        <v/>
      </c>
    </row>
    <row r="57" ht="14.15" customHeight="1">
      <c r="C57" s="327" t="n"/>
      <c r="E57" s="543">
        <f>R12</f>
        <v/>
      </c>
      <c r="F57" s="543">
        <f>S12</f>
        <v/>
      </c>
      <c r="G57" s="543">
        <f>T12</f>
        <v/>
      </c>
      <c r="H57" s="543">
        <f>U12</f>
        <v/>
      </c>
      <c r="I57" s="543">
        <f>V12</f>
        <v/>
      </c>
      <c r="J57" s="543">
        <f>W12</f>
        <v/>
      </c>
      <c r="K57" s="543">
        <f>X12</f>
        <v/>
      </c>
    </row>
    <row r="58" ht="14.15" customHeight="1"/>
    <row r="62">
      <c r="D62" s="319" t="n"/>
      <c r="E62" s="319" t="n"/>
    </row>
    <row r="63" ht="14.5" customHeight="1"/>
    <row r="64" ht="15" customHeight="1"/>
    <row r="65" ht="16" customHeight="1"/>
    <row r="66" ht="16" customHeight="1"/>
    <row r="67" ht="16" customHeight="1"/>
    <row r="70" ht="16" customHeight="1"/>
    <row r="71" ht="16" customHeight="1"/>
    <row r="72" ht="16" customHeight="1"/>
    <row r="75" ht="16" customHeight="1"/>
    <row r="76" ht="16" customHeight="1"/>
  </sheetData>
  <conditionalFormatting sqref="C28">
    <cfRule type="dataBar" priority="37">
      <dataBar>
        <cfvo type="min"/>
        <cfvo type="max"/>
        <color rgb="FF63C384"/>
      </dataBar>
    </cfRule>
    <cfRule type="dataBar" priority="38">
      <dataBar>
        <cfvo type="min"/>
        <cfvo type="max"/>
        <color theme="9" tint="0.3999755851924192"/>
      </dataBar>
    </cfRule>
  </conditionalFormatting>
  <conditionalFormatting sqref="C32:C40">
    <cfRule type="dataBar" priority="101">
      <dataBar>
        <cfvo type="min"/>
        <cfvo type="max"/>
        <color rgb="FF63C384"/>
      </dataBar>
    </cfRule>
    <cfRule type="dataBar" priority="102">
      <dataBar>
        <cfvo type="min"/>
        <cfvo type="max"/>
        <color theme="9" tint="0.3999755851924192"/>
      </dataBar>
    </cfRule>
  </conditionalFormatting>
  <conditionalFormatting sqref="C43:C48">
    <cfRule type="dataBar" priority="73">
      <dataBar>
        <cfvo type="min"/>
        <cfvo type="max"/>
        <color rgb="FF63C384"/>
      </dataBar>
    </cfRule>
    <cfRule type="dataBar" priority="74">
      <dataBar>
        <cfvo type="min"/>
        <cfvo type="max"/>
        <color theme="9" tint="0.3999755851924192"/>
      </dataBar>
    </cfRule>
  </conditionalFormatting>
  <conditionalFormatting sqref="C52:C57">
    <cfRule type="dataBar" priority="59">
      <dataBar>
        <cfvo type="min"/>
        <cfvo type="max"/>
        <color rgb="FF63C384"/>
      </dataBar>
    </cfRule>
    <cfRule type="dataBar" priority="60">
      <dataBar>
        <cfvo type="min"/>
        <cfvo type="max"/>
        <color theme="9" tint="0.3999755851924192"/>
      </dataBar>
    </cfRule>
  </conditionalFormatting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zoomScale="85" zoomScaleNormal="85" workbookViewId="0">
      <selection activeCell="I14" sqref="I14"/>
    </sheetView>
  </sheetViews>
  <sheetFormatPr baseColWidth="8" defaultRowHeight="14.5"/>
  <cols>
    <col width="26.453125" customWidth="1" min="1" max="1"/>
    <col width="15.1796875" bestFit="1" customWidth="1" min="2" max="3"/>
    <col width="15.08984375" bestFit="1" customWidth="1" min="4" max="4"/>
    <col width="10.81640625" customWidth="1" min="5" max="5"/>
    <col width="3.81640625" customWidth="1" min="6" max="6"/>
    <col width="26.1796875" customWidth="1" min="7" max="7"/>
    <col width="13" bestFit="1" customWidth="1" min="8" max="8"/>
    <col width="14.453125" bestFit="1" customWidth="1" min="9" max="9"/>
    <col width="12.81640625" customWidth="1" min="10" max="10"/>
    <col width="10.81640625" customWidth="1" min="11" max="11"/>
    <col width="3.1796875" customWidth="1" min="12" max="12"/>
    <col width="13.54296875" bestFit="1" customWidth="1" min="13" max="13"/>
    <col width="18.81640625" bestFit="1" customWidth="1" min="14" max="14"/>
    <col width="9.1796875" bestFit="1" customWidth="1" min="15" max="15"/>
  </cols>
  <sheetData>
    <row r="1">
      <c r="A1" s="2" t="n"/>
      <c r="B1" s="510" t="n">
        <v>45657</v>
      </c>
      <c r="C1" s="511" t="n"/>
      <c r="D1" s="511" t="n"/>
      <c r="E1" s="464" t="n"/>
      <c r="G1" s="2" t="n"/>
      <c r="H1" s="510" t="n">
        <v>45657</v>
      </c>
      <c r="I1" s="511" t="n"/>
      <c r="J1" s="511" t="n"/>
      <c r="K1" s="464" t="n"/>
      <c r="M1" s="3" t="n"/>
      <c r="N1" s="11" t="inlineStr">
        <is>
          <t>Budget</t>
        </is>
      </c>
      <c r="O1" s="11" t="inlineStr">
        <is>
          <t>Forecast</t>
        </is>
      </c>
    </row>
    <row r="2">
      <c r="A2" s="11" t="inlineStr">
        <is>
          <t>TL</t>
        </is>
      </c>
      <c r="B2" s="11" t="inlineStr">
        <is>
          <t>Budget</t>
        </is>
      </c>
      <c r="C2" s="11" t="inlineStr">
        <is>
          <t>Fotecast</t>
        </is>
      </c>
      <c r="D2" s="11" t="inlineStr">
        <is>
          <t>Difference</t>
        </is>
      </c>
      <c r="E2" s="11" t="inlineStr">
        <is>
          <t>Variance %</t>
        </is>
      </c>
      <c r="G2" s="11" t="inlineStr">
        <is>
          <t>EUR</t>
        </is>
      </c>
      <c r="H2" s="11" t="inlineStr">
        <is>
          <t>Budget</t>
        </is>
      </c>
      <c r="I2" s="11" t="inlineStr">
        <is>
          <t>Forecast</t>
        </is>
      </c>
      <c r="J2" s="11" t="inlineStr">
        <is>
          <t>Difference</t>
        </is>
      </c>
      <c r="K2" s="11" t="inlineStr">
        <is>
          <t>Variance %</t>
        </is>
      </c>
      <c r="M2" s="2" t="inlineStr">
        <is>
          <t>Eur Kapanış</t>
        </is>
      </c>
      <c r="N2" s="465">
        <f>'C-TRY'!AI3</f>
        <v/>
      </c>
      <c r="O2" s="465">
        <f>'Tahmin-eur'!N2</f>
        <v/>
      </c>
    </row>
    <row r="3">
      <c r="A3" s="2" t="inlineStr">
        <is>
          <t>Net Sales</t>
        </is>
      </c>
      <c r="B3" s="7">
        <f>'C-TRY'!AI6</f>
        <v/>
      </c>
      <c r="C3" s="53">
        <f>('Tahmin Data'!T3*0.4+SUM('Tahmin Data'!T4:T6)+SUM('Tahmin Data'!T7:T10)*0.4)</f>
        <v/>
      </c>
      <c r="D3" s="53">
        <f>C3-B3</f>
        <v/>
      </c>
      <c r="E3" s="476">
        <f>C3/B3-1</f>
        <v/>
      </c>
      <c r="G3" s="2" t="inlineStr">
        <is>
          <t>Net Sales</t>
        </is>
      </c>
      <c r="H3" s="7">
        <f>'C-Döviz'!AI6</f>
        <v/>
      </c>
      <c r="I3" s="53">
        <f>('Tahmin Data'!S3*0.4+SUM('Tahmin Data'!S4:S6)+SUM('Tahmin Data'!S7:S10)*0.4)</f>
        <v/>
      </c>
      <c r="J3" s="53">
        <f>I3-H3</f>
        <v/>
      </c>
      <c r="K3" s="142">
        <f>I3/H3-1</f>
        <v/>
      </c>
      <c r="M3" s="2" t="inlineStr">
        <is>
          <t>Eur Ortaoama</t>
        </is>
      </c>
      <c r="N3" s="465">
        <f>'C-TRY'!AI4</f>
        <v/>
      </c>
      <c r="O3" s="465">
        <f>AVERAGE('Tahmin-eur'!B3:N3)</f>
        <v/>
      </c>
    </row>
    <row r="4">
      <c r="A4" s="2" t="inlineStr">
        <is>
          <t>COGS</t>
        </is>
      </c>
      <c r="B4" s="7">
        <f>'C-TRY'!AI31</f>
        <v/>
      </c>
      <c r="C4" s="53">
        <f>-('Tahmin Data'!T11*0.4+SUM('Tahmin Data'!T12:T14)+SUM('Tahmin Data'!T15:T18)*0.4)</f>
        <v/>
      </c>
      <c r="D4" s="53">
        <f>C4-B4</f>
        <v/>
      </c>
      <c r="E4" s="512">
        <f>C4/B4-1</f>
        <v/>
      </c>
      <c r="G4" s="2" t="inlineStr">
        <is>
          <t>COGS</t>
        </is>
      </c>
      <c r="H4" s="7">
        <f>'C-Döviz'!AI31</f>
        <v/>
      </c>
      <c r="I4" s="53">
        <f>-('Tahmin Data'!S11*0.4+SUM('Tahmin Data'!S12:S14)+SUM('Tahmin Data'!S15:S18)*0.4)</f>
        <v/>
      </c>
      <c r="J4" s="53">
        <f>I4-H4</f>
        <v/>
      </c>
      <c r="K4" s="142">
        <f>I4/H4-1</f>
        <v/>
      </c>
      <c r="M4" s="13" t="n"/>
      <c r="N4" s="13" t="n"/>
      <c r="O4" s="13" t="n"/>
    </row>
    <row r="5" customFormat="1" s="1">
      <c r="A5" s="3" t="inlineStr">
        <is>
          <t>Gross Profit</t>
        </is>
      </c>
      <c r="B5" s="8">
        <f>'C-TRY'!AI32</f>
        <v/>
      </c>
      <c r="C5" s="54">
        <f>('Tahmin Data'!T19*0.4+SUM('Tahmin Data'!T20:T22)+SUM('Tahmin Data'!T23:T26)*0.4)</f>
        <v/>
      </c>
      <c r="D5" s="54">
        <f>C5-B5</f>
        <v/>
      </c>
      <c r="E5" s="513">
        <f>C5/B5-1</f>
        <v/>
      </c>
      <c r="G5" s="3" t="inlineStr">
        <is>
          <t>Gross Profit</t>
        </is>
      </c>
      <c r="H5" s="8">
        <f>'C-Döviz'!AI32</f>
        <v/>
      </c>
      <c r="I5" s="54">
        <f>('Tahmin Data'!S19*0.4+SUM('Tahmin Data'!S20:S22)+SUM('Tahmin Data'!S23:S26)*0.4)</f>
        <v/>
      </c>
      <c r="J5" s="54">
        <f>I5-H5</f>
        <v/>
      </c>
      <c r="K5" s="143">
        <f>I5/H5-1</f>
        <v/>
      </c>
    </row>
    <row r="6" customFormat="1" s="13">
      <c r="A6" s="20" t="inlineStr">
        <is>
          <t>Gross Profit Margin</t>
        </is>
      </c>
      <c r="B6" s="12">
        <f>B5/B3</f>
        <v/>
      </c>
      <c r="C6" s="12">
        <f>C5/C3</f>
        <v/>
      </c>
      <c r="D6" s="12">
        <f>C6-B6</f>
        <v/>
      </c>
      <c r="E6" s="20" t="n"/>
      <c r="G6" s="20" t="inlineStr">
        <is>
          <t>Gross Profit Margin</t>
        </is>
      </c>
      <c r="H6" s="58">
        <f>H5/H3</f>
        <v/>
      </c>
      <c r="I6" s="58">
        <f>I5/I3</f>
        <v/>
      </c>
      <c r="J6" s="12">
        <f>I6-H6</f>
        <v/>
      </c>
      <c r="K6" s="58" t="n"/>
      <c r="M6" s="94">
        <f>H3*K3</f>
        <v/>
      </c>
    </row>
    <row r="7">
      <c r="A7" s="2" t="n"/>
      <c r="B7" s="53" t="n"/>
      <c r="C7" s="53" t="n"/>
      <c r="D7" s="122" t="n"/>
      <c r="E7" s="2" t="n"/>
      <c r="G7" s="2" t="n"/>
      <c r="H7" s="2" t="n"/>
      <c r="I7" s="53" t="n"/>
      <c r="J7" s="2" t="n"/>
      <c r="K7" s="142" t="n"/>
      <c r="M7" s="1" t="n"/>
      <c r="N7" s="1" t="n"/>
      <c r="O7" s="1" t="n"/>
    </row>
    <row r="8">
      <c r="A8" s="2" t="inlineStr">
        <is>
          <t>Operating Expenses</t>
        </is>
      </c>
      <c r="B8" s="7">
        <f>'C-TRY'!AI88</f>
        <v/>
      </c>
      <c r="C8" s="53">
        <f>('Tahmin Data'!T27*0.4+SUM('Tahmin Data'!T28:T30)+SUM('Tahmin Data'!T31:T34)*0.4)</f>
        <v/>
      </c>
      <c r="D8" s="53">
        <f>C8-B8</f>
        <v/>
      </c>
      <c r="E8" s="5">
        <f>C8/B8-1</f>
        <v/>
      </c>
      <c r="G8" s="2" t="inlineStr">
        <is>
          <t>Operating Expenses</t>
        </is>
      </c>
      <c r="H8" s="7">
        <f>'C-Döviz'!AI88</f>
        <v/>
      </c>
      <c r="I8" s="53">
        <f>('Tahmin Data'!S27*0.4+SUM('Tahmin Data'!S28:S30)+SUM('Tahmin Data'!S31:S34)*0.4)</f>
        <v/>
      </c>
      <c r="J8" s="53">
        <f>I8-H8</f>
        <v/>
      </c>
      <c r="K8" s="142">
        <f>I8/H8-1</f>
        <v/>
      </c>
      <c r="M8" s="92">
        <f>-I8/I3</f>
        <v/>
      </c>
      <c r="N8" s="13" t="n"/>
      <c r="O8" s="13" t="n"/>
    </row>
    <row r="9" customFormat="1" s="1">
      <c r="A9" s="3" t="inlineStr">
        <is>
          <t>EBIT</t>
        </is>
      </c>
      <c r="B9" s="8">
        <f>'C-TRY'!AI112</f>
        <v/>
      </c>
      <c r="C9" s="54">
        <f>('Tahmin Data'!T43*0.4+SUM('Tahmin Data'!T44:T46)+SUM('Tahmin Data'!T47:T50)*0.4)</f>
        <v/>
      </c>
      <c r="D9" s="54">
        <f>C9-B9</f>
        <v/>
      </c>
      <c r="E9" s="55">
        <f>C9/B9-1</f>
        <v/>
      </c>
      <c r="G9" s="3" t="inlineStr">
        <is>
          <t>EBIT</t>
        </is>
      </c>
      <c r="H9" s="8">
        <f>'C-Döviz'!AI112</f>
        <v/>
      </c>
      <c r="I9" s="54">
        <f>('Tahmin Data'!S43*0.4+SUM('Tahmin Data'!S44:S46)+SUM('Tahmin Data'!S47:S50)*0.4)</f>
        <v/>
      </c>
      <c r="J9" s="54">
        <f>I9-H9</f>
        <v/>
      </c>
      <c r="K9" s="143">
        <f>I9/H9-1</f>
        <v/>
      </c>
      <c r="M9" s="52">
        <f>I5-I8</f>
        <v/>
      </c>
    </row>
    <row r="10" customFormat="1" s="13">
      <c r="A10" s="20" t="inlineStr">
        <is>
          <t>EBIT Margin</t>
        </is>
      </c>
      <c r="B10" s="58">
        <f>B9/B3</f>
        <v/>
      </c>
      <c r="C10" s="58">
        <f>C9/C3</f>
        <v/>
      </c>
      <c r="D10" s="12">
        <f>C10-B10</f>
        <v/>
      </c>
      <c r="E10" s="20" t="n"/>
      <c r="G10" s="20" t="inlineStr">
        <is>
          <t>EBIT Margin</t>
        </is>
      </c>
      <c r="H10" s="58">
        <f>H9/H3</f>
        <v/>
      </c>
      <c r="I10" s="58">
        <f>I9/I3</f>
        <v/>
      </c>
      <c r="J10" s="468">
        <f>I10-H10</f>
        <v/>
      </c>
      <c r="K10" s="58" t="n"/>
      <c r="M10" s="52" t="n"/>
    </row>
    <row r="11">
      <c r="A11" s="2" t="n"/>
      <c r="B11" s="2" t="n"/>
      <c r="C11" s="53" t="n"/>
      <c r="D11" s="2" t="n"/>
      <c r="E11" s="2" t="n"/>
      <c r="G11" s="2" t="n"/>
      <c r="H11" s="2" t="n"/>
      <c r="I11" s="2" t="n"/>
      <c r="J11" s="2" t="n"/>
      <c r="K11" s="142" t="n"/>
      <c r="M11" s="1" t="n"/>
      <c r="N11" s="1" t="n"/>
      <c r="O11" s="1" t="n"/>
    </row>
    <row r="12">
      <c r="A12" s="2" t="inlineStr">
        <is>
          <t>Depreciation</t>
        </is>
      </c>
      <c r="B12" s="7">
        <f>B13-B9</f>
        <v/>
      </c>
      <c r="C12" s="7">
        <f>('Tahmin Data'!T51*0.4+SUM('Tahmin Data'!T52:T54)+SUM('Tahmin Data'!T55:T58)*0.4)</f>
        <v/>
      </c>
      <c r="D12" s="53">
        <f>C12-B12</f>
        <v/>
      </c>
      <c r="E12" s="5">
        <f>C12/B12-1</f>
        <v/>
      </c>
      <c r="G12" s="2" t="inlineStr">
        <is>
          <t>Depreciation</t>
        </is>
      </c>
      <c r="H12" s="7">
        <f>H13-H9</f>
        <v/>
      </c>
      <c r="I12" s="7">
        <f>('Tahmin Data'!S51*0.4+SUM('Tahmin Data'!S52:S54)+SUM('Tahmin Data'!S55:S58)*0.4)</f>
        <v/>
      </c>
      <c r="J12" s="53">
        <f>I12-H12</f>
        <v/>
      </c>
      <c r="K12" s="142">
        <f>I12/H12-1</f>
        <v/>
      </c>
      <c r="M12" s="13" t="n"/>
      <c r="N12" s="13" t="n"/>
      <c r="O12" s="13" t="n"/>
    </row>
    <row r="13" customFormat="1" s="1">
      <c r="A13" s="3" t="inlineStr">
        <is>
          <t>EBITDA</t>
        </is>
      </c>
      <c r="B13" s="8">
        <f>'C-TRY'!AI136</f>
        <v/>
      </c>
      <c r="C13" s="54">
        <f>('Tahmin Data'!T59*0.4+SUM('Tahmin Data'!T60:T62)+SUM('Tahmin Data'!T63:T66)*0.4)</f>
        <v/>
      </c>
      <c r="D13" s="54">
        <f>C13-B13</f>
        <v/>
      </c>
      <c r="E13" s="55">
        <f>C13/B13-1</f>
        <v/>
      </c>
      <c r="G13" s="3" t="inlineStr">
        <is>
          <t>EBITDA</t>
        </is>
      </c>
      <c r="H13" s="8">
        <f>'C-Döviz'!AI136</f>
        <v/>
      </c>
      <c r="I13" s="54">
        <f>('Tahmin Data'!S59*0.4+SUM('Tahmin Data'!S60:S62)+SUM('Tahmin Data'!S63:S66)*0.4)</f>
        <v/>
      </c>
      <c r="J13" s="54">
        <f>I13-H13</f>
        <v/>
      </c>
      <c r="K13" s="143">
        <f>I13/H13-1</f>
        <v/>
      </c>
    </row>
    <row r="14" customFormat="1" s="13">
      <c r="A14" s="20" t="inlineStr">
        <is>
          <t>EBITDA Margin</t>
        </is>
      </c>
      <c r="B14" s="12">
        <f>B13/B3</f>
        <v/>
      </c>
      <c r="C14" s="58">
        <f>C13/C3</f>
        <v/>
      </c>
      <c r="D14" s="12">
        <f>C14-B14</f>
        <v/>
      </c>
      <c r="E14" s="20" t="n"/>
      <c r="G14" s="20" t="inlineStr">
        <is>
          <t>EBITDA Margin</t>
        </is>
      </c>
      <c r="H14" s="58">
        <f>H13/H3</f>
        <v/>
      </c>
      <c r="I14" s="58">
        <f>I13/I3</f>
        <v/>
      </c>
      <c r="J14" s="12">
        <f>I14-H14</f>
        <v/>
      </c>
      <c r="K14" s="58" t="n"/>
    </row>
    <row r="15">
      <c r="A15" s="2" t="n"/>
      <c r="B15" s="2" t="n"/>
      <c r="C15" s="2" t="n"/>
      <c r="D15" s="2" t="n"/>
      <c r="E15" s="2" t="n"/>
      <c r="G15" s="2" t="n"/>
      <c r="H15" s="2" t="n"/>
      <c r="I15" s="2" t="n"/>
      <c r="J15" s="2" t="n"/>
      <c r="K15" s="142" t="n"/>
    </row>
    <row r="16">
      <c r="A16" s="2" t="inlineStr">
        <is>
          <t>Financial Income&amp;Expense</t>
        </is>
      </c>
      <c r="B16" s="7">
        <f>'C-TRY'!AI160</f>
        <v/>
      </c>
      <c r="C16" s="53">
        <f>('Tahmin Data'!T67*0.4+SUM('Tahmin Data'!T68:T70)+SUM('Tahmin Data'!T71:T74)*0.4)</f>
        <v/>
      </c>
      <c r="D16" s="53">
        <f>C16-B16</f>
        <v/>
      </c>
      <c r="E16" s="5">
        <f>C16/B16-1</f>
        <v/>
      </c>
      <c r="G16" s="2" t="inlineStr">
        <is>
          <t>Financial Income&amp;Expense</t>
        </is>
      </c>
      <c r="H16" s="7">
        <f>'C-Döviz'!AI160</f>
        <v/>
      </c>
      <c r="I16" s="53">
        <f>('Tahmin Data'!S67*0.4+SUM('Tahmin Data'!S68:S70)+SUM('Tahmin Data'!S71:S74)*0.4)</f>
        <v/>
      </c>
      <c r="J16" s="53">
        <f>I16-H16</f>
        <v/>
      </c>
      <c r="K16" s="142">
        <f>I16/H16-1</f>
        <v/>
      </c>
      <c r="M16" s="94" t="n"/>
      <c r="N16" s="247">
        <f>C16/1000000</f>
        <v/>
      </c>
    </row>
    <row r="17">
      <c r="A17" s="2" t="inlineStr">
        <is>
          <t>Other Income &amp;Expense</t>
        </is>
      </c>
      <c r="B17" s="7">
        <f>'C-TRY'!AI173</f>
        <v/>
      </c>
      <c r="C17" s="53">
        <f>('Tahmin Data'!T75*0.4+SUM('Tahmin Data'!T76:T78)+SUM('Tahmin Data'!T79:T82)*0.4)</f>
        <v/>
      </c>
      <c r="D17" s="53">
        <f>C17-B17</f>
        <v/>
      </c>
      <c r="E17" s="5">
        <f>C17/B17-1</f>
        <v/>
      </c>
      <c r="G17" s="2" t="inlineStr">
        <is>
          <t>Other Income &amp;Expense</t>
        </is>
      </c>
      <c r="H17" s="7">
        <f>'C-Döviz'!AI173</f>
        <v/>
      </c>
      <c r="I17" s="53">
        <f>('Tahmin Data'!S75*0.4+SUM('Tahmin Data'!S76:S78)+SUM('Tahmin Data'!S79:S82)*0.4)</f>
        <v/>
      </c>
      <c r="J17" s="53">
        <f>I17-H17</f>
        <v/>
      </c>
      <c r="K17" s="142">
        <f>I17/H17-1</f>
        <v/>
      </c>
      <c r="M17" s="52" t="n"/>
      <c r="N17" s="1" t="n"/>
      <c r="O17" s="1" t="n"/>
    </row>
    <row r="18">
      <c r="A18" s="2" t="n"/>
      <c r="B18" s="2" t="n"/>
      <c r="C18" s="122">
        <f>C16/C3</f>
        <v/>
      </c>
      <c r="D18" s="2" t="n"/>
      <c r="E18" s="2" t="n"/>
      <c r="G18" s="2" t="n"/>
      <c r="H18" s="2" t="n"/>
      <c r="I18" s="2" t="n"/>
      <c r="J18" s="2" t="n"/>
      <c r="K18" s="142" t="n"/>
    </row>
    <row r="19" customFormat="1" s="1">
      <c r="A19" s="3" t="inlineStr">
        <is>
          <t>Profit Before Tax</t>
        </is>
      </c>
      <c r="B19" s="8">
        <f>'C-TRY'!AI186</f>
        <v/>
      </c>
      <c r="C19" s="54">
        <f>('Tahmin Data'!T83*0.4+SUM('Tahmin Data'!T84:T86)+SUM('Tahmin Data'!T87:T90)*0.4)</f>
        <v/>
      </c>
      <c r="D19" s="54">
        <f>C19-B19</f>
        <v/>
      </c>
      <c r="E19" s="55">
        <f>C19/B19-1</f>
        <v/>
      </c>
      <c r="G19" s="3" t="inlineStr">
        <is>
          <t>Profit Before Tax</t>
        </is>
      </c>
      <c r="H19" s="8">
        <f>H9+H16+H17</f>
        <v/>
      </c>
      <c r="I19" s="54">
        <f>('Tahmin Data'!S83*0.4+SUM('Tahmin Data'!S84:S86)+SUM('Tahmin Data'!S87:S90)*0.4)</f>
        <v/>
      </c>
      <c r="J19" s="54">
        <f>I19-H19</f>
        <v/>
      </c>
      <c r="K19" s="143">
        <f>I19/H19-1</f>
        <v/>
      </c>
    </row>
    <row r="20">
      <c r="A20" s="2" t="inlineStr">
        <is>
          <t>Profit Before Tax/Net Sales</t>
        </is>
      </c>
      <c r="B20" s="12">
        <f>B19/B3</f>
        <v/>
      </c>
      <c r="C20" s="12">
        <f>C19/C3</f>
        <v/>
      </c>
      <c r="D20" s="12">
        <f>C20-B20</f>
        <v/>
      </c>
      <c r="E20" s="2" t="n"/>
      <c r="G20" s="2" t="inlineStr">
        <is>
          <t>Profit Before Tax/Net Sales</t>
        </is>
      </c>
      <c r="H20" s="12">
        <f>H19/H3</f>
        <v/>
      </c>
      <c r="I20" s="12">
        <f>I19/I3</f>
        <v/>
      </c>
      <c r="J20" s="12">
        <f>I20-H20</f>
        <v/>
      </c>
      <c r="K20" s="142" t="n"/>
    </row>
    <row r="21">
      <c r="A21" s="2" t="n"/>
      <c r="B21" s="2" t="n"/>
      <c r="C21" s="2" t="n"/>
      <c r="D21" s="2" t="n"/>
      <c r="E21" s="2" t="n"/>
      <c r="G21" s="2" t="n"/>
      <c r="H21" s="2" t="n"/>
      <c r="I21" s="2" t="n"/>
      <c r="J21" s="2" t="n"/>
      <c r="K21" s="142" t="n"/>
      <c r="M21" s="1" t="n"/>
      <c r="N21" s="1" t="n"/>
      <c r="O21" s="1" t="n"/>
    </row>
    <row r="22">
      <c r="A22" s="2" t="inlineStr">
        <is>
          <t>Tax</t>
        </is>
      </c>
      <c r="B22" s="7">
        <f>'C-TRY'!AI199</f>
        <v/>
      </c>
      <c r="C22" s="53">
        <f>-('Tahmin Data'!T91*0.4+SUM('Tahmin Data'!T92:T94)+SUM('Tahmin Data'!T95:T98)*0.4)</f>
        <v/>
      </c>
      <c r="D22" s="53">
        <f>C22-B22</f>
        <v/>
      </c>
      <c r="E22" s="5">
        <f>IFERROR((C22/B22-1),"")</f>
        <v/>
      </c>
      <c r="G22" s="2" t="inlineStr">
        <is>
          <t>Tax</t>
        </is>
      </c>
      <c r="H22" s="7">
        <f>SUM('C-Döviz'!AI202:AI209)</f>
        <v/>
      </c>
      <c r="I22" s="53">
        <f>-('Tahmin Data'!S91*0.4+SUM('Tahmin Data'!S92:S94)+SUM('Tahmin Data'!S95:S98)*0.4)</f>
        <v/>
      </c>
      <c r="J22" s="53">
        <f>I22-H22</f>
        <v/>
      </c>
      <c r="K22" s="142">
        <f>IFERROR((I22/H22-1),"")</f>
        <v/>
      </c>
      <c r="M22" s="13" t="n"/>
      <c r="N22" s="13" t="n"/>
      <c r="O22" s="13" t="n"/>
    </row>
    <row r="23" customFormat="1" s="1">
      <c r="A23" s="3" t="inlineStr">
        <is>
          <t>Net Income</t>
        </is>
      </c>
      <c r="B23" s="8">
        <f>'C-TRY'!AI212</f>
        <v/>
      </c>
      <c r="C23" s="54">
        <f>('Tahmin Data'!T99*0.4+SUM('Tahmin Data'!T100:T102)+SUM('Tahmin Data'!T103:T106)*0.4)</f>
        <v/>
      </c>
      <c r="D23" s="54">
        <f>C23-B23</f>
        <v/>
      </c>
      <c r="E23" s="55">
        <f>C23/B23-1</f>
        <v/>
      </c>
      <c r="G23" s="3" t="inlineStr">
        <is>
          <t>Net Income</t>
        </is>
      </c>
      <c r="H23" s="8">
        <f>H19+H22</f>
        <v/>
      </c>
      <c r="I23" s="54">
        <f>('Tahmin Data'!S99*0.4+SUM('Tahmin Data'!S100:S102)+SUM('Tahmin Data'!S103:S106)*0.4)</f>
        <v/>
      </c>
      <c r="J23" s="54">
        <f>I23-H23</f>
        <v/>
      </c>
      <c r="K23" s="143">
        <f>I23/H23-1</f>
        <v/>
      </c>
    </row>
    <row r="24" customFormat="1" s="13">
      <c r="A24" s="20" t="inlineStr">
        <is>
          <t>Net Income/Net Sales</t>
        </is>
      </c>
      <c r="B24" s="12">
        <f>B23/B3</f>
        <v/>
      </c>
      <c r="C24" s="12">
        <f>C23/C3</f>
        <v/>
      </c>
      <c r="D24" s="12">
        <f>C24-B24</f>
        <v/>
      </c>
      <c r="E24" s="20" t="n"/>
      <c r="G24" s="20" t="inlineStr">
        <is>
          <t>Net Income/Net Sales</t>
        </is>
      </c>
      <c r="H24" s="12">
        <f>H23/H3</f>
        <v/>
      </c>
      <c r="I24" s="58">
        <f>I23/I3</f>
        <v/>
      </c>
      <c r="J24" s="12">
        <f>I24-H24</f>
        <v/>
      </c>
      <c r="K24" s="58" t="n"/>
    </row>
    <row r="26">
      <c r="B26" s="52" t="n"/>
      <c r="C26" s="52" t="n"/>
      <c r="H26" s="52" t="n"/>
      <c r="I26" s="52" t="n"/>
    </row>
    <row r="27">
      <c r="B27" s="94" t="n"/>
      <c r="C27" s="52" t="n"/>
      <c r="I27" s="52" t="n"/>
    </row>
    <row r="28" ht="20" customHeight="1">
      <c r="B28" s="287" t="n"/>
      <c r="C28" s="287" t="n"/>
      <c r="D28" s="287" t="n"/>
      <c r="E28" s="286" t="n"/>
      <c r="H28" s="284" t="n"/>
      <c r="I28" s="285" t="n"/>
      <c r="J28" s="284" t="n"/>
    </row>
    <row r="29" ht="20" customHeight="1">
      <c r="B29" s="286" t="n"/>
      <c r="C29" s="286" t="n"/>
      <c r="D29" s="286" t="n"/>
      <c r="E29" s="286" t="n"/>
      <c r="H29" s="284" t="n"/>
      <c r="I29" s="285" t="n"/>
      <c r="J29" s="284" t="n"/>
      <c r="M29" s="286" t="n"/>
    </row>
    <row r="30" ht="22.5" customHeight="1">
      <c r="M30" s="288" t="n"/>
    </row>
    <row r="31" ht="20" customHeight="1">
      <c r="H31" s="286" t="n"/>
      <c r="I31" s="286" t="n"/>
      <c r="J31" s="286" t="n"/>
      <c r="M31" s="286" t="n"/>
    </row>
    <row r="35" ht="20" customHeight="1">
      <c r="H35" s="285" t="n"/>
      <c r="I35" s="285" t="n"/>
      <c r="J35" s="285" t="n"/>
      <c r="M35" s="286" t="n"/>
    </row>
    <row r="36" ht="20" customHeight="1">
      <c r="H36" s="286" t="n"/>
      <c r="I36" s="286" t="n"/>
      <c r="J36" s="286" t="n"/>
      <c r="M36" s="286" t="n"/>
    </row>
  </sheetData>
  <mergeCells count="2">
    <mergeCell ref="H1:K1"/>
    <mergeCell ref="B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zoomScale="85" zoomScaleNormal="85" workbookViewId="0">
      <selection activeCell="A1" sqref="A1:E6"/>
    </sheetView>
  </sheetViews>
  <sheetFormatPr baseColWidth="8" defaultRowHeight="14.5"/>
  <cols>
    <col width="26.453125" customWidth="1" min="1" max="1"/>
    <col width="15.1796875" bestFit="1" customWidth="1" min="2" max="3"/>
    <col width="14.54296875" bestFit="1" customWidth="1" min="4" max="4"/>
    <col width="10.81640625" customWidth="1" min="5" max="5"/>
    <col width="3.81640625" customWidth="1" min="6" max="6"/>
    <col width="26.1796875" customWidth="1" min="7" max="7"/>
    <col width="13" bestFit="1" customWidth="1" min="8" max="8"/>
    <col width="14.453125" bestFit="1" customWidth="1" min="9" max="9"/>
    <col width="12.81640625" customWidth="1" min="10" max="10"/>
    <col width="10.81640625" customWidth="1" min="11" max="11"/>
    <col width="3.1796875" customWidth="1" min="12" max="12"/>
    <col width="13.54296875" bestFit="1" customWidth="1" min="13" max="13"/>
    <col width="18.81640625" bestFit="1" customWidth="1" min="14" max="14"/>
    <col width="9.1796875" bestFit="1" customWidth="1" min="15" max="15"/>
  </cols>
  <sheetData>
    <row r="1">
      <c r="A1" s="2" t="n"/>
      <c r="B1" s="510" t="n">
        <v>45838</v>
      </c>
      <c r="C1" s="511" t="n"/>
      <c r="D1" s="511" t="n"/>
      <c r="E1" s="464" t="n"/>
      <c r="G1" s="2" t="n"/>
      <c r="H1" s="510" t="n">
        <v>46022</v>
      </c>
      <c r="I1" s="511" t="n"/>
      <c r="J1" s="511" t="n"/>
      <c r="K1" s="464" t="n"/>
      <c r="M1" s="3" t="n"/>
      <c r="N1" s="11" t="inlineStr">
        <is>
          <t>Budget</t>
        </is>
      </c>
      <c r="O1" s="11" t="inlineStr">
        <is>
          <t>Forecast</t>
        </is>
      </c>
    </row>
    <row r="2">
      <c r="A2" s="11" t="inlineStr">
        <is>
          <t>TL</t>
        </is>
      </c>
      <c r="B2" s="11" t="inlineStr">
        <is>
          <t>Budget</t>
        </is>
      </c>
      <c r="C2" s="11" t="inlineStr">
        <is>
          <t>Forecast</t>
        </is>
      </c>
      <c r="D2" s="11" t="inlineStr">
        <is>
          <t>Difference</t>
        </is>
      </c>
      <c r="E2" s="11" t="inlineStr">
        <is>
          <t>Variance %</t>
        </is>
      </c>
      <c r="G2" s="11" t="inlineStr">
        <is>
          <t>EUR</t>
        </is>
      </c>
      <c r="H2" s="11" t="inlineStr">
        <is>
          <t>Budget</t>
        </is>
      </c>
      <c r="I2" s="11" t="inlineStr">
        <is>
          <t>Forecast</t>
        </is>
      </c>
      <c r="J2" s="11" t="inlineStr">
        <is>
          <t>Difference</t>
        </is>
      </c>
      <c r="K2" s="11" t="inlineStr">
        <is>
          <t>Variance %</t>
        </is>
      </c>
      <c r="M2" s="2" t="inlineStr">
        <is>
          <t>Eur Kapanış</t>
        </is>
      </c>
      <c r="N2" s="465">
        <f>'C-TRY'!AI3</f>
        <v/>
      </c>
      <c r="O2" s="465">
        <f>'Tahmin-eur'!N2</f>
        <v/>
      </c>
    </row>
    <row r="3">
      <c r="A3" s="2" t="inlineStr">
        <is>
          <t>Net Sales</t>
        </is>
      </c>
      <c r="B3" s="7">
        <f>SUM('C-Döviz'!Q9:Q16)</f>
        <v/>
      </c>
      <c r="C3" s="7">
        <f>SUM('C-Döviz'!R9:R16)</f>
        <v/>
      </c>
      <c r="D3" s="53">
        <f>C3-B3</f>
        <v/>
      </c>
      <c r="E3" s="476">
        <f>C3/B3-1</f>
        <v/>
      </c>
      <c r="G3" s="2" t="inlineStr">
        <is>
          <t>Net Sales</t>
        </is>
      </c>
      <c r="H3" s="7">
        <f>SUM('C-Döviz'!AI9:AI16)</f>
        <v/>
      </c>
      <c r="I3" s="53">
        <f>('Tahmin Data'!M3+SUM('Tahmin Data'!M4:M6)+SUM('Tahmin Data'!M7:M10))</f>
        <v/>
      </c>
      <c r="J3" s="53">
        <f>I3-H3</f>
        <v/>
      </c>
      <c r="K3" s="142">
        <f>I3/H3-1</f>
        <v/>
      </c>
      <c r="M3" s="2" t="inlineStr">
        <is>
          <t>Eur Ortaoama</t>
        </is>
      </c>
      <c r="N3" s="465">
        <f>'C-TRY'!AI4</f>
        <v/>
      </c>
      <c r="O3" s="465">
        <f>AVERAGE('Tahmin-eur'!B3:N3)</f>
        <v/>
      </c>
    </row>
    <row r="4">
      <c r="A4" s="2" t="inlineStr">
        <is>
          <t>COGS</t>
        </is>
      </c>
      <c r="B4" s="7" t="n">
        <v>-333989923.199561</v>
      </c>
      <c r="C4" s="7" t="n">
        <v>-320758738.190813</v>
      </c>
      <c r="D4" s="53">
        <f>C4-B4</f>
        <v/>
      </c>
      <c r="E4" s="512">
        <f>C4/B4-1</f>
        <v/>
      </c>
      <c r="G4" s="2" t="inlineStr">
        <is>
          <t>COGS</t>
        </is>
      </c>
      <c r="H4" s="7" t="n">
        <v>-676211260.097418</v>
      </c>
      <c r="I4" s="53">
        <f>-('Tahmin Data'!M11+SUM('Tahmin Data'!M12:M14)+SUM('Tahmin Data'!M15:M18))</f>
        <v/>
      </c>
      <c r="J4" s="53">
        <f>I4-H4</f>
        <v/>
      </c>
      <c r="K4" s="142">
        <f>I4/H4-1</f>
        <v/>
      </c>
      <c r="M4" s="13" t="n"/>
      <c r="N4" s="13" t="n"/>
      <c r="O4" s="13" t="n"/>
    </row>
    <row r="5" customFormat="1" s="1">
      <c r="A5" s="3" t="inlineStr">
        <is>
          <t>Gross Profit</t>
        </is>
      </c>
      <c r="B5" s="8">
        <f>B3+B4</f>
        <v/>
      </c>
      <c r="C5" s="8">
        <f>C3+C4</f>
        <v/>
      </c>
      <c r="D5" s="54">
        <f>C5-B5</f>
        <v/>
      </c>
      <c r="E5" s="513">
        <f>C5/B5-1</f>
        <v/>
      </c>
      <c r="G5" s="3" t="inlineStr">
        <is>
          <t>Gross Profit</t>
        </is>
      </c>
      <c r="H5" s="8">
        <f>H3+H4</f>
        <v/>
      </c>
      <c r="I5" s="8">
        <f>I3+I4</f>
        <v/>
      </c>
      <c r="J5" s="54">
        <f>I5-H5</f>
        <v/>
      </c>
      <c r="K5" s="143">
        <f>I5/H5-1</f>
        <v/>
      </c>
    </row>
    <row r="6" customFormat="1" s="13">
      <c r="A6" s="20" t="inlineStr">
        <is>
          <t>Gross Profit Margin</t>
        </is>
      </c>
      <c r="B6" s="58">
        <f>B5/B3</f>
        <v/>
      </c>
      <c r="C6" s="58">
        <f>C5/C3</f>
        <v/>
      </c>
      <c r="D6" s="58">
        <f>C6-B6</f>
        <v/>
      </c>
      <c r="E6" s="58" t="n"/>
      <c r="F6" s="295" t="n"/>
      <c r="G6" s="58" t="inlineStr">
        <is>
          <t>Gross Profit Margin</t>
        </is>
      </c>
      <c r="H6" s="12">
        <f>H5/H3</f>
        <v/>
      </c>
      <c r="I6" s="12">
        <f>I5/I3</f>
        <v/>
      </c>
      <c r="J6" s="58">
        <f>I6-H6</f>
        <v/>
      </c>
      <c r="K6" s="58" t="n"/>
      <c r="M6" s="94">
        <f>H3*K3</f>
        <v/>
      </c>
    </row>
    <row r="7">
      <c r="A7" s="2" t="n"/>
      <c r="B7" s="53" t="n"/>
      <c r="C7" s="53" t="n"/>
      <c r="D7" s="122" t="n"/>
      <c r="E7" s="2" t="n"/>
      <c r="G7" s="2" t="n"/>
      <c r="H7" s="2" t="n"/>
      <c r="I7" s="53" t="n"/>
      <c r="J7" s="2" t="n"/>
      <c r="K7" s="142" t="n"/>
      <c r="M7" s="1" t="n"/>
      <c r="N7" s="1" t="n"/>
      <c r="O7" s="1" t="n"/>
    </row>
    <row r="8">
      <c r="A8" s="2" t="inlineStr">
        <is>
          <t>Operating Expenses</t>
        </is>
      </c>
      <c r="B8" s="7">
        <f>SUM('C-Döviz'!Q91:Q98)</f>
        <v/>
      </c>
      <c r="C8" s="7">
        <f>SUM('C-Döviz'!R91:R98)</f>
        <v/>
      </c>
      <c r="D8" s="53">
        <f>C8-B8</f>
        <v/>
      </c>
      <c r="E8" s="5">
        <f>C8/B8-1</f>
        <v/>
      </c>
      <c r="G8" s="2" t="inlineStr">
        <is>
          <t>Operating Expenses</t>
        </is>
      </c>
      <c r="H8" s="7">
        <f>SUM('C-Döviz'!AI91:AI98)</f>
        <v/>
      </c>
      <c r="I8" s="53">
        <f>('Tahmin Data'!M27+SUM('Tahmin Data'!M28:M30)+SUM('Tahmin Data'!M31:M34))</f>
        <v/>
      </c>
      <c r="J8" s="53">
        <f>I8-H8</f>
        <v/>
      </c>
      <c r="K8" s="142">
        <f>I8/H8-1</f>
        <v/>
      </c>
      <c r="M8" s="92">
        <f>-I8/I3</f>
        <v/>
      </c>
      <c r="N8" s="13" t="n"/>
      <c r="O8" s="13" t="n"/>
    </row>
    <row r="9" customFormat="1" s="1">
      <c r="A9" s="3" t="inlineStr">
        <is>
          <t>EBIT</t>
        </is>
      </c>
      <c r="B9" s="8">
        <f>B5+B8</f>
        <v/>
      </c>
      <c r="C9" s="8">
        <f>C5+C8</f>
        <v/>
      </c>
      <c r="D9" s="54">
        <f>C9-B9</f>
        <v/>
      </c>
      <c r="E9" s="55">
        <f>C9/B9-1</f>
        <v/>
      </c>
      <c r="G9" s="3" t="inlineStr">
        <is>
          <t>EBIT</t>
        </is>
      </c>
      <c r="H9" s="8">
        <f>H5+H8</f>
        <v/>
      </c>
      <c r="I9" s="8">
        <f>I5+I8</f>
        <v/>
      </c>
      <c r="J9" s="54">
        <f>I9-H9</f>
        <v/>
      </c>
      <c r="K9" s="143">
        <f>I9/H9-1</f>
        <v/>
      </c>
      <c r="M9" s="52">
        <f>I5-I8</f>
        <v/>
      </c>
    </row>
    <row r="10" customFormat="1" s="13">
      <c r="A10" s="20" t="inlineStr">
        <is>
          <t>EBIT Margin</t>
        </is>
      </c>
      <c r="B10" s="58">
        <f>B9/B3</f>
        <v/>
      </c>
      <c r="C10" s="58">
        <f>C9/C3</f>
        <v/>
      </c>
      <c r="D10" s="12">
        <f>C10-B10</f>
        <v/>
      </c>
      <c r="E10" s="20" t="n"/>
      <c r="G10" s="20" t="inlineStr">
        <is>
          <t>EBIT Margin</t>
        </is>
      </c>
      <c r="H10" s="12">
        <f>H9/H3</f>
        <v/>
      </c>
      <c r="I10" s="12">
        <f>I9/I3</f>
        <v/>
      </c>
      <c r="J10" s="468">
        <f>I10-H10</f>
        <v/>
      </c>
      <c r="K10" s="58" t="n"/>
      <c r="M10" s="52" t="n"/>
    </row>
    <row r="11">
      <c r="A11" s="2" t="n"/>
      <c r="B11" s="2" t="n"/>
      <c r="C11" s="53" t="n"/>
      <c r="D11" s="2" t="n"/>
      <c r="E11" s="2" t="n"/>
      <c r="G11" s="2" t="n"/>
      <c r="H11" s="2" t="n"/>
      <c r="I11" s="2" t="n"/>
      <c r="J11" s="2" t="n"/>
      <c r="K11" s="142" t="n"/>
      <c r="M11" s="1" t="n"/>
      <c r="N11" s="1" t="n"/>
      <c r="O11" s="1" t="n"/>
    </row>
    <row r="12">
      <c r="A12" s="2" t="inlineStr">
        <is>
          <t>Depreciation</t>
        </is>
      </c>
      <c r="B12" s="7">
        <f>B13-B9</f>
        <v/>
      </c>
      <c r="C12" s="7">
        <f>C13-C9</f>
        <v/>
      </c>
      <c r="D12" s="53">
        <f>C12-B12</f>
        <v/>
      </c>
      <c r="E12" s="5">
        <f>C12/B12-1</f>
        <v/>
      </c>
      <c r="G12" s="2" t="inlineStr">
        <is>
          <t>Depreciation</t>
        </is>
      </c>
      <c r="H12" s="7">
        <f>H13-H9</f>
        <v/>
      </c>
      <c r="I12" s="7">
        <f>('Tahmin Data'!M51+SUM('Tahmin Data'!M52:M54)+SUM('Tahmin Data'!M55:M58))</f>
        <v/>
      </c>
      <c r="J12" s="53">
        <f>I12-H12</f>
        <v/>
      </c>
      <c r="K12" s="142">
        <f>I12/H12-1</f>
        <v/>
      </c>
      <c r="M12" s="13" t="n"/>
      <c r="N12" s="13" t="n"/>
      <c r="O12" s="13" t="n"/>
    </row>
    <row r="13" customFormat="1" s="1">
      <c r="A13" s="3" t="inlineStr">
        <is>
          <t>EBITDA</t>
        </is>
      </c>
      <c r="B13" s="8">
        <f>SUM('C-Döviz'!Q139:Q146)</f>
        <v/>
      </c>
      <c r="C13" s="8">
        <f>SUM('C-Döviz'!R139:R146)</f>
        <v/>
      </c>
      <c r="D13" s="54">
        <f>C13-B13</f>
        <v/>
      </c>
      <c r="E13" s="55">
        <f>C13/B13-1</f>
        <v/>
      </c>
      <c r="G13" s="3" t="inlineStr">
        <is>
          <t>EBITDA</t>
        </is>
      </c>
      <c r="H13" s="8">
        <f>SUM('C-Döviz'!AI139:AI146)</f>
        <v/>
      </c>
      <c r="I13" s="54">
        <f>('Tahmin Data'!M59+SUM('Tahmin Data'!M60:M62)+SUM('Tahmin Data'!M63:M66))</f>
        <v/>
      </c>
      <c r="J13" s="54">
        <f>I13-H13</f>
        <v/>
      </c>
      <c r="K13" s="143">
        <f>I13/H13-1</f>
        <v/>
      </c>
    </row>
    <row r="14" customFormat="1" s="13">
      <c r="A14" s="20" t="inlineStr">
        <is>
          <t>EBITDA Margin</t>
        </is>
      </c>
      <c r="B14" s="12">
        <f>B13/B3</f>
        <v/>
      </c>
      <c r="C14" s="58">
        <f>C13/C3</f>
        <v/>
      </c>
      <c r="D14" s="12">
        <f>C14-B14</f>
        <v/>
      </c>
      <c r="E14" s="20" t="n"/>
      <c r="G14" s="20" t="inlineStr">
        <is>
          <t>EBITDA Margin</t>
        </is>
      </c>
      <c r="H14" s="12">
        <f>H13/H3</f>
        <v/>
      </c>
      <c r="I14" s="12">
        <f>I13/I3</f>
        <v/>
      </c>
      <c r="J14" s="12">
        <f>I14-H14</f>
        <v/>
      </c>
      <c r="K14" s="58" t="n"/>
    </row>
    <row r="15">
      <c r="A15" s="2" t="n"/>
      <c r="B15" s="2" t="n"/>
      <c r="C15" s="2" t="n"/>
      <c r="D15" s="2" t="n"/>
      <c r="E15" s="2" t="n"/>
      <c r="G15" s="2" t="n"/>
      <c r="H15" s="2" t="n"/>
      <c r="I15" s="2" t="n"/>
      <c r="J15" s="2" t="n"/>
      <c r="K15" s="142" t="n"/>
    </row>
    <row r="16">
      <c r="A16" s="2" t="inlineStr">
        <is>
          <t>Financial Income&amp;Expense</t>
        </is>
      </c>
      <c r="B16" s="7">
        <f>SUM('C-Döviz'!Q163:Q170)</f>
        <v/>
      </c>
      <c r="C16" s="7">
        <f>SUM('C-Döviz'!R163:R170)</f>
        <v/>
      </c>
      <c r="D16" s="53">
        <f>C16-B16</f>
        <v/>
      </c>
      <c r="E16" s="5">
        <f>C16/B16-1</f>
        <v/>
      </c>
      <c r="G16" s="2" t="inlineStr">
        <is>
          <t>Financial Income&amp;Expense</t>
        </is>
      </c>
      <c r="H16" s="7">
        <f>SUM('C-Döviz'!AI163:AI170)</f>
        <v/>
      </c>
      <c r="I16" s="53">
        <f>('Tahmin Data'!M67+SUM('Tahmin Data'!M68:M70)+SUM('Tahmin Data'!M71:M74))</f>
        <v/>
      </c>
      <c r="J16" s="53">
        <f>I16-H16</f>
        <v/>
      </c>
      <c r="K16" s="142">
        <f>I16/H16-1</f>
        <v/>
      </c>
      <c r="M16" s="94" t="n"/>
      <c r="N16" s="247">
        <f>C16/1000000</f>
        <v/>
      </c>
    </row>
    <row r="17">
      <c r="A17" s="2" t="inlineStr">
        <is>
          <t>Other Income &amp;Expense</t>
        </is>
      </c>
      <c r="B17" s="7">
        <f>SUM('C-Döviz'!Q176:Q183)</f>
        <v/>
      </c>
      <c r="C17" s="7">
        <f>SUM('C-Döviz'!R176:R183)</f>
        <v/>
      </c>
      <c r="D17" s="53">
        <f>C17-B17</f>
        <v/>
      </c>
      <c r="E17" s="5">
        <f>C17/B17-1</f>
        <v/>
      </c>
      <c r="G17" s="2" t="inlineStr">
        <is>
          <t>Other Income &amp;Expense</t>
        </is>
      </c>
      <c r="H17" s="7">
        <f>SUM('C-Döviz'!AI176:AI183)</f>
        <v/>
      </c>
      <c r="I17" s="53">
        <f>('Tahmin Data'!M75+SUM('Tahmin Data'!M76:M78)+SUM('Tahmin Data'!M79:M82))</f>
        <v/>
      </c>
      <c r="J17" s="53">
        <f>I17-H17</f>
        <v/>
      </c>
      <c r="K17" s="142">
        <f>I17/H17-1</f>
        <v/>
      </c>
      <c r="M17" s="52" t="n"/>
      <c r="N17" s="1" t="n"/>
      <c r="O17" s="1" t="n"/>
    </row>
    <row r="18">
      <c r="A18" s="2" t="n"/>
      <c r="B18" s="2" t="n"/>
      <c r="C18" s="122" t="n"/>
      <c r="D18" s="2" t="n"/>
      <c r="E18" s="2" t="n"/>
      <c r="G18" s="2" t="n"/>
      <c r="H18" s="2" t="n"/>
      <c r="I18" s="2" t="n"/>
      <c r="J18" s="2" t="n"/>
      <c r="K18" s="142" t="n"/>
    </row>
    <row r="19" customFormat="1" s="1">
      <c r="A19" s="3" t="inlineStr">
        <is>
          <t>Profit Before Tax</t>
        </is>
      </c>
      <c r="B19" s="8">
        <f>B9+B16+B17</f>
        <v/>
      </c>
      <c r="C19" s="8">
        <f>C9+C16+C17</f>
        <v/>
      </c>
      <c r="D19" s="54">
        <f>C19-B19</f>
        <v/>
      </c>
      <c r="E19" s="55">
        <f>C19/B19-1</f>
        <v/>
      </c>
      <c r="G19" s="3" t="inlineStr">
        <is>
          <t>Profit Before Tax</t>
        </is>
      </c>
      <c r="H19" s="8">
        <f>H9+H16+H17</f>
        <v/>
      </c>
      <c r="I19" s="54">
        <f>('Tahmin Data'!M83+SUM('Tahmin Data'!M84:M86)+SUM('Tahmin Data'!M87:M90))</f>
        <v/>
      </c>
      <c r="J19" s="54">
        <f>I19-H19</f>
        <v/>
      </c>
      <c r="K19" s="143">
        <f>I19/H19-1</f>
        <v/>
      </c>
    </row>
    <row r="20">
      <c r="A20" s="2" t="inlineStr">
        <is>
          <t>Profit Before Tax/Net Sales</t>
        </is>
      </c>
      <c r="B20" s="12">
        <f>B19/B3</f>
        <v/>
      </c>
      <c r="C20" s="12">
        <f>C19/C3</f>
        <v/>
      </c>
      <c r="D20" s="12">
        <f>C20-B20</f>
        <v/>
      </c>
      <c r="E20" s="2" t="n"/>
      <c r="G20" s="2" t="inlineStr">
        <is>
          <t>Profit Before Tax/Net Sales</t>
        </is>
      </c>
      <c r="H20" s="12">
        <f>H19/H3</f>
        <v/>
      </c>
      <c r="I20" s="12">
        <f>I19/I3</f>
        <v/>
      </c>
      <c r="J20" s="12">
        <f>I20-H20</f>
        <v/>
      </c>
      <c r="K20" s="142" t="n"/>
    </row>
    <row r="21">
      <c r="A21" s="2" t="n"/>
      <c r="B21" s="2" t="n"/>
      <c r="C21" s="2" t="n"/>
      <c r="D21" s="2" t="n"/>
      <c r="E21" s="2" t="n"/>
      <c r="G21" s="2" t="n"/>
      <c r="H21" s="2" t="n"/>
      <c r="I21" s="2" t="n"/>
      <c r="J21" s="2" t="n"/>
      <c r="K21" s="142" t="n"/>
      <c r="M21" s="1" t="n"/>
      <c r="N21" s="1" t="n"/>
      <c r="O21" s="1" t="n"/>
    </row>
    <row r="22">
      <c r="A22" s="2" t="inlineStr">
        <is>
          <t>Tax</t>
        </is>
      </c>
      <c r="B22" s="7">
        <f>SUM('C-Döviz'!Q202:Q209)</f>
        <v/>
      </c>
      <c r="C22" s="7">
        <f>SUM('C-Döviz'!R202:R209)</f>
        <v/>
      </c>
      <c r="D22" s="53">
        <f>C22-B22</f>
        <v/>
      </c>
      <c r="E22" s="5">
        <f>IFERROR((C22/B22-1),"")</f>
        <v/>
      </c>
      <c r="G22" s="2" t="inlineStr">
        <is>
          <t>Tax</t>
        </is>
      </c>
      <c r="H22" s="7">
        <f>SUM('C-Döviz'!AI202:AI209)</f>
        <v/>
      </c>
      <c r="I22" s="53">
        <f>-('Tahmin Data'!M91+SUM('Tahmin Data'!M92:M94)+SUM('Tahmin Data'!M95:M98))</f>
        <v/>
      </c>
      <c r="J22" s="53">
        <f>I22-H22</f>
        <v/>
      </c>
      <c r="K22" s="142">
        <f>IFERROR((I22/H22-1),"")</f>
        <v/>
      </c>
      <c r="M22" s="13" t="n"/>
      <c r="N22" s="13" t="n"/>
      <c r="O22" s="13" t="n"/>
    </row>
    <row r="23" customFormat="1" s="1">
      <c r="A23" s="3" t="inlineStr">
        <is>
          <t>Net Income</t>
        </is>
      </c>
      <c r="B23" s="8">
        <f>B19+B22</f>
        <v/>
      </c>
      <c r="C23" s="8">
        <f>C19+C22</f>
        <v/>
      </c>
      <c r="D23" s="54">
        <f>C23-B23</f>
        <v/>
      </c>
      <c r="E23" s="55">
        <f>C23/B23-1</f>
        <v/>
      </c>
      <c r="G23" s="3" t="inlineStr">
        <is>
          <t>Net Income</t>
        </is>
      </c>
      <c r="H23" s="8">
        <f>H19+H22</f>
        <v/>
      </c>
      <c r="I23" s="54">
        <f>('Tahmin Data'!M99+SUM('Tahmin Data'!M100:M102)+SUM('Tahmin Data'!M103:M106))</f>
        <v/>
      </c>
      <c r="J23" s="54">
        <f>I23-H23</f>
        <v/>
      </c>
      <c r="K23" s="143">
        <f>I23/H23-1</f>
        <v/>
      </c>
    </row>
    <row r="24" customFormat="1" s="13">
      <c r="A24" s="20" t="inlineStr">
        <is>
          <t>Net Income/Net Sales</t>
        </is>
      </c>
      <c r="B24" s="12">
        <f>B23/B3</f>
        <v/>
      </c>
      <c r="C24" s="12">
        <f>C23/C3</f>
        <v/>
      </c>
      <c r="D24" s="12">
        <f>C24-B24</f>
        <v/>
      </c>
      <c r="E24" s="20" t="n"/>
      <c r="G24" s="20" t="inlineStr">
        <is>
          <t>Net Income/Net Sales</t>
        </is>
      </c>
      <c r="H24" s="12">
        <f>H23/H3</f>
        <v/>
      </c>
      <c r="I24" s="58">
        <f>I23/I3</f>
        <v/>
      </c>
      <c r="J24" s="12">
        <f>I24-H24</f>
        <v/>
      </c>
      <c r="K24" s="58" t="n"/>
    </row>
    <row r="26">
      <c r="B26" s="52" t="n"/>
      <c r="C26" s="52" t="n"/>
      <c r="H26" s="52" t="n"/>
      <c r="I26" s="52" t="n"/>
    </row>
    <row r="27">
      <c r="B27" s="94" t="n"/>
      <c r="C27" s="52" t="n"/>
      <c r="I27" s="52" t="n"/>
    </row>
    <row r="28" ht="20" customHeight="1">
      <c r="B28" s="287" t="n"/>
      <c r="C28" s="287" t="n"/>
      <c r="D28" s="287" t="n"/>
      <c r="E28" s="286" t="n"/>
      <c r="H28" s="284" t="n"/>
      <c r="I28" s="285" t="n"/>
      <c r="J28" s="284" t="n"/>
    </row>
    <row r="29" ht="20" customHeight="1">
      <c r="B29" s="286" t="n"/>
      <c r="C29" s="286" t="n"/>
      <c r="D29" s="286" t="n"/>
      <c r="E29" s="286" t="n"/>
      <c r="H29" s="284" t="n"/>
      <c r="I29" s="285" t="n"/>
      <c r="J29" s="284" t="n"/>
      <c r="M29" s="286" t="n"/>
    </row>
    <row r="30" ht="22.5" customHeight="1">
      <c r="M30" s="288" t="n"/>
    </row>
    <row r="31" ht="20" customHeight="1">
      <c r="H31" s="286" t="n"/>
      <c r="I31" s="286" t="n"/>
      <c r="J31" s="286" t="n"/>
      <c r="M31" s="286" t="n"/>
    </row>
    <row r="35" ht="20" customHeight="1">
      <c r="H35" s="285" t="n"/>
      <c r="I35" s="285" t="n"/>
      <c r="J35" s="285" t="n"/>
      <c r="M35" s="286" t="n"/>
    </row>
    <row r="36" ht="20" customHeight="1">
      <c r="H36" s="286" t="n"/>
      <c r="I36" s="286" t="n"/>
      <c r="J36" s="286" t="n"/>
      <c r="M36" s="286" t="n"/>
    </row>
  </sheetData>
  <mergeCells count="2">
    <mergeCell ref="H1:K1"/>
    <mergeCell ref="B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zoomScale="85" zoomScaleNormal="85" workbookViewId="0">
      <selection activeCell="M26" sqref="M26"/>
    </sheetView>
  </sheetViews>
  <sheetFormatPr baseColWidth="8" defaultRowHeight="14.5"/>
  <cols>
    <col width="26.453125" customWidth="1" min="1" max="1"/>
    <col width="15.1796875" bestFit="1" customWidth="1" min="2" max="3"/>
    <col width="14.54296875" bestFit="1" customWidth="1" min="4" max="4"/>
    <col hidden="1" width="10.81640625" customWidth="1" min="5" max="5"/>
    <col width="3.81640625" customWidth="1" min="6" max="6"/>
    <col width="26.1796875" customWidth="1" min="7" max="7"/>
    <col width="13.1796875" customWidth="1" min="8" max="8"/>
    <col width="14.453125" bestFit="1" customWidth="1" min="9" max="9"/>
    <col width="12.81640625" customWidth="1" min="10" max="10"/>
    <col hidden="1" width="10.26953125" customWidth="1" min="11" max="11"/>
    <col width="3.1796875" customWidth="1" min="12" max="12"/>
    <col width="13.54296875" bestFit="1" customWidth="1" min="13" max="13"/>
    <col width="18.81640625" bestFit="1" customWidth="1" min="14" max="14"/>
    <col width="9.1796875" bestFit="1" customWidth="1" min="15" max="15"/>
  </cols>
  <sheetData>
    <row r="1">
      <c r="A1" s="2" t="n"/>
      <c r="B1" s="510" t="n">
        <v>45838</v>
      </c>
      <c r="C1" s="511" t="n"/>
      <c r="D1" s="511" t="n"/>
      <c r="E1" s="464" t="n"/>
      <c r="G1" s="2" t="n"/>
      <c r="H1" s="510" t="n">
        <v>46022</v>
      </c>
      <c r="I1" s="511" t="n"/>
      <c r="J1" s="511" t="n"/>
      <c r="K1" s="464" t="n"/>
      <c r="M1" s="3" t="n"/>
      <c r="N1" s="11" t="inlineStr">
        <is>
          <t>Budget</t>
        </is>
      </c>
      <c r="O1" s="11" t="inlineStr">
        <is>
          <t>Forecast</t>
        </is>
      </c>
    </row>
    <row r="2">
      <c r="A2" s="11" t="inlineStr">
        <is>
          <t>TL</t>
        </is>
      </c>
      <c r="B2" s="11" t="inlineStr">
        <is>
          <t>Budget</t>
        </is>
      </c>
      <c r="C2" s="11" t="inlineStr">
        <is>
          <t>Actual</t>
        </is>
      </c>
      <c r="D2" s="11" t="inlineStr">
        <is>
          <t>Difference</t>
        </is>
      </c>
      <c r="E2" s="11" t="inlineStr">
        <is>
          <t>Variance %</t>
        </is>
      </c>
      <c r="G2" s="11" t="inlineStr">
        <is>
          <t>EUR</t>
        </is>
      </c>
      <c r="H2" s="11" t="inlineStr">
        <is>
          <t>Budget</t>
        </is>
      </c>
      <c r="I2" s="11" t="inlineStr">
        <is>
          <t>Forecast</t>
        </is>
      </c>
      <c r="J2" s="11" t="inlineStr">
        <is>
          <t>Difference</t>
        </is>
      </c>
      <c r="K2" s="11" t="inlineStr">
        <is>
          <t>Variance %</t>
        </is>
      </c>
      <c r="M2" s="2" t="inlineStr">
        <is>
          <t>Eur Kapanış</t>
        </is>
      </c>
      <c r="N2" s="465">
        <f>'C-TRY'!AI3</f>
        <v/>
      </c>
      <c r="O2" s="465">
        <f>'Tahmin-eur'!N2</f>
        <v/>
      </c>
    </row>
    <row r="3">
      <c r="A3" s="2" t="inlineStr">
        <is>
          <t>Net Sales</t>
        </is>
      </c>
      <c r="B3" s="7">
        <f>SUM('C-Döviz'!Q9:Q16)</f>
        <v/>
      </c>
      <c r="C3" s="7">
        <f>SUM('C-Döviz'!R9:R16)</f>
        <v/>
      </c>
      <c r="D3" s="476">
        <f>C3/B3-1</f>
        <v/>
      </c>
      <c r="G3" s="2" t="inlineStr">
        <is>
          <t>Net Sales</t>
        </is>
      </c>
      <c r="H3" s="7">
        <f>SUM('C-Döviz'!AI9:AI16)</f>
        <v/>
      </c>
      <c r="I3" s="53">
        <f>('Tahmin Data'!M3+SUM('Tahmin Data'!M4:M6)+SUM('Tahmin Data'!M7:M10))</f>
        <v/>
      </c>
      <c r="J3" s="122">
        <f>I3/H3-1</f>
        <v/>
      </c>
      <c r="K3" s="142">
        <f>I3/H3-1</f>
        <v/>
      </c>
      <c r="M3" s="2" t="inlineStr">
        <is>
          <t>Eur Ortaoama</t>
        </is>
      </c>
      <c r="N3" s="465">
        <f>'C-TRY'!AI4</f>
        <v/>
      </c>
      <c r="O3" s="465">
        <f>AVERAGE('Tahmin-eur'!B3:N3)</f>
        <v/>
      </c>
    </row>
    <row r="4" hidden="1">
      <c r="A4" s="2" t="inlineStr">
        <is>
          <t>COGS</t>
        </is>
      </c>
      <c r="B4" s="7" t="n">
        <v>-333989923.199561</v>
      </c>
      <c r="C4" s="7" t="n">
        <v>-320758738.190813</v>
      </c>
      <c r="D4" s="53">
        <f>C4-B4</f>
        <v/>
      </c>
      <c r="E4" s="512">
        <f>C4/B4-1</f>
        <v/>
      </c>
      <c r="G4" s="2" t="inlineStr">
        <is>
          <t>COGS</t>
        </is>
      </c>
      <c r="H4" s="7" t="n">
        <v>-676211260.097418</v>
      </c>
      <c r="I4" s="53">
        <f>-('Tahmin Data'!M11+SUM('Tahmin Data'!M12:M14)+SUM('Tahmin Data'!M15:M18))</f>
        <v/>
      </c>
      <c r="J4" s="53">
        <f>I4-H4</f>
        <v/>
      </c>
      <c r="K4" s="142">
        <f>I4/H4-1</f>
        <v/>
      </c>
      <c r="M4" s="13" t="n"/>
      <c r="N4" s="13" t="n"/>
      <c r="O4" s="13" t="n"/>
    </row>
    <row r="5" hidden="1" customFormat="1" s="1">
      <c r="A5" s="3" t="inlineStr">
        <is>
          <t>Gross Profit</t>
        </is>
      </c>
      <c r="B5" s="8">
        <f>B3+B4</f>
        <v/>
      </c>
      <c r="C5" s="8">
        <f>C3+C4</f>
        <v/>
      </c>
      <c r="D5" s="54">
        <f>C5-B5</f>
        <v/>
      </c>
      <c r="E5" s="513">
        <f>C5/B5-1</f>
        <v/>
      </c>
      <c r="G5" s="3" t="inlineStr">
        <is>
          <t>Gross Profit</t>
        </is>
      </c>
      <c r="H5" s="8">
        <f>H3+H4</f>
        <v/>
      </c>
      <c r="I5" s="8">
        <f>I3+I4</f>
        <v/>
      </c>
      <c r="J5" s="54">
        <f>I5-H5</f>
        <v/>
      </c>
      <c r="K5" s="143">
        <f>I5/H5-1</f>
        <v/>
      </c>
    </row>
    <row r="6" customFormat="1" s="13">
      <c r="A6" s="20" t="inlineStr">
        <is>
          <t>Gross Profit Margin</t>
        </is>
      </c>
      <c r="B6" s="58">
        <f>B5/B3</f>
        <v/>
      </c>
      <c r="C6" s="58">
        <f>C5/C3</f>
        <v/>
      </c>
      <c r="D6" s="476">
        <f>C6-B6</f>
        <v/>
      </c>
      <c r="E6" s="58" t="n"/>
      <c r="F6" s="295" t="n"/>
      <c r="G6" s="58" t="inlineStr">
        <is>
          <t>Gross Profit Margin</t>
        </is>
      </c>
      <c r="H6" s="12">
        <f>H5/H3</f>
        <v/>
      </c>
      <c r="I6" s="12">
        <f>I5/I3</f>
        <v/>
      </c>
      <c r="J6" s="122">
        <f>I6-H6</f>
        <v/>
      </c>
      <c r="K6" s="58" t="n"/>
      <c r="M6" s="94">
        <f>H3*K3</f>
        <v/>
      </c>
    </row>
    <row r="7">
      <c r="A7" s="2" t="n"/>
      <c r="B7" s="53" t="n"/>
      <c r="C7" s="53" t="n"/>
      <c r="D7" s="476" t="n"/>
      <c r="E7" s="2" t="n"/>
      <c r="G7" s="2" t="n"/>
      <c r="H7" s="2" t="n"/>
      <c r="I7" s="53" t="n"/>
      <c r="J7" s="122" t="n"/>
      <c r="K7" s="142" t="n"/>
      <c r="M7" s="1" t="n"/>
      <c r="N7" s="1" t="n"/>
      <c r="O7" s="1" t="n"/>
    </row>
    <row r="8" hidden="1">
      <c r="A8" s="2" t="inlineStr">
        <is>
          <t>Operating Expenses</t>
        </is>
      </c>
      <c r="B8" s="7">
        <f>SUM('C-Döviz'!Q91:Q98)</f>
        <v/>
      </c>
      <c r="C8" s="7">
        <f>SUM('C-Döviz'!R91:R98)</f>
        <v/>
      </c>
      <c r="D8" s="476">
        <f>C8-B8</f>
        <v/>
      </c>
      <c r="E8" s="5">
        <f>C8/B8-1</f>
        <v/>
      </c>
      <c r="G8" s="2" t="inlineStr">
        <is>
          <t>Operating Expenses</t>
        </is>
      </c>
      <c r="H8" s="7">
        <f>SUM('C-Döviz'!AI91:AI98)</f>
        <v/>
      </c>
      <c r="I8" s="53">
        <f>('Tahmin Data'!M27+SUM('Tahmin Data'!M28:M30)+SUM('Tahmin Data'!M31:M34))</f>
        <v/>
      </c>
      <c r="J8" s="122">
        <f>I8-H8</f>
        <v/>
      </c>
      <c r="K8" s="142">
        <f>I8/H8-1</f>
        <v/>
      </c>
      <c r="M8" s="92">
        <f>-I8/I3</f>
        <v/>
      </c>
      <c r="N8" s="13" t="n"/>
      <c r="O8" s="13" t="n"/>
    </row>
    <row r="9" hidden="1" customFormat="1" s="1">
      <c r="A9" s="3" t="inlineStr">
        <is>
          <t>EBIT</t>
        </is>
      </c>
      <c r="B9" s="8">
        <f>B5+B8</f>
        <v/>
      </c>
      <c r="C9" s="8">
        <f>C5+C8</f>
        <v/>
      </c>
      <c r="D9" s="476">
        <f>C9-B9</f>
        <v/>
      </c>
      <c r="E9" s="55">
        <f>C9/B9-1</f>
        <v/>
      </c>
      <c r="G9" s="3" t="inlineStr">
        <is>
          <t>EBIT</t>
        </is>
      </c>
      <c r="H9" s="8">
        <f>H5+H8</f>
        <v/>
      </c>
      <c r="I9" s="8">
        <f>I5+I8</f>
        <v/>
      </c>
      <c r="J9" s="122">
        <f>I9-H9</f>
        <v/>
      </c>
      <c r="K9" s="143">
        <f>I9/H9-1</f>
        <v/>
      </c>
      <c r="M9" s="52">
        <f>I5-I8</f>
        <v/>
      </c>
    </row>
    <row r="10" customFormat="1" s="13">
      <c r="A10" s="20" t="inlineStr">
        <is>
          <t>EBIT Margin</t>
        </is>
      </c>
      <c r="B10" s="58">
        <f>B9/B3</f>
        <v/>
      </c>
      <c r="C10" s="58">
        <f>C9/C3</f>
        <v/>
      </c>
      <c r="D10" s="476">
        <f>C10-B10</f>
        <v/>
      </c>
      <c r="E10" s="20" t="n"/>
      <c r="G10" s="20" t="inlineStr">
        <is>
          <t>EBIT Margin</t>
        </is>
      </c>
      <c r="H10" s="12">
        <f>H9/H3</f>
        <v/>
      </c>
      <c r="I10" s="12">
        <f>I9/I3</f>
        <v/>
      </c>
      <c r="J10" s="122">
        <f>I10-H10</f>
        <v/>
      </c>
      <c r="K10" s="58" t="n"/>
      <c r="M10" s="52" t="n"/>
    </row>
    <row r="11">
      <c r="A11" s="2" t="n"/>
      <c r="B11" s="2" t="n"/>
      <c r="C11" s="53" t="n"/>
      <c r="D11" s="476" t="n"/>
      <c r="E11" s="2" t="n"/>
      <c r="G11" s="2" t="n"/>
      <c r="H11" s="2" t="n"/>
      <c r="I11" s="2" t="n"/>
      <c r="J11" s="122" t="n"/>
      <c r="K11" s="142" t="n"/>
      <c r="M11" s="1" t="n"/>
      <c r="N11" s="1" t="n"/>
      <c r="O11" s="1" t="n"/>
    </row>
    <row r="12" hidden="1" ht="18.65" customHeight="1">
      <c r="A12" s="2" t="inlineStr">
        <is>
          <t>Depreciation</t>
        </is>
      </c>
      <c r="B12" s="7">
        <f>B13-B9</f>
        <v/>
      </c>
      <c r="C12" s="7">
        <f>C13-C9</f>
        <v/>
      </c>
      <c r="D12" s="476">
        <f>C12-B12</f>
        <v/>
      </c>
      <c r="E12" s="5">
        <f>C12/B12-1</f>
        <v/>
      </c>
      <c r="G12" s="2" t="inlineStr">
        <is>
          <t>Depreciation</t>
        </is>
      </c>
      <c r="H12" s="7">
        <f>H13-H9</f>
        <v/>
      </c>
      <c r="I12" s="7">
        <f>('Tahmin Data'!M51+SUM('Tahmin Data'!M52:M54)+SUM('Tahmin Data'!M55:M58))</f>
        <v/>
      </c>
      <c r="J12" s="122">
        <f>I12-H12</f>
        <v/>
      </c>
      <c r="K12" s="142">
        <f>I12/H12-1</f>
        <v/>
      </c>
      <c r="M12" s="13" t="n"/>
      <c r="N12" s="13" t="n"/>
      <c r="O12" s="13" t="n"/>
    </row>
    <row r="13" hidden="1" customFormat="1" s="1">
      <c r="A13" s="3" t="inlineStr">
        <is>
          <t>EBITDA</t>
        </is>
      </c>
      <c r="B13" s="8">
        <f>SUM('C-Döviz'!Q139:Q146)</f>
        <v/>
      </c>
      <c r="C13" s="8">
        <f>SUM('C-Döviz'!R139:R146)</f>
        <v/>
      </c>
      <c r="D13" s="476">
        <f>C13-B13</f>
        <v/>
      </c>
      <c r="E13" s="55">
        <f>C13/B13-1</f>
        <v/>
      </c>
      <c r="G13" s="3" t="inlineStr">
        <is>
          <t>EBITDA</t>
        </is>
      </c>
      <c r="H13" s="8">
        <f>SUM('C-Döviz'!AI139:AI146)</f>
        <v/>
      </c>
      <c r="I13" s="54">
        <f>('Tahmin Data'!M59+SUM('Tahmin Data'!M60:M62)+SUM('Tahmin Data'!M63:M66))</f>
        <v/>
      </c>
      <c r="J13" s="122">
        <f>I13-H13</f>
        <v/>
      </c>
      <c r="K13" s="143">
        <f>I13/H13-1</f>
        <v/>
      </c>
    </row>
    <row r="14" customFormat="1" s="13">
      <c r="A14" s="20" t="inlineStr">
        <is>
          <t>EBITDA Margin</t>
        </is>
      </c>
      <c r="B14" s="12">
        <f>B13/B3</f>
        <v/>
      </c>
      <c r="C14" s="58">
        <f>C13/C3</f>
        <v/>
      </c>
      <c r="D14" s="476">
        <f>C14-B14</f>
        <v/>
      </c>
      <c r="E14" s="20" t="n"/>
      <c r="G14" s="20" t="inlineStr">
        <is>
          <t>EBITDA Margin</t>
        </is>
      </c>
      <c r="H14" s="12">
        <f>H13/H3</f>
        <v/>
      </c>
      <c r="I14" s="12">
        <f>I13/I3</f>
        <v/>
      </c>
      <c r="J14" s="122">
        <f>I14-H14</f>
        <v/>
      </c>
      <c r="K14" s="58" t="n"/>
    </row>
    <row r="15">
      <c r="A15" s="2" t="n"/>
      <c r="B15" s="2" t="n"/>
      <c r="C15" s="2" t="n"/>
      <c r="D15" s="2" t="n"/>
      <c r="E15" s="2" t="n"/>
      <c r="G15" s="2" t="n"/>
      <c r="H15" s="2" t="n"/>
      <c r="I15" s="2" t="n"/>
      <c r="J15" s="2" t="n"/>
      <c r="K15" s="142" t="n"/>
    </row>
    <row r="16">
      <c r="A16" s="2" t="inlineStr">
        <is>
          <t>Financial Income&amp;Expense</t>
        </is>
      </c>
      <c r="B16" s="7">
        <f>SUM('C-Döviz'!Q163:Q170)</f>
        <v/>
      </c>
      <c r="C16" s="7">
        <f>SUM('C-Döviz'!R163:R170)</f>
        <v/>
      </c>
      <c r="D16" s="53">
        <f>C16-B16</f>
        <v/>
      </c>
      <c r="E16" s="5">
        <f>C16/B16-1</f>
        <v/>
      </c>
      <c r="G16" s="2" t="inlineStr">
        <is>
          <t>Financial Income&amp;Expense</t>
        </is>
      </c>
      <c r="H16" s="7">
        <f>SUM('C-Döviz'!AI163:AI170)</f>
        <v/>
      </c>
      <c r="I16" s="53">
        <f>('Tahmin Data'!M67+SUM('Tahmin Data'!M68:M70)+SUM('Tahmin Data'!M71:M74))</f>
        <v/>
      </c>
      <c r="J16" s="53">
        <f>I16-H16</f>
        <v/>
      </c>
      <c r="K16" s="142">
        <f>I16/H16-1</f>
        <v/>
      </c>
      <c r="M16" s="94" t="n"/>
      <c r="N16" s="247">
        <f>C16/1000000</f>
        <v/>
      </c>
    </row>
    <row r="17">
      <c r="A17" s="2" t="inlineStr">
        <is>
          <t>Other Income &amp;Expense</t>
        </is>
      </c>
      <c r="B17" s="7">
        <f>SUM('C-Döviz'!Q176:Q183)</f>
        <v/>
      </c>
      <c r="C17" s="7">
        <f>SUM('C-Döviz'!R176:R183)</f>
        <v/>
      </c>
      <c r="D17" s="53">
        <f>C17-B17</f>
        <v/>
      </c>
      <c r="E17" s="5">
        <f>C17/B17-1</f>
        <v/>
      </c>
      <c r="G17" s="2" t="inlineStr">
        <is>
          <t>Other Income &amp;Expense</t>
        </is>
      </c>
      <c r="H17" s="7">
        <f>SUM('C-Döviz'!AI176:AI183)</f>
        <v/>
      </c>
      <c r="I17" s="53">
        <f>('Tahmin Data'!M75+SUM('Tahmin Data'!M76:M78)+SUM('Tahmin Data'!M79:M82))</f>
        <v/>
      </c>
      <c r="J17" s="53">
        <f>I17-H17</f>
        <v/>
      </c>
      <c r="K17" s="142">
        <f>I17/H17-1</f>
        <v/>
      </c>
      <c r="M17" s="52" t="n"/>
      <c r="N17" s="1" t="n"/>
      <c r="O17" s="1" t="n"/>
    </row>
    <row r="18">
      <c r="A18" s="2" t="n"/>
      <c r="B18" s="2" t="n"/>
      <c r="C18" s="122" t="n"/>
      <c r="D18" s="2" t="n"/>
      <c r="E18" s="2" t="n"/>
      <c r="G18" s="2" t="n"/>
      <c r="H18" s="2" t="n"/>
      <c r="I18" s="2" t="n"/>
      <c r="J18" s="2" t="n"/>
      <c r="K18" s="142" t="n"/>
    </row>
    <row r="19" hidden="1" customFormat="1" s="1">
      <c r="A19" s="3" t="inlineStr">
        <is>
          <t>Profit Before Tax</t>
        </is>
      </c>
      <c r="B19" s="8">
        <f>B9+B16+B17</f>
        <v/>
      </c>
      <c r="C19" s="8">
        <f>C9+C16+C17</f>
        <v/>
      </c>
      <c r="D19" s="54">
        <f>C19-B19</f>
        <v/>
      </c>
      <c r="E19" s="55">
        <f>C19/B19-1</f>
        <v/>
      </c>
      <c r="G19" s="3" t="inlineStr">
        <is>
          <t>Profit Before Tax</t>
        </is>
      </c>
      <c r="H19" s="8">
        <f>H9+H16+H17</f>
        <v/>
      </c>
      <c r="I19" s="54">
        <f>('Tahmin Data'!M83+SUM('Tahmin Data'!M84:M86)+SUM('Tahmin Data'!M87:M90))</f>
        <v/>
      </c>
      <c r="J19" s="54">
        <f>I19-H19</f>
        <v/>
      </c>
      <c r="K19" s="143">
        <f>I19/H19-1</f>
        <v/>
      </c>
    </row>
    <row r="20">
      <c r="A20" s="2" t="inlineStr">
        <is>
          <t>Profit Before Tax/Net Sales</t>
        </is>
      </c>
      <c r="B20" s="12">
        <f>B19/B3</f>
        <v/>
      </c>
      <c r="C20" s="12">
        <f>C19/C3</f>
        <v/>
      </c>
      <c r="D20" s="12">
        <f>C20-B20</f>
        <v/>
      </c>
      <c r="E20" s="2" t="n"/>
      <c r="G20" s="2" t="inlineStr">
        <is>
          <t>Profit Before Tax/Net Sales</t>
        </is>
      </c>
      <c r="H20" s="12">
        <f>H19/H3</f>
        <v/>
      </c>
      <c r="I20" s="12">
        <f>I19/I3</f>
        <v/>
      </c>
      <c r="J20" s="12">
        <f>I20-H20</f>
        <v/>
      </c>
      <c r="K20" s="142" t="n"/>
    </row>
    <row r="21">
      <c r="A21" s="2" t="n"/>
      <c r="B21" s="2" t="n"/>
      <c r="C21" s="2" t="n"/>
      <c r="D21" s="2" t="n"/>
      <c r="E21" s="2" t="n"/>
      <c r="G21" s="2" t="n"/>
      <c r="H21" s="2" t="n"/>
      <c r="I21" s="2" t="n"/>
      <c r="J21" s="2" t="n"/>
      <c r="K21" s="142" t="n"/>
      <c r="M21" s="1" t="n"/>
      <c r="N21" s="1" t="n"/>
      <c r="O21" s="1" t="n"/>
    </row>
    <row r="22">
      <c r="A22" s="2" t="inlineStr">
        <is>
          <t>Tax</t>
        </is>
      </c>
      <c r="B22" s="7">
        <f>SUM('C-Döviz'!Q202:Q209)</f>
        <v/>
      </c>
      <c r="C22" s="7">
        <f>SUM('C-Döviz'!R202:R209)</f>
        <v/>
      </c>
      <c r="D22" s="53">
        <f>C22-B22</f>
        <v/>
      </c>
      <c r="E22" s="5">
        <f>IFERROR((C22/B22-1),"")</f>
        <v/>
      </c>
      <c r="G22" s="2" t="inlineStr">
        <is>
          <t>Tax</t>
        </is>
      </c>
      <c r="H22" s="7">
        <f>SUM('C-Döviz'!AI202:AI209)</f>
        <v/>
      </c>
      <c r="I22" s="53">
        <f>-('Tahmin Data'!M91+SUM('Tahmin Data'!M92:M94)+SUM('Tahmin Data'!M95:M98))</f>
        <v/>
      </c>
      <c r="J22" s="53">
        <f>I22-H22</f>
        <v/>
      </c>
      <c r="K22" s="142">
        <f>IFERROR((I22/H22-1),"")</f>
        <v/>
      </c>
      <c r="M22" s="13" t="n"/>
      <c r="N22" s="13" t="n"/>
      <c r="O22" s="13" t="n"/>
    </row>
    <row r="23" customFormat="1" s="1">
      <c r="A23" s="3" t="inlineStr">
        <is>
          <t>Net Income</t>
        </is>
      </c>
      <c r="B23" s="8">
        <f>B19+B22</f>
        <v/>
      </c>
      <c r="C23" s="8">
        <f>C19+C22</f>
        <v/>
      </c>
      <c r="D23" s="54">
        <f>C23-B23</f>
        <v/>
      </c>
      <c r="E23" s="55">
        <f>C23/B23-1</f>
        <v/>
      </c>
      <c r="G23" s="3" t="inlineStr">
        <is>
          <t>Net Income</t>
        </is>
      </c>
      <c r="H23" s="8">
        <f>H19+H22</f>
        <v/>
      </c>
      <c r="I23" s="54">
        <f>('Tahmin Data'!M99+SUM('Tahmin Data'!M100:M102)+SUM('Tahmin Data'!M103:M106))</f>
        <v/>
      </c>
      <c r="J23" s="54">
        <f>I23-H23</f>
        <v/>
      </c>
      <c r="K23" s="143">
        <f>I23/H23-1</f>
        <v/>
      </c>
    </row>
    <row r="24" customFormat="1" s="13">
      <c r="A24" s="20" t="inlineStr">
        <is>
          <t>Net Income/Net Sales</t>
        </is>
      </c>
      <c r="B24" s="12">
        <f>B23/B3</f>
        <v/>
      </c>
      <c r="C24" s="12">
        <f>C23/C3</f>
        <v/>
      </c>
      <c r="D24" s="12">
        <f>C24-B24</f>
        <v/>
      </c>
      <c r="E24" s="20" t="n"/>
      <c r="G24" s="20" t="inlineStr">
        <is>
          <t>Net Income/Net Sales</t>
        </is>
      </c>
      <c r="H24" s="12">
        <f>H23/H3</f>
        <v/>
      </c>
      <c r="I24" s="58">
        <f>I23/I3</f>
        <v/>
      </c>
      <c r="J24" s="12">
        <f>I24-H24</f>
        <v/>
      </c>
      <c r="K24" s="58" t="n"/>
    </row>
    <row r="26">
      <c r="B26" s="52" t="n"/>
      <c r="C26" s="52" t="n"/>
      <c r="H26" s="52" t="n"/>
      <c r="I26" s="52" t="n"/>
    </row>
    <row r="27">
      <c r="B27" s="94" t="n"/>
      <c r="C27" s="52" t="n"/>
      <c r="I27" s="52" t="n"/>
    </row>
    <row r="28" ht="20" customHeight="1">
      <c r="B28" s="287" t="n"/>
      <c r="C28" s="287" t="n"/>
      <c r="D28" s="287" t="n"/>
      <c r="E28" s="286" t="n"/>
      <c r="H28" s="284" t="n"/>
      <c r="I28" s="285" t="n"/>
      <c r="J28" s="284" t="n"/>
    </row>
    <row r="29" ht="20" customHeight="1">
      <c r="B29" s="286" t="n"/>
      <c r="C29" s="286" t="n"/>
      <c r="D29" s="286" t="n"/>
      <c r="E29" s="286" t="n"/>
      <c r="H29" s="284" t="n"/>
      <c r="I29" s="285" t="n"/>
      <c r="J29" s="284" t="n"/>
      <c r="M29" s="286" t="n"/>
    </row>
    <row r="30" ht="22.5" customHeight="1">
      <c r="M30" s="288" t="n"/>
    </row>
    <row r="31" ht="20" customHeight="1">
      <c r="H31" s="286" t="n"/>
      <c r="I31" s="286" t="n"/>
      <c r="J31" s="286" t="n"/>
      <c r="M31" s="286" t="n"/>
    </row>
    <row r="35" ht="20" customHeight="1">
      <c r="H35" s="285" t="n"/>
      <c r="I35" s="285" t="n"/>
      <c r="J35" s="285" t="n"/>
      <c r="M35" s="286" t="n"/>
    </row>
    <row r="36" ht="20" customHeight="1">
      <c r="H36" s="286" t="n"/>
      <c r="I36" s="286" t="n"/>
      <c r="J36" s="286" t="n"/>
      <c r="M36" s="286" t="n"/>
    </row>
  </sheetData>
  <mergeCells count="2">
    <mergeCell ref="H1:K1"/>
    <mergeCell ref="B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68"/>
  <sheetViews>
    <sheetView showGridLines="0" tabSelected="1" topLeftCell="K1" workbookViewId="0">
      <selection activeCell="T4" sqref="T4"/>
    </sheetView>
  </sheetViews>
  <sheetFormatPr baseColWidth="8" defaultRowHeight="14.5"/>
  <cols>
    <col width="21.1796875" bestFit="1" customWidth="1" min="1" max="1"/>
    <col width="17.26953125" bestFit="1" customWidth="1" min="2" max="2"/>
    <col width="13.453125" customWidth="1" style="94" min="3" max="3"/>
    <col width="15" customWidth="1" style="94" min="4" max="4"/>
    <col width="13.54296875" customWidth="1" style="94" min="5" max="5"/>
    <col width="16" customWidth="1" style="94" min="6" max="6"/>
    <col width="13.453125" customWidth="1" style="94" min="7" max="7"/>
    <col width="16" customWidth="1" style="94" min="8" max="8"/>
    <col width="13.453125" customWidth="1" style="94" min="9" max="9"/>
    <col width="16" customWidth="1" style="94" min="10" max="10"/>
    <col width="13.54296875" customWidth="1" style="94" min="11" max="11"/>
    <col width="16" customWidth="1" style="94" min="12" max="12"/>
    <col width="14.81640625" customWidth="1" style="94" min="13" max="13"/>
    <col width="17.7265625" customWidth="1" style="94" min="14" max="14"/>
    <col width="14.1796875" customWidth="1" style="94" min="15" max="15"/>
    <col width="17.7265625" bestFit="1" customWidth="1" style="94" min="16" max="16"/>
    <col width="14.08984375" bestFit="1" customWidth="1" style="94" min="17" max="17"/>
    <col width="16" bestFit="1" customWidth="1" style="94" min="18" max="18"/>
    <col width="13.453125" bestFit="1" customWidth="1" min="19" max="19"/>
    <col width="16" bestFit="1" customWidth="1" min="20" max="20"/>
    <col width="14.26953125" bestFit="1" customWidth="1" min="21" max="21"/>
    <col width="16.453125" bestFit="1" customWidth="1" min="22" max="22"/>
    <col width="16.81640625" bestFit="1" customWidth="1" min="23" max="24"/>
    <col width="16.26953125" bestFit="1" customWidth="1" min="25" max="25"/>
    <col width="14.7265625" bestFit="1" customWidth="1" min="26" max="26"/>
    <col width="13.1796875" bestFit="1" customWidth="1" min="27" max="34"/>
  </cols>
  <sheetData>
    <row r="1">
      <c r="A1" s="119" t="inlineStr">
        <is>
          <t>Currency</t>
        </is>
      </c>
      <c r="C1" s="94" t="inlineStr">
        <is>
          <t>Ocak</t>
        </is>
      </c>
      <c r="E1" s="94" t="inlineStr">
        <is>
          <t>Şubat</t>
        </is>
      </c>
      <c r="G1" s="94" t="inlineStr">
        <is>
          <t>Mart</t>
        </is>
      </c>
      <c r="I1" s="94" t="inlineStr">
        <is>
          <t>Nisan</t>
        </is>
      </c>
      <c r="K1" s="94" t="inlineStr">
        <is>
          <t>Mayıs</t>
        </is>
      </c>
      <c r="M1" s="94" t="inlineStr">
        <is>
          <t>Haziran</t>
        </is>
      </c>
      <c r="O1" s="94" t="inlineStr">
        <is>
          <t>Temmuz</t>
        </is>
      </c>
      <c r="Q1" s="94" t="inlineStr">
        <is>
          <t>Ağustos</t>
        </is>
      </c>
      <c r="S1" s="94" t="inlineStr">
        <is>
          <t>Eylül</t>
        </is>
      </c>
      <c r="T1" s="94" t="n"/>
      <c r="U1" s="94" t="inlineStr">
        <is>
          <t>Ekim</t>
        </is>
      </c>
      <c r="V1" s="94" t="n"/>
      <c r="W1" s="94" t="inlineStr">
        <is>
          <t>Kasım</t>
        </is>
      </c>
    </row>
    <row r="2">
      <c r="A2" s="120" t="inlineStr">
        <is>
          <t>2</t>
        </is>
      </c>
      <c r="B2" s="120" t="inlineStr">
        <is>
          <t>Firma</t>
        </is>
      </c>
      <c r="C2" s="94" t="inlineStr">
        <is>
          <t>EURO</t>
        </is>
      </c>
      <c r="D2" s="94" t="inlineStr">
        <is>
          <t>TL</t>
        </is>
      </c>
      <c r="E2" s="94" t="inlineStr">
        <is>
          <t>EURO</t>
        </is>
      </c>
      <c r="F2" s="94" t="inlineStr">
        <is>
          <t>TL</t>
        </is>
      </c>
      <c r="G2" s="94" t="inlineStr">
        <is>
          <t>EURO</t>
        </is>
      </c>
      <c r="H2" s="94" t="inlineStr">
        <is>
          <t>TL</t>
        </is>
      </c>
      <c r="I2" s="94" t="inlineStr">
        <is>
          <t>EURO</t>
        </is>
      </c>
      <c r="J2" s="94" t="inlineStr">
        <is>
          <t>TL</t>
        </is>
      </c>
      <c r="K2" s="94" t="inlineStr">
        <is>
          <t>EURO</t>
        </is>
      </c>
      <c r="L2" s="94" t="inlineStr">
        <is>
          <t>TL</t>
        </is>
      </c>
      <c r="M2" s="94" t="inlineStr">
        <is>
          <t>EURO</t>
        </is>
      </c>
      <c r="N2" s="94" t="inlineStr">
        <is>
          <t>TL</t>
        </is>
      </c>
      <c r="O2" s="94" t="inlineStr">
        <is>
          <t>EURO</t>
        </is>
      </c>
      <c r="P2" s="94" t="inlineStr">
        <is>
          <t>TL</t>
        </is>
      </c>
      <c r="Q2" s="94" t="inlineStr">
        <is>
          <t>EURO</t>
        </is>
      </c>
      <c r="R2" s="94" t="inlineStr">
        <is>
          <t>TL</t>
        </is>
      </c>
      <c r="S2" s="94" t="inlineStr">
        <is>
          <t>EURO</t>
        </is>
      </c>
      <c r="T2" s="94" t="inlineStr">
        <is>
          <t>TL</t>
        </is>
      </c>
      <c r="U2" s="94" t="inlineStr">
        <is>
          <t>EURO</t>
        </is>
      </c>
      <c r="V2" s="94" t="inlineStr">
        <is>
          <t>TL</t>
        </is>
      </c>
      <c r="W2" s="94" t="inlineStr">
        <is>
          <t>EURO</t>
        </is>
      </c>
      <c r="X2" s="94" t="inlineStr">
        <is>
          <t>TL</t>
        </is>
      </c>
    </row>
    <row r="3">
      <c r="A3" s="119" t="inlineStr">
        <is>
          <t>Net Satışlar</t>
        </is>
      </c>
      <c r="B3" s="121" t="inlineStr">
        <is>
          <t>İnci GS Yuasa</t>
        </is>
      </c>
      <c r="E3" s="94" t="n">
        <v>243779488.544274</v>
      </c>
      <c r="F3" s="94" t="n">
        <v>10057317886.979</v>
      </c>
      <c r="G3" s="94" t="n">
        <v>240831721.7464698</v>
      </c>
      <c r="H3" s="94" t="n">
        <v>9983937266.895041</v>
      </c>
      <c r="I3" s="94" t="n">
        <v>219395027.27</v>
      </c>
      <c r="J3" s="94" t="n">
        <v>9141995180.73</v>
      </c>
      <c r="K3" s="94" t="n">
        <v>184966118.37209</v>
      </c>
      <c r="L3" s="94" t="n">
        <v>8197248019.279561</v>
      </c>
      <c r="M3" s="94" t="n">
        <v>181413015.1443239</v>
      </c>
      <c r="N3" s="94" t="n">
        <v>8051607305.026751</v>
      </c>
      <c r="O3" s="94" t="n">
        <v>188623166.5197967</v>
      </c>
      <c r="P3" s="94" t="n">
        <v>8413525286.37313</v>
      </c>
      <c r="Q3" s="94" t="n">
        <v>179530448.0689822</v>
      </c>
      <c r="R3" s="94" t="n">
        <v>8132358067.43044</v>
      </c>
      <c r="S3" s="94" t="n">
        <v>175031198.7725078</v>
      </c>
      <c r="T3" s="94" t="n">
        <v>7907685569.943891</v>
      </c>
      <c r="U3" s="94" t="n"/>
      <c r="V3" s="94" t="n"/>
      <c r="W3" s="298" t="n"/>
      <c r="X3" s="94" t="n"/>
      <c r="Z3">
        <f>X3/W3</f>
        <v/>
      </c>
    </row>
    <row r="4">
      <c r="A4" s="119" t="inlineStr">
        <is>
          <t>Net Satışlar</t>
        </is>
      </c>
      <c r="B4" s="121" t="inlineStr">
        <is>
          <t>İnci Holding</t>
        </is>
      </c>
      <c r="E4" s="94" t="n">
        <v>9276378.712569615</v>
      </c>
      <c r="F4" s="94" t="n">
        <v>382350115.97649</v>
      </c>
      <c r="G4" s="94" t="n">
        <v>9609600.480900366</v>
      </c>
      <c r="H4" s="94" t="n">
        <v>397638254</v>
      </c>
      <c r="I4" s="94" t="n">
        <v>9300912.26</v>
      </c>
      <c r="J4" s="94" t="n">
        <v>387280326</v>
      </c>
      <c r="K4" s="94" t="n">
        <v>8587722.18688925</v>
      </c>
      <c r="L4" s="94" t="n">
        <v>380393056</v>
      </c>
      <c r="M4" s="94" t="n">
        <v>8547561.541982971</v>
      </c>
      <c r="N4" s="94" t="n">
        <v>378794226</v>
      </c>
      <c r="O4" s="94" t="n">
        <v>8537105.028613834</v>
      </c>
      <c r="P4" s="94" t="n">
        <v>378809311</v>
      </c>
      <c r="Q4" s="94" t="n">
        <v>8329673.554490704</v>
      </c>
      <c r="R4" s="94" t="n">
        <v>375141933</v>
      </c>
      <c r="S4" s="94" t="n">
        <v>8347111.179408607</v>
      </c>
      <c r="T4" s="94" t="n">
        <v>375141933</v>
      </c>
      <c r="U4" s="297" t="n"/>
      <c r="V4" s="297" t="n"/>
      <c r="W4" s="297" t="n"/>
      <c r="X4" s="94" t="n"/>
    </row>
    <row r="5">
      <c r="A5" s="119" t="inlineStr">
        <is>
          <t>Net Satışlar</t>
        </is>
      </c>
      <c r="B5" s="121" t="inlineStr">
        <is>
          <t>İncitaş</t>
        </is>
      </c>
      <c r="E5" s="94" t="n">
        <v>16924412.05101008</v>
      </c>
      <c r="F5" s="94" t="n">
        <v>701005437.357128</v>
      </c>
      <c r="G5" s="94" t="n">
        <v>16964904.36268145</v>
      </c>
      <c r="H5" s="94" t="n">
        <v>704901637.059016</v>
      </c>
      <c r="I5" s="94" t="n">
        <v>14327754</v>
      </c>
      <c r="J5" s="94" t="n">
        <v>597275692.88</v>
      </c>
      <c r="K5" s="94" t="n">
        <v>13229148.41061731</v>
      </c>
      <c r="L5" s="94" t="n">
        <v>587338864.061116</v>
      </c>
      <c r="M5" s="94" t="n">
        <v>13116660.72367465</v>
      </c>
      <c r="N5" s="94" t="n">
        <v>582899685.564882</v>
      </c>
      <c r="O5" s="94" t="n">
        <v>13327052.76846202</v>
      </c>
      <c r="P5" s="94" t="n">
        <v>594278870.691956</v>
      </c>
      <c r="Q5" s="94" t="n">
        <v>12990150.87162829</v>
      </c>
      <c r="R5" s="94" t="n">
        <v>590070217.0995981</v>
      </c>
      <c r="S5" s="94" t="n">
        <v>12844341.44032245</v>
      </c>
      <c r="T5" s="94" t="n">
        <v>582837387.229134</v>
      </c>
      <c r="U5" s="297" t="n"/>
      <c r="V5" s="298" t="n"/>
      <c r="W5" s="297" t="n"/>
      <c r="X5" s="94" t="n"/>
    </row>
    <row r="6">
      <c r="A6" s="119" t="inlineStr">
        <is>
          <t>Net Satışlar</t>
        </is>
      </c>
      <c r="B6" s="121" t="inlineStr">
        <is>
          <t>ISM</t>
        </is>
      </c>
      <c r="E6" s="94" t="n">
        <v>9176774.060355913</v>
      </c>
      <c r="F6" s="94" t="n">
        <v>376557028.87452</v>
      </c>
      <c r="G6" s="94" t="n">
        <v>8940198.471596725</v>
      </c>
      <c r="H6" s="94" t="n">
        <v>367736738.917551</v>
      </c>
      <c r="I6" s="94" t="n">
        <v>8217006.71</v>
      </c>
      <c r="J6" s="94" t="n">
        <v>339311082.75</v>
      </c>
      <c r="K6" s="94" t="n">
        <v>8808601.408289479</v>
      </c>
      <c r="L6" s="94" t="n">
        <v>389504326.791089</v>
      </c>
      <c r="M6" s="94" t="n">
        <v>8223796.586611398</v>
      </c>
      <c r="N6" s="94" t="n">
        <v>361981037</v>
      </c>
      <c r="O6" s="94" t="n">
        <v>8341038.560675971</v>
      </c>
      <c r="P6" s="94" t="n">
        <v>368132992.074722</v>
      </c>
      <c r="Q6" s="94" t="n">
        <v>7796076.75262153</v>
      </c>
      <c r="R6" s="94" t="n">
        <v>347412185.172012</v>
      </c>
      <c r="S6" s="94" t="n">
        <v>7507536.306016924</v>
      </c>
      <c r="T6" s="94" t="n">
        <v>332517635.488833</v>
      </c>
      <c r="U6" s="297" t="n"/>
      <c r="V6" s="298" t="n"/>
      <c r="W6" s="297" t="n"/>
      <c r="X6" s="94" t="n"/>
    </row>
    <row r="7">
      <c r="A7" s="119" t="inlineStr">
        <is>
          <t>Net Satışlar</t>
        </is>
      </c>
      <c r="B7" s="121" t="inlineStr">
        <is>
          <t>Maxion Aluminyum</t>
        </is>
      </c>
      <c r="E7" s="94" t="n">
        <v>269470640.688171</v>
      </c>
      <c r="F7" s="94" t="n">
        <v>11136709536.48416</v>
      </c>
      <c r="G7" s="94" t="n">
        <v>272267861.384607</v>
      </c>
      <c r="H7" s="94" t="n">
        <v>11284501328.67373</v>
      </c>
      <c r="I7" s="94" t="n">
        <v>269448233.55</v>
      </c>
      <c r="J7" s="94" t="n">
        <v>11238849550.52</v>
      </c>
      <c r="K7" s="94" t="n">
        <v>269782093.401661</v>
      </c>
      <c r="L7" s="94" t="n">
        <v>12022639726.57635</v>
      </c>
      <c r="M7" s="94" t="n">
        <v>264267799.02175</v>
      </c>
      <c r="N7" s="94" t="n">
        <v>11767274323.71011</v>
      </c>
      <c r="O7" s="94" t="n">
        <v>256641593.886027</v>
      </c>
      <c r="P7" s="94" t="n">
        <v>11415400674.23416</v>
      </c>
      <c r="Q7" s="94" t="n">
        <v>253598000.867211</v>
      </c>
      <c r="R7" s="94" t="n">
        <v>11483805182.54046</v>
      </c>
      <c r="S7" s="94" t="n">
        <v>253345343.626248</v>
      </c>
      <c r="T7" s="94" t="n">
        <v>11451013081.65355</v>
      </c>
      <c r="U7" s="94" t="n"/>
      <c r="V7" s="94" t="n"/>
      <c r="W7" s="283" t="n"/>
      <c r="X7" s="544" t="n"/>
    </row>
    <row r="8">
      <c r="A8" s="119" t="inlineStr">
        <is>
          <t>Net Satışlar</t>
        </is>
      </c>
      <c r="B8" s="121" t="inlineStr">
        <is>
          <t>Maxion Celik</t>
        </is>
      </c>
      <c r="E8" s="94" t="n">
        <v>85847861.31999999</v>
      </c>
      <c r="F8" s="94" t="n">
        <v>3532983355.926782</v>
      </c>
      <c r="G8" s="94" t="n">
        <v>94934508.900777</v>
      </c>
      <c r="H8" s="94" t="n">
        <v>3921970372.722123</v>
      </c>
      <c r="I8" s="94" t="n">
        <v>94355283.34</v>
      </c>
      <c r="J8" s="94" t="n">
        <v>3921940182.23</v>
      </c>
      <c r="K8" s="94" t="n">
        <v>94161152.553525</v>
      </c>
      <c r="L8" s="94" t="n">
        <v>4164131135.709404</v>
      </c>
      <c r="M8" s="94" t="n">
        <v>94161152.553525</v>
      </c>
      <c r="N8" s="94" t="n">
        <v>4166081920.010062</v>
      </c>
      <c r="O8" s="94" t="n">
        <v>94646152.952185</v>
      </c>
      <c r="P8" s="94" t="n">
        <v>4194176319.387916</v>
      </c>
      <c r="Q8" s="94" t="n">
        <v>94582018.91128901</v>
      </c>
      <c r="R8" s="94" t="n">
        <v>4266933745.123706</v>
      </c>
      <c r="S8" s="94" t="n">
        <v>95763679.463452</v>
      </c>
      <c r="T8" s="94" t="n">
        <v>4315710072.14159</v>
      </c>
      <c r="U8" s="94" t="n"/>
      <c r="V8" s="94" t="n"/>
      <c r="W8" s="283" t="n"/>
      <c r="X8" s="544" t="n"/>
    </row>
    <row r="9">
      <c r="A9" s="119" t="inlineStr">
        <is>
          <t>Net Satışlar</t>
        </is>
      </c>
      <c r="B9" s="121" t="inlineStr">
        <is>
          <t>Maxion Jantas</t>
        </is>
      </c>
      <c r="E9" s="94" t="n">
        <v>132449192.907066</v>
      </c>
      <c r="F9" s="94" t="n">
        <v>5462140396.962664</v>
      </c>
      <c r="G9" s="94" t="n">
        <v>140744000</v>
      </c>
      <c r="H9" s="94" t="n">
        <v>5823620294.902992</v>
      </c>
      <c r="I9" s="94" t="n">
        <v>140821193.01</v>
      </c>
      <c r="J9" s="94" t="n">
        <v>5864750353.77</v>
      </c>
      <c r="K9" s="94" t="n">
        <v>140596280.789216</v>
      </c>
      <c r="L9" s="94" t="n">
        <v>6243569657.50712</v>
      </c>
      <c r="M9" s="94" t="n">
        <v>140742000</v>
      </c>
      <c r="N9" s="94" t="n">
        <v>6250101981.446316</v>
      </c>
      <c r="O9" s="94" t="n">
        <v>138028084.655735</v>
      </c>
      <c r="P9" s="94" t="n">
        <v>6128043576.767896</v>
      </c>
      <c r="Q9" s="94" t="n">
        <v>134805526.864537</v>
      </c>
      <c r="R9" s="94" t="n">
        <v>6075180281.615663</v>
      </c>
      <c r="S9" s="94" t="n">
        <v>135924726.530781</v>
      </c>
      <c r="T9" s="94" t="n">
        <v>6120685213.486792</v>
      </c>
      <c r="U9" s="94" t="n"/>
      <c r="V9" s="94" t="n"/>
      <c r="W9" s="283" t="n"/>
      <c r="X9" s="544" t="n"/>
    </row>
    <row r="10">
      <c r="A10" s="119" t="inlineStr">
        <is>
          <t>Net Satışlar</t>
        </is>
      </c>
      <c r="B10" s="121" t="inlineStr">
        <is>
          <t>Yusen İnci Lojistik</t>
        </is>
      </c>
      <c r="E10" s="94" t="n">
        <v>76750606.98311144</v>
      </c>
      <c r="F10" s="94" t="n">
        <v>3166049824.636129</v>
      </c>
      <c r="G10" s="94" t="n">
        <v>76385073.27954838</v>
      </c>
      <c r="H10" s="94" t="n">
        <v>3160559982.34042</v>
      </c>
      <c r="I10" s="94" t="n">
        <v>76239557.59999999</v>
      </c>
      <c r="J10" s="94" t="n">
        <v>3177150114.83</v>
      </c>
      <c r="K10" s="94" t="n">
        <v>69675252.42494807</v>
      </c>
      <c r="L10" s="94" t="n">
        <v>3094453019.47265</v>
      </c>
      <c r="M10" s="94" t="n">
        <v>68849204.26900633</v>
      </c>
      <c r="N10" s="94" t="n">
        <v>3061003202.490829</v>
      </c>
      <c r="O10" s="94" t="n">
        <v>67920753.23435889</v>
      </c>
      <c r="P10" s="94" t="n">
        <v>3022006386.5263</v>
      </c>
      <c r="Q10" s="94" t="n">
        <v>65560404.21445552</v>
      </c>
      <c r="R10" s="94" t="n">
        <v>2981084427.66907</v>
      </c>
      <c r="S10" s="94" t="n">
        <v>66014098.00486788</v>
      </c>
      <c r="T10" s="94" t="n">
        <v>2984545803.50365</v>
      </c>
      <c r="U10" s="94" t="n"/>
      <c r="V10" s="94" t="n"/>
      <c r="W10" s="298" t="n"/>
      <c r="X10" s="544" t="n"/>
      <c r="Y10" s="545">
        <f>X10/0.4</f>
        <v/>
      </c>
    </row>
    <row r="11">
      <c r="A11" s="119" t="inlineStr">
        <is>
          <t>Satılan Malların Maliyeti</t>
        </is>
      </c>
      <c r="B11" s="121" t="inlineStr">
        <is>
          <t>İnci GS Yuasa</t>
        </is>
      </c>
      <c r="E11" s="94" t="n">
        <v>194236713.3140476</v>
      </c>
      <c r="F11" s="94" t="n">
        <v>8006474940.50894</v>
      </c>
      <c r="G11" s="94" t="n">
        <v>191878190.9476636</v>
      </c>
      <c r="H11" s="94" t="n">
        <v>7944917006.28479</v>
      </c>
      <c r="I11" s="94" t="n">
        <v>181025962.49</v>
      </c>
      <c r="J11" s="94" t="n">
        <v>7539625966.92</v>
      </c>
      <c r="K11" s="94" t="n">
        <v>153292347.5531918</v>
      </c>
      <c r="L11" s="94" t="n">
        <v>6781371070.88181</v>
      </c>
      <c r="M11" s="94" t="n">
        <v>150744324.740729</v>
      </c>
      <c r="N11" s="94" t="n">
        <v>6677443772.99592</v>
      </c>
      <c r="O11" s="94" t="n">
        <v>157690418.2969839</v>
      </c>
      <c r="P11" s="94" t="n">
        <v>7021176313.319511</v>
      </c>
      <c r="Q11" s="94" t="n">
        <v>150314707.8771449</v>
      </c>
      <c r="R11" s="94" t="n">
        <v>6788272547.89476</v>
      </c>
      <c r="S11" s="94" t="n">
        <v>149005133.2102544</v>
      </c>
      <c r="T11" s="94" t="n">
        <v>6724726599.000001</v>
      </c>
      <c r="U11" s="94" t="n"/>
      <c r="V11" s="94" t="n"/>
    </row>
    <row r="12">
      <c r="A12" s="119" t="inlineStr">
        <is>
          <t>Satılan Malların Maliyeti</t>
        </is>
      </c>
      <c r="B12" s="121" t="inlineStr">
        <is>
          <t>İnci Holding</t>
        </is>
      </c>
      <c r="E12" s="94" t="n">
        <v>0</v>
      </c>
      <c r="F12" s="94" t="n">
        <v>0</v>
      </c>
      <c r="G12" s="94" t="n">
        <v>0</v>
      </c>
      <c r="H12" s="94" t="n">
        <v>0</v>
      </c>
      <c r="I12" s="94" t="n">
        <v>0</v>
      </c>
      <c r="J12" s="94" t="n">
        <v>0</v>
      </c>
      <c r="K12" s="94" t="n">
        <v>0</v>
      </c>
      <c r="L12" s="94" t="n">
        <v>0</v>
      </c>
      <c r="M12" s="94" t="n">
        <v>0</v>
      </c>
      <c r="N12" s="94" t="n">
        <v>0</v>
      </c>
      <c r="O12" s="94" t="n">
        <v>0</v>
      </c>
      <c r="P12" s="94" t="n">
        <v>0</v>
      </c>
      <c r="Q12" s="94" t="n">
        <v>0</v>
      </c>
      <c r="R12" s="94" t="n">
        <v>0</v>
      </c>
      <c r="S12" s="94" t="n">
        <v>0</v>
      </c>
      <c r="T12" s="94" t="n">
        <v>0</v>
      </c>
      <c r="U12" s="94" t="n"/>
      <c r="V12" s="94" t="n"/>
    </row>
    <row r="13">
      <c r="A13" s="119" t="inlineStr">
        <is>
          <t>Satılan Malların Maliyeti</t>
        </is>
      </c>
      <c r="B13" s="121" t="inlineStr">
        <is>
          <t>İncitaş</t>
        </is>
      </c>
      <c r="E13" s="94" t="n">
        <v>13750109.99570557</v>
      </c>
      <c r="F13" s="94" t="n">
        <v>569197034.903458</v>
      </c>
      <c r="G13" s="94" t="n">
        <v>13955930.7600297</v>
      </c>
      <c r="H13" s="94" t="n">
        <v>579413731.723455</v>
      </c>
      <c r="I13" s="94" t="n">
        <v>12138977.15</v>
      </c>
      <c r="J13" s="94" t="n">
        <v>505901916.12</v>
      </c>
      <c r="K13" s="94" t="n">
        <v>11189451.31017048</v>
      </c>
      <c r="L13" s="94" t="n">
        <v>496396328.11725</v>
      </c>
      <c r="M13" s="94" t="n">
        <v>11063182.78478278</v>
      </c>
      <c r="N13" s="94" t="n">
        <v>491139691.049141</v>
      </c>
      <c r="O13" s="94" t="n">
        <v>11176009.15406837</v>
      </c>
      <c r="P13" s="94" t="n">
        <v>497630500.548508</v>
      </c>
      <c r="Q13" s="94" t="n">
        <v>10908860.65667483</v>
      </c>
      <c r="R13" s="94" t="n">
        <v>494704973.338273</v>
      </c>
      <c r="S13" s="94" t="n">
        <v>10793526.54500882</v>
      </c>
      <c r="T13" s="94" t="n">
        <v>489055354.316235</v>
      </c>
      <c r="U13" s="94" t="n"/>
      <c r="V13" s="94" t="n"/>
    </row>
    <row r="14">
      <c r="A14" s="119" t="inlineStr">
        <is>
          <t>Satılan Malların Maliyeti</t>
        </is>
      </c>
      <c r="B14" s="121" t="inlineStr">
        <is>
          <t>ISM</t>
        </is>
      </c>
      <c r="E14" s="94" t="n">
        <v>6627846.485503303</v>
      </c>
      <c r="F14" s="94" t="n">
        <v>271017674.47399</v>
      </c>
      <c r="G14" s="94" t="n">
        <v>6504569.981337068</v>
      </c>
      <c r="H14" s="94" t="n">
        <v>266564888.596326</v>
      </c>
      <c r="I14" s="94" t="n">
        <v>6344583.41</v>
      </c>
      <c r="J14" s="94" t="n">
        <v>261477180</v>
      </c>
      <c r="K14" s="94" t="n">
        <v>6609222.794837659</v>
      </c>
      <c r="L14" s="94" t="n">
        <v>290872478.453891</v>
      </c>
      <c r="M14" s="94" t="n">
        <v>6192294.227964736</v>
      </c>
      <c r="N14" s="94" t="n">
        <v>271278695</v>
      </c>
      <c r="O14" s="94" t="n">
        <v>6279261.171568739</v>
      </c>
      <c r="P14" s="94" t="n">
        <v>275844279.367382</v>
      </c>
      <c r="Q14" s="94" t="n">
        <v>5862390.953760497</v>
      </c>
      <c r="R14" s="94" t="n">
        <v>259736596.168122</v>
      </c>
      <c r="S14" s="94" t="n">
        <v>5778829.438253068</v>
      </c>
      <c r="T14" s="94" t="n">
        <v>255366659.139109</v>
      </c>
      <c r="U14" s="94" t="n"/>
      <c r="V14" s="94" t="n"/>
    </row>
    <row r="15">
      <c r="A15" s="119" t="inlineStr">
        <is>
          <t>Satılan Malların Maliyeti</t>
        </is>
      </c>
      <c r="B15" s="121" t="inlineStr">
        <is>
          <t>Maxion Aluminyum</t>
        </is>
      </c>
      <c r="E15" s="94" t="n">
        <v>226632084.536734</v>
      </c>
      <c r="F15" s="94" t="n">
        <v>9356590111.830931</v>
      </c>
      <c r="G15" s="94" t="n">
        <v>227383564.309974</v>
      </c>
      <c r="H15" s="94" t="n">
        <v>9408706453.479881</v>
      </c>
      <c r="I15" s="94" t="n">
        <v>223347270.47</v>
      </c>
      <c r="J15" s="94" t="n">
        <v>9296767857.18</v>
      </c>
      <c r="K15" s="94" t="n">
        <v>223427216.415689</v>
      </c>
      <c r="L15" s="94" t="n">
        <v>9908605113.307968</v>
      </c>
      <c r="M15" s="94" t="n">
        <v>219934849.574302</v>
      </c>
      <c r="N15" s="94" t="n">
        <v>9742565407.956882</v>
      </c>
      <c r="O15" s="94" t="n">
        <v>217857956.950075</v>
      </c>
      <c r="P15" s="94" t="n">
        <v>9652483343.821615</v>
      </c>
      <c r="Q15" s="94" t="n">
        <v>216172841.073951</v>
      </c>
      <c r="R15" s="94" t="n">
        <v>9739107602.832006</v>
      </c>
      <c r="S15" s="94" t="n">
        <v>216496389.201782</v>
      </c>
      <c r="T15" s="94" t="n">
        <v>9737584431.088707</v>
      </c>
      <c r="U15" s="94" t="n"/>
      <c r="V15" s="94" t="n"/>
      <c r="W15" s="94" t="n"/>
      <c r="X15" s="94" t="n"/>
      <c r="Y15" s="94" t="n"/>
      <c r="Z15" s="94" t="n"/>
      <c r="AA15" s="94" t="n"/>
      <c r="AB15" s="94" t="n"/>
      <c r="AC15" s="94" t="n"/>
      <c r="AD15" s="94" t="n"/>
      <c r="AE15" s="94" t="n"/>
      <c r="AF15" s="94" t="n"/>
      <c r="AG15" s="94" t="n"/>
      <c r="AH15" s="94" t="n"/>
    </row>
    <row r="16">
      <c r="A16" s="119" t="inlineStr">
        <is>
          <t>Satılan Malların Maliyeti</t>
        </is>
      </c>
      <c r="B16" s="121" t="inlineStr">
        <is>
          <t>Maxion Celik</t>
        </is>
      </c>
      <c r="E16" s="94" t="n">
        <v>64085466.238551</v>
      </c>
      <c r="F16" s="94" t="n">
        <v>2637213444.55207</v>
      </c>
      <c r="G16" s="94" t="n">
        <v>68188604.90587699</v>
      </c>
      <c r="H16" s="94" t="n">
        <v>2813745042.357553</v>
      </c>
      <c r="I16" s="94" t="n">
        <v>67524303.20999999</v>
      </c>
      <c r="J16" s="94" t="n">
        <v>2802859378.29</v>
      </c>
      <c r="K16" s="94" t="n">
        <v>67482249.03874201</v>
      </c>
      <c r="L16" s="94" t="n">
        <v>2977555638.273252</v>
      </c>
      <c r="M16" s="94" t="n">
        <v>67482249.03874201</v>
      </c>
      <c r="N16" s="94" t="n">
        <v>2978478567.384185</v>
      </c>
      <c r="O16" s="94" t="n">
        <v>67148788.99325401</v>
      </c>
      <c r="P16" s="94" t="n">
        <v>2965850256.02635</v>
      </c>
      <c r="Q16" s="94" t="n">
        <v>67224369.875466</v>
      </c>
      <c r="R16" s="94" t="n">
        <v>3021088811.515805</v>
      </c>
      <c r="S16" s="94" t="n">
        <v>68008808.716645</v>
      </c>
      <c r="T16" s="94" t="n">
        <v>3054488972.944339</v>
      </c>
      <c r="U16" s="94" t="n"/>
      <c r="V16" s="94" t="n"/>
    </row>
    <row r="17">
      <c r="A17" s="119" t="inlineStr">
        <is>
          <t>Satılan Malların Maliyeti</t>
        </is>
      </c>
      <c r="B17" s="121" t="inlineStr">
        <is>
          <t>Maxion Jantas</t>
        </is>
      </c>
      <c r="E17" s="94" t="n">
        <v>110727957.206182</v>
      </c>
      <c r="F17" s="94" t="n">
        <v>4564422427.918847</v>
      </c>
      <c r="G17" s="94" t="n">
        <v>113159000</v>
      </c>
      <c r="H17" s="94" t="n">
        <v>4676098849.373302</v>
      </c>
      <c r="I17" s="94" t="n">
        <v>111910380.35</v>
      </c>
      <c r="J17" s="94" t="n">
        <v>4652528389.46</v>
      </c>
      <c r="K17" s="94" t="n">
        <v>111641342.664376</v>
      </c>
      <c r="L17" s="94" t="n">
        <v>4940663930.993335</v>
      </c>
      <c r="M17" s="94" t="n">
        <v>111180000</v>
      </c>
      <c r="N17" s="94" t="n">
        <v>4916395703.263822</v>
      </c>
      <c r="O17" s="94" t="n">
        <v>109714655.520292</v>
      </c>
      <c r="P17" s="94" t="n">
        <v>4851546349.362881</v>
      </c>
      <c r="Q17" s="94" t="n">
        <v>108602118.008833</v>
      </c>
      <c r="R17" s="94" t="n">
        <v>4875547677.976819</v>
      </c>
      <c r="S17" s="94" t="n">
        <v>109067926.50193</v>
      </c>
      <c r="T17" s="94" t="n">
        <v>4890946730.464875</v>
      </c>
      <c r="U17" s="94" t="n"/>
      <c r="V17" s="94" t="n"/>
    </row>
    <row r="18">
      <c r="A18" s="119" t="inlineStr">
        <is>
          <t>Satılan Malların Maliyeti</t>
        </is>
      </c>
      <c r="B18" s="121" t="inlineStr">
        <is>
          <t>Yusen İnci Lojistik</t>
        </is>
      </c>
      <c r="E18" s="94" t="n">
        <v>61889936.82973883</v>
      </c>
      <c r="F18" s="94" t="n">
        <v>2554245759.15063</v>
      </c>
      <c r="G18" s="94" t="n">
        <v>61628828.95865381</v>
      </c>
      <c r="H18" s="94" t="n">
        <v>2551207910.9418</v>
      </c>
      <c r="I18" s="94" t="n">
        <v>61476425.34</v>
      </c>
      <c r="J18" s="94" t="n">
        <v>2563180093.98</v>
      </c>
      <c r="K18" s="94" t="n">
        <v>56611449.48352249</v>
      </c>
      <c r="L18" s="94" t="n">
        <v>2518350544.35986</v>
      </c>
      <c r="M18" s="94" t="n">
        <v>55704745.3048152</v>
      </c>
      <c r="N18" s="94" t="n">
        <v>2480504184.32481</v>
      </c>
      <c r="O18" s="94" t="n">
        <v>54690236.33097917</v>
      </c>
      <c r="P18" s="94" t="n">
        <v>2436525265.45098</v>
      </c>
      <c r="Q18" s="94" t="n">
        <v>52520862.66669516</v>
      </c>
      <c r="R18" s="94" t="n">
        <v>2391137760.17358</v>
      </c>
      <c r="S18" s="94" t="n">
        <v>52687146.37899836</v>
      </c>
      <c r="T18" s="94" t="n">
        <v>2385206366.44238</v>
      </c>
      <c r="U18" s="94" t="n"/>
      <c r="V18" s="94" t="n"/>
    </row>
    <row r="19">
      <c r="A19" s="119" t="inlineStr">
        <is>
          <t>Brüt Kar</t>
        </is>
      </c>
      <c r="B19" s="121" t="inlineStr">
        <is>
          <t>İnci GS Yuasa</t>
        </is>
      </c>
      <c r="E19" s="94" t="n">
        <v>49542775.23022644</v>
      </c>
      <c r="F19" s="94" t="n">
        <v>2050842946.47006</v>
      </c>
      <c r="G19" s="94" t="n">
        <v>48953530.79880614</v>
      </c>
      <c r="H19" s="94" t="n">
        <v>2039020260.610251</v>
      </c>
      <c r="I19" s="94" t="n">
        <v>38369064.78</v>
      </c>
      <c r="J19" s="94" t="n">
        <v>1602369213.81</v>
      </c>
      <c r="K19" s="94" t="n">
        <v>31673770.81889823</v>
      </c>
      <c r="L19" s="94" t="n">
        <v>1415876948.397751</v>
      </c>
      <c r="M19" s="94" t="n">
        <v>30668690.40359486</v>
      </c>
      <c r="N19" s="94" t="n">
        <v>1374163532.03083</v>
      </c>
      <c r="O19" s="94" t="n">
        <v>30932748.22281275</v>
      </c>
      <c r="P19" s="94" t="n">
        <v>1392348973.053619</v>
      </c>
      <c r="Q19" s="94" t="n">
        <v>29215740.19183736</v>
      </c>
      <c r="R19" s="94" t="n">
        <v>1344085519.53568</v>
      </c>
      <c r="S19" s="94" t="n">
        <v>26026065.56225333</v>
      </c>
      <c r="T19" s="94" t="n">
        <v>1182958970.94389</v>
      </c>
      <c r="U19" s="94" t="n"/>
      <c r="V19" s="94" t="n"/>
    </row>
    <row r="20">
      <c r="A20" s="119" t="inlineStr">
        <is>
          <t>Brüt Kar</t>
        </is>
      </c>
      <c r="B20" s="121" t="inlineStr">
        <is>
          <t>İnci Holding</t>
        </is>
      </c>
      <c r="E20" s="94" t="n">
        <v>9276378.712569615</v>
      </c>
      <c r="F20" s="94" t="n">
        <v>382350115.97649</v>
      </c>
      <c r="G20" s="94" t="n">
        <v>9609600.480900366</v>
      </c>
      <c r="H20" s="94" t="n">
        <v>397638254</v>
      </c>
      <c r="I20" s="94" t="n">
        <v>9300912.26</v>
      </c>
      <c r="J20" s="94" t="n">
        <v>387280326</v>
      </c>
      <c r="K20" s="94" t="n">
        <v>8587722.18688925</v>
      </c>
      <c r="L20" s="94" t="n">
        <v>380393056</v>
      </c>
      <c r="M20" s="94" t="n">
        <v>8547561.541982971</v>
      </c>
      <c r="N20" s="94" t="n">
        <v>378794226</v>
      </c>
      <c r="O20" s="94" t="n">
        <v>8537105.028613834</v>
      </c>
      <c r="P20" s="94" t="n">
        <v>378809311</v>
      </c>
      <c r="Q20" s="94" t="n">
        <v>8329673.554490704</v>
      </c>
      <c r="R20" s="94" t="n">
        <v>375141933</v>
      </c>
      <c r="S20" s="94" t="n">
        <v>8347111.179408607</v>
      </c>
      <c r="T20" s="94" t="n">
        <v>375141933</v>
      </c>
      <c r="U20" s="94" t="n"/>
      <c r="V20" s="94" t="n"/>
    </row>
    <row r="21">
      <c r="A21" s="119" t="inlineStr">
        <is>
          <t>Brüt Kar</t>
        </is>
      </c>
      <c r="B21" s="121" t="inlineStr">
        <is>
          <t>İncitaş</t>
        </is>
      </c>
      <c r="E21" s="94" t="n">
        <v>3174302.055304518</v>
      </c>
      <c r="F21" s="94" t="n">
        <v>131808402.45367</v>
      </c>
      <c r="G21" s="94" t="n">
        <v>3008973.602651747</v>
      </c>
      <c r="H21" s="94" t="n">
        <v>125487905.335561</v>
      </c>
      <c r="I21" s="94" t="n">
        <v>2188776.84</v>
      </c>
      <c r="J21" s="94" t="n">
        <v>91373776.75</v>
      </c>
      <c r="K21" s="94" t="n">
        <v>2039697.100446828</v>
      </c>
      <c r="L21" s="94" t="n">
        <v>90942535.94386595</v>
      </c>
      <c r="M21" s="94" t="n">
        <v>2053477.938891873</v>
      </c>
      <c r="N21" s="94" t="n">
        <v>91759994.51574105</v>
      </c>
      <c r="O21" s="94" t="n">
        <v>2151043.614393653</v>
      </c>
      <c r="P21" s="94" t="n">
        <v>96648370.14344805</v>
      </c>
      <c r="Q21" s="94" t="n">
        <v>2081290.214953464</v>
      </c>
      <c r="R21" s="94" t="n">
        <v>95365243.76132506</v>
      </c>
      <c r="S21" s="94" t="n">
        <v>2050814.895313632</v>
      </c>
      <c r="T21" s="94" t="n">
        <v>93782032.91289896</v>
      </c>
      <c r="U21" s="94" t="n"/>
      <c r="V21" s="94" t="n"/>
    </row>
    <row r="22">
      <c r="A22" s="119" t="inlineStr">
        <is>
          <t>Brüt Kar</t>
        </is>
      </c>
      <c r="B22" s="121" t="inlineStr">
        <is>
          <t>ISM</t>
        </is>
      </c>
      <c r="E22" s="94" t="n">
        <v>2548927.57485261</v>
      </c>
      <c r="F22" s="94" t="n">
        <v>105539354.40053</v>
      </c>
      <c r="G22" s="94" t="n">
        <v>2435628.490259658</v>
      </c>
      <c r="H22" s="94" t="n">
        <v>101171850.321225</v>
      </c>
      <c r="I22" s="94" t="n">
        <v>1872423.3</v>
      </c>
      <c r="J22" s="94" t="n">
        <v>77833902.75</v>
      </c>
      <c r="K22" s="94" t="n">
        <v>2199378.61345182</v>
      </c>
      <c r="L22" s="94" t="n">
        <v>98631848.33719802</v>
      </c>
      <c r="M22" s="94" t="n">
        <v>2031502.358646662</v>
      </c>
      <c r="N22" s="94" t="n">
        <v>90702342</v>
      </c>
      <c r="O22" s="94" t="n">
        <v>2061777.389107232</v>
      </c>
      <c r="P22" s="94" t="n">
        <v>92288712.70734</v>
      </c>
      <c r="Q22" s="94" t="n">
        <v>1933685.798861032</v>
      </c>
      <c r="R22" s="94" t="n">
        <v>87675589.00388998</v>
      </c>
      <c r="S22" s="94" t="n">
        <v>1728706.867763855</v>
      </c>
      <c r="T22" s="94" t="n">
        <v>77150976.34972402</v>
      </c>
      <c r="U22" s="94" t="n"/>
      <c r="V22" s="94" t="n"/>
      <c r="W22" s="94" t="n"/>
    </row>
    <row r="23">
      <c r="A23" s="119" t="inlineStr">
        <is>
          <t>Brüt Kar</t>
        </is>
      </c>
      <c r="B23" s="121" t="inlineStr">
        <is>
          <t>Maxion Aluminyum</t>
        </is>
      </c>
      <c r="E23" s="94" t="n">
        <v>42838556.15143701</v>
      </c>
      <c r="F23" s="94" t="n">
        <v>1780119424.653225</v>
      </c>
      <c r="G23" s="94" t="n">
        <v>44884297.07463302</v>
      </c>
      <c r="H23" s="94" t="n">
        <v>1875794875.193849</v>
      </c>
      <c r="I23" s="94" t="n">
        <v>46100963.07</v>
      </c>
      <c r="J23" s="94" t="n">
        <v>1942081693.34</v>
      </c>
      <c r="K23" s="94" t="n">
        <v>46354876.985972</v>
      </c>
      <c r="L23" s="94" t="n">
        <v>2114034613.268384</v>
      </c>
      <c r="M23" s="94" t="n">
        <v>44332949.44744803</v>
      </c>
      <c r="N23" s="94" t="n">
        <v>2024708915.753229</v>
      </c>
      <c r="O23" s="94" t="n">
        <v>38783636.93595201</v>
      </c>
      <c r="P23" s="94" t="n">
        <v>1762917330.41254</v>
      </c>
      <c r="Q23" s="94" t="n">
        <v>37425159.79326002</v>
      </c>
      <c r="R23" s="94" t="n">
        <v>1744697579.708455</v>
      </c>
      <c r="S23" s="94" t="n">
        <v>36848954.42446601</v>
      </c>
      <c r="T23" s="94" t="n">
        <v>1713428650.564845</v>
      </c>
      <c r="U23" s="94" t="n"/>
      <c r="V23" s="94" t="n"/>
      <c r="W23" s="94" t="n"/>
      <c r="X23" s="94" t="n"/>
      <c r="Y23" s="94" t="n"/>
      <c r="Z23" s="94" t="n"/>
      <c r="AA23" s="94" t="n"/>
      <c r="AB23" s="94" t="n"/>
      <c r="AC23" s="94" t="n"/>
      <c r="AD23" s="94" t="n"/>
      <c r="AE23" s="94" t="n"/>
      <c r="AF23" s="94" t="n"/>
      <c r="AG23" s="94" t="n"/>
      <c r="AH23" s="94" t="n"/>
    </row>
    <row r="24">
      <c r="A24" s="119" t="inlineStr">
        <is>
          <t>Brüt Kar</t>
        </is>
      </c>
      <c r="B24" s="121" t="inlineStr">
        <is>
          <t>Maxion Celik</t>
        </is>
      </c>
      <c r="E24" s="94" t="n">
        <v>21762395.08144899</v>
      </c>
      <c r="F24" s="94" t="n">
        <v>895769911.374712</v>
      </c>
      <c r="G24" s="94" t="n">
        <v>26745903.99490001</v>
      </c>
      <c r="H24" s="94" t="n">
        <v>1108225330.36457</v>
      </c>
      <c r="I24" s="94" t="n">
        <v>26830980.13</v>
      </c>
      <c r="J24" s="94" t="n">
        <v>1119080803.94</v>
      </c>
      <c r="K24" s="94" t="n">
        <v>26678903.514783</v>
      </c>
      <c r="L24" s="94" t="n">
        <v>1186575497.436152</v>
      </c>
      <c r="M24" s="94" t="n">
        <v>26678903.514783</v>
      </c>
      <c r="N24" s="94" t="n">
        <v>1187603352.625877</v>
      </c>
      <c r="O24" s="94" t="n">
        <v>27497363.95893101</v>
      </c>
      <c r="P24" s="94" t="n">
        <v>1228326063.361566</v>
      </c>
      <c r="Q24" s="94" t="n">
        <v>27357649.03582301</v>
      </c>
      <c r="R24" s="94" t="n">
        <v>1245844933.607901</v>
      </c>
      <c r="S24" s="94" t="n">
        <v>27754870.746807</v>
      </c>
      <c r="T24" s="94" t="n">
        <v>1261221099.197251</v>
      </c>
      <c r="U24" s="94" t="n"/>
      <c r="V24" s="94" t="n"/>
    </row>
    <row r="25">
      <c r="A25" s="119" t="inlineStr">
        <is>
          <t>Brüt Kar</t>
        </is>
      </c>
      <c r="B25" s="121" t="inlineStr">
        <is>
          <t>Maxion Jantas</t>
        </is>
      </c>
      <c r="E25" s="94" t="n">
        <v>21721235.700884</v>
      </c>
      <c r="F25" s="94" t="n">
        <v>897717969.0438163</v>
      </c>
      <c r="G25" s="94" t="n">
        <v>27585000</v>
      </c>
      <c r="H25" s="94" t="n">
        <v>1147521445.529689</v>
      </c>
      <c r="I25" s="94" t="n">
        <v>28910812.66</v>
      </c>
      <c r="J25" s="94" t="n">
        <v>1212221964.3</v>
      </c>
      <c r="K25" s="94" t="n">
        <v>28954938.12484</v>
      </c>
      <c r="L25" s="94" t="n">
        <v>1302905726.513786</v>
      </c>
      <c r="M25" s="94" t="n">
        <v>29562000</v>
      </c>
      <c r="N25" s="94" t="n">
        <v>1333706278.182495</v>
      </c>
      <c r="O25" s="94" t="n">
        <v>28313429.13544299</v>
      </c>
      <c r="P25" s="94" t="n">
        <v>1276497227.405015</v>
      </c>
      <c r="Q25" s="94" t="n">
        <v>26203408.85570399</v>
      </c>
      <c r="R25" s="94" t="n">
        <v>1199632603.638843</v>
      </c>
      <c r="S25" s="94" t="n">
        <v>26856800.02885101</v>
      </c>
      <c r="T25" s="94" t="n">
        <v>1229738483.021917</v>
      </c>
      <c r="U25" s="94" t="n"/>
      <c r="V25" s="94" t="n"/>
    </row>
    <row r="26">
      <c r="A26" s="119" t="inlineStr">
        <is>
          <t>Brüt Kar</t>
        </is>
      </c>
      <c r="B26" s="121" t="inlineStr">
        <is>
          <t>Yusen İnci Lojistik</t>
        </is>
      </c>
      <c r="E26" s="94" t="n">
        <v>14860670.15337261</v>
      </c>
      <c r="F26" s="94" t="n">
        <v>611804065.4854995</v>
      </c>
      <c r="G26" s="94" t="n">
        <v>14756244.32089457</v>
      </c>
      <c r="H26" s="94" t="n">
        <v>609352071.3986197</v>
      </c>
      <c r="I26" s="94" t="n">
        <v>14763132.25</v>
      </c>
      <c r="J26" s="94" t="n">
        <v>613970020.85</v>
      </c>
      <c r="K26" s="94" t="n">
        <v>13063802.94142557</v>
      </c>
      <c r="L26" s="94" t="n">
        <v>576102475.1127901</v>
      </c>
      <c r="M26" s="94" t="n">
        <v>13144458.96419113</v>
      </c>
      <c r="N26" s="94" t="n">
        <v>580499018.1660196</v>
      </c>
      <c r="O26" s="94" t="n">
        <v>13230516.90337973</v>
      </c>
      <c r="P26" s="94" t="n">
        <v>585481121.0753199</v>
      </c>
      <c r="Q26" s="94" t="n">
        <v>13039541.54776037</v>
      </c>
      <c r="R26" s="94" t="n">
        <v>589946667.4954894</v>
      </c>
      <c r="S26" s="94" t="n">
        <v>13326951.62586952</v>
      </c>
      <c r="T26" s="94" t="n">
        <v>599339437.0612705</v>
      </c>
      <c r="U26" s="94" t="n"/>
      <c r="V26" s="94" t="n"/>
      <c r="Y26" s="545">
        <f>X26/0.4</f>
        <v/>
      </c>
    </row>
    <row r="27">
      <c r="A27" s="119" t="inlineStr">
        <is>
          <t>Faaliyet Giderleri</t>
        </is>
      </c>
      <c r="B27" s="121" t="inlineStr">
        <is>
          <t>İnci GS Yuasa</t>
        </is>
      </c>
      <c r="E27" s="94" t="n">
        <v>-26572832.1106862</v>
      </c>
      <c r="F27" s="94" t="n">
        <v>-1094826445.68162</v>
      </c>
      <c r="G27" s="94" t="n">
        <v>-26722571.68217971</v>
      </c>
      <c r="H27" s="94" t="n">
        <v>-1104325296.32097</v>
      </c>
      <c r="I27" s="94" t="n">
        <v>-27358685.81</v>
      </c>
      <c r="J27" s="94" t="n">
        <v>-1139372805.86</v>
      </c>
      <c r="K27" s="94" t="n">
        <v>-23396748.39434084</v>
      </c>
      <c r="L27" s="94" t="n">
        <v>-1031766281.71627</v>
      </c>
      <c r="M27" s="94" t="n">
        <v>-23371819.29168883</v>
      </c>
      <c r="N27" s="94" t="n">
        <v>-1031406038.28386</v>
      </c>
      <c r="O27" s="94" t="n">
        <v>-22959871.56198911</v>
      </c>
      <c r="P27" s="94" t="n">
        <v>-1013214424.59592</v>
      </c>
      <c r="Q27" s="94" t="n">
        <v>-22409746.6445232</v>
      </c>
      <c r="R27" s="94" t="n">
        <v>-1002719803.74829</v>
      </c>
      <c r="S27" s="94" t="n">
        <v>-22306896.74231962</v>
      </c>
      <c r="T27" s="94" t="n">
        <v>-996583013.3888479</v>
      </c>
    </row>
    <row r="28">
      <c r="A28" s="119" t="inlineStr">
        <is>
          <t>Faaliyet Giderleri</t>
        </is>
      </c>
      <c r="B28" s="121" t="inlineStr">
        <is>
          <t>İnci Holding</t>
        </is>
      </c>
      <c r="E28" s="94" t="n">
        <v>-5408218.737800148</v>
      </c>
      <c r="F28" s="94" t="n">
        <v>-223385436.896212</v>
      </c>
      <c r="G28" s="94" t="n">
        <v>-5503028.079415485</v>
      </c>
      <c r="H28" s="94" t="n">
        <v>-228144248</v>
      </c>
      <c r="I28" s="94" t="n">
        <v>-5469574.27</v>
      </c>
      <c r="J28" s="94" t="n">
        <v>-228236421</v>
      </c>
      <c r="K28" s="94" t="n">
        <v>-5262523.714415399</v>
      </c>
      <c r="L28" s="94" t="n">
        <v>-234521098.190669</v>
      </c>
      <c r="M28" s="94" t="n">
        <v>-5182296.572716561</v>
      </c>
      <c r="N28" s="94" t="n">
        <v>-230980371</v>
      </c>
      <c r="O28" s="94" t="n">
        <v>-5180521.733205223</v>
      </c>
      <c r="P28" s="94" t="n">
        <v>-231319836</v>
      </c>
      <c r="Q28" s="94" t="n">
        <v>-5153302.12089343</v>
      </c>
      <c r="R28" s="94" t="n">
        <v>-234948681.999423</v>
      </c>
      <c r="S28" s="94" t="n">
        <v>-5149406.119971178</v>
      </c>
      <c r="T28" s="94" t="n">
        <v>-234948681.999423</v>
      </c>
      <c r="V28" s="94" t="n"/>
    </row>
    <row r="29">
      <c r="A29" s="119" t="inlineStr">
        <is>
          <t>Faaliyet Giderleri</t>
        </is>
      </c>
      <c r="B29" s="121" t="inlineStr">
        <is>
          <t>İncitaş</t>
        </is>
      </c>
      <c r="E29" s="94" t="n">
        <v>-2225512.285331644</v>
      </c>
      <c r="F29" s="94" t="n">
        <v>-92283334.740917</v>
      </c>
      <c r="G29" s="94" t="n">
        <v>-2196653.026154182</v>
      </c>
      <c r="H29" s="94" t="n">
        <v>-91412704.094962</v>
      </c>
      <c r="I29" s="94" t="n">
        <v>-2060998.22</v>
      </c>
      <c r="J29" s="94" t="n">
        <v>-86304395.76000001</v>
      </c>
      <c r="K29" s="94" t="n">
        <v>-1646337.244046893</v>
      </c>
      <c r="L29" s="94" t="n">
        <v>-73224282.297316</v>
      </c>
      <c r="M29" s="94" t="n">
        <v>-1662205.027422654</v>
      </c>
      <c r="N29" s="94" t="n">
        <v>-74066929.841378</v>
      </c>
      <c r="O29" s="94" t="n">
        <v>-1701133.200014499</v>
      </c>
      <c r="P29" s="94" t="n">
        <v>-76065935.425219</v>
      </c>
      <c r="Q29" s="94" t="n">
        <v>-1599205.072599099</v>
      </c>
      <c r="R29" s="94" t="n">
        <v>-72473152.513895</v>
      </c>
      <c r="S29" s="94" t="n">
        <v>-1583631.591689961</v>
      </c>
      <c r="T29" s="94" t="n">
        <v>-71647901.852845</v>
      </c>
    </row>
    <row r="30">
      <c r="A30" s="119" t="inlineStr">
        <is>
          <t>Faaliyet Giderleri</t>
        </is>
      </c>
      <c r="B30" s="121" t="inlineStr">
        <is>
          <t>ISM</t>
        </is>
      </c>
      <c r="E30" s="94" t="n">
        <v>-1639517.581041674</v>
      </c>
      <c r="F30" s="94" t="n">
        <v>-67461548.135162</v>
      </c>
      <c r="G30" s="94" t="n">
        <v>-1632114.608720683</v>
      </c>
      <c r="H30" s="94" t="n">
        <v>-67278575.698276</v>
      </c>
      <c r="I30" s="94" t="n">
        <v>-1616998.71</v>
      </c>
      <c r="J30" s="94" t="n">
        <v>-67089017.53</v>
      </c>
      <c r="K30" s="94" t="n">
        <v>-1542506.83543904</v>
      </c>
      <c r="L30" s="94" t="n">
        <v>-67831670.96821401</v>
      </c>
      <c r="M30" s="94" t="n">
        <v>-1622952.794412838</v>
      </c>
      <c r="N30" s="94" t="n">
        <v>-71609553</v>
      </c>
      <c r="O30" s="94" t="n">
        <v>-1631945.776691879</v>
      </c>
      <c r="P30" s="94" t="n">
        <v>-72112720</v>
      </c>
      <c r="Q30" s="94" t="n">
        <v>-1604067.985805823</v>
      </c>
      <c r="R30" s="94" t="n">
        <v>-71856432</v>
      </c>
      <c r="S30" s="94" t="n">
        <v>-1620782.055205316</v>
      </c>
      <c r="T30" s="94" t="n">
        <v>-72560522</v>
      </c>
      <c r="V30" s="94" t="n"/>
      <c r="W30" s="94" t="n"/>
    </row>
    <row r="31">
      <c r="A31" s="119" t="inlineStr">
        <is>
          <t>Faaliyet Giderleri</t>
        </is>
      </c>
      <c r="B31" s="121" t="inlineStr">
        <is>
          <t>Maxion Aluminyum</t>
        </is>
      </c>
      <c r="E31" s="94" t="n">
        <v>-12502730.973313</v>
      </c>
      <c r="F31" s="94" t="n">
        <v>-516713694.8222028</v>
      </c>
      <c r="G31" s="94" t="n">
        <v>-12437582.177862</v>
      </c>
      <c r="H31" s="94" t="n">
        <v>-515346166.491902</v>
      </c>
      <c r="I31" s="94" t="n">
        <v>-12050292.48</v>
      </c>
      <c r="J31" s="94" t="n">
        <v>-502166061.57</v>
      </c>
      <c r="K31" s="94" t="n">
        <v>-12174251.127023</v>
      </c>
      <c r="L31" s="94" t="n">
        <v>-541929728.1249441</v>
      </c>
      <c r="M31" s="94" t="n">
        <v>-11835474.162248</v>
      </c>
      <c r="N31" s="94" t="n">
        <v>-526251675.8989725</v>
      </c>
      <c r="O31" s="94" t="n">
        <v>-11385152.232217</v>
      </c>
      <c r="P31" s="94" t="n">
        <v>-505183388.748343</v>
      </c>
      <c r="Q31" s="94" t="n">
        <v>-11647844.399271</v>
      </c>
      <c r="R31" s="94" t="n">
        <v>-527152546.4770786</v>
      </c>
      <c r="S31" s="94" t="n">
        <v>-11675646.366619</v>
      </c>
      <c r="T31" s="94" t="n">
        <v>-527744533.8063288</v>
      </c>
    </row>
    <row r="32">
      <c r="A32" s="119" t="inlineStr">
        <is>
          <t>Faaliyet Giderleri</t>
        </is>
      </c>
      <c r="B32" s="121" t="inlineStr">
        <is>
          <t>Maxion Celik</t>
        </is>
      </c>
      <c r="E32" s="94" t="n">
        <v>-4774475.466708</v>
      </c>
      <c r="F32" s="94" t="n">
        <v>-196610069.4049279</v>
      </c>
      <c r="G32" s="94" t="n">
        <v>-5043916.253903</v>
      </c>
      <c r="H32" s="94" t="n">
        <v>-208804476.5389495</v>
      </c>
      <c r="I32" s="94" t="n">
        <v>-4893063.61</v>
      </c>
      <c r="J32" s="94" t="n">
        <v>-203677601.02</v>
      </c>
      <c r="K32" s="94" t="n">
        <v>-4977774.729136</v>
      </c>
      <c r="L32" s="94" t="n">
        <v>-220048808.7846737</v>
      </c>
      <c r="M32" s="94" t="n">
        <v>-4977774.729136</v>
      </c>
      <c r="N32" s="94" t="n">
        <v>-220096369.1977216</v>
      </c>
      <c r="O32" s="94" t="n">
        <v>-4944842.289575</v>
      </c>
      <c r="P32" s="94" t="n">
        <v>-218661320.0142284</v>
      </c>
      <c r="Q32" s="94" t="n">
        <v>-4901115.573009</v>
      </c>
      <c r="R32" s="94" t="n">
        <v>-219874236.66787</v>
      </c>
      <c r="S32" s="94" t="n">
        <v>-5003602.687584</v>
      </c>
      <c r="T32" s="94" t="n">
        <v>-224304023.6834511</v>
      </c>
    </row>
    <row r="33">
      <c r="A33" s="119" t="inlineStr">
        <is>
          <t>Faaliyet Giderleri</t>
        </is>
      </c>
      <c r="B33" s="121" t="inlineStr">
        <is>
          <t>Maxion Jantas</t>
        </is>
      </c>
      <c r="E33" s="94" t="n">
        <v>-8460170.812004</v>
      </c>
      <c r="F33" s="94" t="n">
        <v>-348906646.7101395</v>
      </c>
      <c r="G33" s="94" t="n">
        <v>-8734000</v>
      </c>
      <c r="H33" s="94" t="n">
        <v>-361340228.9522997</v>
      </c>
      <c r="I33" s="94" t="n">
        <v>-8522946.02</v>
      </c>
      <c r="J33" s="94" t="n">
        <v>-354601419.2</v>
      </c>
      <c r="K33" s="94" t="n">
        <v>-8521169.361160001</v>
      </c>
      <c r="L33" s="94" t="n">
        <v>-376596747.7426176</v>
      </c>
      <c r="M33" s="94" t="n">
        <v>-8308000</v>
      </c>
      <c r="N33" s="94" t="n">
        <v>-366495539.822033</v>
      </c>
      <c r="O33" s="94" t="n">
        <v>-7954938.066002</v>
      </c>
      <c r="P33" s="94" t="n">
        <v>-349877042.2325981</v>
      </c>
      <c r="Q33" s="94" t="n">
        <v>-7957864.802765</v>
      </c>
      <c r="R33" s="94" t="n">
        <v>-355724390.6129661</v>
      </c>
      <c r="S33" s="94" t="n">
        <v>-7970737.148688</v>
      </c>
      <c r="T33" s="94" t="n">
        <v>-355883283.9234127</v>
      </c>
    </row>
    <row r="34">
      <c r="A34" s="119" t="inlineStr">
        <is>
          <t>Faaliyet Giderleri</t>
        </is>
      </c>
      <c r="B34" s="121" t="inlineStr">
        <is>
          <t>Yusen İnci Lojistik</t>
        </is>
      </c>
      <c r="E34" s="94" t="n">
        <v>-11801973.4813699</v>
      </c>
      <c r="F34" s="94" t="n">
        <v>-486628322.686906</v>
      </c>
      <c r="G34" s="94" t="n">
        <v>-11826856.67059795</v>
      </c>
      <c r="H34" s="94" t="n">
        <v>-489461788.0027351</v>
      </c>
      <c r="I34" s="94" t="n">
        <v>-11505185.31</v>
      </c>
      <c r="J34" s="94" t="n">
        <v>-479677410.62</v>
      </c>
      <c r="K34" s="94" t="n">
        <v>-11080305.15554903</v>
      </c>
      <c r="L34" s="94" t="n">
        <v>-492450284.648795</v>
      </c>
      <c r="M34" s="94" t="n">
        <v>-11156349.23813998</v>
      </c>
      <c r="N34" s="94" t="n">
        <v>-495838273.133291</v>
      </c>
      <c r="O34" s="94" t="n">
        <v>-11034125.53675047</v>
      </c>
      <c r="P34" s="94" t="n">
        <v>-490833843.961196</v>
      </c>
      <c r="Q34" s="94" t="n">
        <v>-10708628.05360305</v>
      </c>
      <c r="R34" s="94" t="n">
        <v>-486306905.1148871</v>
      </c>
      <c r="S34" s="94" t="n">
        <v>-10689942.52332066</v>
      </c>
      <c r="T34" s="94" t="n">
        <v>-481966195.790263</v>
      </c>
    </row>
    <row r="35">
      <c r="A35" s="119" t="inlineStr">
        <is>
          <t>Diğer Faaliyet Giderleri</t>
        </is>
      </c>
      <c r="B35" s="121" t="inlineStr">
        <is>
          <t>İnci GS Yuasa</t>
        </is>
      </c>
    </row>
    <row r="36">
      <c r="A36" s="119" t="inlineStr">
        <is>
          <t>Diğer Faaliyet Giderleri</t>
        </is>
      </c>
      <c r="B36" s="121" t="inlineStr">
        <is>
          <t>İnci Holding</t>
        </is>
      </c>
      <c r="S36" s="94" t="n"/>
      <c r="T36" s="94" t="n"/>
    </row>
    <row r="37">
      <c r="A37" s="119" t="inlineStr">
        <is>
          <t>Diğer Faaliyet Giderleri</t>
        </is>
      </c>
      <c r="B37" s="121" t="inlineStr">
        <is>
          <t>İncitaş</t>
        </is>
      </c>
    </row>
    <row r="38">
      <c r="A38" s="119" t="inlineStr">
        <is>
          <t>Diğer Faaliyet Giderleri</t>
        </is>
      </c>
      <c r="B38" s="121" t="inlineStr">
        <is>
          <t>ISM</t>
        </is>
      </c>
    </row>
    <row r="39">
      <c r="A39" s="119" t="inlineStr">
        <is>
          <t>Diğer Faaliyet Giderleri</t>
        </is>
      </c>
      <c r="B39" s="121" t="inlineStr">
        <is>
          <t>Maxion Aluminyum</t>
        </is>
      </c>
    </row>
    <row r="40">
      <c r="A40" s="119" t="inlineStr">
        <is>
          <t>Diğer Faaliyet Giderleri</t>
        </is>
      </c>
      <c r="B40" s="121" t="inlineStr">
        <is>
          <t>Maxion Celik</t>
        </is>
      </c>
    </row>
    <row r="41">
      <c r="A41" s="119" t="inlineStr">
        <is>
          <t>Diğer Faaliyet Giderleri</t>
        </is>
      </c>
      <c r="B41" s="121" t="inlineStr">
        <is>
          <t>Maxion Jantas</t>
        </is>
      </c>
    </row>
    <row r="42">
      <c r="A42" s="119" t="inlineStr">
        <is>
          <t>Diğer Faaliyet Giderleri</t>
        </is>
      </c>
      <c r="B42" s="121" t="inlineStr">
        <is>
          <t>Yusen İnci Lojistik</t>
        </is>
      </c>
    </row>
    <row r="43">
      <c r="A43" s="119" t="inlineStr">
        <is>
          <t>EBIT</t>
        </is>
      </c>
      <c r="B43" s="121" t="inlineStr">
        <is>
          <t>İnci GS Yuasa</t>
        </is>
      </c>
      <c r="E43" s="94" t="n">
        <v>22969943.11954024</v>
      </c>
      <c r="F43" s="94" t="n">
        <v>956016500.7884403</v>
      </c>
      <c r="G43" s="94" t="n">
        <v>22230959.11662643</v>
      </c>
      <c r="H43" s="94" t="n">
        <v>934694964.2892814</v>
      </c>
      <c r="I43" s="94" t="n">
        <v>11010378.97</v>
      </c>
      <c r="J43" s="94" t="n">
        <v>462996407.95</v>
      </c>
      <c r="K43" s="94" t="n">
        <v>8277022.424557395</v>
      </c>
      <c r="L43" s="94" t="n">
        <v>384110666.6814808</v>
      </c>
      <c r="M43" s="94" t="n">
        <v>7296871.111906031</v>
      </c>
      <c r="N43" s="94" t="n">
        <v>342757493.7469703</v>
      </c>
      <c r="O43" s="94" t="n">
        <v>7972876.66082364</v>
      </c>
      <c r="P43" s="94" t="n">
        <v>379134548.4576986</v>
      </c>
      <c r="Q43" s="94" t="n">
        <v>6805993.547314163</v>
      </c>
      <c r="R43" s="94" t="n">
        <v>341365715.7873899</v>
      </c>
      <c r="S43" s="94" t="n">
        <v>3719168.819933711</v>
      </c>
      <c r="T43" s="94" t="n">
        <v>186375957.5550416</v>
      </c>
      <c r="U43" s="94" t="n"/>
      <c r="V43" s="94" t="n"/>
      <c r="X43" s="94" t="n"/>
      <c r="Y43" s="94">
        <f>V43+V67+V75-V83</f>
        <v/>
      </c>
    </row>
    <row r="44">
      <c r="A44" s="119" t="inlineStr">
        <is>
          <t>EBIT</t>
        </is>
      </c>
      <c r="B44" s="121" t="inlineStr">
        <is>
          <t>İnci Holding</t>
        </is>
      </c>
      <c r="E44" s="94" t="n">
        <v>3868159.974769467</v>
      </c>
      <c r="F44" s="94" t="n">
        <v>158964679.080278</v>
      </c>
      <c r="G44" s="94" t="n">
        <v>4106572.401484881</v>
      </c>
      <c r="H44" s="94" t="n">
        <v>169494006</v>
      </c>
      <c r="I44" s="94" t="n">
        <v>3831337.99</v>
      </c>
      <c r="J44" s="94" t="n">
        <v>159043905</v>
      </c>
      <c r="K44" s="94" t="n">
        <v>3325198.47247385</v>
      </c>
      <c r="L44" s="94" t="n">
        <v>145871957.809331</v>
      </c>
      <c r="M44" s="94" t="n">
        <v>3365264.96926641</v>
      </c>
      <c r="N44" s="94" t="n">
        <v>147813855</v>
      </c>
      <c r="O44" s="94" t="n">
        <v>3356583.29540861</v>
      </c>
      <c r="P44" s="94" t="n">
        <v>147489475</v>
      </c>
      <c r="Q44" s="94">
        <f>Q20+Q28</f>
        <v/>
      </c>
      <c r="R44" s="94">
        <f>R20+R28</f>
        <v/>
      </c>
      <c r="S44" s="94" t="n">
        <v>3197705.059437429</v>
      </c>
      <c r="T44" s="94" t="n">
        <v>140193251.000577</v>
      </c>
      <c r="V44" s="94" t="n"/>
      <c r="X44" s="94" t="n"/>
      <c r="Y44" s="94">
        <f>V44+V68+V76-V84</f>
        <v/>
      </c>
    </row>
    <row r="45">
      <c r="A45" s="119" t="inlineStr">
        <is>
          <t>EBIT</t>
        </is>
      </c>
      <c r="B45" s="121" t="inlineStr">
        <is>
          <t>İncitaş</t>
        </is>
      </c>
      <c r="E45" s="94" t="n">
        <v>948789.7699728743</v>
      </c>
      <c r="F45" s="94" t="n">
        <v>39525067.71275303</v>
      </c>
      <c r="G45" s="94" t="n">
        <v>812320.576497565</v>
      </c>
      <c r="H45" s="94" t="n">
        <v>34075201.24059904</v>
      </c>
      <c r="I45" s="94" t="n">
        <v>127778.62</v>
      </c>
      <c r="J45" s="94" t="n">
        <v>5069380.99</v>
      </c>
      <c r="K45" s="94" t="n">
        <v>393359.8563999347</v>
      </c>
      <c r="L45" s="94" t="n">
        <v>17718253.64654996</v>
      </c>
      <c r="M45" s="94" t="n">
        <v>391272.9114692183</v>
      </c>
      <c r="N45" s="94" t="n">
        <v>17693064.67436305</v>
      </c>
      <c r="O45" s="94" t="n">
        <v>449910.4143791543</v>
      </c>
      <c r="P45" s="94" t="n">
        <v>20582434.71822906</v>
      </c>
      <c r="Q45" s="94" t="n">
        <v>482085.1423543643</v>
      </c>
      <c r="R45" s="94" t="n">
        <v>22892091.24743006</v>
      </c>
      <c r="S45" s="94" t="n">
        <v>467183.3036236712</v>
      </c>
      <c r="T45" s="94" t="n">
        <v>22134131.06005396</v>
      </c>
      <c r="X45" s="94" t="n"/>
      <c r="Y45" s="94">
        <f>V45+V69+V77-V85</f>
        <v/>
      </c>
    </row>
    <row r="46">
      <c r="A46" s="119" t="inlineStr">
        <is>
          <t>EBIT</t>
        </is>
      </c>
      <c r="B46" s="121" t="inlineStr">
        <is>
          <t>ISM</t>
        </is>
      </c>
      <c r="E46" s="94" t="n">
        <v>909409.9938109356</v>
      </c>
      <c r="F46" s="94" t="n">
        <v>38077806.26536798</v>
      </c>
      <c r="G46" s="94" t="n">
        <v>803513.8815389751</v>
      </c>
      <c r="H46" s="94" t="n">
        <v>33893274.62294899</v>
      </c>
      <c r="I46" s="94" t="n">
        <v>255424.59</v>
      </c>
      <c r="J46" s="94" t="n">
        <v>10744885.22</v>
      </c>
      <c r="K46" s="94" t="n">
        <v>656871.7780127795</v>
      </c>
      <c r="L46" s="94" t="n">
        <v>30800177.36898401</v>
      </c>
      <c r="M46" s="94" t="n">
        <v>408549.5642338237</v>
      </c>
      <c r="N46" s="94" t="n">
        <v>19092789</v>
      </c>
      <c r="O46" s="94" t="n">
        <v>429831.6124153533</v>
      </c>
      <c r="P46" s="94" t="n">
        <v>20175992.70734</v>
      </c>
      <c r="Q46" s="94" t="n">
        <v>329617.8130552098</v>
      </c>
      <c r="R46" s="94" t="n">
        <v>15819157.00388998</v>
      </c>
      <c r="S46" s="94" t="n">
        <v>107924.8125585394</v>
      </c>
      <c r="T46" s="94" t="n">
        <v>4590454.349724025</v>
      </c>
      <c r="X46" s="94" t="n"/>
      <c r="Y46" s="94">
        <f>V46+V70+V78-V86</f>
        <v/>
      </c>
    </row>
    <row r="47">
      <c r="A47" s="119" t="inlineStr">
        <is>
          <t>EBIT</t>
        </is>
      </c>
      <c r="B47" s="121" t="inlineStr">
        <is>
          <t>Maxion Aluminyum</t>
        </is>
      </c>
      <c r="E47" s="94" t="n">
        <v>30335825.17812401</v>
      </c>
      <c r="F47" s="94" t="n">
        <v>1263405729.831022</v>
      </c>
      <c r="G47" s="94" t="n">
        <v>32446714.89677101</v>
      </c>
      <c r="H47" s="94" t="n">
        <v>1360448708.701947</v>
      </c>
      <c r="I47" s="94" t="n">
        <v>34050670.59</v>
      </c>
      <c r="J47" s="94" t="n">
        <v>1439915631.77</v>
      </c>
      <c r="K47" s="94" t="n">
        <v>34180625.858949</v>
      </c>
      <c r="L47" s="94" t="n">
        <v>1572104885.14344</v>
      </c>
      <c r="M47" s="94" t="n">
        <v>32497475.28520003</v>
      </c>
      <c r="N47" s="94" t="n">
        <v>1498457239.854256</v>
      </c>
      <c r="O47" s="94" t="n">
        <v>27398484.70373501</v>
      </c>
      <c r="P47" s="94" t="n">
        <v>1257733941.664197</v>
      </c>
      <c r="Q47" s="94" t="n">
        <v>25777315.39398902</v>
      </c>
      <c r="R47" s="94" t="n">
        <v>1217545033.231376</v>
      </c>
      <c r="S47" s="94" t="n">
        <v>25173308.057847</v>
      </c>
      <c r="T47" s="94" t="n">
        <v>1185684116.758516</v>
      </c>
      <c r="X47" s="94" t="n"/>
      <c r="Y47" s="94">
        <f>V47+V71+V79-V87</f>
        <v/>
      </c>
    </row>
    <row r="48">
      <c r="A48" s="119" t="inlineStr">
        <is>
          <t>EBIT</t>
        </is>
      </c>
      <c r="B48" s="121" t="inlineStr">
        <is>
          <t>Maxion Celik</t>
        </is>
      </c>
      <c r="E48" s="94" t="n">
        <v>16987919.61474099</v>
      </c>
      <c r="F48" s="94" t="n">
        <v>699159841.969784</v>
      </c>
      <c r="G48" s="94" t="n">
        <v>21701987.74099701</v>
      </c>
      <c r="H48" s="94" t="n">
        <v>899420853.8256205</v>
      </c>
      <c r="I48" s="94" t="n">
        <v>21937916.52</v>
      </c>
      <c r="J48" s="94" t="n">
        <v>915403202.92</v>
      </c>
      <c r="K48" s="94" t="n">
        <v>21701128.785647</v>
      </c>
      <c r="L48" s="94" t="n">
        <v>966526688.6514783</v>
      </c>
      <c r="M48" s="94" t="n">
        <v>21701128.785647</v>
      </c>
      <c r="N48" s="94" t="n">
        <v>967506983.4281555</v>
      </c>
      <c r="O48" s="94" t="n">
        <v>22552521.669356</v>
      </c>
      <c r="P48" s="94" t="n">
        <v>1009664743.347337</v>
      </c>
      <c r="Q48" s="94" t="n">
        <v>22456533.46281401</v>
      </c>
      <c r="R48" s="94" t="n">
        <v>1025970696.940031</v>
      </c>
      <c r="S48" s="94" t="n">
        <v>22751268.059223</v>
      </c>
      <c r="T48" s="94" t="n">
        <v>1036917075.5138</v>
      </c>
      <c r="X48" s="94" t="n"/>
      <c r="Y48" s="94">
        <f>V48+V72+V80-V88</f>
        <v/>
      </c>
    </row>
    <row r="49">
      <c r="A49" s="119" t="inlineStr">
        <is>
          <t>EBIT</t>
        </is>
      </c>
      <c r="B49" s="121" t="inlineStr">
        <is>
          <t>Maxion Jantas</t>
        </is>
      </c>
      <c r="E49" s="94" t="n">
        <v>13261064.88888</v>
      </c>
      <c r="F49" s="94" t="n">
        <v>548811322.3336768</v>
      </c>
      <c r="G49" s="94" t="n">
        <v>18851000</v>
      </c>
      <c r="H49" s="94" t="n">
        <v>786181216.5773895</v>
      </c>
      <c r="I49" s="94" t="n">
        <v>20387866.64</v>
      </c>
      <c r="J49" s="94" t="n">
        <v>857620545.1</v>
      </c>
      <c r="K49" s="94" t="n">
        <v>20433768.76368</v>
      </c>
      <c r="L49" s="94" t="n">
        <v>926308978.771168</v>
      </c>
      <c r="M49" s="94" t="n">
        <v>21254000</v>
      </c>
      <c r="N49" s="94" t="n">
        <v>967210738.3604616</v>
      </c>
      <c r="O49" s="94" t="n">
        <v>20358491.06944099</v>
      </c>
      <c r="P49" s="94" t="n">
        <v>926620185.1724172</v>
      </c>
      <c r="Q49" s="94" t="n">
        <v>18245544.05293899</v>
      </c>
      <c r="R49" s="94" t="n">
        <v>843908213.0258771</v>
      </c>
      <c r="S49" s="94" t="n">
        <v>18886062.88016301</v>
      </c>
      <c r="T49" s="94" t="n">
        <v>873855199.0985038</v>
      </c>
      <c r="X49" s="94" t="n"/>
      <c r="Y49" s="94">
        <f>V49+V73+V81-V89</f>
        <v/>
      </c>
    </row>
    <row r="50">
      <c r="A50" s="119" t="inlineStr">
        <is>
          <t>EBIT</t>
        </is>
      </c>
      <c r="B50" s="121" t="inlineStr">
        <is>
          <t>Yusen İnci Lojistik</t>
        </is>
      </c>
      <c r="E50" s="94" t="n">
        <v>3058696.67200271</v>
      </c>
      <c r="F50" s="94" t="n">
        <v>125175742.7985935</v>
      </c>
      <c r="G50" s="94" t="n">
        <v>2929387.650296621</v>
      </c>
      <c r="H50" s="94" t="n">
        <v>119890283.3958846</v>
      </c>
      <c r="I50" s="94" t="n">
        <v>3257946.94</v>
      </c>
      <c r="J50" s="94" t="n">
        <v>134292610.23</v>
      </c>
      <c r="K50" s="94" t="n">
        <v>1983497.785876538</v>
      </c>
      <c r="L50" s="94" t="n">
        <v>83652190.46399511</v>
      </c>
      <c r="M50" s="94" t="n">
        <v>1988109.726051148</v>
      </c>
      <c r="N50" s="94" t="n">
        <v>84660745.03272861</v>
      </c>
      <c r="O50" s="94" t="n">
        <v>2196391.366629258</v>
      </c>
      <c r="P50" s="94" t="n">
        <v>94647277.11412393</v>
      </c>
      <c r="Q50" s="94" t="n">
        <v>2330913.494157316</v>
      </c>
      <c r="R50" s="94" t="n">
        <v>103639762.3806024</v>
      </c>
      <c r="S50" s="94" t="n">
        <v>2637009.102548859</v>
      </c>
      <c r="T50" s="94" t="n">
        <v>117373241.2710074</v>
      </c>
      <c r="X50" s="94" t="n"/>
      <c r="Y50" s="94">
        <f>V50+V74+V82-V90</f>
        <v/>
      </c>
      <c r="Z50" s="545">
        <f>X50/0.4</f>
        <v/>
      </c>
    </row>
    <row r="51">
      <c r="A51" s="119" t="inlineStr">
        <is>
          <t>Amortisman</t>
        </is>
      </c>
      <c r="B51" s="121" t="inlineStr">
        <is>
          <t>İnci GS Yuasa</t>
        </is>
      </c>
      <c r="E51" s="94" t="n">
        <v>2568137.848164632</v>
      </c>
      <c r="F51" s="94" t="n">
        <v>105820052.531438</v>
      </c>
      <c r="G51" s="94" t="n">
        <v>2571139.579371452</v>
      </c>
      <c r="H51" s="94" t="n">
        <v>106287608.775372</v>
      </c>
      <c r="I51" s="94" t="n">
        <v>2539709.24</v>
      </c>
      <c r="J51" s="94" t="n">
        <v>105692887.35</v>
      </c>
      <c r="K51" s="94" t="n">
        <v>2580516.829824805</v>
      </c>
      <c r="L51" s="94" t="n">
        <v>114721009.008525</v>
      </c>
      <c r="M51" s="94" t="n">
        <v>2524980.816114106</v>
      </c>
      <c r="N51" s="94" t="n">
        <v>112216774.855498</v>
      </c>
      <c r="O51" s="94" t="n">
        <v>2602998.843927539</v>
      </c>
      <c r="P51" s="94" t="n">
        <v>116172072.380197</v>
      </c>
      <c r="Q51" s="94" t="n">
        <v>2468527.327729721</v>
      </c>
      <c r="R51" s="94" t="n">
        <v>111641943.793157</v>
      </c>
      <c r="S51" s="94" t="n">
        <v>2485005.933721571</v>
      </c>
      <c r="T51" s="94" t="n">
        <v>112310078.191863</v>
      </c>
      <c r="U51" s="94" t="n"/>
      <c r="V51" s="94" t="n"/>
    </row>
    <row r="52">
      <c r="A52" s="119" t="inlineStr">
        <is>
          <t>Amortisman</t>
        </is>
      </c>
      <c r="B52" s="121" t="inlineStr">
        <is>
          <t>İnci Holding</t>
        </is>
      </c>
      <c r="E52" s="94" t="n">
        <v>53369.170697284</v>
      </c>
      <c r="F52" s="94" t="n">
        <v>2194026.723136</v>
      </c>
      <c r="G52" s="94" t="n">
        <v>53223.98600011582</v>
      </c>
      <c r="H52" s="94" t="n">
        <v>2194026.72</v>
      </c>
      <c r="I52" s="94" t="n">
        <v>52869.56</v>
      </c>
      <c r="J52" s="94" t="n">
        <v>2194026.72</v>
      </c>
      <c r="K52" s="94" t="n">
        <v>49774.22363659618</v>
      </c>
      <c r="L52" s="94" t="n">
        <v>2194026.72</v>
      </c>
      <c r="M52" s="94" t="n">
        <v>49819.97043688712</v>
      </c>
      <c r="N52" s="94" t="n">
        <v>2194026.72</v>
      </c>
      <c r="O52" s="94" t="n">
        <v>49819.94641948913</v>
      </c>
      <c r="P52" s="94" t="n">
        <v>2194026.72</v>
      </c>
      <c r="Q52" s="94" t="n">
        <v>49269.66476167769</v>
      </c>
      <c r="R52" s="94" t="n">
        <v>2194026.72</v>
      </c>
      <c r="S52" s="94" t="n">
        <v>49374.96902765363</v>
      </c>
      <c r="T52" s="94" t="n">
        <v>2194026.72</v>
      </c>
      <c r="U52" s="94" t="n"/>
      <c r="V52" s="94" t="n"/>
    </row>
    <row r="53">
      <c r="A53" s="119" t="inlineStr">
        <is>
          <t>Amortisman</t>
        </is>
      </c>
      <c r="B53" s="121" t="inlineStr">
        <is>
          <t>İncitaş</t>
        </is>
      </c>
      <c r="E53" s="94" t="n">
        <v>12018.30389081557</v>
      </c>
      <c r="F53" s="94" t="n">
        <v>502132.605104</v>
      </c>
      <c r="G53" s="94" t="n">
        <v>6363.102175852981</v>
      </c>
      <c r="H53" s="94" t="n">
        <v>262959.01</v>
      </c>
      <c r="I53" s="94" t="n">
        <v>6504.36</v>
      </c>
      <c r="J53" s="94" t="n">
        <v>270632.01</v>
      </c>
      <c r="K53" s="94" t="n">
        <v>6476.003219190004</v>
      </c>
      <c r="L53" s="94" t="n">
        <v>284014.01</v>
      </c>
      <c r="M53" s="94" t="n">
        <v>5450.068181864906</v>
      </c>
      <c r="N53" s="94" t="n">
        <v>234277.01</v>
      </c>
      <c r="O53" s="94" t="n">
        <v>-5467.984315230618</v>
      </c>
      <c r="P53" s="94" t="n">
        <v>-294050.01</v>
      </c>
      <c r="Q53" s="94" t="n">
        <v>6640.208980799199</v>
      </c>
      <c r="R53" s="94" t="n">
        <v>295546.3851</v>
      </c>
      <c r="S53" s="94" t="n">
        <v>6646.451134234543</v>
      </c>
      <c r="T53" s="94" t="n">
        <v>295545.01</v>
      </c>
      <c r="U53" s="94" t="n"/>
      <c r="V53" s="94" t="n"/>
    </row>
    <row r="54">
      <c r="A54" s="119" t="inlineStr">
        <is>
          <t>Amortisman</t>
        </is>
      </c>
      <c r="B54" s="121" t="inlineStr">
        <is>
          <t>ISM</t>
        </is>
      </c>
      <c r="E54" s="94" t="n">
        <v>205120.3793638974</v>
      </c>
      <c r="F54" s="94" t="n">
        <v>8509636.92736</v>
      </c>
      <c r="G54" s="94" t="n">
        <v>198343.5008852418</v>
      </c>
      <c r="H54" s="94" t="n">
        <v>8270561.716978</v>
      </c>
      <c r="I54" s="94" t="n">
        <v>194012.25</v>
      </c>
      <c r="J54" s="94" t="n">
        <v>8149493.91</v>
      </c>
      <c r="K54" s="94" t="n">
        <v>176638.839479421</v>
      </c>
      <c r="L54" s="94" t="n">
        <v>7942856.01</v>
      </c>
      <c r="M54" s="94" t="n">
        <v>173596.9306998348</v>
      </c>
      <c r="N54" s="94" t="n">
        <v>7812693</v>
      </c>
      <c r="O54" s="94" t="n">
        <v>166934.8226343351</v>
      </c>
      <c r="P54" s="94" t="n">
        <v>7509799.640409</v>
      </c>
      <c r="Q54" s="94" t="n">
        <v>160935.0372585927</v>
      </c>
      <c r="R54" s="94" t="n">
        <v>7366251.294448</v>
      </c>
      <c r="S54" s="94" t="n">
        <v>155081.9756109519</v>
      </c>
      <c r="T54" s="94" t="n">
        <v>7064896.948486</v>
      </c>
      <c r="U54" s="94" t="n"/>
      <c r="V54" s="94" t="n"/>
    </row>
    <row r="55">
      <c r="A55" s="119" t="inlineStr">
        <is>
          <t>Amortisman</t>
        </is>
      </c>
      <c r="B55" s="121" t="inlineStr">
        <is>
          <t>Maxion Aluminyum</t>
        </is>
      </c>
      <c r="E55" s="94" t="n">
        <v>7194494.565493</v>
      </c>
      <c r="F55" s="94" t="n">
        <v>295793323.5157867</v>
      </c>
      <c r="G55" s="94" t="n">
        <v>7852467.652798</v>
      </c>
      <c r="H55" s="94" t="n">
        <v>323956472.5109352</v>
      </c>
      <c r="I55" s="94" t="n">
        <v>7873644.49</v>
      </c>
      <c r="J55" s="94" t="n">
        <v>326887172.59</v>
      </c>
      <c r="K55" s="94" t="n">
        <v>7959938.016996</v>
      </c>
      <c r="L55" s="94" t="n">
        <v>351496600.4285399</v>
      </c>
      <c r="M55" s="94" t="n">
        <v>8020408.225703</v>
      </c>
      <c r="N55" s="94" t="n">
        <v>354275944.3188894</v>
      </c>
      <c r="O55" s="94" t="n">
        <v>8119368.102818001</v>
      </c>
      <c r="P55" s="94" t="n">
        <v>359357878.2777922</v>
      </c>
      <c r="Q55" s="94" t="n">
        <v>8229368.845597</v>
      </c>
      <c r="R55" s="94" t="n">
        <v>370462717.6868864</v>
      </c>
      <c r="S55" s="94" t="n">
        <v>8292954.601162</v>
      </c>
      <c r="T55" s="94" t="n">
        <v>373074357.8108604</v>
      </c>
      <c r="U55" s="94" t="n"/>
      <c r="V55" s="94" t="n"/>
    </row>
    <row r="56">
      <c r="A56" s="119" t="inlineStr">
        <is>
          <t>Amortisman</t>
        </is>
      </c>
      <c r="B56" s="121" t="inlineStr">
        <is>
          <t>Maxion Celik</t>
        </is>
      </c>
      <c r="E56" s="94" t="n">
        <v>3152331.670491</v>
      </c>
      <c r="F56" s="94" t="n">
        <v>130352548.6469519</v>
      </c>
      <c r="G56" s="94" t="n">
        <v>3119384.748736</v>
      </c>
      <c r="H56" s="94" t="n">
        <v>129308491.8938207</v>
      </c>
      <c r="I56" s="94" t="n">
        <v>3105662.49</v>
      </c>
      <c r="J56" s="94" t="n">
        <v>129585093.79</v>
      </c>
      <c r="K56" s="94" t="n">
        <v>3093357.274406</v>
      </c>
      <c r="L56" s="94" t="n">
        <v>138052247.2893936</v>
      </c>
      <c r="M56" s="94" t="n">
        <v>3093357.274406</v>
      </c>
      <c r="N56" s="94" t="n">
        <v>138177220.8318342</v>
      </c>
      <c r="O56" s="94" t="n">
        <v>3054951.693395</v>
      </c>
      <c r="P56" s="94" t="n">
        <v>136549682.0624141</v>
      </c>
      <c r="Q56" s="94" t="n">
        <v>3037409.386709</v>
      </c>
      <c r="R56" s="94" t="n">
        <v>138329864.7239572</v>
      </c>
      <c r="S56" s="94" t="n">
        <v>3012604.075422</v>
      </c>
      <c r="T56" s="94" t="n">
        <v>136944775.9531718</v>
      </c>
      <c r="U56" s="94" t="n"/>
      <c r="V56" s="94" t="n"/>
    </row>
    <row r="57">
      <c r="A57" s="119" t="inlineStr">
        <is>
          <t>Amortisman</t>
        </is>
      </c>
      <c r="B57" s="121" t="inlineStr">
        <is>
          <t>Maxion Jantas</t>
        </is>
      </c>
      <c r="E57" s="94" t="n">
        <v>7334274.369632001</v>
      </c>
      <c r="F57" s="94" t="n">
        <v>304644291.8129866</v>
      </c>
      <c r="G57" s="94" t="n">
        <v>5246000</v>
      </c>
      <c r="H57" s="94" t="n">
        <v>217230537.2882174</v>
      </c>
      <c r="I57" s="94" t="n">
        <v>5225029.72</v>
      </c>
      <c r="J57" s="94" t="n">
        <v>217763383.26</v>
      </c>
      <c r="K57" s="94" t="n">
        <v>5222301.854263</v>
      </c>
      <c r="L57" s="94" t="n">
        <v>232495574.0341012</v>
      </c>
      <c r="M57" s="94" t="n">
        <v>5230000</v>
      </c>
      <c r="N57" s="94" t="n">
        <v>233000548.6334592</v>
      </c>
      <c r="O57" s="94" t="n">
        <v>5258913.197122</v>
      </c>
      <c r="P57" s="94" t="n">
        <v>234735909.1627956</v>
      </c>
      <c r="Q57" s="94" t="n">
        <v>5219558.696152</v>
      </c>
      <c r="R57" s="94" t="n">
        <v>237165248.1721151</v>
      </c>
      <c r="S57" s="94" t="n">
        <v>5255460.829252999</v>
      </c>
      <c r="T57" s="94" t="n">
        <v>238730441.2822759</v>
      </c>
      <c r="U57" s="94" t="n"/>
      <c r="V57" s="94" t="n"/>
    </row>
    <row r="58">
      <c r="A58" s="119" t="inlineStr">
        <is>
          <t>Amortisman</t>
        </is>
      </c>
      <c r="B58" s="121" t="inlineStr">
        <is>
          <t>Yusen İnci Lojistik</t>
        </is>
      </c>
      <c r="E58" s="94" t="n">
        <v>2031902.918145727</v>
      </c>
      <c r="F58" s="94" t="n">
        <v>83732221.17542499</v>
      </c>
      <c r="G58" s="94" t="n">
        <v>2102073.44116401</v>
      </c>
      <c r="H58" s="94" t="n">
        <v>86954050.838934</v>
      </c>
      <c r="I58" s="94" t="n">
        <v>1971949.07</v>
      </c>
      <c r="J58" s="94" t="n">
        <v>82006477.29000001</v>
      </c>
      <c r="K58" s="94" t="n">
        <v>1986440.255280399</v>
      </c>
      <c r="L58" s="94" t="n">
        <v>88113487.25605798</v>
      </c>
      <c r="M58" s="94" t="n">
        <v>2020194.990530099</v>
      </c>
      <c r="N58" s="94" t="n">
        <v>89686912.29403</v>
      </c>
      <c r="O58" s="94" t="n">
        <v>2056165.784158875</v>
      </c>
      <c r="P58" s="94" t="n">
        <v>91505757.41735299</v>
      </c>
      <c r="Q58" s="94" t="n">
        <v>2085217.259885064</v>
      </c>
      <c r="R58" s="94" t="n">
        <v>95151935.391922</v>
      </c>
      <c r="S58" s="94" t="n">
        <v>2154865.292010415</v>
      </c>
      <c r="T58" s="94" t="n">
        <v>97521286.31327701</v>
      </c>
      <c r="U58" s="94" t="n"/>
      <c r="V58" s="94" t="n"/>
    </row>
    <row r="59">
      <c r="A59" s="119" t="inlineStr">
        <is>
          <t>EBITDA</t>
        </is>
      </c>
      <c r="B59" s="121" t="inlineStr">
        <is>
          <t>İnci GS Yuasa</t>
        </is>
      </c>
      <c r="E59" s="94" t="n">
        <v>25538080.96770487</v>
      </c>
      <c r="F59" s="94" t="n">
        <v>1061836553.319878</v>
      </c>
      <c r="G59" s="94" t="n">
        <v>24802098.69599788</v>
      </c>
      <c r="H59" s="94" t="n">
        <v>1040982573.064653</v>
      </c>
      <c r="I59" s="94" t="n">
        <v>13550088.21</v>
      </c>
      <c r="J59" s="94" t="n">
        <v>568689295.3</v>
      </c>
      <c r="K59" s="94" t="n">
        <v>10857539.2543822</v>
      </c>
      <c r="L59" s="94" t="n">
        <v>498831675.6900058</v>
      </c>
      <c r="M59" s="94" t="n">
        <v>9821851.928020136</v>
      </c>
      <c r="N59" s="94" t="n">
        <v>454974268.6024683</v>
      </c>
      <c r="O59" s="94" t="n">
        <v>10575875.50475118</v>
      </c>
      <c r="P59" s="94" t="n">
        <v>495306620.8378957</v>
      </c>
      <c r="Q59" s="94" t="n">
        <v>9274520.875043884</v>
      </c>
      <c r="R59" s="94" t="n">
        <v>453007659.5805469</v>
      </c>
      <c r="S59" s="94" t="n">
        <v>6204174.753655281</v>
      </c>
      <c r="T59" s="94" t="n">
        <v>298686035.7469046</v>
      </c>
    </row>
    <row r="60">
      <c r="A60" s="119" t="inlineStr">
        <is>
          <t>EBITDA</t>
        </is>
      </c>
      <c r="B60" s="121" t="inlineStr">
        <is>
          <t>İnci Holding</t>
        </is>
      </c>
      <c r="E60" s="94" t="n">
        <v>3921529.14546675</v>
      </c>
      <c r="F60" s="94" t="n">
        <v>161158705.803414</v>
      </c>
      <c r="G60" s="94" t="n">
        <v>4159796.387484997</v>
      </c>
      <c r="H60" s="94" t="n">
        <v>171688032.72</v>
      </c>
      <c r="I60" s="94" t="n">
        <v>3884207.55</v>
      </c>
      <c r="J60" s="94" t="n">
        <v>161237931.72</v>
      </c>
      <c r="K60" s="94" t="n">
        <v>3374972.696110446</v>
      </c>
      <c r="L60" s="94" t="n">
        <v>148065984.529331</v>
      </c>
      <c r="M60" s="94" t="n">
        <v>3415084.939703297</v>
      </c>
      <c r="N60" s="94" t="n">
        <v>150007881.72</v>
      </c>
      <c r="O60" s="94" t="n">
        <v>3406403.241828099</v>
      </c>
      <c r="P60" s="94" t="n">
        <v>149683501.72</v>
      </c>
      <c r="Q60" s="94">
        <f>Q44+Q52</f>
        <v/>
      </c>
      <c r="R60" s="94">
        <f>R44+R52</f>
        <v/>
      </c>
      <c r="S60" s="94" t="n">
        <v>3247080.028465082</v>
      </c>
      <c r="T60" s="94" t="n">
        <v>142387277.720577</v>
      </c>
      <c r="V60" s="94" t="n"/>
    </row>
    <row r="61">
      <c r="A61" s="119" t="inlineStr">
        <is>
          <t>EBITDA</t>
        </is>
      </c>
      <c r="B61" s="121" t="inlineStr">
        <is>
          <t>İncitaş</t>
        </is>
      </c>
      <c r="E61" s="94" t="n">
        <v>960808.0738636899</v>
      </c>
      <c r="F61" s="94" t="n">
        <v>40027200.31785703</v>
      </c>
      <c r="G61" s="94" t="n">
        <v>818683.678673418</v>
      </c>
      <c r="H61" s="94" t="n">
        <v>34338160.25059903</v>
      </c>
      <c r="I61" s="94" t="n">
        <v>134282.98</v>
      </c>
      <c r="J61" s="94" t="n">
        <v>5340013</v>
      </c>
      <c r="K61" s="94" t="n">
        <v>399835.8596191247</v>
      </c>
      <c r="L61" s="94" t="n">
        <v>18002267.65654996</v>
      </c>
      <c r="M61" s="94" t="n">
        <v>396722.9796510832</v>
      </c>
      <c r="N61" s="94" t="n">
        <v>17927341.68436305</v>
      </c>
      <c r="O61" s="94" t="n">
        <v>455378.398694385</v>
      </c>
      <c r="P61" s="94" t="n">
        <v>20876484.72822906</v>
      </c>
      <c r="Q61" s="94" t="n">
        <v>488725.3513351635</v>
      </c>
      <c r="R61" s="94" t="n">
        <v>23187637.63253006</v>
      </c>
      <c r="S61" s="94" t="n">
        <v>473829.7547579057</v>
      </c>
      <c r="T61" s="94" t="n">
        <v>22429676.07005396</v>
      </c>
    </row>
    <row r="62">
      <c r="A62" s="119" t="inlineStr">
        <is>
          <t>EBITDA</t>
        </is>
      </c>
      <c r="B62" s="121" t="inlineStr">
        <is>
          <t>ISM</t>
        </is>
      </c>
      <c r="E62" s="94" t="n">
        <v>1114530.373174833</v>
      </c>
      <c r="F62" s="94" t="n">
        <v>46587443.19272798</v>
      </c>
      <c r="G62" s="94" t="n">
        <v>1001857.382424217</v>
      </c>
      <c r="H62" s="94" t="n">
        <v>42163836.33992699</v>
      </c>
      <c r="I62" s="94" t="n">
        <v>449436.84</v>
      </c>
      <c r="J62" s="94" t="n">
        <v>18894379.13</v>
      </c>
      <c r="K62" s="94" t="n">
        <v>833510.6174922006</v>
      </c>
      <c r="L62" s="94" t="n">
        <v>38743033.37898401</v>
      </c>
      <c r="M62" s="94" t="n">
        <v>582146.4949336585</v>
      </c>
      <c r="N62" s="94" t="n">
        <v>26905482</v>
      </c>
      <c r="O62" s="94" t="n">
        <v>596766.4350496884</v>
      </c>
      <c r="P62" s="94" t="n">
        <v>27685792.347749</v>
      </c>
      <c r="Q62" s="94" t="n">
        <v>490552.8503138025</v>
      </c>
      <c r="R62" s="94" t="n">
        <v>23185408.29833798</v>
      </c>
      <c r="S62" s="94" t="n">
        <v>263006.7881694913</v>
      </c>
      <c r="T62" s="94" t="n">
        <v>11655351.29821002</v>
      </c>
      <c r="V62" s="94" t="n"/>
      <c r="W62" s="94" t="n"/>
    </row>
    <row r="63">
      <c r="A63" s="119" t="inlineStr">
        <is>
          <t>EBITDA</t>
        </is>
      </c>
      <c r="B63" s="121" t="inlineStr">
        <is>
          <t>Maxion Aluminyum</t>
        </is>
      </c>
      <c r="E63" s="94" t="n">
        <v>37530319.74361701</v>
      </c>
      <c r="F63" s="94" t="n">
        <v>1559199053.346809</v>
      </c>
      <c r="G63" s="94" t="n">
        <v>40299182.54956901</v>
      </c>
      <c r="H63" s="94" t="n">
        <v>1684405181.212882</v>
      </c>
      <c r="I63" s="94" t="n">
        <v>41924315.08</v>
      </c>
      <c r="J63" s="94" t="n">
        <v>1766802804.36</v>
      </c>
      <c r="K63" s="94" t="n">
        <v>42140563.875945</v>
      </c>
      <c r="L63" s="94" t="n">
        <v>1923601485.57198</v>
      </c>
      <c r="M63" s="94" t="n">
        <v>40517883.51090303</v>
      </c>
      <c r="N63" s="94" t="n">
        <v>1852733184.173146</v>
      </c>
      <c r="O63" s="94" t="n">
        <v>35517852.80655301</v>
      </c>
      <c r="P63" s="94" t="n">
        <v>1617091819.94199</v>
      </c>
      <c r="Q63" s="94" t="n">
        <v>34006684.23958602</v>
      </c>
      <c r="R63" s="94" t="n">
        <v>1588007750.918262</v>
      </c>
      <c r="S63" s="94" t="n">
        <v>33466262.65900901</v>
      </c>
      <c r="T63" s="94" t="n">
        <v>1558758474.569376</v>
      </c>
    </row>
    <row r="64">
      <c r="A64" s="119" t="inlineStr">
        <is>
          <t>EBITDA</t>
        </is>
      </c>
      <c r="B64" s="121" t="inlineStr">
        <is>
          <t>Maxion Celik</t>
        </is>
      </c>
      <c r="E64" s="94" t="n">
        <v>20140251.28523199</v>
      </c>
      <c r="F64" s="94" t="n">
        <v>829512390.6167359</v>
      </c>
      <c r="G64" s="94" t="n">
        <v>24821372.48973301</v>
      </c>
      <c r="H64" s="94" t="n">
        <v>1028729345.719441</v>
      </c>
      <c r="I64" s="94" t="n">
        <v>25043579.01</v>
      </c>
      <c r="J64" s="94" t="n">
        <v>1044988296.72</v>
      </c>
      <c r="K64" s="94" t="n">
        <v>24794486.060053</v>
      </c>
      <c r="L64" s="94" t="n">
        <v>1104578935.940872</v>
      </c>
      <c r="M64" s="94" t="n">
        <v>24794486.060053</v>
      </c>
      <c r="N64" s="94" t="n">
        <v>1105684204.25999</v>
      </c>
      <c r="O64" s="94" t="n">
        <v>25607473.362751</v>
      </c>
      <c r="P64" s="94" t="n">
        <v>1146214425.409752</v>
      </c>
      <c r="Q64" s="94" t="n">
        <v>25493942.84952301</v>
      </c>
      <c r="R64" s="94" t="n">
        <v>1164300561.663988</v>
      </c>
      <c r="S64" s="94" t="n">
        <v>25763872.134645</v>
      </c>
      <c r="T64" s="94" t="n">
        <v>1173861851.466972</v>
      </c>
    </row>
    <row r="65">
      <c r="A65" s="119" t="inlineStr">
        <is>
          <t>EBITDA</t>
        </is>
      </c>
      <c r="B65" s="121" t="inlineStr">
        <is>
          <t>Maxion Jantas</t>
        </is>
      </c>
      <c r="E65" s="94" t="n">
        <v>20595339.258512</v>
      </c>
      <c r="F65" s="94" t="n">
        <v>853455614.1466633</v>
      </c>
      <c r="G65" s="94" t="n">
        <v>24097000</v>
      </c>
      <c r="H65" s="94" t="n">
        <v>1003411753.865607</v>
      </c>
      <c r="I65" s="94" t="n">
        <v>25612896.36</v>
      </c>
      <c r="J65" s="94" t="n">
        <v>1075383928.36</v>
      </c>
      <c r="K65" s="94" t="n">
        <v>25656070.617943</v>
      </c>
      <c r="L65" s="94" t="n">
        <v>1158804552.805269</v>
      </c>
      <c r="M65" s="94" t="n">
        <v>26484000</v>
      </c>
      <c r="N65" s="94" t="n">
        <v>1200211286.993921</v>
      </c>
      <c r="O65" s="94" t="n">
        <v>25617404.26656299</v>
      </c>
      <c r="P65" s="94" t="n">
        <v>1161356094.335213</v>
      </c>
      <c r="Q65" s="94" t="n">
        <v>23465102.749091</v>
      </c>
      <c r="R65" s="94" t="n">
        <v>1081073461.197992</v>
      </c>
      <c r="S65" s="94" t="n">
        <v>24141523.70941601</v>
      </c>
      <c r="T65" s="94" t="n">
        <v>1112585640.38078</v>
      </c>
    </row>
    <row r="66">
      <c r="A66" s="119" t="inlineStr">
        <is>
          <t>EBITDA</t>
        </is>
      </c>
      <c r="B66" s="121" t="inlineStr">
        <is>
          <t>Yusen İnci Lojistik</t>
        </is>
      </c>
      <c r="E66" s="94" t="n">
        <v>5090599.590148437</v>
      </c>
      <c r="F66" s="94" t="n">
        <v>208907963.9740185</v>
      </c>
      <c r="G66" s="94" t="n">
        <v>5031461.09146063</v>
      </c>
      <c r="H66" s="94" t="n">
        <v>206844334.2348187</v>
      </c>
      <c r="I66" s="94" t="n">
        <v>5229896.01</v>
      </c>
      <c r="J66" s="94" t="n">
        <v>216299087.52</v>
      </c>
      <c r="K66" s="94" t="n">
        <v>3969938.041156936</v>
      </c>
      <c r="L66" s="94" t="n">
        <v>171765677.7200531</v>
      </c>
      <c r="M66" s="94" t="n">
        <v>4008304.716581247</v>
      </c>
      <c r="N66" s="94" t="n">
        <v>174347657.3267586</v>
      </c>
      <c r="O66" s="94" t="n">
        <v>4252557.150788133</v>
      </c>
      <c r="P66" s="94" t="n">
        <v>186153034.5314769</v>
      </c>
      <c r="Q66" s="94" t="n">
        <v>4416130.75404238</v>
      </c>
      <c r="R66" s="94" t="n">
        <v>198791697.7725244</v>
      </c>
      <c r="S66" s="94" t="n">
        <v>4791874.394559274</v>
      </c>
      <c r="T66" s="94" t="n">
        <v>214894527.5842845</v>
      </c>
      <c r="Z66" s="545">
        <f>X66/0.4</f>
        <v/>
      </c>
    </row>
    <row r="67">
      <c r="A67" s="119" t="inlineStr">
        <is>
          <t>Finansal Gelir Gider</t>
        </is>
      </c>
      <c r="B67" s="121" t="inlineStr">
        <is>
          <t>İnci GS Yuasa</t>
        </is>
      </c>
      <c r="E67" s="94" t="n">
        <v>-21814836.10456994</v>
      </c>
      <c r="F67" s="94" t="n">
        <v>-900287068.828366</v>
      </c>
      <c r="G67" s="94" t="n">
        <v>-21597204.38584727</v>
      </c>
      <c r="H67" s="94" t="n">
        <v>-894564089.1112</v>
      </c>
      <c r="I67" s="94" t="n">
        <v>-27783282.31</v>
      </c>
      <c r="J67" s="94" t="n">
        <v>-1165910578.82</v>
      </c>
      <c r="K67" s="94" t="n">
        <v>-25040225.84676363</v>
      </c>
      <c r="L67" s="94" t="n">
        <v>-1130209464.492182</v>
      </c>
      <c r="M67" s="94" t="n">
        <v>-20408441.44830479</v>
      </c>
      <c r="N67" s="94" t="n">
        <v>-909606850.0944551</v>
      </c>
      <c r="O67" s="94" t="n">
        <v>-23241497.93819884</v>
      </c>
      <c r="P67" s="94" t="n">
        <v>-1047555129.679271</v>
      </c>
      <c r="Q67" s="94" t="n">
        <v>-23562939.84270829</v>
      </c>
      <c r="R67" s="94" t="n">
        <v>-1085345737.28751</v>
      </c>
      <c r="S67" s="94" t="n">
        <v>-24046958.68483453</v>
      </c>
      <c r="T67" s="94" t="n">
        <v>-1110330719.724109</v>
      </c>
      <c r="U67" s="94" t="n"/>
      <c r="V67" s="94" t="n"/>
      <c r="W67" s="94" t="n"/>
      <c r="X67" s="94" t="n"/>
      <c r="Y67" s="94">
        <f>W67/0.4</f>
        <v/>
      </c>
      <c r="Z67" s="94">
        <f>X67/0.4</f>
        <v/>
      </c>
    </row>
    <row r="68">
      <c r="A68" s="119" t="inlineStr">
        <is>
          <t>Finansal Gelir Gider</t>
        </is>
      </c>
      <c r="B68" s="121" t="inlineStr">
        <is>
          <t>İnci Holding</t>
        </is>
      </c>
      <c r="E68" s="94" t="n">
        <v>-1010869.104411</v>
      </c>
      <c r="F68" s="94" t="n">
        <v>-40443037.01041688</v>
      </c>
      <c r="G68" s="94" t="n">
        <v>-1009376.900934068</v>
      </c>
      <c r="H68" s="94" t="n">
        <v>-40219789.09999999</v>
      </c>
      <c r="I68" s="94" t="n">
        <v>-931315.22</v>
      </c>
      <c r="J68" s="94" t="n">
        <v>-36984839</v>
      </c>
      <c r="K68" s="94" t="n">
        <v>-1040833.560534966</v>
      </c>
      <c r="L68" s="94" t="n">
        <v>-37648556</v>
      </c>
      <c r="M68" s="94" t="n">
        <v>-933934.3780017751</v>
      </c>
      <c r="N68" s="94" t="n">
        <v>-37786948.99999999</v>
      </c>
      <c r="O68" s="94" t="n">
        <v>-1014322.616420994</v>
      </c>
      <c r="P68" s="94" t="n">
        <v>-41569632.98637941</v>
      </c>
      <c r="Q68" s="94" t="n">
        <v>-1129121.016971002</v>
      </c>
      <c r="R68" s="94" t="n">
        <v>-42385659.76000001</v>
      </c>
      <c r="S68" s="94" t="n">
        <v>-1129121.016971002</v>
      </c>
      <c r="T68" s="94" t="n">
        <v>-42385659.76000001</v>
      </c>
      <c r="U68" s="94" t="n"/>
      <c r="V68" s="94" t="n"/>
      <c r="W68" s="94" t="n"/>
      <c r="X68" s="94" t="n"/>
      <c r="Y68" s="94" t="n"/>
    </row>
    <row r="69">
      <c r="A69" s="119" t="inlineStr">
        <is>
          <t>Finansal Gelir Gider</t>
        </is>
      </c>
      <c r="B69" s="121" t="inlineStr">
        <is>
          <t>İncitaş</t>
        </is>
      </c>
      <c r="E69" s="94" t="n">
        <v>-597080.080935551</v>
      </c>
      <c r="F69" s="94" t="n">
        <v>-24713873.14637589</v>
      </c>
      <c r="G69" s="94" t="n">
        <v>-519559.2508388761</v>
      </c>
      <c r="H69" s="94" t="n">
        <v>-21513192.91429643</v>
      </c>
      <c r="I69" s="94" t="n">
        <v>-518971.38</v>
      </c>
      <c r="J69" s="94" t="n">
        <v>-21642184.47</v>
      </c>
      <c r="K69" s="94" t="n">
        <v>-487859.7191955385</v>
      </c>
      <c r="L69" s="94" t="n">
        <v>-21704901.70288665</v>
      </c>
      <c r="M69" s="94" t="n">
        <v>-490902.9289547967</v>
      </c>
      <c r="N69" s="94" t="n">
        <v>-21836056.98946809</v>
      </c>
      <c r="O69" s="94" t="n">
        <v>-542280.8754238852</v>
      </c>
      <c r="P69" s="94" t="n">
        <v>-24321868.50111569</v>
      </c>
      <c r="Q69" s="94" t="n">
        <v>-549949.6178370203</v>
      </c>
      <c r="R69" s="94" t="n">
        <v>-25110532.12211116</v>
      </c>
      <c r="S69" s="94" t="n">
        <v>-537933.0322887246</v>
      </c>
      <c r="T69" s="94" t="n">
        <v>-24490651.4289687</v>
      </c>
      <c r="U69" s="94" t="n"/>
      <c r="V69" s="94" t="n"/>
      <c r="W69" s="94" t="n"/>
      <c r="X69" s="94" t="n"/>
    </row>
    <row r="70">
      <c r="A70" s="119" t="inlineStr">
        <is>
          <t>Finansal Gelir Gider</t>
        </is>
      </c>
      <c r="B70" s="121" t="inlineStr">
        <is>
          <t>ISM</t>
        </is>
      </c>
      <c r="E70" s="94" t="n">
        <v>-91639.93590948654</v>
      </c>
      <c r="F70" s="94" t="n">
        <v>-3293628.008746691</v>
      </c>
      <c r="G70" s="94" t="n">
        <v>-259826.9409353839</v>
      </c>
      <c r="H70" s="94" t="n">
        <v>-10191278.02771352</v>
      </c>
      <c r="I70" s="94" t="n">
        <v>-611685.7</v>
      </c>
      <c r="J70" s="94" t="n">
        <v>-25263548.36</v>
      </c>
      <c r="K70" s="94" t="n">
        <v>-626513.158178841</v>
      </c>
      <c r="L70" s="94" t="n">
        <v>-27204153.00243701</v>
      </c>
      <c r="M70" s="94" t="n">
        <v>-1414242.152701113</v>
      </c>
      <c r="N70" s="94" t="n">
        <v>-64840266.03912614</v>
      </c>
      <c r="O70" s="94" t="n">
        <v>-1414783.295336436</v>
      </c>
      <c r="P70" s="94" t="n">
        <v>-65132514.50595359</v>
      </c>
      <c r="Q70" s="94" t="n">
        <v>-1430587.177198214</v>
      </c>
      <c r="R70" s="94" t="n">
        <v>-68085901.08050717</v>
      </c>
      <c r="S70" s="94" t="n">
        <v>-1441478.709778969</v>
      </c>
      <c r="T70" s="94" t="n">
        <v>-68848540.8919083</v>
      </c>
      <c r="U70" s="94" t="n"/>
      <c r="V70" s="94" t="n"/>
      <c r="W70" s="94" t="n"/>
      <c r="X70" s="94" t="n"/>
    </row>
    <row r="71">
      <c r="A71" s="119" t="inlineStr">
        <is>
          <t>Finansal Gelir Gider</t>
        </is>
      </c>
      <c r="B71" s="121" t="inlineStr">
        <is>
          <t>Maxion Aluminyum</t>
        </is>
      </c>
      <c r="E71" s="94" t="n">
        <v>-636530.2436993765</v>
      </c>
      <c r="F71" s="94" t="n">
        <v>-26041637.88347473</v>
      </c>
      <c r="G71" s="94" t="n">
        <v>-713911.2595692289</v>
      </c>
      <c r="H71" s="94" t="n">
        <v>-29182342.08747866</v>
      </c>
      <c r="I71" s="94" t="n">
        <v>-678470.55</v>
      </c>
      <c r="J71" s="94" t="n">
        <v>-27826109.35</v>
      </c>
      <c r="K71" s="94" t="n">
        <v>-678937.059747532</v>
      </c>
      <c r="L71" s="94" t="n">
        <v>-29473359.10215705</v>
      </c>
      <c r="M71" s="94" t="n">
        <v>-690430.3852075411</v>
      </c>
      <c r="N71" s="94" t="n">
        <v>-30003067.80527962</v>
      </c>
      <c r="O71" s="94" t="n">
        <v>-667096.9803953326</v>
      </c>
      <c r="P71" s="94" t="n">
        <v>-28944383.15768946</v>
      </c>
      <c r="Q71" s="94" t="n">
        <v>-567617.8947126464</v>
      </c>
      <c r="R71" s="94" t="n">
        <v>-24710853.88943613</v>
      </c>
      <c r="S71" s="94" t="n">
        <v>-505303.989324316</v>
      </c>
      <c r="T71" s="94" t="n">
        <v>-21663463.92859548</v>
      </c>
      <c r="U71" s="94" t="n"/>
      <c r="V71" s="94" t="n"/>
      <c r="W71" s="94" t="n"/>
      <c r="X71" s="94" t="n"/>
    </row>
    <row r="72">
      <c r="A72" s="119" t="inlineStr">
        <is>
          <t>Finansal Gelir Gider</t>
        </is>
      </c>
      <c r="B72" s="121" t="inlineStr">
        <is>
          <t>Maxion Celik</t>
        </is>
      </c>
      <c r="E72" s="94" t="n">
        <v>-306972.9188824455</v>
      </c>
      <c r="F72" s="94" t="n">
        <v>-13489990.92997755</v>
      </c>
      <c r="G72" s="94" t="n">
        <v>-173258.1858125712</v>
      </c>
      <c r="H72" s="94" t="n">
        <v>-8030743.794299369</v>
      </c>
      <c r="I72" s="94" t="n">
        <v>-52385.84</v>
      </c>
      <c r="J72" s="94" t="n">
        <v>-2981753.99</v>
      </c>
      <c r="K72" s="94" t="n">
        <v>108287.0106390447</v>
      </c>
      <c r="L72" s="94" t="n">
        <v>2920856.385008293</v>
      </c>
      <c r="M72" s="94" t="n">
        <v>108287.0106390447</v>
      </c>
      <c r="N72" s="94" t="n">
        <v>2531028.888621511</v>
      </c>
      <c r="O72" s="94" t="n">
        <v>411467.1492435648</v>
      </c>
      <c r="P72" s="94" t="n">
        <v>16895097.58695566</v>
      </c>
      <c r="Q72" s="94" t="n">
        <v>454425.7602634202</v>
      </c>
      <c r="R72" s="94" t="n">
        <v>18633673.42028021</v>
      </c>
      <c r="S72" s="94" t="n">
        <v>557663.8872093345</v>
      </c>
      <c r="T72" s="94" t="n">
        <v>23686882.97295059</v>
      </c>
      <c r="U72" s="94" t="n"/>
      <c r="V72" s="94" t="n"/>
      <c r="W72" s="94" t="n"/>
      <c r="X72" s="94" t="n"/>
    </row>
    <row r="73">
      <c r="A73" s="119" t="inlineStr">
        <is>
          <t>Finansal Gelir Gider</t>
        </is>
      </c>
      <c r="B73" s="121" t="inlineStr">
        <is>
          <t>Maxion Jantas</t>
        </is>
      </c>
      <c r="E73" s="94" t="n">
        <v>-516841.0318124582</v>
      </c>
      <c r="F73" s="94" t="n">
        <v>-21386991.65484546</v>
      </c>
      <c r="G73" s="94" t="n">
        <v>-479000.0085083556</v>
      </c>
      <c r="H73" s="94" t="n">
        <v>-19833067.57066467</v>
      </c>
      <c r="I73" s="94" t="n">
        <v>-470000.25</v>
      </c>
      <c r="J73" s="94" t="n">
        <v>-19578119.49</v>
      </c>
      <c r="K73" s="94" t="n">
        <v>-456321.1269800325</v>
      </c>
      <c r="L73" s="94" t="n">
        <v>-20444172.99633041</v>
      </c>
      <c r="M73" s="94" t="n">
        <v>-495000.0087926844</v>
      </c>
      <c r="N73" s="94" t="n">
        <v>-22090860.77236029</v>
      </c>
      <c r="O73" s="94" t="n">
        <v>-534378.7077998037</v>
      </c>
      <c r="P73" s="94" t="n">
        <v>-23960510.58114222</v>
      </c>
      <c r="Q73" s="94" t="n">
        <v>-482802.2479236804</v>
      </c>
      <c r="R73" s="94" t="n">
        <v>-21868625.0849626</v>
      </c>
      <c r="S73" s="94" t="n">
        <v>-465799.5215292329</v>
      </c>
      <c r="T73" s="94" t="n">
        <v>-20985389.77465513</v>
      </c>
      <c r="U73" s="94" t="n"/>
      <c r="V73" s="94" t="n"/>
      <c r="W73" s="94" t="n"/>
      <c r="X73" s="94" t="n"/>
    </row>
    <row r="74">
      <c r="A74" s="119" t="inlineStr">
        <is>
          <t>Finansal Gelir Gider</t>
        </is>
      </c>
      <c r="B74" s="121" t="inlineStr">
        <is>
          <t>Yusen İnci Lojistik</t>
        </is>
      </c>
      <c r="E74" s="94" t="n">
        <v>-531246.7475449499</v>
      </c>
      <c r="F74" s="94" t="n">
        <v>-21037537.64043282</v>
      </c>
      <c r="G74" s="94" t="n">
        <v>-540676.5370580641</v>
      </c>
      <c r="H74" s="94" t="n">
        <v>-21235724.34047844</v>
      </c>
      <c r="I74" s="94" t="n">
        <v>-1733903.06</v>
      </c>
      <c r="J74" s="94" t="n">
        <v>-72358638.26000001</v>
      </c>
      <c r="K74" s="94" t="n">
        <v>-654368.5836233022</v>
      </c>
      <c r="L74" s="94" t="n">
        <v>-26495690.6623238</v>
      </c>
      <c r="M74" s="94" t="n">
        <v>-840528.2340251309</v>
      </c>
      <c r="N74" s="94" t="n">
        <v>-34916662.75202733</v>
      </c>
      <c r="O74" s="94" t="n">
        <v>-1012634.437055583</v>
      </c>
      <c r="P74" s="94" t="n">
        <v>-42996838.74583278</v>
      </c>
      <c r="Q74" s="94" t="n">
        <v>-1194446.26194914</v>
      </c>
      <c r="R74" s="94" t="n">
        <v>-52387606.50655535</v>
      </c>
      <c r="S74" s="94" t="n">
        <v>-1396563.372361192</v>
      </c>
      <c r="T74" s="94" t="n">
        <v>-61407244.27741868</v>
      </c>
      <c r="U74" s="94" t="n"/>
      <c r="V74" s="94" t="n"/>
      <c r="W74" s="94" t="n"/>
      <c r="X74" s="94" t="n"/>
      <c r="Y74" s="94" t="n"/>
    </row>
    <row r="75">
      <c r="A75" s="119" t="inlineStr">
        <is>
          <t>Diğer GelirGider</t>
        </is>
      </c>
      <c r="B75" s="121" t="inlineStr">
        <is>
          <t>İnci GS Yuasa</t>
        </is>
      </c>
      <c r="E75" s="94" t="n">
        <v>-6642970.783690084</v>
      </c>
      <c r="F75" s="94" t="n">
        <v>-269672814.892831</v>
      </c>
      <c r="G75" s="94" t="n">
        <v>-7528556.072710501</v>
      </c>
      <c r="H75" s="94" t="n">
        <v>-303819168.102298</v>
      </c>
      <c r="I75" s="94" t="n">
        <v>-7962541.55</v>
      </c>
      <c r="J75" s="94" t="n">
        <v>-323483075.57</v>
      </c>
      <c r="K75" s="94" t="n">
        <v>-10367977.86270422</v>
      </c>
      <c r="L75" s="94" t="n">
        <v>-440767837.61529</v>
      </c>
      <c r="M75" s="94" t="n">
        <v>-11369248.57956536</v>
      </c>
      <c r="N75" s="94" t="n">
        <v>-489936424.321405</v>
      </c>
      <c r="O75" s="94" t="n">
        <v>-11154223.57507564</v>
      </c>
      <c r="P75" s="94" t="n">
        <v>-479810618.053925</v>
      </c>
      <c r="Q75" s="94" t="n">
        <v>-9999768.53324887</v>
      </c>
      <c r="R75" s="94" t="n">
        <v>-426712318.040996</v>
      </c>
      <c r="S75" s="94" t="n">
        <v>-9014003.005977307</v>
      </c>
      <c r="T75" s="94" t="n">
        <v>-374279651.518764</v>
      </c>
      <c r="X75" s="94" t="n"/>
      <c r="Y75" s="94">
        <f>V75/0.4</f>
        <v/>
      </c>
    </row>
    <row r="76">
      <c r="A76" s="119" t="inlineStr">
        <is>
          <t>Diğer GelirGider</t>
        </is>
      </c>
      <c r="B76" s="121" t="inlineStr">
        <is>
          <t>İnci Holding</t>
        </is>
      </c>
      <c r="E76" s="94" t="n">
        <v>529212.6295799718</v>
      </c>
      <c r="F76" s="94" t="n">
        <v>20370017.48909</v>
      </c>
      <c r="G76" s="94" t="n">
        <v>1739581.789706426</v>
      </c>
      <c r="H76" s="94" t="n">
        <v>70251569</v>
      </c>
      <c r="I76" s="94" t="n">
        <v>1585528.04</v>
      </c>
      <c r="J76" s="94" t="n">
        <v>63895879</v>
      </c>
      <c r="K76" s="94" t="n">
        <v>1753197.756847551</v>
      </c>
      <c r="L76" s="94" t="n">
        <v>66818710</v>
      </c>
      <c r="M76" s="94" t="n">
        <v>1602285.620895103</v>
      </c>
      <c r="N76" s="94" t="n">
        <v>65185598</v>
      </c>
      <c r="O76" s="94" t="n">
        <v>1587817.77865918</v>
      </c>
      <c r="P76" s="94" t="n">
        <v>64554882</v>
      </c>
      <c r="Q76" s="94" t="n">
        <v>1642975.626499245</v>
      </c>
      <c r="R76" s="94" t="n">
        <v>67309891</v>
      </c>
      <c r="S76" s="94" t="n">
        <v>1644304.410156171</v>
      </c>
      <c r="T76" s="94" t="n">
        <v>67309889</v>
      </c>
      <c r="U76" s="94" t="n"/>
      <c r="V76" s="94" t="n"/>
      <c r="X76" s="94" t="n"/>
      <c r="Y76" s="94" t="n"/>
    </row>
    <row r="77">
      <c r="A77" s="119" t="inlineStr">
        <is>
          <t>Diğer GelirGider</t>
        </is>
      </c>
      <c r="B77" s="121" t="inlineStr">
        <is>
          <t>İncitaş</t>
        </is>
      </c>
      <c r="E77" s="94" t="n">
        <v>80878.21941476109</v>
      </c>
      <c r="F77" s="94" t="n">
        <v>3339257.183823</v>
      </c>
      <c r="G77" s="94" t="n">
        <v>87094.88022698602</v>
      </c>
      <c r="H77" s="94" t="n">
        <v>3599766.07833</v>
      </c>
      <c r="I77" s="94" t="n">
        <v>86669.19</v>
      </c>
      <c r="J77" s="94" t="n">
        <v>3606409.96</v>
      </c>
      <c r="K77" s="94" t="n">
        <v>85967.21209738954</v>
      </c>
      <c r="L77" s="94" t="n">
        <v>3805725.836314</v>
      </c>
      <c r="M77" s="94" t="n">
        <v>87734.3887202707</v>
      </c>
      <c r="N77" s="94" t="n">
        <v>3892168.716171</v>
      </c>
      <c r="O77" s="94" t="n">
        <v>89660.04585610144</v>
      </c>
      <c r="P77" s="94" t="n">
        <v>4004916.597805</v>
      </c>
      <c r="Q77" s="94" t="n">
        <v>78847.38852984968</v>
      </c>
      <c r="R77" s="94" t="n">
        <v>3548031.278275</v>
      </c>
      <c r="S77" s="94" t="n">
        <v>89780.19617329522</v>
      </c>
      <c r="T77" s="94" t="n">
        <v>4105992.956053</v>
      </c>
    </row>
    <row r="78">
      <c r="A78" s="119" t="inlineStr">
        <is>
          <t>Diğer GelirGider</t>
        </is>
      </c>
      <c r="B78" s="121" t="inlineStr">
        <is>
          <t>ISM</t>
        </is>
      </c>
      <c r="E78" s="94" t="n">
        <v>14284.50961433196</v>
      </c>
      <c r="F78" s="94" t="n">
        <v>611400</v>
      </c>
      <c r="G78" s="94" t="n">
        <v>11889.55782584557</v>
      </c>
      <c r="H78" s="94" t="n">
        <v>509434.86</v>
      </c>
      <c r="I78" s="94" t="n">
        <v>194627.4</v>
      </c>
      <c r="J78" s="94" t="n">
        <v>8311630</v>
      </c>
      <c r="K78" s="94" t="n">
        <v>124406.4933380884</v>
      </c>
      <c r="L78" s="94" t="n">
        <v>5285179.18</v>
      </c>
      <c r="M78" s="94" t="n">
        <v>-185396.8493095614</v>
      </c>
      <c r="N78" s="94" t="n">
        <v>-8726128.960000001</v>
      </c>
      <c r="O78" s="94" t="n">
        <v>-215419.0904649242</v>
      </c>
      <c r="P78" s="94" t="n">
        <v>-10133773.61</v>
      </c>
      <c r="Q78" s="94" t="n">
        <v>-338147.4671386396</v>
      </c>
      <c r="R78" s="94" t="n">
        <v>-15929698.49</v>
      </c>
      <c r="S78" s="94" t="n">
        <v>-374936.946835897</v>
      </c>
      <c r="T78" s="94" t="n">
        <v>-17708787.12</v>
      </c>
    </row>
    <row r="79">
      <c r="A79" s="119" t="inlineStr">
        <is>
          <t>Diğer GelirGider</t>
        </is>
      </c>
      <c r="B79" s="121" t="inlineStr">
        <is>
          <t>Maxion Aluminyum</t>
        </is>
      </c>
      <c r="E79" s="94" t="n">
        <v>-248776.01</v>
      </c>
      <c r="F79" s="94" t="n">
        <v>-9247548.879241865</v>
      </c>
      <c r="G79" s="94" t="n">
        <v>-294500.09</v>
      </c>
      <c r="H79" s="94" t="n">
        <v>-11069647.56736058</v>
      </c>
      <c r="I79" s="94" t="n">
        <v>-265547.26</v>
      </c>
      <c r="J79" s="94" t="n">
        <v>-9834138.34</v>
      </c>
      <c r="K79" s="94" t="n">
        <v>-435623.14</v>
      </c>
      <c r="L79" s="94" t="n">
        <v>-17254439.80442828</v>
      </c>
      <c r="M79" s="94" t="n">
        <v>-394235.37</v>
      </c>
      <c r="N79" s="94" t="n">
        <v>-15382586.43920659</v>
      </c>
      <c r="O79" s="94" t="n">
        <v>-610059.62</v>
      </c>
      <c r="P79" s="94" t="n">
        <v>-25507809.8609711</v>
      </c>
      <c r="Q79" s="94" t="n">
        <v>-440352.4400000001</v>
      </c>
      <c r="R79" s="94" t="n">
        <v>-17480234.88413607</v>
      </c>
      <c r="S79" s="94" t="n">
        <v>-315091</v>
      </c>
      <c r="T79" s="94" t="n">
        <v>-11425353.66048807</v>
      </c>
    </row>
    <row r="80">
      <c r="A80" s="119" t="inlineStr">
        <is>
          <t>Diğer GelirGider</t>
        </is>
      </c>
      <c r="B80" s="121" t="inlineStr">
        <is>
          <t>Maxion Celik</t>
        </is>
      </c>
      <c r="E80" s="94" t="n">
        <v>-7483.023653</v>
      </c>
      <c r="F80" s="94" t="n">
        <v>2925742.184385853</v>
      </c>
      <c r="G80" s="94" t="n">
        <v>-1170153.647568</v>
      </c>
      <c r="H80" s="94" t="n">
        <v>-44861393.57303927</v>
      </c>
      <c r="I80" s="94" t="n">
        <v>-3389941.29</v>
      </c>
      <c r="J80" s="94" t="n">
        <v>-139590196.63</v>
      </c>
      <c r="K80" s="94" t="n">
        <v>-3726024.179726</v>
      </c>
      <c r="L80" s="94" t="n">
        <v>-154221594.117146</v>
      </c>
      <c r="M80" s="94" t="n">
        <v>-3726024.179726</v>
      </c>
      <c r="N80" s="94" t="n">
        <v>-150586451.6748485</v>
      </c>
      <c r="O80" s="94" t="n">
        <v>-5107835.562568</v>
      </c>
      <c r="P80" s="94" t="n">
        <v>-216882657.8819782</v>
      </c>
      <c r="Q80" s="94" t="n">
        <v>-5676107.789194</v>
      </c>
      <c r="R80" s="94" t="n">
        <v>-243946172.3293971</v>
      </c>
      <c r="S80" s="94" t="n">
        <v>-5977220.114568</v>
      </c>
      <c r="T80" s="94" t="n">
        <v>-258403691.5913715</v>
      </c>
    </row>
    <row r="81">
      <c r="A81" s="119" t="inlineStr">
        <is>
          <t>Diğer GelirGider</t>
        </is>
      </c>
      <c r="B81" s="121" t="inlineStr">
        <is>
          <t>Maxion Jantas</t>
        </is>
      </c>
      <c r="E81" s="94" t="n">
        <v>610624.254833</v>
      </c>
      <c r="F81" s="94" t="n">
        <v>23828182.17570953</v>
      </c>
      <c r="G81" s="94" t="n">
        <v>350000</v>
      </c>
      <c r="H81" s="94" t="n">
        <v>13008636.28956838</v>
      </c>
      <c r="I81" s="94" t="n">
        <v>643220.04</v>
      </c>
      <c r="J81" s="94" t="n">
        <v>25488476.57</v>
      </c>
      <c r="K81" s="94" t="n">
        <v>680290.1749209999</v>
      </c>
      <c r="L81" s="94" t="n">
        <v>26817388.19498246</v>
      </c>
      <c r="M81" s="94" t="n">
        <v>41000</v>
      </c>
      <c r="N81" s="94" t="n">
        <v>-3706677.522319318</v>
      </c>
      <c r="O81" s="94" t="n">
        <v>-82880.88158798602</v>
      </c>
      <c r="P81" s="94" t="n">
        <v>-11595731.42911689</v>
      </c>
      <c r="Q81" s="94" t="n">
        <v>-415209.5964280001</v>
      </c>
      <c r="R81" s="94" t="n">
        <v>-25809419.74327386</v>
      </c>
      <c r="S81" s="94" t="n">
        <v>-354093.488523</v>
      </c>
      <c r="T81" s="94" t="n">
        <v>-23067373.70644496</v>
      </c>
    </row>
    <row r="82">
      <c r="A82" s="119" t="inlineStr">
        <is>
          <t>Diğer GelirGider</t>
        </is>
      </c>
      <c r="B82" s="121" t="inlineStr">
        <is>
          <t>Yusen İnci Lojistik</t>
        </is>
      </c>
      <c r="E82" s="94" t="n">
        <v>-1153112.929722636</v>
      </c>
      <c r="F82" s="94" t="n">
        <v>-49043207.09157</v>
      </c>
      <c r="G82" s="94" t="n">
        <v>-980734.6938376579</v>
      </c>
      <c r="H82" s="94" t="n">
        <v>-42648219.32157</v>
      </c>
      <c r="I82" s="94" t="n">
        <v>195287.05</v>
      </c>
      <c r="J82" s="94" t="n">
        <v>7160481.1</v>
      </c>
      <c r="K82" s="94" t="n">
        <v>486982.5319163628</v>
      </c>
      <c r="L82" s="94" t="n">
        <v>19706406.15</v>
      </c>
      <c r="M82" s="94" t="n">
        <v>587904.3138667274</v>
      </c>
      <c r="N82" s="94" t="n">
        <v>24273280.3</v>
      </c>
      <c r="O82" s="94" t="n">
        <v>629229.7604711901</v>
      </c>
      <c r="P82" s="94" t="n">
        <v>26208334.41</v>
      </c>
      <c r="Q82" s="94" t="n">
        <v>667094.5369950036</v>
      </c>
      <c r="R82" s="94" t="n">
        <v>28142662.25</v>
      </c>
      <c r="S82" s="94" t="n">
        <v>721617.9761011038</v>
      </c>
      <c r="T82" s="94" t="n">
        <v>30642326.08</v>
      </c>
    </row>
    <row r="83">
      <c r="A83" s="119" t="inlineStr">
        <is>
          <t>Vergi Öncesi Kar</t>
        </is>
      </c>
      <c r="B83" s="121" t="inlineStr">
        <is>
          <t>İnci GS Yuasa</t>
        </is>
      </c>
      <c r="E83" s="94" t="n">
        <v>-5487863.54500407</v>
      </c>
      <c r="F83" s="94" t="n">
        <v>-213943382.708931</v>
      </c>
      <c r="G83" s="94" t="n">
        <v>-6894801.1177374</v>
      </c>
      <c r="H83" s="94" t="n">
        <v>-263688292.700217</v>
      </c>
      <c r="I83" s="94" t="n">
        <v>24735444.57</v>
      </c>
      <c r="J83" s="94" t="n">
        <v>-1026397246.13</v>
      </c>
      <c r="K83" s="94" t="n">
        <v>-27131180.946467</v>
      </c>
      <c r="L83" s="94" t="n">
        <v>-1186866635.0813</v>
      </c>
      <c r="M83" s="94" t="n">
        <v>-24488580.3010202</v>
      </c>
      <c r="N83" s="94" t="n">
        <v>-1056785780.38646</v>
      </c>
      <c r="O83" s="94" t="n">
        <v>-26431220.3256818</v>
      </c>
      <c r="P83" s="94" t="n">
        <v>-1148231198.96422</v>
      </c>
      <c r="Q83" s="94" t="n">
        <v>-26769171.881849</v>
      </c>
      <c r="R83" s="94" t="n">
        <v>-1170692339.20747</v>
      </c>
      <c r="S83" s="94" t="n">
        <v>-29355247.5444657</v>
      </c>
      <c r="T83" s="94" t="n">
        <v>-1298234413.58766</v>
      </c>
      <c r="U83" s="94" t="n"/>
      <c r="V83" s="94" t="n"/>
      <c r="W83" s="94" t="n"/>
      <c r="X83" s="94" t="n"/>
      <c r="Y83" s="94" t="n"/>
    </row>
    <row r="84">
      <c r="A84" s="119" t="inlineStr">
        <is>
          <t>Vergi Öncesi Kar</t>
        </is>
      </c>
      <c r="B84" s="121" t="inlineStr">
        <is>
          <t>İnci Holding</t>
        </is>
      </c>
      <c r="E84" s="94" t="n">
        <v>3381594.097085792</v>
      </c>
      <c r="F84" s="94" t="n">
        <v>138891659.664726</v>
      </c>
      <c r="G84" s="94" t="n">
        <v>4835245.63114007</v>
      </c>
      <c r="H84" s="94" t="n">
        <v>199525786</v>
      </c>
      <c r="I84" s="94" t="n">
        <v>4485550.47</v>
      </c>
      <c r="J84" s="94" t="n">
        <v>185954945</v>
      </c>
      <c r="K84" s="94" t="n">
        <v>4037562.668800507</v>
      </c>
      <c r="L84" s="94" t="n">
        <v>175042111.8099999</v>
      </c>
      <c r="M84" s="94" t="n">
        <v>4033614.958318715</v>
      </c>
      <c r="N84" s="94" t="n">
        <v>175212503</v>
      </c>
      <c r="O84" s="94" t="n">
        <v>3930078.498989184</v>
      </c>
      <c r="P84" s="94" t="n">
        <v>170474726</v>
      </c>
      <c r="Q84" s="94">
        <f>Q44+Q68+Q76</f>
        <v/>
      </c>
      <c r="R84" s="94">
        <f>R44+R68+R76</f>
        <v/>
      </c>
      <c r="S84" s="94" t="n">
        <v>3807811.510976789</v>
      </c>
      <c r="T84" s="94" t="n">
        <v>165117482.240577</v>
      </c>
      <c r="U84" s="94" t="n"/>
      <c r="V84" s="94" t="n"/>
      <c r="X84" s="94" t="n"/>
      <c r="Y84" s="94" t="n"/>
    </row>
    <row r="85">
      <c r="A85" s="119" t="inlineStr">
        <is>
          <t>Vergi Öncesi Kar</t>
        </is>
      </c>
      <c r="B85" s="121" t="inlineStr">
        <is>
          <t>İncitaş</t>
        </is>
      </c>
      <c r="E85" s="94" t="n">
        <v>432587.9424607059</v>
      </c>
      <c r="F85" s="94" t="n">
        <v>18150451.785457</v>
      </c>
      <c r="G85" s="94" t="n">
        <v>379856.235389552</v>
      </c>
      <c r="H85" s="94" t="n">
        <v>16161774.435152</v>
      </c>
      <c r="I85" s="94" t="n">
        <v>-304523.53</v>
      </c>
      <c r="J85" s="94" t="n">
        <v>-12966393.49</v>
      </c>
      <c r="K85" s="94" t="n">
        <v>-8532.613298568929</v>
      </c>
      <c r="L85" s="94" t="n">
        <v>-180922.183068</v>
      </c>
      <c r="M85" s="94" t="n">
        <v>-11895.59062541178</v>
      </c>
      <c r="N85" s="94" t="n">
        <v>-250823.561473</v>
      </c>
      <c r="O85" s="94" t="n">
        <v>-2710.374419916887</v>
      </c>
      <c r="P85" s="94" t="n">
        <v>265482.855845</v>
      </c>
      <c r="Q85" s="94" t="n">
        <v>10982.95408516393</v>
      </c>
      <c r="R85" s="94" t="n">
        <v>1329590.44615</v>
      </c>
      <c r="S85" s="94" t="n">
        <v>19030.50902020496</v>
      </c>
      <c r="T85" s="94" t="n">
        <v>1749472.629158</v>
      </c>
      <c r="U85" s="94" t="n"/>
      <c r="V85" s="94" t="n"/>
      <c r="X85" s="94" t="n"/>
      <c r="Y85" s="94" t="n"/>
    </row>
    <row r="86">
      <c r="A86" s="119" t="inlineStr">
        <is>
          <t>Vergi Öncesi Kar</t>
        </is>
      </c>
      <c r="B86" s="121" t="inlineStr">
        <is>
          <t>ISM</t>
        </is>
      </c>
      <c r="E86" s="94" t="n">
        <v>832054.5726724154</v>
      </c>
      <c r="F86" s="94" t="n">
        <v>35395578.265368</v>
      </c>
      <c r="G86" s="94" t="n">
        <v>555576.5163325379</v>
      </c>
      <c r="H86" s="94" t="n">
        <v>24211431.252953</v>
      </c>
      <c r="I86" s="94" t="n">
        <v>-161527.08</v>
      </c>
      <c r="J86" s="94" t="n">
        <v>-6207033.07</v>
      </c>
      <c r="K86" s="94" t="n">
        <v>154941.2848060711</v>
      </c>
      <c r="L86" s="94" t="n">
        <v>8881203.616389999</v>
      </c>
      <c r="M86" s="94" t="n">
        <v>-1190907.302027978</v>
      </c>
      <c r="N86" s="94" t="n">
        <v>-54473605.82</v>
      </c>
      <c r="O86" s="94" t="n">
        <v>-1200183.720070818</v>
      </c>
      <c r="P86" s="94" t="n">
        <v>-55090295.231686</v>
      </c>
      <c r="Q86" s="94" t="n">
        <v>-1438897.057441882</v>
      </c>
      <c r="R86" s="94" t="n">
        <v>-68196442.370637</v>
      </c>
      <c r="S86" s="94" t="n">
        <v>-1708263.065833809</v>
      </c>
      <c r="T86" s="94" t="n">
        <v>-81966873.45513199</v>
      </c>
      <c r="U86" s="94" t="n"/>
      <c r="V86" s="94" t="n"/>
      <c r="X86" s="94" t="n"/>
      <c r="Y86" s="94" t="n"/>
    </row>
    <row r="87">
      <c r="A87" s="119" t="inlineStr">
        <is>
          <t>Vergi Öncesi Kar</t>
        </is>
      </c>
      <c r="B87" s="121" t="inlineStr">
        <is>
          <t>Maxion Aluminyum</t>
        </is>
      </c>
      <c r="E87" s="94" t="n">
        <v>29450518.930331</v>
      </c>
      <c r="F87" s="94" t="n">
        <v>1228116543.074193</v>
      </c>
      <c r="G87" s="94" t="n">
        <v>31444330.893757</v>
      </c>
      <c r="H87" s="94" t="n">
        <v>1320436907.774851</v>
      </c>
      <c r="I87" s="94" t="n">
        <v>33112680.12</v>
      </c>
      <c r="J87" s="94" t="n">
        <v>1402495572.8</v>
      </c>
      <c r="K87" s="94" t="n">
        <v>33072093.005493</v>
      </c>
      <c r="L87" s="94" t="n">
        <v>1525617274.964263</v>
      </c>
      <c r="M87" s="94" t="n">
        <v>31418836.876524</v>
      </c>
      <c r="N87" s="94" t="n">
        <v>1453311774.337423</v>
      </c>
      <c r="O87" s="94" t="n">
        <v>26127355.44983801</v>
      </c>
      <c r="P87" s="94" t="n">
        <v>1203521937.373154</v>
      </c>
      <c r="Q87" s="94" t="n">
        <v>24775372.404872</v>
      </c>
      <c r="R87" s="94" t="n">
        <v>1175594133.184462</v>
      </c>
      <c r="S87" s="94" t="n">
        <v>24365530.183508</v>
      </c>
      <c r="T87" s="94" t="n">
        <v>1153154023.868157</v>
      </c>
      <c r="U87" s="94" t="n"/>
      <c r="V87" s="94" t="n"/>
      <c r="X87" s="94" t="n"/>
      <c r="Y87" s="94" t="n"/>
    </row>
    <row r="88">
      <c r="A88" s="119" t="inlineStr">
        <is>
          <t>Vergi Öncesi Kar</t>
        </is>
      </c>
      <c r="B88" s="121" t="inlineStr">
        <is>
          <t>Maxion Celik</t>
        </is>
      </c>
      <c r="E88" s="94" t="n">
        <v>16673463.679524</v>
      </c>
      <c r="F88" s="94" t="n">
        <v>688595593.1654795</v>
      </c>
      <c r="G88" s="94" t="n">
        <v>20358575.912179</v>
      </c>
      <c r="H88" s="94" t="n">
        <v>847050841.0740906</v>
      </c>
      <c r="I88" s="94" t="n">
        <v>18495589.39</v>
      </c>
      <c r="J88" s="94" t="n">
        <v>773389140.28</v>
      </c>
      <c r="K88" s="94" t="n">
        <v>18083391.613685</v>
      </c>
      <c r="L88" s="94" t="n">
        <v>815783867.2073599</v>
      </c>
      <c r="M88" s="94" t="n">
        <v>18083391.613685</v>
      </c>
      <c r="N88" s="94" t="n">
        <v>820009479.9928852</v>
      </c>
      <c r="O88" s="94" t="n">
        <v>17856153.245164</v>
      </c>
      <c r="P88" s="94" t="n">
        <v>810235094.4690579</v>
      </c>
      <c r="Q88" s="94" t="n">
        <v>17234844.281872</v>
      </c>
      <c r="R88" s="94" t="n">
        <v>801215771.7068651</v>
      </c>
      <c r="S88" s="94" t="n">
        <v>17331704.677306</v>
      </c>
      <c r="T88" s="94" t="n">
        <v>802757815.8195016</v>
      </c>
      <c r="U88" s="94" t="n"/>
      <c r="V88" s="94" t="n"/>
      <c r="X88" s="94" t="n"/>
      <c r="Y88" s="94" t="n"/>
    </row>
    <row r="89">
      <c r="A89" s="119" t="inlineStr">
        <is>
          <t>Vergi Öncesi Kar</t>
        </is>
      </c>
      <c r="B89" s="121" t="inlineStr">
        <is>
          <t>Maxion Jantas</t>
        </is>
      </c>
      <c r="E89" s="94" t="n">
        <v>13355041.411656</v>
      </c>
      <c r="F89" s="94" t="n">
        <v>550805237.7142087</v>
      </c>
      <c r="G89" s="94" t="n">
        <v>18731000</v>
      </c>
      <c r="H89" s="94" t="n">
        <v>779261638.7273947</v>
      </c>
      <c r="I89" s="94" t="n">
        <v>20580986.33</v>
      </c>
      <c r="J89" s="94" t="n">
        <v>863900817.51</v>
      </c>
      <c r="K89" s="94" t="n">
        <v>20679179.109735</v>
      </c>
      <c r="L89" s="94" t="n">
        <v>933119359.5870304</v>
      </c>
      <c r="M89" s="94" t="n">
        <v>20842000</v>
      </c>
      <c r="N89" s="94" t="n">
        <v>942780906.3441864</v>
      </c>
      <c r="O89" s="94" t="n">
        <v>19741231.489732</v>
      </c>
      <c r="P89" s="94" t="n">
        <v>892532023.1023319</v>
      </c>
      <c r="Q89" s="94" t="n">
        <v>17394857.98754</v>
      </c>
      <c r="R89" s="94" t="n">
        <v>797848674.8377538</v>
      </c>
      <c r="S89" s="94" t="n">
        <v>18113913.048678</v>
      </c>
      <c r="T89" s="94" t="n">
        <v>831441118.5174694</v>
      </c>
      <c r="U89" s="94" t="n"/>
      <c r="V89" s="94" t="n"/>
      <c r="X89" s="94" t="n"/>
      <c r="Y89" s="94" t="n"/>
    </row>
    <row r="90">
      <c r="A90" s="119" t="inlineStr">
        <is>
          <t>Vergi Öncesi Kar</t>
        </is>
      </c>
      <c r="B90" s="121" t="inlineStr">
        <is>
          <t>Yusen İnci Lojistik</t>
        </is>
      </c>
      <c r="E90" s="94" t="n">
        <v>1374337.012039528</v>
      </c>
      <c r="F90" s="94" t="n">
        <v>55094998.083207</v>
      </c>
      <c r="G90" s="94" t="n">
        <v>1407976.43709673</v>
      </c>
      <c r="H90" s="94" t="n">
        <v>56006339.750637</v>
      </c>
      <c r="I90" s="94" t="n">
        <v>1719330.99</v>
      </c>
      <c r="J90" s="94" t="n">
        <v>69094453.13</v>
      </c>
      <c r="K90" s="94" t="n">
        <v>1816111.757648709</v>
      </c>
      <c r="L90" s="94" t="n">
        <v>76862905.97307099</v>
      </c>
      <c r="M90" s="94" t="n">
        <v>1735485.836413301</v>
      </c>
      <c r="N90" s="94" t="n">
        <v>74017362.60921501</v>
      </c>
      <c r="O90" s="94" t="n">
        <v>1812986.727317488</v>
      </c>
      <c r="P90" s="94" t="n">
        <v>77858772.81386</v>
      </c>
      <c r="Q90" s="94" t="n">
        <v>1803561.814750761</v>
      </c>
      <c r="R90" s="94" t="n">
        <v>79394818.167981</v>
      </c>
      <c r="S90" s="94" t="n">
        <v>1962063.759177715</v>
      </c>
      <c r="T90" s="94" t="n">
        <v>86608323.12503099</v>
      </c>
      <c r="U90" s="94" t="n"/>
      <c r="V90" s="94" t="n"/>
      <c r="X90" s="94" t="n"/>
      <c r="Y90" s="94" t="n"/>
    </row>
    <row r="91">
      <c r="A91" s="119" t="inlineStr">
        <is>
          <t>Vergi</t>
        </is>
      </c>
      <c r="B91" s="121" t="inlineStr">
        <is>
          <t>İnci GS Yuasa</t>
        </is>
      </c>
      <c r="E91" s="94" t="n">
        <v>0</v>
      </c>
      <c r="F91" s="94" t="n">
        <v>0</v>
      </c>
      <c r="G91" s="94" t="n">
        <v>0</v>
      </c>
      <c r="H91" s="94" t="n">
        <v>0</v>
      </c>
      <c r="I91" s="94" t="n">
        <v>0</v>
      </c>
      <c r="J91" s="94" t="n">
        <v>0</v>
      </c>
      <c r="K91" s="94" t="n">
        <v>0</v>
      </c>
      <c r="L91" s="94" t="n">
        <v>0</v>
      </c>
      <c r="M91" s="94" t="n">
        <v>0</v>
      </c>
      <c r="N91" s="94" t="n">
        <v>0</v>
      </c>
      <c r="O91" s="94" t="n">
        <v>0</v>
      </c>
      <c r="P91" s="94" t="n">
        <v>0</v>
      </c>
      <c r="Q91" s="94" t="n">
        <v>0</v>
      </c>
      <c r="R91" s="94" t="n">
        <v>0</v>
      </c>
      <c r="S91" t="n">
        <v>0</v>
      </c>
      <c r="T91" t="n">
        <v>0</v>
      </c>
      <c r="W91" s="94" t="n"/>
      <c r="X91" s="94" t="n"/>
    </row>
    <row r="92">
      <c r="A92" s="119" t="inlineStr">
        <is>
          <t>Vergi</t>
        </is>
      </c>
      <c r="B92" s="121" t="inlineStr">
        <is>
          <t>İnci Holding</t>
        </is>
      </c>
      <c r="E92" s="94" t="n">
        <v>845398.5250753377</v>
      </c>
      <c r="F92" s="94" t="n">
        <v>34722914.916181</v>
      </c>
      <c r="G92" s="94" t="n">
        <v>450901.0924245375</v>
      </c>
      <c r="H92" s="94" t="n">
        <v>49881447</v>
      </c>
      <c r="I92" s="94" t="n">
        <v>1050824.36324635</v>
      </c>
      <c r="J92" s="94" t="n">
        <v>46488736</v>
      </c>
      <c r="K92" s="94" t="n">
        <v>822623.833520307</v>
      </c>
      <c r="L92" s="94" t="n">
        <v>43325458.702333</v>
      </c>
      <c r="M92" s="94" t="n">
        <v>268608.1629934445</v>
      </c>
      <c r="N92" s="94" t="n">
        <v>43803126</v>
      </c>
      <c r="O92" s="94" t="n">
        <v>410741.4705713298</v>
      </c>
      <c r="P92" s="94" t="n">
        <v>42618681</v>
      </c>
      <c r="Q92" s="94" t="n">
        <v>590843.0018896478</v>
      </c>
      <c r="R92" s="94" t="n">
        <v>41279370.560144</v>
      </c>
      <c r="S92" s="94" t="n">
        <v>827154.9651970742</v>
      </c>
      <c r="T92" s="94" t="n">
        <v>41279370.560144</v>
      </c>
      <c r="U92" s="94" t="n"/>
      <c r="V92" s="94" t="n"/>
      <c r="W92" s="94" t="n"/>
      <c r="X92" s="94" t="n"/>
    </row>
    <row r="93">
      <c r="A93" s="119" t="inlineStr">
        <is>
          <t>Vergi</t>
        </is>
      </c>
      <c r="B93" s="121" t="inlineStr">
        <is>
          <t>İncitaş</t>
        </is>
      </c>
      <c r="E93" s="94" t="n">
        <v>108148.0225598295</v>
      </c>
      <c r="F93" s="94" t="n">
        <v>4537612.946364</v>
      </c>
      <c r="G93" s="94" t="n">
        <v>95395.39932477796</v>
      </c>
      <c r="H93" s="94" t="n">
        <v>4040443.608788</v>
      </c>
      <c r="I93" s="94" t="n">
        <v>109.02</v>
      </c>
      <c r="J93" s="94" t="n">
        <v>0</v>
      </c>
      <c r="K93" s="94" t="n">
        <v>1.874218299761243</v>
      </c>
      <c r="L93" s="94" t="n">
        <v>0</v>
      </c>
      <c r="M93" s="94" t="n">
        <v>1.933394466950245</v>
      </c>
      <c r="N93" s="94" t="n">
        <v>0</v>
      </c>
      <c r="O93" s="94" t="n">
        <v>1.983057728879841</v>
      </c>
      <c r="P93" s="94" t="n">
        <v>0</v>
      </c>
      <c r="Q93" s="94" t="n">
        <v>2.313139016217375</v>
      </c>
      <c r="R93" s="94" t="n">
        <v>0</v>
      </c>
      <c r="S93" t="n">
        <v>8446.776939115067</v>
      </c>
      <c r="T93" t="n">
        <v>437368.157289</v>
      </c>
      <c r="W93" s="94" t="n"/>
      <c r="X93" s="94" t="n"/>
    </row>
    <row r="94">
      <c r="A94" s="119" t="inlineStr">
        <is>
          <t>Vergi</t>
        </is>
      </c>
      <c r="B94" s="121" t="inlineStr">
        <is>
          <t>ISM</t>
        </is>
      </c>
      <c r="E94" s="94" t="n">
        <v>166596.1678526789</v>
      </c>
      <c r="F94" s="94" t="n">
        <v>7079115.653074</v>
      </c>
      <c r="G94" s="94" t="n">
        <v>140575.374298403</v>
      </c>
      <c r="H94" s="94" t="n">
        <v>6052857.813238</v>
      </c>
      <c r="I94" s="94" t="n">
        <v>2736.53</v>
      </c>
      <c r="J94" s="94" t="n">
        <v>0</v>
      </c>
      <c r="K94" s="94" t="n">
        <v>37203.85344151392</v>
      </c>
      <c r="L94" s="94" t="n">
        <v>1776240.723278</v>
      </c>
      <c r="M94" s="94" t="n">
        <v>68.24732170265497</v>
      </c>
      <c r="N94" s="94" t="n">
        <v>0</v>
      </c>
      <c r="O94" s="94" t="n">
        <v>3357.126347655115</v>
      </c>
      <c r="P94" s="94" t="n">
        <v>0</v>
      </c>
      <c r="Q94" s="94" t="n">
        <v>1106.196504475989</v>
      </c>
      <c r="R94" s="94" t="n">
        <v>0</v>
      </c>
      <c r="S94" s="94" t="n">
        <v>482.8321243248793</v>
      </c>
      <c r="T94" s="94" t="n">
        <v>0</v>
      </c>
      <c r="W94" s="94" t="n"/>
      <c r="X94" s="94" t="n"/>
    </row>
    <row r="95">
      <c r="A95" s="119" t="inlineStr">
        <is>
          <t>Vergi</t>
        </is>
      </c>
      <c r="B95" s="121" t="inlineStr">
        <is>
          <t>Maxion Aluminyum</t>
        </is>
      </c>
      <c r="E95" s="94" t="n">
        <v>262919.787752</v>
      </c>
      <c r="F95" s="94" t="n">
        <v>13759454.54669557</v>
      </c>
      <c r="G95" s="94" t="n">
        <v>1042290.876149</v>
      </c>
      <c r="H95" s="94" t="n">
        <v>41097739.26500656</v>
      </c>
      <c r="I95" s="94" t="n">
        <v>1396172.03</v>
      </c>
      <c r="J95" s="94" t="n">
        <v>56311165.59</v>
      </c>
      <c r="K95" s="94" t="n">
        <v>1557074.267216</v>
      </c>
      <c r="L95" s="94" t="n">
        <v>63164718.69721963</v>
      </c>
      <c r="M95" s="94" t="n">
        <v>1989182.132277</v>
      </c>
      <c r="N95" s="94" t="n">
        <v>83458842.74379067</v>
      </c>
      <c r="O95" s="94" t="n">
        <v>1215976.518255</v>
      </c>
      <c r="P95" s="94" t="n">
        <v>46706389.08684954</v>
      </c>
      <c r="Q95" s="94" t="n">
        <v>882062.29784</v>
      </c>
      <c r="R95" s="94" t="n">
        <v>29720447.49332853</v>
      </c>
      <c r="S95" t="n">
        <v>1376286.64053</v>
      </c>
      <c r="T95" t="n">
        <v>55703969.12044289</v>
      </c>
      <c r="W95" s="94" t="n"/>
      <c r="X95" s="94" t="n"/>
    </row>
    <row r="96">
      <c r="A96" s="119" t="inlineStr">
        <is>
          <t>Vergi</t>
        </is>
      </c>
      <c r="B96" s="121" t="inlineStr">
        <is>
          <t>Maxion Celik</t>
        </is>
      </c>
      <c r="E96" s="94" t="n">
        <v>5337893.020162</v>
      </c>
      <c r="F96" s="94" t="n">
        <v>220032442.8129061</v>
      </c>
      <c r="G96" s="94" t="n">
        <v>4488849.488137</v>
      </c>
      <c r="H96" s="94" t="n">
        <v>186199670.2253472</v>
      </c>
      <c r="I96" s="94" t="n">
        <v>4095607.09</v>
      </c>
      <c r="J96" s="94" t="n">
        <v>170805310.52</v>
      </c>
      <c r="K96" s="94" t="n">
        <v>3985061.475796</v>
      </c>
      <c r="L96" s="94" t="n">
        <v>182610236.1278208</v>
      </c>
      <c r="M96" s="94" t="n">
        <v>3985061.475796</v>
      </c>
      <c r="N96" s="94" t="n">
        <v>183601340.4966361</v>
      </c>
      <c r="O96" s="94" t="n">
        <v>4677605.438873</v>
      </c>
      <c r="P96" s="94" t="n">
        <v>218787925.5422491</v>
      </c>
      <c r="Q96" s="94" t="n">
        <v>8383449.769487</v>
      </c>
      <c r="R96" s="94" t="n">
        <v>418822993.7741284</v>
      </c>
      <c r="S96" t="n">
        <v>8408478.197867</v>
      </c>
      <c r="T96" t="n">
        <v>425343810.6015648</v>
      </c>
      <c r="W96" s="94" t="n"/>
      <c r="X96" s="94" t="n"/>
    </row>
    <row r="97">
      <c r="A97" s="119" t="inlineStr">
        <is>
          <t>Vergi</t>
        </is>
      </c>
      <c r="B97" s="121" t="inlineStr">
        <is>
          <t>Maxion Jantas</t>
        </is>
      </c>
      <c r="E97" s="94" t="n">
        <v>2992586.889912</v>
      </c>
      <c r="F97" s="94" t="n">
        <v>122281729.2382064</v>
      </c>
      <c r="G97" s="94" t="n">
        <v>4130000</v>
      </c>
      <c r="H97" s="94" t="n">
        <v>169809496.4410214</v>
      </c>
      <c r="I97" s="94" t="n">
        <v>4894637.23</v>
      </c>
      <c r="J97" s="94" t="n">
        <v>203559556.3</v>
      </c>
      <c r="K97" s="94" t="n">
        <v>5132867.413873</v>
      </c>
      <c r="L97" s="94" t="n">
        <v>227023345.5136666</v>
      </c>
      <c r="M97" s="94" t="n">
        <v>4876000</v>
      </c>
      <c r="N97" s="94" t="n">
        <v>215421320.8933228</v>
      </c>
      <c r="O97" s="94" t="n">
        <v>4700896.592804</v>
      </c>
      <c r="P97" s="94" t="n">
        <v>208143752.3261985</v>
      </c>
      <c r="Q97" s="94" t="n">
        <v>4211071.514784</v>
      </c>
      <c r="R97" s="94" t="n">
        <v>188292046.8017623</v>
      </c>
      <c r="S97" t="n">
        <v>4273660.016266</v>
      </c>
      <c r="T97" t="n">
        <v>191292625.0373652</v>
      </c>
      <c r="W97" s="94" t="n"/>
      <c r="X97" s="94" t="n"/>
      <c r="AA97" s="94" t="n"/>
    </row>
    <row r="98">
      <c r="A98" s="119" t="inlineStr">
        <is>
          <t>Vergi</t>
        </is>
      </c>
      <c r="B98" s="121" t="inlineStr">
        <is>
          <t>Yusen İnci Lojistik</t>
        </is>
      </c>
      <c r="E98" s="94" t="n">
        <v>358196.8599491895</v>
      </c>
      <c r="F98" s="94" t="n">
        <v>14720935.788276</v>
      </c>
      <c r="G98" s="94" t="n">
        <v>187178.0609746688</v>
      </c>
      <c r="H98" s="94" t="n">
        <v>7677736.753759</v>
      </c>
      <c r="I98" s="94" t="n">
        <v>390261.76</v>
      </c>
      <c r="J98" s="94" t="n">
        <v>16420761.22</v>
      </c>
      <c r="K98" s="94" t="n">
        <v>268433.2675040663</v>
      </c>
      <c r="L98" s="94" t="n">
        <v>12321786.662776</v>
      </c>
      <c r="M98" s="94" t="n">
        <v>345945.7274696646</v>
      </c>
      <c r="N98" s="94" t="n">
        <v>15949028.828092</v>
      </c>
      <c r="O98" s="94" t="n">
        <v>360080.7768115934</v>
      </c>
      <c r="P98" s="94" t="n">
        <v>16677680.68088</v>
      </c>
      <c r="Q98" s="94" t="n">
        <v>389209.7189127093</v>
      </c>
      <c r="R98" s="94" t="n">
        <v>18751817.803967</v>
      </c>
      <c r="S98" t="n">
        <v>349577.5250282043</v>
      </c>
      <c r="T98" t="n">
        <v>16581018.576271</v>
      </c>
      <c r="W98" s="94" t="n"/>
      <c r="X98" s="94" t="n"/>
    </row>
    <row r="99">
      <c r="A99" s="119" t="inlineStr">
        <is>
          <t>Net Kar</t>
        </is>
      </c>
      <c r="B99" s="121" t="inlineStr">
        <is>
          <t>İnci GS Yuasa</t>
        </is>
      </c>
      <c r="E99" s="94" t="n">
        <v>-5487863.54500407</v>
      </c>
      <c r="F99" s="94" t="n">
        <v>-213943382.708931</v>
      </c>
      <c r="G99" s="94" t="n">
        <v>-6894801.1177374</v>
      </c>
      <c r="H99" s="94" t="n">
        <v>-263688292.700217</v>
      </c>
      <c r="I99" s="94" t="n">
        <v>-24735444.57</v>
      </c>
      <c r="J99" s="94" t="n">
        <v>-1026397246.13</v>
      </c>
      <c r="K99" s="94" t="n">
        <v>-27131180.946467</v>
      </c>
      <c r="L99" s="94" t="n">
        <v>-1186866635.0813</v>
      </c>
      <c r="M99" s="94" t="n">
        <v>-24488580.3010202</v>
      </c>
      <c r="N99" s="94" t="n">
        <v>-1056785780.38646</v>
      </c>
      <c r="O99" s="94" t="n">
        <v>-26431220.3256818</v>
      </c>
      <c r="P99" s="94" t="n">
        <v>-1148231198.96422</v>
      </c>
      <c r="Q99" s="94" t="n">
        <v>-26769171.881849</v>
      </c>
      <c r="R99" s="94" t="n">
        <v>-1170692339.20747</v>
      </c>
      <c r="S99" s="94" t="n">
        <v>-29355247.5444657</v>
      </c>
      <c r="T99" s="94" t="n">
        <v>-1298234413.58766</v>
      </c>
      <c r="U99" s="94" t="n"/>
      <c r="V99" s="94" t="n"/>
      <c r="W99" s="304" t="n"/>
      <c r="Y99" s="94" t="n"/>
    </row>
    <row r="100">
      <c r="A100" s="119" t="inlineStr">
        <is>
          <t>Net Kar</t>
        </is>
      </c>
      <c r="B100" s="121" t="inlineStr">
        <is>
          <t>İnci Holding</t>
        </is>
      </c>
      <c r="E100" s="94" t="n">
        <v>2536195.572010454</v>
      </c>
      <c r="F100" s="94" t="n">
        <v>104168744.748545</v>
      </c>
      <c r="G100" s="94" t="n">
        <v>4384344.538715532</v>
      </c>
      <c r="H100" s="94" t="n">
        <v>149644339</v>
      </c>
      <c r="I100" s="94" t="n">
        <v>4398416.48</v>
      </c>
      <c r="J100" s="94" t="n">
        <v>139466209</v>
      </c>
      <c r="K100" s="94" t="n">
        <v>3214938.8352802</v>
      </c>
      <c r="L100" s="94" t="n">
        <v>131716653.1076669</v>
      </c>
      <c r="M100" s="94" t="n">
        <v>3765006.79532527</v>
      </c>
      <c r="N100" s="94" t="n">
        <v>131409377</v>
      </c>
      <c r="O100" s="94" t="n">
        <v>3519337.028417855</v>
      </c>
      <c r="P100" s="94" t="n">
        <v>127856045</v>
      </c>
      <c r="Q100" s="94">
        <f>Q84-Q92</f>
        <v/>
      </c>
      <c r="R100" s="94">
        <f>R84-R92</f>
        <v/>
      </c>
      <c r="S100" s="94" t="n">
        <v>2980656.545779715</v>
      </c>
      <c r="T100" s="94" t="n">
        <v>123838111.680433</v>
      </c>
      <c r="U100" s="94" t="n"/>
      <c r="V100" s="94" t="n"/>
      <c r="W100" s="305" t="n"/>
      <c r="X100" s="94" t="n"/>
      <c r="Y100" s="94" t="n"/>
    </row>
    <row r="101">
      <c r="A101" s="119" t="inlineStr">
        <is>
          <t>Net Kar</t>
        </is>
      </c>
      <c r="B101" s="121" t="inlineStr">
        <is>
          <t>İncitaş</t>
        </is>
      </c>
      <c r="E101" s="94" t="n">
        <v>324439.9199008764</v>
      </c>
      <c r="F101" s="94" t="n">
        <v>13612838.839093</v>
      </c>
      <c r="G101" s="94" t="n">
        <v>284460.836064774</v>
      </c>
      <c r="H101" s="94" t="n">
        <v>12121330.826364</v>
      </c>
      <c r="I101" s="94" t="n">
        <v>-304632.55</v>
      </c>
      <c r="J101" s="94" t="n">
        <v>-12966393.49</v>
      </c>
      <c r="K101" s="94" t="n">
        <v>-8534.48751686869</v>
      </c>
      <c r="L101" s="94" t="n">
        <v>-180922.183068</v>
      </c>
      <c r="M101" s="94" t="n">
        <v>-11897.52401987873</v>
      </c>
      <c r="N101" s="94" t="n">
        <v>-250823.561473</v>
      </c>
      <c r="O101" s="94" t="n">
        <v>-2712.357477645767</v>
      </c>
      <c r="P101" s="94" t="n">
        <v>265482.855845</v>
      </c>
      <c r="Q101" s="94" t="n">
        <v>10980.64094614771</v>
      </c>
      <c r="R101" s="94" t="n">
        <v>1329590.44615</v>
      </c>
      <c r="S101" s="94" t="n">
        <v>10583.73208108989</v>
      </c>
      <c r="T101" s="94" t="n">
        <v>1312104.471869</v>
      </c>
      <c r="U101" s="94" t="n"/>
      <c r="V101" s="282" t="n"/>
      <c r="W101" s="306" t="n"/>
    </row>
    <row r="102">
      <c r="A102" s="119" t="inlineStr">
        <is>
          <t>Net Kar</t>
        </is>
      </c>
      <c r="B102" s="121" t="inlineStr">
        <is>
          <t>ISM</t>
        </is>
      </c>
      <c r="E102" s="94" t="n">
        <v>665458.4048197365</v>
      </c>
      <c r="F102" s="94" t="n">
        <v>28316462.612294</v>
      </c>
      <c r="G102" s="94" t="n">
        <v>415001.1420341349</v>
      </c>
      <c r="H102" s="94" t="n">
        <v>18158573.439715</v>
      </c>
      <c r="I102" s="94" t="n">
        <v>-164263.61</v>
      </c>
      <c r="J102" s="94" t="n">
        <v>-6207033.07</v>
      </c>
      <c r="K102" s="94" t="n">
        <v>117737.4313645572</v>
      </c>
      <c r="L102" s="94" t="n">
        <v>7104962.893111999</v>
      </c>
      <c r="M102" s="94" t="n">
        <v>-1190975.549349681</v>
      </c>
      <c r="N102" s="94" t="n">
        <v>-54473605.82</v>
      </c>
      <c r="O102" s="94" t="n">
        <v>-1203540.846418473</v>
      </c>
      <c r="P102" s="94" t="n">
        <v>-55090295.231686</v>
      </c>
      <c r="Q102" s="94" t="n">
        <v>-1440003.253946358</v>
      </c>
      <c r="R102" s="94" t="n">
        <v>-68196442.370637</v>
      </c>
      <c r="S102" s="94" t="n">
        <v>-1708745.897958134</v>
      </c>
      <c r="T102" s="94" t="n">
        <v>-81966873.45513199</v>
      </c>
      <c r="U102" s="94" t="n"/>
      <c r="V102" s="282" t="n"/>
      <c r="W102" s="306" t="n"/>
    </row>
    <row r="103">
      <c r="A103" s="119" t="inlineStr">
        <is>
          <t>Net Kar</t>
        </is>
      </c>
      <c r="B103" s="121" t="inlineStr">
        <is>
          <t>Maxion Aluminyum</t>
        </is>
      </c>
      <c r="E103" s="94" t="n">
        <v>29187599.142579</v>
      </c>
      <c r="F103" s="94" t="n">
        <v>1214357088.527498</v>
      </c>
      <c r="G103" s="94" t="n">
        <v>30402040.017608</v>
      </c>
      <c r="H103" s="94" t="n">
        <v>1279339168.509844</v>
      </c>
      <c r="I103" s="94" t="n">
        <v>31716508.09</v>
      </c>
      <c r="J103" s="94" t="n">
        <v>1346184407.21</v>
      </c>
      <c r="K103" s="94" t="n">
        <v>31515018.738277</v>
      </c>
      <c r="L103" s="94" t="n">
        <v>1462452556.267044</v>
      </c>
      <c r="M103" s="94" t="n">
        <v>29429654.744247</v>
      </c>
      <c r="N103" s="94" t="n">
        <v>1369852931.593633</v>
      </c>
      <c r="O103" s="94" t="n">
        <v>24911378.931583</v>
      </c>
      <c r="P103" s="94" t="n">
        <v>1156815548.286305</v>
      </c>
      <c r="Q103" s="94" t="n">
        <v>23893310.107032</v>
      </c>
      <c r="R103" s="94" t="n">
        <v>1145873685.691133</v>
      </c>
      <c r="S103" s="94" t="n">
        <v>22989243.542978</v>
      </c>
      <c r="T103" s="94" t="n">
        <v>1097450054.747714</v>
      </c>
      <c r="U103" s="94" t="n"/>
      <c r="V103" s="94" t="n"/>
      <c r="W103" s="307" t="n"/>
    </row>
    <row r="104">
      <c r="A104" s="119" t="inlineStr">
        <is>
          <t>Net Kar</t>
        </is>
      </c>
      <c r="B104" s="121" t="inlineStr">
        <is>
          <t>Maxion Celik</t>
        </is>
      </c>
      <c r="E104" s="94" t="n">
        <v>11335570.659362</v>
      </c>
      <c r="F104" s="94" t="n">
        <v>468563150.3525735</v>
      </c>
      <c r="G104" s="94" t="n">
        <v>15869726.424042</v>
      </c>
      <c r="H104" s="94" t="n">
        <v>660851170.8487434</v>
      </c>
      <c r="I104" s="94" t="n">
        <v>14399982.3</v>
      </c>
      <c r="J104" s="94" t="n">
        <v>602583829.77</v>
      </c>
      <c r="K104" s="94" t="n">
        <v>14098330.137889</v>
      </c>
      <c r="L104" s="94" t="n">
        <v>633173631.0795391</v>
      </c>
      <c r="M104" s="94" t="n">
        <v>14098330.137889</v>
      </c>
      <c r="N104" s="94" t="n">
        <v>636408139.4962492</v>
      </c>
      <c r="O104" s="94" t="n">
        <v>13178547.806291</v>
      </c>
      <c r="P104" s="94" t="n">
        <v>591447168.9268088</v>
      </c>
      <c r="Q104" s="94" t="n">
        <v>8851394.512385</v>
      </c>
      <c r="R104" s="94" t="n">
        <v>382392777.9327367</v>
      </c>
      <c r="S104" s="94" t="n">
        <v>8923226.479439</v>
      </c>
      <c r="T104" s="94" t="n">
        <v>377414005.2179369</v>
      </c>
      <c r="U104" s="94" t="n"/>
      <c r="V104" s="94" t="n"/>
      <c r="W104" s="307" t="n"/>
    </row>
    <row r="105">
      <c r="A105" s="119" t="inlineStr">
        <is>
          <t>Net Kar</t>
        </is>
      </c>
      <c r="B105" s="121" t="inlineStr">
        <is>
          <t>Maxion Jantas</t>
        </is>
      </c>
      <c r="E105" s="94" t="n">
        <v>10362454.521744</v>
      </c>
      <c r="F105" s="94" t="n">
        <v>428523508.4760023</v>
      </c>
      <c r="G105" s="94" t="n">
        <v>14601000</v>
      </c>
      <c r="H105" s="94" t="n">
        <v>609452142.2863734</v>
      </c>
      <c r="I105" s="94" t="n">
        <v>15686349.1</v>
      </c>
      <c r="J105" s="94" t="n">
        <v>660341261.21</v>
      </c>
      <c r="K105" s="94" t="n">
        <v>15546311.695862</v>
      </c>
      <c r="L105" s="94" t="n">
        <v>706096014.0733638</v>
      </c>
      <c r="M105" s="94" t="n">
        <v>15966000</v>
      </c>
      <c r="N105" s="94" t="n">
        <v>727359585.4508636</v>
      </c>
      <c r="O105" s="94" t="n">
        <v>15040334.896928</v>
      </c>
      <c r="P105" s="94" t="n">
        <v>684388270.7761333</v>
      </c>
      <c r="Q105" s="94" t="n">
        <v>13183786.472756</v>
      </c>
      <c r="R105" s="94" t="n">
        <v>609556628.0359914</v>
      </c>
      <c r="S105" s="94" t="n">
        <v>13840253.032412</v>
      </c>
      <c r="T105" s="94" t="n">
        <v>640148493.4801042</v>
      </c>
      <c r="U105" s="94" t="n"/>
      <c r="V105" s="94" t="n"/>
      <c r="W105" s="307" t="n"/>
    </row>
    <row r="106">
      <c r="A106" s="119" t="inlineStr">
        <is>
          <t>Net Kar</t>
        </is>
      </c>
      <c r="B106" s="121" t="inlineStr">
        <is>
          <t>Yusen İnci Lojistik</t>
        </is>
      </c>
      <c r="E106" s="94" t="n">
        <v>1016140.152090338</v>
      </c>
      <c r="F106" s="94" t="n">
        <v>40374062.294931</v>
      </c>
      <c r="G106" s="94" t="n">
        <v>1220798.376122061</v>
      </c>
      <c r="H106" s="94" t="n">
        <v>48328602.996878</v>
      </c>
      <c r="I106" s="94" t="n">
        <v>1329069.23</v>
      </c>
      <c r="J106" s="94" t="n">
        <v>52673691.91</v>
      </c>
      <c r="K106" s="94" t="n">
        <v>1547678.490144642</v>
      </c>
      <c r="L106" s="94" t="n">
        <v>64541119.31029499</v>
      </c>
      <c r="M106" s="94" t="n">
        <v>1389540.108943637</v>
      </c>
      <c r="N106" s="94" t="n">
        <v>58068333.781123</v>
      </c>
      <c r="O106" s="94" t="n">
        <v>1452905.950505894</v>
      </c>
      <c r="P106" s="94" t="n">
        <v>61181092.13298</v>
      </c>
      <c r="Q106" s="94" t="n">
        <v>1414352.095838052</v>
      </c>
      <c r="R106" s="94" t="n">
        <v>60643000.364014</v>
      </c>
      <c r="S106" s="94" t="n">
        <v>1612486.234149511</v>
      </c>
      <c r="T106" s="94" t="n">
        <v>70027304.54875998</v>
      </c>
      <c r="U106" s="94" t="n"/>
      <c r="V106" s="94" t="n"/>
      <c r="W106" s="308" t="n"/>
      <c r="Z106" s="545">
        <f>X106/0.4</f>
        <v/>
      </c>
    </row>
    <row r="107">
      <c r="A107" s="119" t="inlineStr">
        <is>
          <t>Krediler</t>
        </is>
      </c>
      <c r="B107" s="121" t="inlineStr">
        <is>
          <t>İnci GS Yuasa</t>
        </is>
      </c>
    </row>
    <row r="108" customFormat="1" s="405">
      <c r="A108" s="430" t="inlineStr">
        <is>
          <t>Krediler</t>
        </is>
      </c>
      <c r="B108" s="431" t="inlineStr">
        <is>
          <t>İnci Holding</t>
        </is>
      </c>
    </row>
    <row r="109">
      <c r="A109" s="119" t="inlineStr">
        <is>
          <t>Krediler</t>
        </is>
      </c>
      <c r="B109" s="121" t="inlineStr">
        <is>
          <t>İncitaş</t>
        </is>
      </c>
    </row>
    <row r="110">
      <c r="A110" s="119" t="inlineStr">
        <is>
          <t>Krediler</t>
        </is>
      </c>
      <c r="B110" s="121" t="inlineStr">
        <is>
          <t>ISM</t>
        </is>
      </c>
    </row>
    <row r="111">
      <c r="A111" s="119" t="inlineStr">
        <is>
          <t>Krediler</t>
        </is>
      </c>
      <c r="B111" s="121" t="inlineStr">
        <is>
          <t>Maxion Aluminyum</t>
        </is>
      </c>
    </row>
    <row r="112">
      <c r="A112" s="119" t="inlineStr">
        <is>
          <t>Krediler</t>
        </is>
      </c>
      <c r="B112" s="121" t="inlineStr">
        <is>
          <t>Maxion Celik</t>
        </is>
      </c>
    </row>
    <row r="113">
      <c r="A113" s="119" t="inlineStr">
        <is>
          <t>Krediler</t>
        </is>
      </c>
      <c r="B113" s="121" t="inlineStr">
        <is>
          <t>Maxion Jantas</t>
        </is>
      </c>
    </row>
    <row r="114">
      <c r="A114" s="119" t="inlineStr">
        <is>
          <t>Krediler</t>
        </is>
      </c>
      <c r="B114" s="121" t="inlineStr">
        <is>
          <t>Yusen İnci Lojistik</t>
        </is>
      </c>
    </row>
    <row r="115">
      <c r="A115" s="119" t="inlineStr">
        <is>
          <t>Nakit ve Bankalar</t>
        </is>
      </c>
      <c r="B115" s="121" t="inlineStr">
        <is>
          <t>İnci GS Yuasa</t>
        </is>
      </c>
    </row>
    <row r="116">
      <c r="A116" s="119" t="inlineStr">
        <is>
          <t>Nakit ve Bankalar</t>
        </is>
      </c>
      <c r="B116" s="121" t="inlineStr">
        <is>
          <t>İnci Holding</t>
        </is>
      </c>
      <c r="S116" s="94" t="n"/>
      <c r="T116" s="94" t="n"/>
    </row>
    <row r="117">
      <c r="A117" s="119" t="inlineStr">
        <is>
          <t>Nakit ve Bankalar</t>
        </is>
      </c>
      <c r="B117" s="121" t="inlineStr">
        <is>
          <t>İncitaş</t>
        </is>
      </c>
    </row>
    <row r="118">
      <c r="A118" s="119" t="inlineStr">
        <is>
          <t>Nakit ve Bankalar</t>
        </is>
      </c>
      <c r="B118" s="121" t="inlineStr">
        <is>
          <t>ISM</t>
        </is>
      </c>
    </row>
    <row r="119">
      <c r="A119" s="119" t="inlineStr">
        <is>
          <t>Nakit ve Bankalar</t>
        </is>
      </c>
      <c r="B119" s="121" t="inlineStr">
        <is>
          <t>Maxion Aluminyum</t>
        </is>
      </c>
    </row>
    <row r="120">
      <c r="A120" s="119" t="inlineStr">
        <is>
          <t>Nakit ve Bankalar</t>
        </is>
      </c>
      <c r="B120" s="121" t="inlineStr">
        <is>
          <t>Maxion Celik</t>
        </is>
      </c>
    </row>
    <row r="121">
      <c r="A121" s="119" t="inlineStr">
        <is>
          <t>Nakit ve Bankalar</t>
        </is>
      </c>
      <c r="B121" s="121" t="inlineStr">
        <is>
          <t>Maxion Jantas</t>
        </is>
      </c>
    </row>
    <row r="122">
      <c r="A122" s="119" t="inlineStr">
        <is>
          <t>Nakit ve Bankalar</t>
        </is>
      </c>
      <c r="B122" s="121" t="inlineStr">
        <is>
          <t>Yusen İnci Lojistik</t>
        </is>
      </c>
    </row>
    <row r="123">
      <c r="A123" s="119" t="inlineStr">
        <is>
          <t>Net Finansal Borç</t>
        </is>
      </c>
      <c r="B123" s="121" t="inlineStr">
        <is>
          <t>İnci GS Yuasa</t>
        </is>
      </c>
    </row>
    <row r="124">
      <c r="A124" s="119" t="inlineStr">
        <is>
          <t>Net Finansal Borç</t>
        </is>
      </c>
      <c r="B124" s="121" t="inlineStr">
        <is>
          <t>İnci Holding</t>
        </is>
      </c>
      <c r="S124" s="94" t="n"/>
      <c r="T124" s="94" t="n"/>
      <c r="U124" s="9" t="n">
        <v>364927677</v>
      </c>
    </row>
    <row r="125">
      <c r="A125" s="119" t="inlineStr">
        <is>
          <t>Net Finansal Borç</t>
        </is>
      </c>
      <c r="B125" s="121" t="inlineStr">
        <is>
          <t>İncitaş</t>
        </is>
      </c>
    </row>
    <row r="126">
      <c r="A126" s="119" t="inlineStr">
        <is>
          <t>Net Finansal Borç</t>
        </is>
      </c>
      <c r="B126" s="121" t="inlineStr">
        <is>
          <t>ISM</t>
        </is>
      </c>
    </row>
    <row r="127">
      <c r="A127" s="119" t="inlineStr">
        <is>
          <t>Net Finansal Borç</t>
        </is>
      </c>
      <c r="B127" s="121" t="inlineStr">
        <is>
          <t>Maxion Aluminyum</t>
        </is>
      </c>
    </row>
    <row r="128">
      <c r="A128" s="119" t="inlineStr">
        <is>
          <t>Net Finansal Borç</t>
        </is>
      </c>
      <c r="B128" s="121" t="inlineStr">
        <is>
          <t>Maxion Celik</t>
        </is>
      </c>
    </row>
    <row r="129">
      <c r="A129" s="119" t="inlineStr">
        <is>
          <t>Net Finansal Borç</t>
        </is>
      </c>
      <c r="B129" s="121" t="inlineStr">
        <is>
          <t>Maxion Jantas</t>
        </is>
      </c>
    </row>
    <row r="130">
      <c r="A130" s="119" t="inlineStr">
        <is>
          <t>Net Finansal Borç</t>
        </is>
      </c>
      <c r="B130" s="121" t="inlineStr">
        <is>
          <t>Yusen İnci Lojistik</t>
        </is>
      </c>
    </row>
    <row r="131">
      <c r="A131" s="119" t="inlineStr">
        <is>
          <t>Yatırımlar</t>
        </is>
      </c>
      <c r="B131" s="121" t="inlineStr">
        <is>
          <t>İnci GS Yuasa</t>
        </is>
      </c>
      <c r="E131" s="94" t="n">
        <v>6229033.22657153</v>
      </c>
      <c r="F131" s="94" t="n">
        <v>260223364.181076</v>
      </c>
      <c r="G131" s="94" t="n">
        <v>6182063.232517592</v>
      </c>
      <c r="H131" s="94" t="n">
        <v>260223364.181076</v>
      </c>
      <c r="I131" s="94" t="n">
        <v>6127981.6</v>
      </c>
      <c r="J131" s="94" t="n">
        <v>260223364.18</v>
      </c>
      <c r="K131" s="94" t="n">
        <v>5560555.277529434</v>
      </c>
      <c r="L131" s="94" t="n">
        <v>260223364.181076</v>
      </c>
      <c r="M131" s="94" t="n">
        <v>5512706.647213876</v>
      </c>
      <c r="N131" s="94" t="n">
        <v>260223364.181076</v>
      </c>
      <c r="O131" s="94" t="n">
        <v>5472549.955114604</v>
      </c>
      <c r="P131" s="94" t="n">
        <v>260223364.18</v>
      </c>
      <c r="Q131" s="94" t="n">
        <v>5259037.39925545</v>
      </c>
      <c r="R131" s="94" t="n">
        <v>260223364.181076</v>
      </c>
      <c r="S131" s="94" t="n">
        <v>5220784.507856009</v>
      </c>
      <c r="T131" s="94" t="n">
        <v>260223364.181076</v>
      </c>
      <c r="U131" s="94">
        <f>S131*0.4</f>
        <v/>
      </c>
      <c r="V131">
        <f>SUM(U131:U138)/1000000</f>
        <v/>
      </c>
      <c r="W131" s="94" t="n"/>
      <c r="X131" s="94" t="n"/>
      <c r="Z131">
        <f>W131/0.4</f>
        <v/>
      </c>
    </row>
    <row r="132">
      <c r="A132" s="119" t="inlineStr">
        <is>
          <t>Yatırımlar</t>
        </is>
      </c>
      <c r="B132" s="121" t="inlineStr">
        <is>
          <t>İnci Holding</t>
        </is>
      </c>
      <c r="E132" s="94" t="n">
        <v>14898.83695268802</v>
      </c>
      <c r="F132" s="94" t="n">
        <v>623854.166667</v>
      </c>
      <c r="G132" s="94" t="n">
        <v>14760.17912256269</v>
      </c>
      <c r="H132" s="94" t="n">
        <v>623854.17</v>
      </c>
      <c r="I132" s="94" t="n">
        <v>14625.05</v>
      </c>
      <c r="J132" s="94" t="n">
        <v>623854.17</v>
      </c>
      <c r="K132" s="94" t="n">
        <v>13207.28042921343</v>
      </c>
      <c r="L132" s="94" t="n">
        <v>623854.17</v>
      </c>
      <c r="M132" s="94" t="n">
        <v>13087.72592341969</v>
      </c>
      <c r="N132" s="94" t="n">
        <v>623854.17</v>
      </c>
      <c r="O132" s="94" t="n">
        <v>13451.86136354795</v>
      </c>
      <c r="P132" s="94" t="n">
        <v>623854.17</v>
      </c>
      <c r="Q132" s="94" t="n">
        <v>13138.66798342344</v>
      </c>
      <c r="R132" s="94" t="n">
        <v>623854.17</v>
      </c>
      <c r="S132" s="94" t="n">
        <v>13062.11678160591</v>
      </c>
      <c r="T132" s="94" t="n">
        <v>623854.17</v>
      </c>
      <c r="U132" s="94">
        <f>S132</f>
        <v/>
      </c>
      <c r="V132" s="94" t="n"/>
      <c r="W132" s="94" t="n"/>
      <c r="X132" s="94" t="n"/>
    </row>
    <row r="133">
      <c r="A133" s="119" t="inlineStr">
        <is>
          <t>Yatırımlar</t>
        </is>
      </c>
      <c r="B133" s="121" t="inlineStr">
        <is>
          <t>İncitaş</t>
        </is>
      </c>
      <c r="E133" s="94" t="n">
        <v>0</v>
      </c>
      <c r="F133" s="94" t="n">
        <v>0</v>
      </c>
      <c r="G133" s="94" t="n">
        <v>0</v>
      </c>
      <c r="H133" s="94" t="n">
        <v>0</v>
      </c>
      <c r="I133" s="94" t="n">
        <v>0</v>
      </c>
      <c r="J133" s="94" t="n">
        <v>0</v>
      </c>
      <c r="K133" s="94" t="n">
        <v>0</v>
      </c>
      <c r="L133" s="94" t="n">
        <v>0</v>
      </c>
      <c r="M133" s="94" t="n">
        <v>0</v>
      </c>
      <c r="N133" s="94" t="n">
        <v>0</v>
      </c>
      <c r="O133" s="94" t="n">
        <v>0</v>
      </c>
      <c r="P133" s="94" t="n">
        <v>0</v>
      </c>
      <c r="Q133" s="94" t="n">
        <v>0</v>
      </c>
      <c r="R133" s="94" t="n">
        <v>0</v>
      </c>
      <c r="S133" s="94" t="n">
        <v>0</v>
      </c>
      <c r="T133" s="94" t="n">
        <v>0</v>
      </c>
      <c r="U133" s="94">
        <f>S133</f>
        <v/>
      </c>
      <c r="W133" s="94" t="n"/>
      <c r="X133" s="94" t="n"/>
    </row>
    <row r="134">
      <c r="A134" s="119" t="inlineStr">
        <is>
          <t>Yatırımlar</t>
        </is>
      </c>
      <c r="B134" s="121" t="inlineStr">
        <is>
          <t>ISM</t>
        </is>
      </c>
      <c r="E134" s="94" t="n">
        <v>915374.6698051465</v>
      </c>
      <c r="F134" s="94" t="n">
        <v>37868076.939597</v>
      </c>
      <c r="G134" s="94" t="n">
        <v>711284.4421620965</v>
      </c>
      <c r="H134" s="94" t="n">
        <v>29330335.55</v>
      </c>
      <c r="I134" s="94" t="n">
        <v>615111.01</v>
      </c>
      <c r="J134" s="94" t="n">
        <v>25412066</v>
      </c>
      <c r="K134" s="94" t="n">
        <v>545966.060442457</v>
      </c>
      <c r="L134" s="94" t="n">
        <v>23611473.55</v>
      </c>
      <c r="M134" s="94" t="n">
        <v>608784.8759078952</v>
      </c>
      <c r="N134" s="94" t="n">
        <v>26552130</v>
      </c>
      <c r="O134" s="94" t="n">
        <v>584905.8343840033</v>
      </c>
      <c r="P134" s="94" t="n">
        <v>25412066</v>
      </c>
      <c r="Q134" s="94" t="n">
        <v>580382.0417978208</v>
      </c>
      <c r="R134" s="94" t="n">
        <v>25412066</v>
      </c>
      <c r="S134" s="94" t="n">
        <v>582377.1760463227</v>
      </c>
      <c r="T134" s="94" t="n">
        <v>25412066</v>
      </c>
      <c r="U134" s="94">
        <f>S134</f>
        <v/>
      </c>
      <c r="W134" s="94" t="n"/>
      <c r="X134" s="94" t="n"/>
    </row>
    <row r="135">
      <c r="A135" s="119" t="inlineStr">
        <is>
          <t>Yatırımlar</t>
        </is>
      </c>
      <c r="B135" s="121" t="inlineStr">
        <is>
          <t>Maxion Aluminyum</t>
        </is>
      </c>
      <c r="E135" s="94" t="n">
        <v>3767300</v>
      </c>
      <c r="F135" s="94" t="n">
        <v>-159501271.5658739</v>
      </c>
      <c r="G135" s="94" t="n">
        <v>3841120</v>
      </c>
      <c r="H135" s="94" t="n">
        <v>-164556326.6530015</v>
      </c>
      <c r="I135" s="94" t="n">
        <v>4399299.48</v>
      </c>
      <c r="J135" s="94" t="n">
        <v>190249173.83</v>
      </c>
      <c r="K135" s="94" t="n">
        <v>4218145.49</v>
      </c>
      <c r="L135" s="94" t="n">
        <v>208825420.915365</v>
      </c>
      <c r="M135" s="94" t="n">
        <v>3937750.870000001</v>
      </c>
      <c r="N135" s="94" t="n">
        <v>198064211.671726</v>
      </c>
      <c r="O135" s="94" t="n">
        <v>3882770.160000001</v>
      </c>
      <c r="P135" s="94" t="n">
        <v>-197612197.7887104</v>
      </c>
      <c r="Q135" s="94" t="n">
        <v>3882770.160000001</v>
      </c>
      <c r="R135" s="94" t="n">
        <v>-213761885.9748365</v>
      </c>
      <c r="S135" s="94" t="n">
        <v>3582770.160000001</v>
      </c>
      <c r="T135" s="94" t="n">
        <v>-202867584.3692686</v>
      </c>
      <c r="U135" s="94">
        <f>S135*0.4</f>
        <v/>
      </c>
      <c r="W135" s="94" t="n"/>
      <c r="X135" s="94" t="n"/>
      <c r="Z135" s="94">
        <f>W135/0.4</f>
        <v/>
      </c>
    </row>
    <row r="136">
      <c r="A136" s="119" t="inlineStr">
        <is>
          <t>Yatırımlar</t>
        </is>
      </c>
      <c r="B136" s="121" t="inlineStr">
        <is>
          <t>Maxion Celik</t>
        </is>
      </c>
      <c r="E136" s="94" t="n">
        <v>3087000</v>
      </c>
      <c r="F136" s="94" t="n">
        <v>129848195.7880587</v>
      </c>
      <c r="G136" s="94" t="n">
        <v>3086997.915532</v>
      </c>
      <c r="H136" s="94" t="n">
        <v>131004074.7369038</v>
      </c>
      <c r="I136" s="94" t="n">
        <v>3080000</v>
      </c>
      <c r="J136" s="94" t="n">
        <v>131223996.14</v>
      </c>
      <c r="K136" s="94" t="n">
        <v>3080000</v>
      </c>
      <c r="L136" s="94">
        <f>K136*49.5</f>
        <v/>
      </c>
      <c r="M136" s="94" t="n">
        <v>1870942.272157</v>
      </c>
      <c r="N136" s="94" t="n">
        <v>64427773.28816116</v>
      </c>
      <c r="O136" s="94" t="n">
        <v>3135986.85739</v>
      </c>
      <c r="P136" s="94" t="n">
        <v>131179848.7993735</v>
      </c>
      <c r="Q136" s="94" t="n">
        <v>2584055.252766</v>
      </c>
      <c r="R136" s="94" t="n">
        <v>109188774.1190957</v>
      </c>
      <c r="S136" s="94" t="n">
        <v>3080000.002766</v>
      </c>
      <c r="T136" s="94" t="n">
        <v>135240053.8219169</v>
      </c>
      <c r="U136" s="94">
        <f>S136*0.4</f>
        <v/>
      </c>
      <c r="W136" s="94" t="n"/>
      <c r="X136" s="94" t="n"/>
      <c r="Z136" s="94">
        <f>W136/0.4</f>
        <v/>
      </c>
    </row>
    <row r="137">
      <c r="A137" s="119" t="inlineStr">
        <is>
          <t>Yatırımlar</t>
        </is>
      </c>
      <c r="B137" s="121" t="inlineStr">
        <is>
          <t>Maxion Jantas</t>
        </is>
      </c>
      <c r="E137" s="94" t="n">
        <v>3297999.17</v>
      </c>
      <c r="F137" s="94" t="n">
        <v>137984221.600234</v>
      </c>
      <c r="G137" s="94" t="n">
        <v>3300000</v>
      </c>
      <c r="H137" s="94" t="n">
        <v>139198703.6764107</v>
      </c>
      <c r="I137" s="94" t="n">
        <v>3298472.48</v>
      </c>
      <c r="J137" s="94" t="n">
        <v>140270755.39</v>
      </c>
      <c r="K137" s="94" t="n">
        <v>3298397.038322</v>
      </c>
      <c r="L137" s="94" t="n">
        <v>152666890.9177392</v>
      </c>
      <c r="M137" s="94" t="n">
        <v>3300000</v>
      </c>
      <c r="N137" s="94" t="n">
        <v>153301813.5209934</v>
      </c>
      <c r="O137" s="94" t="n">
        <v>3398936.030611</v>
      </c>
      <c r="P137" s="94" t="n">
        <v>159118190.0430933</v>
      </c>
      <c r="Q137" s="94" t="n">
        <v>3427125.560655</v>
      </c>
      <c r="R137" s="94" t="n">
        <v>162591613.4076959</v>
      </c>
      <c r="S137" s="94" t="n">
        <v>3426991.46</v>
      </c>
      <c r="T137" s="94" t="n">
        <v>162449130.8562483</v>
      </c>
      <c r="U137" s="94">
        <f>S137*0.4</f>
        <v/>
      </c>
      <c r="W137" s="94" t="n"/>
      <c r="X137" s="94" t="n"/>
      <c r="Z137" s="94">
        <f>W137/0.4</f>
        <v/>
      </c>
    </row>
    <row r="138">
      <c r="A138" s="119" t="inlineStr">
        <is>
          <t>Yatırımlar</t>
        </is>
      </c>
      <c r="B138" s="121" t="inlineStr">
        <is>
          <t>Yusen İnci Lojistik</t>
        </is>
      </c>
      <c r="E138" s="94" t="n">
        <v>596805.628760543</v>
      </c>
      <c r="F138" s="94" t="n">
        <v>24000000</v>
      </c>
      <c r="G138" s="94" t="n">
        <v>613331.0519195488</v>
      </c>
      <c r="H138" s="94" t="n">
        <v>24000000</v>
      </c>
      <c r="I138" s="94" t="n">
        <v>682942.17</v>
      </c>
      <c r="J138" s="94" t="n">
        <v>27000000</v>
      </c>
      <c r="K138" s="94" t="n">
        <v>675615.3729649012</v>
      </c>
      <c r="L138" s="94" t="n">
        <v>27000000</v>
      </c>
      <c r="M138" s="94" t="n">
        <v>701600.0014671844</v>
      </c>
      <c r="N138" s="94" t="n">
        <v>27000000</v>
      </c>
      <c r="O138" s="94" t="n">
        <v>1236010.594673709</v>
      </c>
      <c r="P138" s="94" t="n">
        <v>52129630.4</v>
      </c>
      <c r="Q138" s="94" t="n">
        <v>1248525.57213022</v>
      </c>
      <c r="R138" s="94" t="n">
        <v>52129630.4</v>
      </c>
      <c r="S138" s="94" t="n">
        <v>2001248.765611851</v>
      </c>
      <c r="T138" s="94" t="n">
        <v>93143393.59999999</v>
      </c>
      <c r="U138" s="94">
        <f>S138*0.4</f>
        <v/>
      </c>
      <c r="W138" s="94" t="n"/>
      <c r="X138" s="94" t="n"/>
      <c r="Z138" s="94">
        <f>W138/0.4</f>
        <v/>
      </c>
    </row>
    <row r="139">
      <c r="A139" s="119" t="inlineStr">
        <is>
          <t>Operasyonel Nakit</t>
        </is>
      </c>
      <c r="B139" s="121" t="inlineStr">
        <is>
          <t>İnci GS Yuasa</t>
        </is>
      </c>
      <c r="E139" s="94" t="n">
        <v>16187570.50612912</v>
      </c>
      <c r="F139" s="94" t="n">
        <v>418436123.7166668</v>
      </c>
      <c r="G139" s="94" t="n">
        <v>7516355.977331293</v>
      </c>
      <c r="H139" s="94" t="n">
        <v>33057411.65133223</v>
      </c>
      <c r="I139" s="94" t="n">
        <v>4454251.46</v>
      </c>
      <c r="J139" s="94" t="n">
        <v>-63012060.69</v>
      </c>
      <c r="K139" s="94" t="n">
        <v>17733991.49230592</v>
      </c>
      <c r="L139" s="94" t="n">
        <v>542492909.2503545</v>
      </c>
      <c r="M139" s="94" t="n">
        <v>16698304.16594386</v>
      </c>
      <c r="N139" s="94" t="n">
        <v>498635502.162817</v>
      </c>
      <c r="O139" s="94" t="n">
        <v>15056206.10833796</v>
      </c>
      <c r="P139" s="94" t="n">
        <v>420359833.4985656</v>
      </c>
      <c r="Q139" s="94" t="n">
        <v>13354777.63641778</v>
      </c>
      <c r="R139" s="94" t="n">
        <v>293527433.8865055</v>
      </c>
      <c r="S139" s="94" t="n">
        <v>8648919.870705107</v>
      </c>
      <c r="T139" s="94" t="n">
        <v>54054441.41036689</v>
      </c>
      <c r="U139" s="94">
        <f>S139*0.4</f>
        <v/>
      </c>
      <c r="V139">
        <f>SUM(U139:U146)/1000000</f>
        <v/>
      </c>
      <c r="W139" s="94" t="n"/>
      <c r="X139" s="94" t="n"/>
    </row>
    <row r="140">
      <c r="A140" s="119" t="inlineStr">
        <is>
          <t>Operasyonel Nakit</t>
        </is>
      </c>
      <c r="B140" s="121" t="inlineStr">
        <is>
          <t>İnci Holding</t>
        </is>
      </c>
      <c r="E140" s="94" t="n">
        <v>3354239.865952292</v>
      </c>
      <c r="F140" s="94" t="n">
        <v>122739746.790368</v>
      </c>
      <c r="G140" s="94" t="n">
        <v>3987004.540589382</v>
      </c>
      <c r="H140" s="94" t="n">
        <v>118110541.621667</v>
      </c>
      <c r="I140" s="94" t="n">
        <v>3935417.87</v>
      </c>
      <c r="J140" s="94" t="n">
        <v>104632699.62</v>
      </c>
      <c r="K140" s="94" t="n">
        <v>3457852.881057943</v>
      </c>
      <c r="L140" s="94" t="n">
        <v>94624029.72866499</v>
      </c>
      <c r="M140" s="94" t="n">
        <v>3403794.76420538</v>
      </c>
      <c r="N140" s="94" t="n">
        <v>96088259.621667</v>
      </c>
      <c r="O140" s="94" t="n">
        <v>3252979.758752298</v>
      </c>
      <c r="P140" s="94" t="n">
        <v>96948324.621667</v>
      </c>
      <c r="Q140" s="94" t="n">
        <v>2990039.552436786</v>
      </c>
      <c r="R140" s="94" t="n">
        <v>90991411.06209999</v>
      </c>
      <c r="S140" s="94" t="n">
        <v>2775166.51923549</v>
      </c>
      <c r="T140" s="94" t="n">
        <v>90991411.06209999</v>
      </c>
      <c r="U140" s="94">
        <f>S140</f>
        <v/>
      </c>
      <c r="V140" s="94" t="n"/>
      <c r="W140" s="94" t="n"/>
      <c r="X140" s="94" t="n"/>
    </row>
    <row r="141">
      <c r="A141" s="119" t="inlineStr">
        <is>
          <t>Operasyonel Nakit</t>
        </is>
      </c>
      <c r="B141" s="121" t="inlineStr">
        <is>
          <t>İncitaş</t>
        </is>
      </c>
      <c r="E141" s="94" t="n">
        <v>-63268.90585055877</v>
      </c>
      <c r="F141" s="94" t="n">
        <v>-15766705.35250695</v>
      </c>
      <c r="G141" s="94" t="n">
        <v>1094174.132150988</v>
      </c>
      <c r="H141" s="94" t="n">
        <v>38154479.25020007</v>
      </c>
      <c r="I141" s="94" t="n">
        <v>520914.52</v>
      </c>
      <c r="J141" s="94" t="n">
        <v>13925101.45</v>
      </c>
      <c r="K141" s="94" t="n">
        <v>642145.5395239205</v>
      </c>
      <c r="L141" s="94" t="n">
        <v>17258727.79588899</v>
      </c>
      <c r="M141" s="94" t="n">
        <v>628280.2231703375</v>
      </c>
      <c r="N141" s="94" t="n">
        <v>16651559.15183806</v>
      </c>
      <c r="O141" s="94" t="n">
        <v>855047.9197150441</v>
      </c>
      <c r="P141" s="94" t="n">
        <v>27922262.39035508</v>
      </c>
      <c r="Q141" s="94" t="n">
        <v>843219.1926010505</v>
      </c>
      <c r="R141" s="94" t="n">
        <v>25823723.18427007</v>
      </c>
      <c r="S141" s="94" t="n">
        <v>967115.0500123851</v>
      </c>
      <c r="T141" s="94" t="n">
        <v>32413492.617582</v>
      </c>
      <c r="U141" s="94">
        <f>S141</f>
        <v/>
      </c>
      <c r="W141" s="94" t="n"/>
      <c r="X141" s="94" t="n"/>
    </row>
    <row r="142">
      <c r="A142" s="119" t="inlineStr">
        <is>
          <t>Operasyonel Nakit</t>
        </is>
      </c>
      <c r="B142" s="121" t="inlineStr">
        <is>
          <t>ISM</t>
        </is>
      </c>
      <c r="E142" s="94" t="n">
        <v>1176321.24760405</v>
      </c>
      <c r="F142" s="94" t="n">
        <v>40320461.60005599</v>
      </c>
      <c r="G142" s="94" t="n">
        <v>739671.29800919</v>
      </c>
      <c r="H142" s="94" t="n">
        <v>20845090.83628399</v>
      </c>
      <c r="I142" s="94" t="n">
        <v>675087.35</v>
      </c>
      <c r="J142" s="94" t="n">
        <v>19706513.19</v>
      </c>
      <c r="K142" s="94" t="n">
        <v>1084021.240828757</v>
      </c>
      <c r="L142" s="94" t="n">
        <v>37778926.71610802</v>
      </c>
      <c r="M142" s="94" t="n">
        <v>565760.9453920067</v>
      </c>
      <c r="N142" s="94" t="n">
        <v>12668043</v>
      </c>
      <c r="O142" s="94" t="n">
        <v>771420.316167195</v>
      </c>
      <c r="P142" s="94" t="n">
        <v>23067604.677162</v>
      </c>
      <c r="Q142" s="94" t="n">
        <v>634707.421232821</v>
      </c>
      <c r="R142" s="94" t="n">
        <v>13883388.13982597</v>
      </c>
      <c r="S142" s="94" t="n">
        <v>513204.6786110156</v>
      </c>
      <c r="T142" s="94" t="n">
        <v>7927411.267850026</v>
      </c>
      <c r="U142" s="94">
        <f>S142</f>
        <v/>
      </c>
      <c r="W142" s="94" t="n"/>
      <c r="X142" s="94" t="n"/>
    </row>
    <row r="143">
      <c r="A143" s="119" t="inlineStr">
        <is>
          <t>Operasyonel Nakit</t>
        </is>
      </c>
      <c r="B143" s="121" t="inlineStr">
        <is>
          <t>Maxion Aluminyum</t>
        </is>
      </c>
      <c r="E143" s="94" t="n">
        <v>33262702.22506301</v>
      </c>
      <c r="F143" s="94" t="n">
        <v>1223496256.612116</v>
      </c>
      <c r="G143" s="94" t="n">
        <v>34035315.32718301</v>
      </c>
      <c r="H143" s="94" t="n">
        <v>1265463738.363333</v>
      </c>
      <c r="I143" s="94" t="n">
        <v>35425079.23</v>
      </c>
      <c r="J143" s="94" t="n">
        <v>1338092104.21</v>
      </c>
      <c r="K143" s="94" t="n">
        <v>36593482.55104201</v>
      </c>
      <c r="L143" s="94" t="n">
        <v>1471493695.614973</v>
      </c>
      <c r="M143" s="94" t="n">
        <v>37072605.48792204</v>
      </c>
      <c r="N143" s="94" t="n">
        <v>1505759872.935227</v>
      </c>
      <c r="O143" s="94" t="n">
        <v>33955351.52811201</v>
      </c>
      <c r="P143" s="94" t="n">
        <v>1361794733.321653</v>
      </c>
      <c r="Q143" s="94" t="n">
        <v>31109574.74109203</v>
      </c>
      <c r="R143" s="94" t="n">
        <v>1209657472.836074</v>
      </c>
      <c r="S143" s="94" t="n">
        <v>27766034.66419401</v>
      </c>
      <c r="T143" s="94" t="n">
        <v>1032341896.486834</v>
      </c>
      <c r="U143" s="94">
        <f>S143*0.4</f>
        <v/>
      </c>
      <c r="W143" s="94" t="n"/>
      <c r="X143" s="94" t="n"/>
    </row>
    <row r="144">
      <c r="A144" s="119" t="inlineStr">
        <is>
          <t>Operasyonel Nakit</t>
        </is>
      </c>
      <c r="B144" s="121" t="inlineStr">
        <is>
          <t>Maxion Celik</t>
        </is>
      </c>
      <c r="E144" s="94" t="n">
        <v>21555498.66370699</v>
      </c>
      <c r="F144" s="94" t="n">
        <v>784281068.9199051</v>
      </c>
      <c r="G144" s="94" t="n">
        <v>25493439.37133401</v>
      </c>
      <c r="H144" s="94" t="n">
        <v>944188005.2826215</v>
      </c>
      <c r="I144" s="94" t="n">
        <v>26653381.37</v>
      </c>
      <c r="J144" s="94" t="n">
        <v>1000853966.81</v>
      </c>
      <c r="K144" s="94" t="n">
        <v>26725103.201718</v>
      </c>
      <c r="L144" s="94" t="n">
        <v>1026903786.678559</v>
      </c>
      <c r="M144" s="94" t="n">
        <v>26725103.201718</v>
      </c>
      <c r="N144" s="94" t="n">
        <v>1027017950.628861</v>
      </c>
      <c r="O144" s="94" t="n">
        <v>28253002.924495</v>
      </c>
      <c r="P144" s="94" t="n">
        <v>1102030677.699232</v>
      </c>
      <c r="Q144" s="94" t="n">
        <v>24170708.24072301</v>
      </c>
      <c r="R144" s="94" t="n">
        <v>881187266.2573727</v>
      </c>
      <c r="S144" s="94" t="n">
        <v>24930269.750264</v>
      </c>
      <c r="T144" s="94" t="n">
        <v>911440421.2496675</v>
      </c>
      <c r="U144" s="94">
        <f>S144*0.4</f>
        <v/>
      </c>
      <c r="W144" s="94" t="n"/>
      <c r="X144" s="94" t="n"/>
    </row>
    <row r="145">
      <c r="A145" s="119" t="inlineStr">
        <is>
          <t>Operasyonel Nakit</t>
        </is>
      </c>
      <c r="B145" s="121" t="inlineStr">
        <is>
          <t>Maxion Jantas</t>
        </is>
      </c>
      <c r="E145" s="94" t="n">
        <v>14117598.10507599</v>
      </c>
      <c r="F145" s="94" t="n">
        <v>424080801.2108409</v>
      </c>
      <c r="G145" s="94" t="n">
        <v>17437003.66999999</v>
      </c>
      <c r="H145" s="94" t="n">
        <v>570386741.2982283</v>
      </c>
      <c r="I145" s="94" t="n">
        <v>18997155.81</v>
      </c>
      <c r="J145" s="94" t="n">
        <v>645767378.71</v>
      </c>
      <c r="K145" s="94" t="n">
        <v>18938313.926018</v>
      </c>
      <c r="L145" s="94" t="n">
        <v>649381791.7366716</v>
      </c>
      <c r="M145" s="94" t="n">
        <v>20619680.66999999</v>
      </c>
      <c r="N145" s="94" t="n">
        <v>731920762.9742405</v>
      </c>
      <c r="O145" s="94" t="n">
        <v>20934517.21082299</v>
      </c>
      <c r="P145" s="94" t="n">
        <v>750156417.8023249</v>
      </c>
      <c r="Q145" s="94" t="n">
        <v>18760218.70618199</v>
      </c>
      <c r="R145" s="94" t="n">
        <v>608767651.2940135</v>
      </c>
      <c r="S145" s="94" t="n">
        <v>16915992.22990601</v>
      </c>
      <c r="T145" s="94" t="n">
        <v>507309386.0467809</v>
      </c>
      <c r="U145" s="94">
        <f>S145*0.4</f>
        <v/>
      </c>
      <c r="W145" s="94" t="n"/>
      <c r="X145" s="94" t="n"/>
    </row>
    <row r="146">
      <c r="A146" s="119" t="inlineStr">
        <is>
          <t>Operasyonel Nakit</t>
        </is>
      </c>
      <c r="B146" s="121" t="inlineStr">
        <is>
          <t>Yusen İnci Lojistik</t>
        </is>
      </c>
      <c r="E146" s="94" t="n">
        <v>7044734.707524527</v>
      </c>
      <c r="F146" s="94" t="n">
        <v>248963292.9472535</v>
      </c>
      <c r="G146" s="94" t="n">
        <v>7156615.007753854</v>
      </c>
      <c r="H146" s="94" t="n">
        <v>253942862.2399346</v>
      </c>
      <c r="I146" s="94" t="n">
        <v>6306457.36</v>
      </c>
      <c r="J146" s="94" t="n">
        <v>215814027.17</v>
      </c>
      <c r="K146" s="94" t="n">
        <v>5465452.639194522</v>
      </c>
      <c r="L146" s="94" t="n">
        <v>175379591.9261521</v>
      </c>
      <c r="M146" s="94" t="n">
        <v>5426306.866631212</v>
      </c>
      <c r="N146" s="94" t="n">
        <v>174334329.9604516</v>
      </c>
      <c r="O146" s="94" t="n">
        <v>5383029.468572191</v>
      </c>
      <c r="P146" s="94" t="n">
        <v>171878013.5576449</v>
      </c>
      <c r="Q146" s="94" t="n">
        <v>5017229.424631104</v>
      </c>
      <c r="R146" s="94" t="n">
        <v>142138602.0872604</v>
      </c>
      <c r="S146" s="94" t="n">
        <v>5842016.61810458</v>
      </c>
      <c r="T146" s="94" t="n">
        <v>182059856.7376525</v>
      </c>
      <c r="U146" s="94">
        <f>S146*0.4</f>
        <v/>
      </c>
      <c r="W146" s="94" t="n"/>
      <c r="X146" s="94" t="n"/>
    </row>
    <row r="147">
      <c r="A147" s="119" t="inlineStr">
        <is>
          <t>Serbest Nakit</t>
        </is>
      </c>
      <c r="B147" s="121" t="inlineStr">
        <is>
          <t>İnci GS Yuasa</t>
        </is>
      </c>
      <c r="E147" s="94" t="n">
        <v>9958537.279557586</v>
      </c>
      <c r="F147" s="94" t="n">
        <v>158212759.5355909</v>
      </c>
      <c r="G147" s="94" t="n">
        <v>1334292.744813701</v>
      </c>
      <c r="H147" s="94" t="n">
        <v>-227165952.5297438</v>
      </c>
      <c r="I147" s="94" t="n">
        <v>-1673730.14</v>
      </c>
      <c r="J147" s="94" t="n">
        <v>-323235424.87</v>
      </c>
      <c r="K147" s="94" t="n">
        <v>12173436.21477649</v>
      </c>
      <c r="L147" s="94" t="n">
        <v>282269545.0692786</v>
      </c>
      <c r="M147" s="94" t="n">
        <v>11185597.51872998</v>
      </c>
      <c r="N147" s="94" t="n">
        <v>238412137.981741</v>
      </c>
      <c r="O147" s="94" t="n">
        <v>9583656.153223353</v>
      </c>
      <c r="P147" s="94" t="n">
        <v>160136469.3185655</v>
      </c>
      <c r="Q147" s="94" t="n">
        <v>8095740.237162333</v>
      </c>
      <c r="R147" s="94" t="n">
        <v>33304069.70542952</v>
      </c>
      <c r="S147" s="94" t="n">
        <v>3428135.362849099</v>
      </c>
      <c r="T147" s="94" t="n">
        <v>-206168922.7707091</v>
      </c>
      <c r="U147" s="94" t="n"/>
      <c r="V147" s="94" t="n"/>
      <c r="W147" s="94" t="n"/>
      <c r="X147" s="94" t="n"/>
    </row>
    <row r="148">
      <c r="A148" s="119" t="inlineStr">
        <is>
          <t>Serbest Nakit</t>
        </is>
      </c>
      <c r="B148" s="121" t="inlineStr">
        <is>
          <t>İnci Holding</t>
        </is>
      </c>
      <c r="E148" s="94" t="n">
        <v>3339341.028999604</v>
      </c>
      <c r="F148" s="94" t="n">
        <v>122115892.623701</v>
      </c>
      <c r="G148" s="94" t="n">
        <v>3972244.361466819</v>
      </c>
      <c r="H148" s="94" t="n">
        <v>117486687.451667</v>
      </c>
      <c r="I148" s="94" t="n">
        <v>3920792.82</v>
      </c>
      <c r="J148" s="94" t="n">
        <v>104008845.45</v>
      </c>
      <c r="K148" s="94" t="n">
        <v>3444645.600628729</v>
      </c>
      <c r="L148" s="94" t="n">
        <v>94000175.55866499</v>
      </c>
      <c r="M148" s="94" t="n">
        <v>3390707.038281961</v>
      </c>
      <c r="N148" s="94" t="n">
        <v>95464405.451667</v>
      </c>
      <c r="O148" s="94" t="n">
        <v>3239527.89738875</v>
      </c>
      <c r="P148" s="94" t="n">
        <v>96324470.451667</v>
      </c>
      <c r="Q148" s="94" t="n">
        <v>2976900.884453362</v>
      </c>
      <c r="R148" s="94" t="n">
        <v>90367556.89209999</v>
      </c>
      <c r="S148" s="94" t="n">
        <v>2762104.402453884</v>
      </c>
      <c r="T148" s="94" t="n">
        <v>90367556.89209999</v>
      </c>
      <c r="U148" s="94" t="n"/>
      <c r="V148" s="94" t="n"/>
      <c r="W148" s="94" t="n"/>
      <c r="X148" s="94" t="n"/>
    </row>
    <row r="149">
      <c r="A149" s="119" t="inlineStr">
        <is>
          <t>Serbest Nakit</t>
        </is>
      </c>
      <c r="B149" s="121" t="inlineStr">
        <is>
          <t>İncitaş</t>
        </is>
      </c>
      <c r="E149" s="94" t="n">
        <v>-63268.90585055877</v>
      </c>
      <c r="F149" s="94" t="n">
        <v>-15766705.35250695</v>
      </c>
      <c r="G149" s="94" t="n">
        <v>1094174.132150988</v>
      </c>
      <c r="H149" s="94" t="n">
        <v>38154479.25020007</v>
      </c>
      <c r="I149" s="94" t="n">
        <v>520914.52</v>
      </c>
      <c r="J149" s="94" t="n">
        <v>13925101.45</v>
      </c>
      <c r="K149" s="94" t="n">
        <v>642145.5395239205</v>
      </c>
      <c r="L149" s="94" t="n">
        <v>17258727.79588899</v>
      </c>
      <c r="M149" s="94" t="n">
        <v>628280.2231703375</v>
      </c>
      <c r="N149" s="94" t="n">
        <v>16651559.15183806</v>
      </c>
      <c r="O149" s="94" t="n">
        <v>855047.9197150441</v>
      </c>
      <c r="P149" s="94" t="n">
        <v>27922262.39035508</v>
      </c>
      <c r="Q149" s="94" t="n">
        <v>843219.1926010505</v>
      </c>
      <c r="R149" s="94" t="n">
        <v>25823723.18427007</v>
      </c>
      <c r="S149" s="94" t="n">
        <v>967115.0500123851</v>
      </c>
      <c r="T149" s="94" t="n">
        <v>32413492.617582</v>
      </c>
      <c r="U149" s="94" t="n"/>
      <c r="V149" s="94" t="n"/>
      <c r="W149" s="94" t="n"/>
      <c r="X149" s="94" t="n"/>
    </row>
    <row r="150">
      <c r="A150" s="119" t="inlineStr">
        <is>
          <t>Serbest Nakit</t>
        </is>
      </c>
      <c r="B150" s="121" t="inlineStr">
        <is>
          <t>ISM</t>
        </is>
      </c>
      <c r="E150" s="94" t="n">
        <v>260946.5777989037</v>
      </c>
      <c r="F150" s="94" t="n">
        <v>2452384.660458989</v>
      </c>
      <c r="G150" s="94" t="n">
        <v>28386.85584709351</v>
      </c>
      <c r="H150" s="94" t="n">
        <v>-8485244.713716011</v>
      </c>
      <c r="I150" s="94" t="n">
        <v>59976.34</v>
      </c>
      <c r="J150" s="94" t="n">
        <v>-5705552.81</v>
      </c>
      <c r="K150" s="94" t="n">
        <v>538055.1803863004</v>
      </c>
      <c r="L150" s="94" t="n">
        <v>14167453.16610802</v>
      </c>
      <c r="M150" s="94" t="n">
        <v>-43023.9305158885</v>
      </c>
      <c r="N150" s="94" t="n">
        <v>-13884087</v>
      </c>
      <c r="O150" s="94" t="n">
        <v>186514.4817831917</v>
      </c>
      <c r="P150" s="94" t="n">
        <v>-2344461.322838001</v>
      </c>
      <c r="Q150" s="94" t="n">
        <v>54325.37943500013</v>
      </c>
      <c r="R150" s="94" t="n">
        <v>-11528677.86017403</v>
      </c>
      <c r="S150" s="94" t="n">
        <v>-69172.49743530713</v>
      </c>
      <c r="T150" s="94" t="n">
        <v>-17484654.73214997</v>
      </c>
      <c r="U150" s="94" t="n"/>
      <c r="V150" s="94" t="n"/>
      <c r="W150" s="94" t="n"/>
      <c r="X150" s="94" t="n"/>
    </row>
    <row r="151">
      <c r="A151" s="119" t="inlineStr">
        <is>
          <t>Serbest Nakit</t>
        </is>
      </c>
      <c r="B151" s="121" t="inlineStr">
        <is>
          <t>Maxion Aluminyum</t>
        </is>
      </c>
      <c r="E151" s="94" t="n">
        <v>29495402.22506301</v>
      </c>
      <c r="F151" s="94" t="n">
        <v>1063994985.046242</v>
      </c>
      <c r="G151" s="94" t="n">
        <v>30194195.32718301</v>
      </c>
      <c r="H151" s="94" t="n">
        <v>1100907411.710331</v>
      </c>
      <c r="I151" s="94" t="n">
        <v>31025779.75</v>
      </c>
      <c r="J151" s="94" t="n">
        <v>1147842930.38</v>
      </c>
      <c r="K151" s="94" t="n">
        <v>32375337.061042</v>
      </c>
      <c r="L151" s="94" t="n">
        <v>1262668274.699608</v>
      </c>
      <c r="M151" s="94" t="n">
        <v>33134854.61792203</v>
      </c>
      <c r="N151" s="94" t="n">
        <v>1307695661.263501</v>
      </c>
      <c r="O151" s="94" t="n">
        <v>30072581.36811201</v>
      </c>
      <c r="P151" s="94" t="n">
        <v>1164182535.532943</v>
      </c>
      <c r="Q151" s="94" t="n">
        <v>27226804.58109203</v>
      </c>
      <c r="R151" s="94" t="n">
        <v>995895586.861237</v>
      </c>
      <c r="S151" s="94" t="n">
        <v>24183264.50419402</v>
      </c>
      <c r="T151" s="94" t="n">
        <v>829474312.117565</v>
      </c>
      <c r="U151" s="94" t="n"/>
      <c r="V151" s="94" t="n"/>
      <c r="W151" s="94" t="n"/>
      <c r="X151" s="94" t="n"/>
    </row>
    <row r="152">
      <c r="A152" s="119" t="inlineStr">
        <is>
          <t>Serbest Nakit</t>
        </is>
      </c>
      <c r="B152" s="121" t="inlineStr">
        <is>
          <t>Maxion Celik</t>
        </is>
      </c>
      <c r="E152" s="94" t="n">
        <v>18468498.66370699</v>
      </c>
      <c r="F152" s="94" t="n">
        <v>654432873.1318464</v>
      </c>
      <c r="G152" s="94" t="n">
        <v>22406441.455802</v>
      </c>
      <c r="H152" s="94" t="n">
        <v>813183930.5457177</v>
      </c>
      <c r="I152" s="94" t="n">
        <v>23573381.37</v>
      </c>
      <c r="J152" s="94" t="n">
        <v>869629970.67</v>
      </c>
      <c r="K152" s="94" t="n">
        <v>23645103.201718</v>
      </c>
      <c r="L152" s="94" t="n">
        <v>874443786.6785586</v>
      </c>
      <c r="M152" s="94" t="n">
        <v>24854160.929561</v>
      </c>
      <c r="N152" s="94" t="n">
        <v>962590177.3407003</v>
      </c>
      <c r="O152" s="94" t="n">
        <v>25117016.067105</v>
      </c>
      <c r="P152" s="94" t="n">
        <v>970850828.8998586</v>
      </c>
      <c r="Q152" s="94" t="n">
        <v>21586652.98795701</v>
      </c>
      <c r="R152" s="94" t="n">
        <v>771998492.1382771</v>
      </c>
      <c r="S152" s="94" t="n">
        <v>21850269.747498</v>
      </c>
      <c r="T152" s="94" t="n">
        <v>776200367.4277505</v>
      </c>
      <c r="U152" s="94" t="n"/>
      <c r="V152" s="94" t="n"/>
      <c r="W152" s="94" t="n"/>
      <c r="X152" s="94" t="n"/>
    </row>
    <row r="153">
      <c r="A153" s="119" t="inlineStr">
        <is>
          <t>Serbest Nakit</t>
        </is>
      </c>
      <c r="B153" s="121" t="inlineStr">
        <is>
          <t>Maxion Jantas</t>
        </is>
      </c>
      <c r="E153" s="94" t="n">
        <v>10819598.93507599</v>
      </c>
      <c r="F153" s="94" t="n">
        <v>286096579.6106068</v>
      </c>
      <c r="G153" s="94" t="n">
        <v>14137003.67</v>
      </c>
      <c r="H153" s="94" t="n">
        <v>431188037.6218176</v>
      </c>
      <c r="I153" s="94" t="n">
        <v>15698683.34</v>
      </c>
      <c r="J153" s="94" t="n">
        <v>505496623.31</v>
      </c>
      <c r="K153" s="94" t="n">
        <v>15639916.887696</v>
      </c>
      <c r="L153" s="94" t="n">
        <v>496714900.8189324</v>
      </c>
      <c r="M153" s="94" t="n">
        <v>17319680.66999999</v>
      </c>
      <c r="N153" s="94" t="n">
        <v>578618949.4532472</v>
      </c>
      <c r="O153" s="94" t="n">
        <v>17535581.18021199</v>
      </c>
      <c r="P153" s="94" t="n">
        <v>591038227.7592316</v>
      </c>
      <c r="Q153" s="94" t="n">
        <v>15333093.14552699</v>
      </c>
      <c r="R153" s="94" t="n">
        <v>446176037.8863177</v>
      </c>
      <c r="S153" s="94" t="n">
        <v>13489000.76990601</v>
      </c>
      <c r="T153" s="94" t="n">
        <v>344860255.1905326</v>
      </c>
      <c r="U153" s="94" t="n"/>
      <c r="V153" s="94" t="n"/>
      <c r="W153" s="94" t="n"/>
      <c r="X153" s="94" t="n"/>
    </row>
    <row r="154">
      <c r="A154" s="119" t="inlineStr">
        <is>
          <t>Serbest Nakit</t>
        </is>
      </c>
      <c r="B154" s="121" t="inlineStr">
        <is>
          <t>Yusen İnci Lojistik</t>
        </is>
      </c>
      <c r="E154" s="94" t="n">
        <v>6447929.078763984</v>
      </c>
      <c r="F154" s="94" t="n">
        <v>224963292.9472535</v>
      </c>
      <c r="G154" s="94" t="n">
        <v>6543283.955834305</v>
      </c>
      <c r="H154" s="94" t="n">
        <v>229942862.2399346</v>
      </c>
      <c r="I154" s="94" t="n">
        <v>5623515.19</v>
      </c>
      <c r="J154" s="94" t="n">
        <v>188814027.17</v>
      </c>
      <c r="K154" s="94" t="n">
        <v>4789837.266229621</v>
      </c>
      <c r="L154" s="94" t="n">
        <v>148379591.9261521</v>
      </c>
      <c r="M154" s="94" t="n">
        <v>4724706.865164028</v>
      </c>
      <c r="N154" s="94" t="n">
        <v>147334329.9604516</v>
      </c>
      <c r="O154" s="94" t="n">
        <v>4147018.873898482</v>
      </c>
      <c r="P154" s="94" t="n">
        <v>119748383.1576449</v>
      </c>
      <c r="Q154" s="94" t="n">
        <v>3768703.852500884</v>
      </c>
      <c r="R154" s="94" t="n">
        <v>90008971.68726037</v>
      </c>
      <c r="S154" s="94" t="n">
        <v>3840767.852492729</v>
      </c>
      <c r="T154" s="94" t="n">
        <v>88916463.1376525</v>
      </c>
      <c r="U154" s="94" t="n"/>
      <c r="V154" s="94" t="n"/>
      <c r="W154" s="94" t="n"/>
      <c r="X154" s="94" t="n"/>
    </row>
    <row r="157">
      <c r="S157">
        <f>S139*0.4</f>
        <v/>
      </c>
      <c r="U157" s="94" t="n"/>
      <c r="V157" s="94" t="n"/>
    </row>
    <row r="158">
      <c r="U158" s="94" t="n"/>
      <c r="V158" s="94" t="n"/>
    </row>
    <row r="159">
      <c r="U159" s="94" t="n"/>
      <c r="V159" s="94" t="n"/>
      <c r="W159" s="544" t="n"/>
      <c r="X159" s="94" t="n">
        <v>789316919.7216296</v>
      </c>
    </row>
    <row r="161">
      <c r="V161" s="94" t="n"/>
    </row>
    <row r="165">
      <c r="U165" s="428" t="inlineStr">
        <is>
          <t>Jantaş</t>
        </is>
      </c>
      <c r="V165" s="429" t="n">
        <v>1639026</v>
      </c>
    </row>
    <row r="166">
      <c r="U166" s="299" t="inlineStr">
        <is>
          <t>Çelik</t>
        </is>
      </c>
      <c r="V166" s="301" t="n">
        <v>3460000</v>
      </c>
    </row>
    <row r="167">
      <c r="U167" s="300" t="inlineStr">
        <is>
          <t>Aluminyum</t>
        </is>
      </c>
      <c r="V167" s="75" t="n">
        <v>3800819</v>
      </c>
    </row>
    <row r="168">
      <c r="U168" s="3" t="inlineStr">
        <is>
          <t>Toplam</t>
        </is>
      </c>
      <c r="V168" s="302">
        <f>SUM(V165:V167)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3:O22"/>
  <sheetViews>
    <sheetView showGridLines="0" zoomScale="85" zoomScaleNormal="85" workbookViewId="0">
      <selection activeCell="H8" sqref="H8"/>
    </sheetView>
  </sheetViews>
  <sheetFormatPr baseColWidth="8" defaultRowHeight="14.5"/>
  <cols>
    <col width="26.453125" customWidth="1" min="2" max="2"/>
    <col width="4.81640625" customWidth="1" min="3" max="3"/>
    <col width="15.1796875" bestFit="1" customWidth="1" min="4" max="4"/>
    <col width="14.1796875" bestFit="1" customWidth="1" min="5" max="5"/>
    <col width="6.1796875" customWidth="1" min="6" max="6"/>
    <col width="13" bestFit="1" customWidth="1" min="7" max="7"/>
    <col width="13.54296875" customWidth="1" min="8" max="8"/>
    <col width="7" customWidth="1" min="9" max="9"/>
    <col width="21.1796875" bestFit="1" customWidth="1" min="11" max="11"/>
    <col width="13.26953125" bestFit="1" customWidth="1" min="13" max="14"/>
  </cols>
  <sheetData>
    <row r="3">
      <c r="B3" s="276" t="n"/>
      <c r="C3" s="276" t="n"/>
      <c r="D3" s="276" t="inlineStr">
        <is>
          <t>Ciro Bütçe</t>
        </is>
      </c>
      <c r="E3" s="276" t="inlineStr">
        <is>
          <t>Ciro Tahmin</t>
        </is>
      </c>
      <c r="F3" s="276" t="n"/>
      <c r="G3" s="276" t="inlineStr">
        <is>
          <t>VÖK Bütçe</t>
        </is>
      </c>
      <c r="H3" s="276" t="inlineStr">
        <is>
          <t>VÖK Tahmin</t>
        </is>
      </c>
      <c r="I3" s="276" t="n"/>
      <c r="K3" s="276" t="n"/>
      <c r="L3" s="276" t="n"/>
      <c r="M3" s="276" t="inlineStr">
        <is>
          <t>YKP Bütçe</t>
        </is>
      </c>
      <c r="N3" s="276" t="inlineStr">
        <is>
          <t>YKP Tahmin</t>
        </is>
      </c>
      <c r="O3" s="276" t="n"/>
    </row>
    <row r="4">
      <c r="B4" s="277" t="n"/>
      <c r="C4" s="277" t="n"/>
      <c r="D4" s="277" t="n">
        <v>2024</v>
      </c>
      <c r="E4" s="277" t="n">
        <v>2024</v>
      </c>
      <c r="F4" s="277" t="inlineStr">
        <is>
          <t>%</t>
        </is>
      </c>
      <c r="G4" s="277" t="n">
        <v>2024</v>
      </c>
      <c r="H4" s="277" t="n">
        <v>2024</v>
      </c>
      <c r="I4" s="277" t="inlineStr">
        <is>
          <t>%</t>
        </is>
      </c>
      <c r="K4" s="280" t="inlineStr">
        <is>
          <t>TRY</t>
        </is>
      </c>
      <c r="L4" s="280" t="inlineStr">
        <is>
          <t>Oran</t>
        </is>
      </c>
      <c r="M4" s="277" t="n">
        <v>2024</v>
      </c>
      <c r="N4" s="277" t="n">
        <v>2024</v>
      </c>
      <c r="O4" s="277" t="inlineStr">
        <is>
          <t>%</t>
        </is>
      </c>
    </row>
    <row r="5">
      <c r="B5" s="278" t="inlineStr">
        <is>
          <t>Maxion İnci Jantaş</t>
        </is>
      </c>
      <c r="C5" s="278" t="inlineStr">
        <is>
          <t>EUR</t>
        </is>
      </c>
      <c r="D5" s="274">
        <f>'C-Döviz'!$AI$14</f>
        <v/>
      </c>
      <c r="E5" s="274">
        <f>'Tahmin Data'!$W$9</f>
        <v/>
      </c>
      <c r="F5" s="275">
        <f>E5/D5-1</f>
        <v/>
      </c>
      <c r="G5" s="274">
        <f>'C-Döviz'!AI220</f>
        <v/>
      </c>
      <c r="H5" s="274">
        <f>'Tahmin Data'!$W$105</f>
        <v/>
      </c>
      <c r="I5" s="275">
        <f>H5/G5-1</f>
        <v/>
      </c>
      <c r="K5" s="278" t="inlineStr">
        <is>
          <t>Maxion İnci Jantaş</t>
        </is>
      </c>
      <c r="L5" s="281" t="n">
        <v>0.0133</v>
      </c>
      <c r="M5" s="274" t="n">
        <v>75825751.42358381</v>
      </c>
      <c r="N5" s="274" t="n">
        <v>58768416</v>
      </c>
      <c r="O5" s="275">
        <f>N5/M5-1</f>
        <v/>
      </c>
    </row>
    <row r="6">
      <c r="B6" s="278" t="inlineStr">
        <is>
          <t>Maxion İnci Çelik</t>
        </is>
      </c>
      <c r="C6" s="278" t="inlineStr">
        <is>
          <t>EUR</t>
        </is>
      </c>
      <c r="D6" s="274">
        <f>'C-Döviz'!$AI$15</f>
        <v/>
      </c>
      <c r="E6" s="274">
        <f>'Tahmin Data'!$W$8</f>
        <v/>
      </c>
      <c r="F6" s="275">
        <f>E6/D6-1</f>
        <v/>
      </c>
      <c r="G6" s="274">
        <f>'C-Döviz'!AI221</f>
        <v/>
      </c>
      <c r="H6" s="274">
        <f>'Tahmin Data'!$W$104</f>
        <v/>
      </c>
      <c r="I6" s="275">
        <f>H6/G6-1</f>
        <v/>
      </c>
      <c r="K6" s="278" t="inlineStr">
        <is>
          <t>Maxion İnci Çelik</t>
        </is>
      </c>
      <c r="L6" s="281" t="n">
        <v>0.0133</v>
      </c>
      <c r="M6" s="274" t="n">
        <v>43163460.08683801</v>
      </c>
      <c r="N6" s="274" t="n">
        <v>39887332</v>
      </c>
      <c r="O6" s="275">
        <f>N6/M6-1</f>
        <v/>
      </c>
    </row>
    <row r="7">
      <c r="B7" s="278" t="inlineStr">
        <is>
          <t>Maxion İnci Alüminyum</t>
        </is>
      </c>
      <c r="C7" s="278" t="inlineStr">
        <is>
          <t>EUR</t>
        </is>
      </c>
      <c r="D7" s="274">
        <f>'C-Döviz'!$AI$16</f>
        <v/>
      </c>
      <c r="E7" s="274">
        <f>'Tahmin Data'!$W$7</f>
        <v/>
      </c>
      <c r="F7" s="275">
        <f>E7/D7-1</f>
        <v/>
      </c>
      <c r="G7" s="274">
        <f>'C-Döviz'!AI222</f>
        <v/>
      </c>
      <c r="H7" s="274">
        <f>'Tahmin Data'!$W$103</f>
        <v/>
      </c>
      <c r="I7" s="275">
        <f>H7/G7-1</f>
        <v/>
      </c>
      <c r="K7" s="278" t="inlineStr">
        <is>
          <t>Maxion İnci Alüminyum</t>
        </is>
      </c>
      <c r="L7" s="281" t="n">
        <v>0.0133</v>
      </c>
      <c r="M7" s="274" t="n">
        <v>134732179.7476845</v>
      </c>
      <c r="N7" s="274" t="n">
        <v>111252572</v>
      </c>
      <c r="O7" s="275">
        <f>N7/M7-1</f>
        <v/>
      </c>
    </row>
    <row r="8">
      <c r="B8" s="278" t="inlineStr">
        <is>
          <t>İnci GS Yuasa</t>
        </is>
      </c>
      <c r="C8" s="278" t="inlineStr">
        <is>
          <t>TRY</t>
        </is>
      </c>
      <c r="D8" s="274">
        <f>'C-TRY'!$AI$12</f>
        <v/>
      </c>
      <c r="E8" s="274">
        <f>'Tahmin Data'!$W$3</f>
        <v/>
      </c>
      <c r="F8" s="275">
        <f>E8/D8-1</f>
        <v/>
      </c>
      <c r="G8" s="274">
        <f>'C-TRY'!$AI$218</f>
        <v/>
      </c>
      <c r="H8" s="274">
        <f>'Tahmin Data'!$W$99</f>
        <v/>
      </c>
      <c r="I8" s="275">
        <f>H8/G8-1</f>
        <v/>
      </c>
      <c r="K8" s="278" t="inlineStr">
        <is>
          <t>İnci GS Yuasa</t>
        </is>
      </c>
      <c r="L8" s="281" t="n">
        <v>0.008999999999999999</v>
      </c>
      <c r="M8" s="274" t="n">
        <v>89823536.64230232</v>
      </c>
      <c r="N8" s="274" t="n">
        <v>76685557</v>
      </c>
      <c r="O8" s="275">
        <f>N8/M8-1</f>
        <v/>
      </c>
    </row>
    <row r="9">
      <c r="B9" s="278" t="inlineStr">
        <is>
          <t>Yusen İnci Lojistik</t>
        </is>
      </c>
      <c r="C9" s="278" t="inlineStr">
        <is>
          <t>TRY</t>
        </is>
      </c>
      <c r="D9" s="274">
        <f>'C-TRY'!$AI$13</f>
        <v/>
      </c>
      <c r="E9" s="274">
        <f>'Tahmin Data'!$W$10</f>
        <v/>
      </c>
      <c r="F9" s="275">
        <f>E9/D9-1</f>
        <v/>
      </c>
      <c r="G9" s="274">
        <f>'C-TRY'!$AI$219</f>
        <v/>
      </c>
      <c r="H9" s="274">
        <f>'Tahmin Data'!$W$106</f>
        <v/>
      </c>
      <c r="I9" s="275">
        <f>H9/G9-1</f>
        <v/>
      </c>
      <c r="K9" s="278" t="inlineStr">
        <is>
          <t>Yusen İnci Lojistik</t>
        </is>
      </c>
      <c r="L9" s="281" t="n">
        <v>0.0028</v>
      </c>
      <c r="M9" s="274" t="n">
        <v>6573226.186676286</v>
      </c>
      <c r="N9" s="274" t="n">
        <v>6797596</v>
      </c>
      <c r="O9" s="275">
        <f>N9/M9-1</f>
        <v/>
      </c>
    </row>
    <row r="10">
      <c r="B10" s="278" t="inlineStr">
        <is>
          <t>ISM</t>
        </is>
      </c>
      <c r="C10" s="278" t="inlineStr">
        <is>
          <t>TRY</t>
        </is>
      </c>
      <c r="D10" s="274">
        <f>'C-TRY'!$AI$10</f>
        <v/>
      </c>
      <c r="E10" s="274">
        <f>'Tahmin Data'!$V$6</f>
        <v/>
      </c>
      <c r="F10" s="275">
        <f>E10/D10-1</f>
        <v/>
      </c>
      <c r="G10" s="274">
        <f>'C-TRY'!$AI$216</f>
        <v/>
      </c>
      <c r="H10" s="274">
        <f>'Tahmin Data'!$V$102</f>
        <v/>
      </c>
      <c r="I10" s="275">
        <f>H10/G10-1</f>
        <v/>
      </c>
      <c r="K10" s="278" t="inlineStr">
        <is>
          <t>ISM</t>
        </is>
      </c>
      <c r="L10" s="281" t="n">
        <v>0.008</v>
      </c>
      <c r="M10" s="274" t="n">
        <v>3285726.088580006</v>
      </c>
      <c r="N10" s="274" t="n">
        <v>2109362</v>
      </c>
      <c r="O10" s="275">
        <f>N10/M10-1</f>
        <v/>
      </c>
    </row>
    <row r="11">
      <c r="B11" s="278" t="inlineStr">
        <is>
          <t>İncitaş</t>
        </is>
      </c>
      <c r="C11" s="278" t="inlineStr">
        <is>
          <t>TRY</t>
        </is>
      </c>
      <c r="D11" s="274">
        <f>'C-TRY'!$AI$11</f>
        <v/>
      </c>
      <c r="E11" s="274">
        <f>'Tahmin Data'!$V$5</f>
        <v/>
      </c>
      <c r="F11" s="275">
        <f>E11/D11-1</f>
        <v/>
      </c>
      <c r="G11" s="274">
        <f>'C-TRY'!$AI$217</f>
        <v/>
      </c>
      <c r="H11" s="274">
        <f>'Tahmin Data'!$V$101</f>
        <v/>
      </c>
      <c r="I11" s="275">
        <f>H11/G11-1</f>
        <v/>
      </c>
      <c r="K11" s="278" t="inlineStr">
        <is>
          <t>İncitaş</t>
        </is>
      </c>
      <c r="L11" s="281" t="n">
        <v>0.008</v>
      </c>
      <c r="M11" s="274" t="n">
        <v>3570564.63992</v>
      </c>
      <c r="N11" s="274" t="n">
        <v>3489491</v>
      </c>
      <c r="O11" s="275">
        <f>N11/M11-1</f>
        <v/>
      </c>
    </row>
    <row r="15">
      <c r="B15" s="279" t="inlineStr">
        <is>
          <t>Temettü Planı 2024</t>
        </is>
      </c>
      <c r="C15" s="279" t="n"/>
      <c r="D15" s="279" t="n"/>
    </row>
    <row r="16">
      <c r="B16" s="278" t="inlineStr">
        <is>
          <t>Cineks</t>
        </is>
      </c>
      <c r="C16" s="278" t="inlineStr">
        <is>
          <t>TRY</t>
        </is>
      </c>
      <c r="D16" s="274" t="n">
        <v>11000000</v>
      </c>
    </row>
    <row r="17">
      <c r="B17" s="278" t="inlineStr">
        <is>
          <t>İnci Holding</t>
        </is>
      </c>
      <c r="C17" s="278" t="inlineStr">
        <is>
          <t>EUR</t>
        </is>
      </c>
      <c r="D17" s="274" t="n">
        <v>10000000</v>
      </c>
    </row>
    <row r="18">
      <c r="B18" s="278" t="inlineStr">
        <is>
          <t>İncitaş</t>
        </is>
      </c>
      <c r="C18" s="278" t="inlineStr">
        <is>
          <t>TRY</t>
        </is>
      </c>
      <c r="D18" s="274" t="n">
        <v>7870435</v>
      </c>
    </row>
    <row r="19">
      <c r="B19" s="278" t="inlineStr">
        <is>
          <t>Maxion İnci Alüminyum</t>
        </is>
      </c>
      <c r="C19" s="278" t="inlineStr">
        <is>
          <t>EUR</t>
        </is>
      </c>
      <c r="D19" s="274" t="n">
        <v>8500000</v>
      </c>
    </row>
    <row r="20">
      <c r="B20" s="278" t="inlineStr">
        <is>
          <t>Maxion İnci Çelik</t>
        </is>
      </c>
      <c r="C20" s="278" t="inlineStr">
        <is>
          <t>EUR</t>
        </is>
      </c>
      <c r="D20" s="274" t="n">
        <v>12000000</v>
      </c>
    </row>
    <row r="21">
      <c r="B21" s="278" t="inlineStr">
        <is>
          <t>Maxion İnci Jantaş</t>
        </is>
      </c>
      <c r="C21" s="278" t="inlineStr">
        <is>
          <t>EUR</t>
        </is>
      </c>
      <c r="D21" s="274" t="n">
        <v>13000000</v>
      </c>
    </row>
    <row r="22">
      <c r="B22" s="278" t="inlineStr">
        <is>
          <t>Yusen İnci Lojistik</t>
        </is>
      </c>
      <c r="C22" s="278" t="inlineStr">
        <is>
          <t>TRY</t>
        </is>
      </c>
      <c r="D22" s="274" t="n">
        <v>50000000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filterMode="1">
    <outlinePr summaryBelow="1" summaryRight="1"/>
    <pageSetUpPr/>
  </sheetPr>
  <dimension ref="A1:G154"/>
  <sheetViews>
    <sheetView showGridLines="0" workbookViewId="0">
      <selection activeCell="C44" sqref="C44"/>
    </sheetView>
  </sheetViews>
  <sheetFormatPr baseColWidth="8" defaultRowHeight="14.5"/>
  <cols>
    <col width="21.1796875" bestFit="1" customWidth="1" min="1" max="1"/>
    <col width="17.26953125" bestFit="1" customWidth="1" min="2" max="2"/>
    <col width="13.54296875" bestFit="1" customWidth="1" style="94" min="3" max="3"/>
    <col width="15" bestFit="1" customWidth="1" style="94" min="4" max="4"/>
  </cols>
  <sheetData>
    <row r="1">
      <c r="A1" s="119" t="inlineStr">
        <is>
          <t>Currency</t>
        </is>
      </c>
      <c r="C1" s="94" t="inlineStr">
        <is>
          <t>Mayıs</t>
        </is>
      </c>
    </row>
    <row r="2">
      <c r="A2" s="120" t="inlineStr">
        <is>
          <t>2</t>
        </is>
      </c>
      <c r="B2" s="120" t="inlineStr">
        <is>
          <t>Firma</t>
        </is>
      </c>
      <c r="C2" s="94" t="inlineStr">
        <is>
          <t>EURO</t>
        </is>
      </c>
      <c r="D2" s="94" t="inlineStr">
        <is>
          <t>TL</t>
        </is>
      </c>
    </row>
    <row r="3" hidden="1">
      <c r="A3" s="119" t="inlineStr">
        <is>
          <t>Net Satışlar</t>
        </is>
      </c>
      <c r="B3" s="121" t="inlineStr">
        <is>
          <t>İnci GS Yuasa</t>
        </is>
      </c>
      <c r="C3" s="94" t="n">
        <v>105176089.7145772</v>
      </c>
      <c r="D3" s="94" t="n">
        <v>3915040434.362584</v>
      </c>
    </row>
    <row r="4">
      <c r="A4" s="119" t="inlineStr">
        <is>
          <t>Net Satışlar</t>
        </is>
      </c>
      <c r="B4" s="121" t="inlineStr">
        <is>
          <t>İnci Holding</t>
        </is>
      </c>
      <c r="C4" s="94" t="n">
        <v>9024046.721788205</v>
      </c>
      <c r="D4" s="94" t="n">
        <v>334400224</v>
      </c>
    </row>
    <row r="5" hidden="1">
      <c r="A5" s="119" t="inlineStr">
        <is>
          <t>Net Satışlar</t>
        </is>
      </c>
      <c r="B5" s="121" t="inlineStr">
        <is>
          <t>İncitaş</t>
        </is>
      </c>
      <c r="C5" s="94" t="n">
        <v>12235559.04634773</v>
      </c>
      <c r="D5" s="94" t="n">
        <v>451553540.997331</v>
      </c>
    </row>
    <row r="6" hidden="1">
      <c r="A6" s="119" t="inlineStr">
        <is>
          <t>Net Satışlar</t>
        </is>
      </c>
      <c r="B6" s="121" t="inlineStr">
        <is>
          <t>ISM</t>
        </is>
      </c>
      <c r="C6" s="94" t="n">
        <v>10132316.88430624</v>
      </c>
      <c r="D6" s="94" t="n">
        <v>373480231.201439</v>
      </c>
    </row>
    <row r="7" hidden="1">
      <c r="A7" s="119" t="inlineStr">
        <is>
          <t>Net Satışlar</t>
        </is>
      </c>
      <c r="B7" s="121" t="inlineStr">
        <is>
          <t>Maxion Aluminyum</t>
        </is>
      </c>
      <c r="C7" s="94" t="n">
        <v>101513528.4621148</v>
      </c>
      <c r="D7" s="94" t="n">
        <v>3771662129.29959</v>
      </c>
    </row>
    <row r="8" hidden="1">
      <c r="A8" s="119" t="inlineStr">
        <is>
          <t>Net Satışlar</t>
        </is>
      </c>
      <c r="B8" s="121" t="inlineStr">
        <is>
          <t>Maxion Celik</t>
        </is>
      </c>
      <c r="C8" s="94" t="n">
        <v>31355620.5147148</v>
      </c>
      <c r="D8" s="94" t="n">
        <v>1149425855.692785</v>
      </c>
    </row>
    <row r="9" hidden="1">
      <c r="A9" s="119" t="inlineStr">
        <is>
          <t>Net Satışlar</t>
        </is>
      </c>
      <c r="B9" s="121" t="inlineStr">
        <is>
          <t>Maxion Jantas</t>
        </is>
      </c>
      <c r="C9" s="94" t="n">
        <v>50808954.4143908</v>
      </c>
      <c r="D9" s="94" t="n">
        <v>1876416572.061052</v>
      </c>
    </row>
    <row r="10" hidden="1">
      <c r="A10" s="119" t="inlineStr">
        <is>
          <t>Net Satışlar</t>
        </is>
      </c>
      <c r="B10" s="121" t="inlineStr">
        <is>
          <t>Yusen İnci Lojistik</t>
        </is>
      </c>
      <c r="C10" s="94" t="n">
        <v>26618616.98165888</v>
      </c>
      <c r="D10" s="94" t="n">
        <v>986413529.627956</v>
      </c>
    </row>
    <row r="11" hidden="1">
      <c r="A11" s="119" t="inlineStr">
        <is>
          <t>Satılan Malların Maliyeti</t>
        </is>
      </c>
      <c r="B11" s="121" t="inlineStr">
        <is>
          <t>İnci GS Yuasa</t>
        </is>
      </c>
      <c r="C11" s="94" t="n">
        <v>86906130.27892405</v>
      </c>
      <c r="D11" s="94" t="n">
        <v>3235890084.108632</v>
      </c>
    </row>
    <row r="12">
      <c r="A12" s="119" t="inlineStr">
        <is>
          <t>Satılan Malların Maliyeti</t>
        </is>
      </c>
      <c r="B12" s="121" t="inlineStr">
        <is>
          <t>İnci Holding</t>
        </is>
      </c>
      <c r="C12" s="94" t="n">
        <v>0</v>
      </c>
      <c r="D12" s="94" t="n">
        <v>0</v>
      </c>
    </row>
    <row r="13" hidden="1">
      <c r="A13" s="119" t="inlineStr">
        <is>
          <t>Satılan Malların Maliyeti</t>
        </is>
      </c>
      <c r="B13" s="121" t="inlineStr">
        <is>
          <t>İncitaş</t>
        </is>
      </c>
      <c r="C13" s="94" t="n">
        <v>10187184.94689893</v>
      </c>
      <c r="D13" s="94" t="n">
        <v>375549793.323104</v>
      </c>
    </row>
    <row r="14" hidden="1">
      <c r="A14" s="119" t="inlineStr">
        <is>
          <t>Satılan Malların Maliyeti</t>
        </is>
      </c>
      <c r="B14" s="121" t="inlineStr">
        <is>
          <t>ISM</t>
        </is>
      </c>
      <c r="C14" s="94" t="n">
        <v>7550899.265190594</v>
      </c>
      <c r="D14" s="94" t="n">
        <v>278528053.051658</v>
      </c>
    </row>
    <row r="15" hidden="1">
      <c r="A15" s="119" t="inlineStr">
        <is>
          <t>Satılan Malların Maliyeti</t>
        </is>
      </c>
      <c r="B15" s="121" t="inlineStr">
        <is>
          <t>Maxion Aluminyum</t>
        </is>
      </c>
      <c r="C15" s="94" t="n">
        <v>83808705.41426641</v>
      </c>
      <c r="D15" s="94" t="n">
        <v>3105797142.623747</v>
      </c>
    </row>
    <row r="16" hidden="1">
      <c r="A16" s="119" t="inlineStr">
        <is>
          <t>Satılan Malların Maliyeti</t>
        </is>
      </c>
      <c r="B16" s="121" t="inlineStr">
        <is>
          <t>Maxion Celik</t>
        </is>
      </c>
      <c r="C16" s="94" t="n">
        <v>23540422.8263748</v>
      </c>
      <c r="D16" s="94" t="n">
        <v>864008424.358483</v>
      </c>
    </row>
    <row r="17" hidden="1">
      <c r="A17" s="119" t="inlineStr">
        <is>
          <t>Satılan Malların Maliyeti</t>
        </is>
      </c>
      <c r="B17" s="121" t="inlineStr">
        <is>
          <t>Maxion Jantas</t>
        </is>
      </c>
      <c r="C17" s="94" t="n">
        <v>41690914.49570081</v>
      </c>
      <c r="D17" s="94" t="n">
        <v>1538757385.621304</v>
      </c>
    </row>
    <row r="18" hidden="1">
      <c r="A18" s="119" t="inlineStr">
        <is>
          <t>Satılan Malların Maliyeti</t>
        </is>
      </c>
      <c r="B18" s="121" t="inlineStr">
        <is>
          <t>Yusen İnci Lojistik</t>
        </is>
      </c>
      <c r="C18" s="94" t="n">
        <v>21938759.83625209</v>
      </c>
      <c r="D18" s="94" t="n">
        <v>812047573.552284</v>
      </c>
    </row>
    <row r="19" hidden="1">
      <c r="A19" s="119" t="inlineStr">
        <is>
          <t>Brüt Kar</t>
        </is>
      </c>
      <c r="B19" s="121" t="inlineStr">
        <is>
          <t>İnci GS Yuasa</t>
        </is>
      </c>
      <c r="C19" s="94" t="n">
        <v>18269959.43565315</v>
      </c>
      <c r="D19" s="94" t="n">
        <v>679150350.253952</v>
      </c>
      <c r="F19" s="94" t="n"/>
      <c r="G19" s="94" t="n"/>
    </row>
    <row r="20">
      <c r="A20" s="119" t="inlineStr">
        <is>
          <t>Brüt Kar</t>
        </is>
      </c>
      <c r="B20" s="121" t="inlineStr">
        <is>
          <t>İnci Holding</t>
        </is>
      </c>
      <c r="C20" s="94" t="n">
        <v>9024046.721788205</v>
      </c>
      <c r="D20" s="94" t="n">
        <v>334400224</v>
      </c>
      <c r="F20" s="94" t="n"/>
      <c r="G20" s="94" t="n"/>
    </row>
    <row r="21" hidden="1">
      <c r="A21" s="119" t="inlineStr">
        <is>
          <t>Brüt Kar</t>
        </is>
      </c>
      <c r="B21" s="121" t="inlineStr">
        <is>
          <t>İncitaş</t>
        </is>
      </c>
      <c r="C21" s="94" t="n">
        <v>2048374.0994488</v>
      </c>
      <c r="D21" s="94" t="n">
        <v>76003747.674227</v>
      </c>
      <c r="F21" s="94" t="n"/>
      <c r="G21" s="94" t="n"/>
    </row>
    <row r="22" hidden="1">
      <c r="A22" s="119" t="inlineStr">
        <is>
          <t>Brüt Kar</t>
        </is>
      </c>
      <c r="B22" s="121" t="inlineStr">
        <is>
          <t>ISM</t>
        </is>
      </c>
      <c r="C22" s="94" t="n">
        <v>2581417.619115651</v>
      </c>
      <c r="D22" s="94" t="n">
        <v>94952178.14978105</v>
      </c>
      <c r="F22" s="94" t="n"/>
      <c r="G22" s="94" t="n"/>
    </row>
    <row r="23" hidden="1">
      <c r="A23" s="119" t="inlineStr">
        <is>
          <t>Brüt Kar</t>
        </is>
      </c>
      <c r="B23" s="121" t="inlineStr">
        <is>
          <t>Maxion Aluminyum</t>
        </is>
      </c>
      <c r="C23" s="94" t="n">
        <v>17704823.0478484</v>
      </c>
      <c r="D23" s="94" t="n">
        <v>665864986.6758428</v>
      </c>
      <c r="F23" s="94" t="n"/>
      <c r="G23" s="94" t="n"/>
    </row>
    <row r="24" hidden="1">
      <c r="A24" s="119" t="inlineStr">
        <is>
          <t>Brüt Kar</t>
        </is>
      </c>
      <c r="B24" s="121" t="inlineStr">
        <is>
          <t>Maxion Celik</t>
        </is>
      </c>
      <c r="C24" s="94" t="n">
        <v>7815197.688340005</v>
      </c>
      <c r="D24" s="94" t="n">
        <v>285417431.3343018</v>
      </c>
      <c r="F24" s="94" t="n"/>
      <c r="G24" s="94" t="n"/>
    </row>
    <row r="25" hidden="1">
      <c r="A25" s="119" t="inlineStr">
        <is>
          <t>Brüt Kar</t>
        </is>
      </c>
      <c r="B25" s="121" t="inlineStr">
        <is>
          <t>Maxion Jantas</t>
        </is>
      </c>
      <c r="C25" s="94" t="n">
        <v>9118039.918689996</v>
      </c>
      <c r="D25" s="94" t="n">
        <v>337659186.439748</v>
      </c>
      <c r="F25" s="94" t="n"/>
      <c r="G25" s="94" t="n"/>
    </row>
    <row r="26" hidden="1">
      <c r="A26" s="119" t="inlineStr">
        <is>
          <t>Brüt Kar</t>
        </is>
      </c>
      <c r="B26" s="121" t="inlineStr">
        <is>
          <t>Yusen İnci Lojistik</t>
        </is>
      </c>
      <c r="C26" s="94" t="n">
        <v>4679857.145406783</v>
      </c>
      <c r="D26" s="94" t="n">
        <v>174365956.075672</v>
      </c>
      <c r="F26" s="94" t="n"/>
      <c r="G26" s="94" t="n"/>
    </row>
    <row r="27" hidden="1">
      <c r="A27" s="119" t="inlineStr">
        <is>
          <t>Faaliyet Giderleri</t>
        </is>
      </c>
      <c r="B27" s="121" t="inlineStr">
        <is>
          <t>İnci GS Yuasa</t>
        </is>
      </c>
      <c r="C27" s="94" t="n">
        <v>9204577.896636939</v>
      </c>
      <c r="D27" s="94" t="n">
        <v>341223037.040862</v>
      </c>
      <c r="F27" s="94" t="n"/>
    </row>
    <row r="28">
      <c r="A28" s="119" t="inlineStr">
        <is>
          <t>Faaliyet Giderleri</t>
        </is>
      </c>
      <c r="B28" s="121" t="inlineStr">
        <is>
          <t>İnci Holding</t>
        </is>
      </c>
      <c r="C28" s="94" t="n">
        <v>4245969.025655808</v>
      </c>
      <c r="D28" s="94" t="n">
        <v>158056464.9903539</v>
      </c>
    </row>
    <row r="29" hidden="1">
      <c r="A29" s="119" t="inlineStr">
        <is>
          <t>Faaliyet Giderleri</t>
        </is>
      </c>
      <c r="B29" s="121" t="inlineStr">
        <is>
          <t>İncitaş</t>
        </is>
      </c>
      <c r="C29" s="94" t="n">
        <v>1331171.250226041</v>
      </c>
      <c r="D29" s="94" t="n">
        <v>49332558.676175</v>
      </c>
    </row>
    <row r="30" hidden="1">
      <c r="A30" s="119" t="inlineStr">
        <is>
          <t>Faaliyet Giderleri</t>
        </is>
      </c>
      <c r="B30" s="121" t="inlineStr">
        <is>
          <t>ISM</t>
        </is>
      </c>
      <c r="C30" s="94" t="n">
        <v>1715869.285119665</v>
      </c>
      <c r="D30" s="94" t="n">
        <v>63618846</v>
      </c>
    </row>
    <row r="31" hidden="1">
      <c r="A31" s="119" t="inlineStr">
        <is>
          <t>Faaliyet Giderleri</t>
        </is>
      </c>
      <c r="B31" s="121" t="inlineStr">
        <is>
          <t>Maxion Aluminyum</t>
        </is>
      </c>
      <c r="C31" s="94" t="n">
        <v>4510138.115200001</v>
      </c>
      <c r="D31" s="94" t="n">
        <v>167505077.244929</v>
      </c>
    </row>
    <row r="32" hidden="1">
      <c r="A32" s="119" t="inlineStr">
        <is>
          <t>Faaliyet Giderleri</t>
        </is>
      </c>
      <c r="B32" s="121" t="inlineStr">
        <is>
          <t>Maxion Celik</t>
        </is>
      </c>
      <c r="C32" s="94" t="n">
        <v>1652387.5278036</v>
      </c>
      <c r="D32" s="94" t="n">
        <v>60595057.58514011</v>
      </c>
    </row>
    <row r="33" hidden="1">
      <c r="A33" s="119" t="inlineStr">
        <is>
          <t>Faaliyet Giderleri</t>
        </is>
      </c>
      <c r="B33" s="121" t="inlineStr">
        <is>
          <t>Maxion Jantas</t>
        </is>
      </c>
      <c r="C33" s="94" t="n">
        <v>3106757.5513892</v>
      </c>
      <c r="D33" s="94" t="n">
        <v>114665488.6662386</v>
      </c>
    </row>
    <row r="34" hidden="1">
      <c r="A34" s="119" t="inlineStr">
        <is>
          <t>Faaliyet Giderleri</t>
        </is>
      </c>
      <c r="B34" s="121" t="inlineStr">
        <is>
          <t>Yusen İnci Lojistik</t>
        </is>
      </c>
      <c r="C34" s="94" t="n">
        <v>3451582.148033337</v>
      </c>
      <c r="D34" s="94" t="n">
        <v>128407145.7565044</v>
      </c>
    </row>
    <row r="35" hidden="1">
      <c r="A35" s="119" t="inlineStr">
        <is>
          <t>Diğer Faaliyet Giderleri</t>
        </is>
      </c>
      <c r="B35" s="121" t="inlineStr">
        <is>
          <t>İnci GS Yuasa</t>
        </is>
      </c>
    </row>
    <row r="36">
      <c r="A36" s="119" t="inlineStr">
        <is>
          <t>Diğer Faaliyet Giderleri</t>
        </is>
      </c>
      <c r="B36" s="121" t="inlineStr">
        <is>
          <t>İnci Holding</t>
        </is>
      </c>
    </row>
    <row r="37" hidden="1">
      <c r="A37" s="119" t="inlineStr">
        <is>
          <t>Diğer Faaliyet Giderleri</t>
        </is>
      </c>
      <c r="B37" s="121" t="inlineStr">
        <is>
          <t>İncitaş</t>
        </is>
      </c>
    </row>
    <row r="38" hidden="1">
      <c r="A38" s="119" t="inlineStr">
        <is>
          <t>Diğer Faaliyet Giderleri</t>
        </is>
      </c>
      <c r="B38" s="121" t="inlineStr">
        <is>
          <t>ISM</t>
        </is>
      </c>
    </row>
    <row r="39" hidden="1">
      <c r="A39" s="119" t="inlineStr">
        <is>
          <t>Diğer Faaliyet Giderleri</t>
        </is>
      </c>
      <c r="B39" s="121" t="inlineStr">
        <is>
          <t>Maxion Aluminyum</t>
        </is>
      </c>
    </row>
    <row r="40" hidden="1">
      <c r="A40" s="119" t="inlineStr">
        <is>
          <t>Diğer Faaliyet Giderleri</t>
        </is>
      </c>
      <c r="B40" s="121" t="inlineStr">
        <is>
          <t>Maxion Celik</t>
        </is>
      </c>
    </row>
    <row r="41" hidden="1">
      <c r="A41" s="119" t="inlineStr">
        <is>
          <t>Diğer Faaliyet Giderleri</t>
        </is>
      </c>
      <c r="B41" s="121" t="inlineStr">
        <is>
          <t>Maxion Jantas</t>
        </is>
      </c>
    </row>
    <row r="42" hidden="1">
      <c r="A42" s="119" t="inlineStr">
        <is>
          <t>Diğer Faaliyet Giderleri</t>
        </is>
      </c>
      <c r="B42" s="121" t="inlineStr">
        <is>
          <t>Yusen İnci Lojistik</t>
        </is>
      </c>
    </row>
    <row r="43" hidden="1">
      <c r="A43" s="119" t="inlineStr">
        <is>
          <t>EBIT</t>
        </is>
      </c>
      <c r="B43" s="121" t="inlineStr">
        <is>
          <t>İnci GS Yuasa</t>
        </is>
      </c>
      <c r="C43" s="94" t="n">
        <v>9065381.539016211</v>
      </c>
      <c r="D43" s="94" t="n">
        <v>337927313.21309</v>
      </c>
    </row>
    <row r="44">
      <c r="A44" s="119" t="inlineStr">
        <is>
          <t>EBIT</t>
        </is>
      </c>
      <c r="B44" s="121" t="inlineStr">
        <is>
          <t>İnci Holding</t>
        </is>
      </c>
      <c r="C44" s="94" t="n">
        <v>4778077.696132397</v>
      </c>
      <c r="D44" s="94" t="n">
        <v>176343759.0096461</v>
      </c>
    </row>
    <row r="45" hidden="1">
      <c r="A45" s="119" t="inlineStr">
        <is>
          <t>EBIT</t>
        </is>
      </c>
      <c r="B45" s="121" t="inlineStr">
        <is>
          <t>İncitaş</t>
        </is>
      </c>
      <c r="C45" s="94" t="n">
        <v>717202.8492227593</v>
      </c>
      <c r="D45" s="94" t="n">
        <v>26671188.998052</v>
      </c>
    </row>
    <row r="46" hidden="1">
      <c r="A46" s="119" t="inlineStr">
        <is>
          <t>EBIT</t>
        </is>
      </c>
      <c r="B46" s="121" t="inlineStr">
        <is>
          <t>ISM</t>
        </is>
      </c>
      <c r="C46" s="94" t="n">
        <v>865548.333995986</v>
      </c>
      <c r="D46" s="94" t="n">
        <v>31333332.14978105</v>
      </c>
    </row>
    <row r="47" hidden="1">
      <c r="A47" s="119" t="inlineStr">
        <is>
          <t>EBIT</t>
        </is>
      </c>
      <c r="B47" s="121" t="inlineStr">
        <is>
          <t>Maxion Aluminyum</t>
        </is>
      </c>
      <c r="C47" s="94" t="n">
        <v>13194684.9326484</v>
      </c>
      <c r="D47" s="94" t="n">
        <v>498359909.4309138</v>
      </c>
    </row>
    <row r="48" hidden="1">
      <c r="A48" s="119" t="inlineStr">
        <is>
          <t>EBIT</t>
        </is>
      </c>
      <c r="B48" s="121" t="inlineStr">
        <is>
          <t>Maxion Celik</t>
        </is>
      </c>
      <c r="C48" s="94" t="n">
        <v>6162810.160536405</v>
      </c>
      <c r="D48" s="94" t="n">
        <v>224822373.7491617</v>
      </c>
    </row>
    <row r="49" hidden="1">
      <c r="A49" s="119" t="inlineStr">
        <is>
          <t>EBIT</t>
        </is>
      </c>
      <c r="B49" s="121" t="inlineStr">
        <is>
          <t>Maxion Jantas</t>
        </is>
      </c>
      <c r="C49" s="94" t="n">
        <v>6011282.367300795</v>
      </c>
      <c r="D49" s="94" t="n">
        <v>222993697.7735094</v>
      </c>
    </row>
    <row r="50" hidden="1">
      <c r="A50" s="119" t="inlineStr">
        <is>
          <t>EBIT</t>
        </is>
      </c>
      <c r="B50" s="121" t="inlineStr">
        <is>
          <t>Yusen İnci Lojistik</t>
        </is>
      </c>
      <c r="C50" s="94" t="n">
        <v>1228274.997373446</v>
      </c>
      <c r="D50" s="94" t="n">
        <v>45958810.31916763</v>
      </c>
    </row>
    <row r="51" hidden="1">
      <c r="A51" s="119" t="inlineStr">
        <is>
          <t>Amortisman</t>
        </is>
      </c>
      <c r="B51" s="121" t="inlineStr">
        <is>
          <t>İnci GS Yuasa</t>
        </is>
      </c>
      <c r="C51" s="94" t="n">
        <v>918170.9146072832</v>
      </c>
      <c r="D51" s="94" t="n">
        <v>33662359.97871321</v>
      </c>
    </row>
    <row r="52">
      <c r="A52" s="119" t="inlineStr">
        <is>
          <t>Amortisman</t>
        </is>
      </c>
      <c r="B52" s="121" t="inlineStr">
        <is>
          <t>İnci Holding</t>
        </is>
      </c>
      <c r="C52" s="94" t="n">
        <v>63943.72552237466</v>
      </c>
      <c r="D52" s="94" t="n">
        <v>2383935</v>
      </c>
    </row>
    <row r="53" hidden="1">
      <c r="A53" s="119" t="inlineStr">
        <is>
          <t>Amortisman</t>
        </is>
      </c>
      <c r="B53" s="121" t="inlineStr">
        <is>
          <t>İncitaş</t>
        </is>
      </c>
      <c r="C53" s="94" t="n">
        <v>6626.106359238293</v>
      </c>
      <c r="D53" s="94" t="n">
        <v>245610.78</v>
      </c>
    </row>
    <row r="54" hidden="1">
      <c r="A54" s="119" t="inlineStr">
        <is>
          <t>Amortisman</t>
        </is>
      </c>
      <c r="B54" s="121" t="inlineStr">
        <is>
          <t>ISM</t>
        </is>
      </c>
      <c r="C54" s="94" t="n">
        <v>150798.8990299495</v>
      </c>
      <c r="D54" s="94" t="n">
        <v>5666283</v>
      </c>
    </row>
    <row r="55" hidden="1">
      <c r="A55" s="119" t="inlineStr">
        <is>
          <t>Amortisman</t>
        </is>
      </c>
      <c r="B55" s="121" t="inlineStr">
        <is>
          <t>Maxion Aluminyum</t>
        </is>
      </c>
      <c r="C55" s="94" t="n">
        <v>2923702.2218296</v>
      </c>
      <c r="D55" s="94" t="n">
        <v>107131052.8710944</v>
      </c>
    </row>
    <row r="56" hidden="1">
      <c r="A56" s="119" t="inlineStr">
        <is>
          <t>Amortisman</t>
        </is>
      </c>
      <c r="B56" s="121" t="inlineStr">
        <is>
          <t>Maxion Celik</t>
        </is>
      </c>
      <c r="C56" s="94" t="n">
        <v>1244115.5096848</v>
      </c>
      <c r="D56" s="94" t="n">
        <v>46274841.95227934</v>
      </c>
    </row>
    <row r="57" hidden="1">
      <c r="A57" s="119" t="inlineStr">
        <is>
          <t>Amortisman</t>
        </is>
      </c>
      <c r="B57" s="121" t="inlineStr">
        <is>
          <t>Maxion Jantas</t>
        </is>
      </c>
      <c r="C57" s="94" t="n">
        <v>2266901.12484</v>
      </c>
      <c r="D57" s="94" t="n">
        <v>84320180.40505145</v>
      </c>
    </row>
    <row r="58" hidden="1">
      <c r="A58" s="119" t="inlineStr">
        <is>
          <t>Amortisman</t>
        </is>
      </c>
      <c r="B58" s="121" t="inlineStr">
        <is>
          <t>Yusen İnci Lojistik</t>
        </is>
      </c>
      <c r="C58" s="94" t="n">
        <v>495575.3005986118</v>
      </c>
      <c r="D58" s="94" t="n">
        <v>18252626.8402872</v>
      </c>
    </row>
    <row r="59" hidden="1">
      <c r="A59" s="119" t="inlineStr">
        <is>
          <t>EBITDA</t>
        </is>
      </c>
      <c r="B59" s="121" t="inlineStr">
        <is>
          <t>İnci GS Yuasa</t>
        </is>
      </c>
      <c r="C59" s="94" t="n">
        <v>9983552.453623494</v>
      </c>
      <c r="D59" s="94" t="n">
        <v>371589673.1918032</v>
      </c>
    </row>
    <row r="60">
      <c r="A60" s="119" t="inlineStr">
        <is>
          <t>EBITDA</t>
        </is>
      </c>
      <c r="B60" s="121" t="inlineStr">
        <is>
          <t>İnci Holding</t>
        </is>
      </c>
      <c r="C60" s="94" t="n">
        <v>4842021.421654773</v>
      </c>
      <c r="D60" s="94" t="n">
        <v>178727690.9899128</v>
      </c>
    </row>
    <row r="61" hidden="1">
      <c r="A61" s="119" t="inlineStr">
        <is>
          <t>EBITDA</t>
        </is>
      </c>
      <c r="B61" s="121" t="inlineStr">
        <is>
          <t>İncitaş</t>
        </is>
      </c>
      <c r="C61" s="94" t="n">
        <v>723828.9555819975</v>
      </c>
      <c r="D61" s="94" t="n">
        <v>26916799.778052</v>
      </c>
    </row>
    <row r="62" hidden="1">
      <c r="A62" s="119" t="inlineStr">
        <is>
          <t>EBITDA</t>
        </is>
      </c>
      <c r="B62" s="121" t="inlineStr">
        <is>
          <t>ISM</t>
        </is>
      </c>
      <c r="C62" s="94" t="n">
        <v>1016347.233025936</v>
      </c>
      <c r="D62" s="94" t="n">
        <v>36999615.14978105</v>
      </c>
    </row>
    <row r="63" hidden="1">
      <c r="A63" s="119" t="inlineStr">
        <is>
          <t>EBITDA</t>
        </is>
      </c>
      <c r="B63" s="121" t="inlineStr">
        <is>
          <t>Maxion Aluminyum</t>
        </is>
      </c>
      <c r="C63" s="94" t="n">
        <v>16118387.154478</v>
      </c>
      <c r="D63" s="94" t="n">
        <v>605490962.3020083</v>
      </c>
    </row>
    <row r="64" hidden="1">
      <c r="A64" s="119" t="inlineStr">
        <is>
          <t>EBITDA</t>
        </is>
      </c>
      <c r="B64" s="121" t="inlineStr">
        <is>
          <t>Maxion Celik</t>
        </is>
      </c>
      <c r="C64" s="94" t="n">
        <v>7406925.670221205</v>
      </c>
      <c r="D64" s="94" t="n">
        <v>271097215.701441</v>
      </c>
    </row>
    <row r="65" hidden="1">
      <c r="A65" s="119" t="inlineStr">
        <is>
          <t>EBITDA</t>
        </is>
      </c>
      <c r="B65" s="121" t="inlineStr">
        <is>
          <t>Maxion Jantas</t>
        </is>
      </c>
      <c r="C65" s="94" t="n">
        <v>8278183.492140796</v>
      </c>
      <c r="D65" s="94" t="n">
        <v>307313878.1785609</v>
      </c>
    </row>
    <row r="66" hidden="1">
      <c r="A66" s="119" t="inlineStr">
        <is>
          <t>EBITDA</t>
        </is>
      </c>
      <c r="B66" s="121" t="inlineStr">
        <is>
          <t>Yusen İnci Lojistik</t>
        </is>
      </c>
      <c r="C66" s="94" t="n">
        <v>1723850.297972058</v>
      </c>
      <c r="D66" s="94" t="n">
        <v>64211437.15945483</v>
      </c>
    </row>
    <row r="67" hidden="1">
      <c r="A67" s="119" t="inlineStr">
        <is>
          <t>Finansal Gelir Gider</t>
        </is>
      </c>
      <c r="B67" s="121" t="inlineStr">
        <is>
          <t>İnci GS Yuasa</t>
        </is>
      </c>
      <c r="C67" s="94" t="n">
        <v>-6680661.79649758</v>
      </c>
      <c r="D67" s="94" t="n">
        <v>-252124570.3455898</v>
      </c>
    </row>
    <row r="68">
      <c r="A68" s="119" t="inlineStr">
        <is>
          <t>Finansal Gelir Gider</t>
        </is>
      </c>
      <c r="B68" s="121" t="inlineStr">
        <is>
          <t>İnci Holding</t>
        </is>
      </c>
      <c r="C68" s="94" t="n">
        <v>-2957880.960285502</v>
      </c>
      <c r="D68" s="94" t="n">
        <v>-109077799</v>
      </c>
    </row>
    <row r="69" hidden="1">
      <c r="A69" s="119" t="inlineStr">
        <is>
          <t>Finansal Gelir Gider</t>
        </is>
      </c>
      <c r="B69" s="121" t="inlineStr">
        <is>
          <t>İncitaş</t>
        </is>
      </c>
      <c r="C69" s="94" t="n">
        <v>-321673.7252634829</v>
      </c>
      <c r="D69" s="94" t="n">
        <v>-11935977.45989714</v>
      </c>
    </row>
    <row r="70" hidden="1">
      <c r="A70" s="119" t="inlineStr">
        <is>
          <t>Finansal Gelir Gider</t>
        </is>
      </c>
      <c r="B70" s="121" t="inlineStr">
        <is>
          <t>ISM</t>
        </is>
      </c>
      <c r="C70" s="94" t="n">
        <v>-283332.9036328273</v>
      </c>
      <c r="D70" s="94" t="n">
        <v>-10477498.02805369</v>
      </c>
    </row>
    <row r="71" hidden="1">
      <c r="A71" s="119" t="inlineStr">
        <is>
          <t>Finansal Gelir Gider</t>
        </is>
      </c>
      <c r="B71" s="121" t="inlineStr">
        <is>
          <t>Maxion Aluminyum</t>
        </is>
      </c>
      <c r="C71" s="94" t="n">
        <v>341478.7753638746</v>
      </c>
      <c r="D71" s="94" t="n">
        <v>13770832.90833744</v>
      </c>
    </row>
    <row r="72" hidden="1">
      <c r="A72" s="119" t="inlineStr">
        <is>
          <t>Finansal Gelir Gider</t>
        </is>
      </c>
      <c r="B72" s="121" t="inlineStr">
        <is>
          <t>Maxion Celik</t>
        </is>
      </c>
      <c r="C72" s="94" t="n">
        <v>46033.0907880969</v>
      </c>
      <c r="D72" s="94" t="n">
        <v>1203586.408425578</v>
      </c>
    </row>
    <row r="73" hidden="1">
      <c r="A73" s="119" t="inlineStr">
        <is>
          <t>Finansal Gelir Gider</t>
        </is>
      </c>
      <c r="B73" s="121" t="inlineStr">
        <is>
          <t>Maxion Jantas</t>
        </is>
      </c>
      <c r="C73" s="94" t="n">
        <v>-135160.5494997718</v>
      </c>
      <c r="D73" s="94" t="n">
        <v>-5036394.800850294</v>
      </c>
    </row>
    <row r="74" hidden="1">
      <c r="A74" s="119" t="inlineStr">
        <is>
          <t>Finansal Gelir Gider</t>
        </is>
      </c>
      <c r="B74" s="121" t="inlineStr">
        <is>
          <t>Yusen İnci Lojistik</t>
        </is>
      </c>
      <c r="C74" s="94" t="n">
        <v>-407090.6919961879</v>
      </c>
      <c r="D74" s="94" t="n">
        <v>-15613284.65451393</v>
      </c>
    </row>
    <row r="75" hidden="1">
      <c r="A75" s="119" t="inlineStr">
        <is>
          <t>Diğer GelirGider</t>
        </is>
      </c>
      <c r="B75" s="121" t="inlineStr">
        <is>
          <t>İnci GS Yuasa</t>
        </is>
      </c>
      <c r="C75" s="94" t="n">
        <v>-3105018.439508086</v>
      </c>
      <c r="D75" s="94" t="n">
        <v>-109432179.6419312</v>
      </c>
    </row>
    <row r="76">
      <c r="A76" s="119" t="inlineStr">
        <is>
          <t>Diğer GelirGider</t>
        </is>
      </c>
      <c r="B76" s="121" t="inlineStr">
        <is>
          <t>İnci Holding</t>
        </is>
      </c>
      <c r="C76" s="94" t="n">
        <v>602730.8145543666</v>
      </c>
      <c r="D76" s="94" t="n">
        <v>21169283.99999999</v>
      </c>
    </row>
    <row r="77" hidden="1">
      <c r="A77" s="119" t="inlineStr">
        <is>
          <t>Diğer GelirGider</t>
        </is>
      </c>
      <c r="B77" s="121" t="inlineStr">
        <is>
          <t>İncitaş</t>
        </is>
      </c>
      <c r="C77" s="94" t="n">
        <v>123854.8418888001</v>
      </c>
      <c r="D77" s="94" t="n">
        <v>4498637.948231</v>
      </c>
    </row>
    <row r="78" hidden="1">
      <c r="A78" s="119" t="inlineStr">
        <is>
          <t>Diğer GelirGider</t>
        </is>
      </c>
      <c r="B78" s="121" t="inlineStr">
        <is>
          <t>ISM</t>
        </is>
      </c>
      <c r="C78" s="94" t="n">
        <v>21277.12149018375</v>
      </c>
      <c r="D78" s="94" t="n">
        <v>762509</v>
      </c>
    </row>
    <row r="79" hidden="1">
      <c r="A79" s="119" t="inlineStr">
        <is>
          <t>Diğer GelirGider</t>
        </is>
      </c>
      <c r="B79" s="121" t="inlineStr">
        <is>
          <t>Maxion Aluminyum</t>
        </is>
      </c>
      <c r="C79" s="94" t="n">
        <v>-508124.828</v>
      </c>
      <c r="D79" s="94" t="n">
        <v>-19686770.5521355</v>
      </c>
    </row>
    <row r="80" hidden="1">
      <c r="A80" s="119" t="inlineStr">
        <is>
          <t>Diğer GelirGider</t>
        </is>
      </c>
      <c r="B80" s="121" t="inlineStr">
        <is>
          <t>Maxion Celik</t>
        </is>
      </c>
      <c r="C80" s="94" t="n">
        <v>318749.3039428</v>
      </c>
      <c r="D80" s="94" t="n">
        <v>11956985.17065657</v>
      </c>
    </row>
    <row r="81" hidden="1">
      <c r="A81" s="119" t="inlineStr">
        <is>
          <t>Diğer GelirGider</t>
        </is>
      </c>
      <c r="B81" s="121" t="inlineStr">
        <is>
          <t>Maxion Jantas</t>
        </is>
      </c>
      <c r="C81" s="94" t="n">
        <v>205962.2684972</v>
      </c>
      <c r="D81" s="94" t="n">
        <v>7483470.340029579</v>
      </c>
    </row>
    <row r="82" hidden="1">
      <c r="A82" s="119" t="inlineStr">
        <is>
          <t>Diğer GelirGider</t>
        </is>
      </c>
      <c r="B82" s="121" t="inlineStr">
        <is>
          <t>Yusen İnci Lojistik</t>
        </is>
      </c>
      <c r="C82" s="94" t="n">
        <v>168524.1272180095</v>
      </c>
      <c r="D82" s="94" t="n">
        <v>5520926.7490124</v>
      </c>
    </row>
    <row r="83" hidden="1">
      <c r="A83" s="119" t="inlineStr">
        <is>
          <t>Vergi Öncesi Kar</t>
        </is>
      </c>
      <c r="B83" s="121" t="inlineStr">
        <is>
          <t>İnci GS Yuasa</t>
        </is>
      </c>
      <c r="C83" s="94" t="n">
        <v>721819.6297293236</v>
      </c>
      <c r="D83" s="94" t="n">
        <v>-23629436.710032</v>
      </c>
    </row>
    <row r="84">
      <c r="A84" s="119" t="inlineStr">
        <is>
          <t>Vergi Öncesi Kar</t>
        </is>
      </c>
      <c r="B84" s="121" t="inlineStr">
        <is>
          <t>İnci Holding</t>
        </is>
      </c>
      <c r="C84" s="94" t="n">
        <v>2422927.550401262</v>
      </c>
      <c r="D84" s="94" t="n">
        <v>88435244.00964612</v>
      </c>
    </row>
    <row r="85" hidden="1">
      <c r="A85" s="119" t="inlineStr">
        <is>
          <t>Vergi Öncesi Kar</t>
        </is>
      </c>
      <c r="B85" s="121" t="inlineStr">
        <is>
          <t>İncitaş</t>
        </is>
      </c>
      <c r="C85" s="94" t="n">
        <v>519383.9921494792</v>
      </c>
      <c r="D85" s="94" t="n">
        <v>19233849.512818</v>
      </c>
    </row>
    <row r="86" hidden="1">
      <c r="A86" s="119" t="inlineStr">
        <is>
          <t>Vergi Öncesi Kar</t>
        </is>
      </c>
      <c r="B86" s="121" t="inlineStr">
        <is>
          <t>ISM</t>
        </is>
      </c>
      <c r="C86" s="94" t="n">
        <v>603492.5937791114</v>
      </c>
      <c r="D86" s="94" t="n">
        <v>21618343.860739</v>
      </c>
    </row>
    <row r="87" hidden="1">
      <c r="A87" s="119" t="inlineStr">
        <is>
          <t>Vergi Öncesi Kar</t>
        </is>
      </c>
      <c r="B87" s="121" t="inlineStr">
        <is>
          <t>Maxion Aluminyum</t>
        </is>
      </c>
      <c r="C87" s="94" t="n">
        <v>13028038.8766484</v>
      </c>
      <c r="D87" s="94" t="n">
        <v>492443971.783465</v>
      </c>
    </row>
    <row r="88" hidden="1">
      <c r="A88" s="119" t="inlineStr">
        <is>
          <t>Vergi Öncesi Kar</t>
        </is>
      </c>
      <c r="B88" s="121" t="inlineStr">
        <is>
          <t>Maxion Celik</t>
        </is>
      </c>
      <c r="C88" s="94" t="n">
        <v>6527592.5537996</v>
      </c>
      <c r="D88" s="94" t="n">
        <v>237976449.862318</v>
      </c>
    </row>
    <row r="89" hidden="1">
      <c r="A89" s="119" t="inlineStr">
        <is>
          <t>Vergi Öncesi Kar</t>
        </is>
      </c>
      <c r="B89" s="121" t="inlineStr">
        <is>
          <t>Maxion Jantas</t>
        </is>
      </c>
      <c r="C89" s="94" t="n">
        <v>6086117.768958401</v>
      </c>
      <c r="D89" s="94" t="n">
        <v>225577997.3181381</v>
      </c>
    </row>
    <row r="90" hidden="1">
      <c r="A90" s="119" t="inlineStr">
        <is>
          <t>Vergi Öncesi Kar</t>
        </is>
      </c>
      <c r="B90" s="121" t="inlineStr">
        <is>
          <t>Yusen İnci Lojistik</t>
        </is>
      </c>
      <c r="C90" s="94" t="n">
        <v>989708.4478887296</v>
      </c>
      <c r="D90" s="94" t="n">
        <v>35866452.4294948</v>
      </c>
    </row>
    <row r="91" hidden="1">
      <c r="A91" s="119" t="inlineStr">
        <is>
          <t>Vergi</t>
        </is>
      </c>
      <c r="B91" s="121" t="inlineStr">
        <is>
          <t>İnci GS Yuasa</t>
        </is>
      </c>
      <c r="C91" s="94" t="n">
        <v>0</v>
      </c>
      <c r="D91" s="94" t="n">
        <v>0</v>
      </c>
    </row>
    <row r="92">
      <c r="A92" s="119" t="inlineStr">
        <is>
          <t>Vergi</t>
        </is>
      </c>
      <c r="B92" s="121" t="inlineStr">
        <is>
          <t>İnci Holding</t>
        </is>
      </c>
      <c r="C92" s="94" t="n">
        <v>605731.8876003155</v>
      </c>
      <c r="D92" s="94" t="n">
        <v>22108811.00241153</v>
      </c>
    </row>
    <row r="93" hidden="1">
      <c r="A93" s="119" t="inlineStr">
        <is>
          <t>Vergi</t>
        </is>
      </c>
      <c r="B93" s="121" t="inlineStr">
        <is>
          <t>İncitaş</t>
        </is>
      </c>
      <c r="C93" s="94" t="n">
        <v>132971.3696805536</v>
      </c>
      <c r="D93" s="94" t="n">
        <v>4910805.728253</v>
      </c>
    </row>
    <row r="94" hidden="1">
      <c r="A94" s="119" t="inlineStr">
        <is>
          <t>Vergi</t>
        </is>
      </c>
      <c r="B94" s="121" t="inlineStr">
        <is>
          <t>ISM</t>
        </is>
      </c>
      <c r="C94" s="94" t="n">
        <v>68542.80213320276</v>
      </c>
      <c r="D94" s="94" t="n">
        <v>2432063.684333</v>
      </c>
    </row>
    <row r="95" hidden="1">
      <c r="A95" s="119" t="inlineStr">
        <is>
          <t>Vergi</t>
        </is>
      </c>
      <c r="B95" s="121" t="inlineStr">
        <is>
          <t>Maxion Aluminyum</t>
        </is>
      </c>
      <c r="C95" s="94" t="n">
        <v>231784.9732392</v>
      </c>
      <c r="D95" s="94" t="n">
        <v>14810073.98135907</v>
      </c>
    </row>
    <row r="96" hidden="1">
      <c r="A96" s="119" t="inlineStr">
        <is>
          <t>Vergi</t>
        </is>
      </c>
      <c r="B96" s="121" t="inlineStr">
        <is>
          <t>Maxion Celik</t>
        </is>
      </c>
      <c r="C96" s="94" t="n">
        <v>173345.27394</v>
      </c>
      <c r="D96" s="94" t="n">
        <v>4743984.167159176</v>
      </c>
    </row>
    <row r="97" hidden="1">
      <c r="A97" s="119" t="inlineStr">
        <is>
          <t>Vergi</t>
        </is>
      </c>
      <c r="B97" s="121" t="inlineStr">
        <is>
          <t>Maxion Jantas</t>
        </is>
      </c>
      <c r="C97" s="94" t="n">
        <v>506554.2630612</v>
      </c>
      <c r="D97" s="94" t="n">
        <v>17939037.67334619</v>
      </c>
    </row>
    <row r="98" hidden="1">
      <c r="A98" s="119" t="inlineStr">
        <is>
          <t>Vergi</t>
        </is>
      </c>
      <c r="B98" s="121" t="inlineStr">
        <is>
          <t>Yusen İnci Lojistik</t>
        </is>
      </c>
      <c r="C98" s="94" t="n">
        <v>218511.8263663487</v>
      </c>
      <c r="D98" s="94" t="n">
        <v>7986999.0707048</v>
      </c>
    </row>
    <row r="99" hidden="1">
      <c r="A99" s="119" t="inlineStr">
        <is>
          <t>Net Kar</t>
        </is>
      </c>
      <c r="B99" s="121" t="inlineStr">
        <is>
          <t>İnci GS Yuasa</t>
        </is>
      </c>
      <c r="C99" s="94" t="n">
        <v>721819.6297293236</v>
      </c>
      <c r="D99" s="94" t="n">
        <v>-23629436.710032</v>
      </c>
    </row>
    <row r="100">
      <c r="A100" s="119" t="inlineStr">
        <is>
          <t>Net Kar</t>
        </is>
      </c>
      <c r="B100" s="121" t="inlineStr">
        <is>
          <t>İnci Holding</t>
        </is>
      </c>
      <c r="C100" s="94" t="n">
        <v>1817195.662800946</v>
      </c>
      <c r="D100" s="94" t="n">
        <v>66326433.00723459</v>
      </c>
    </row>
    <row r="101" hidden="1">
      <c r="A101" s="119" t="inlineStr">
        <is>
          <t>Net Kar</t>
        </is>
      </c>
      <c r="B101" s="121" t="inlineStr">
        <is>
          <t>İncitaş</t>
        </is>
      </c>
      <c r="C101" s="94" t="n">
        <v>386412.6224689256</v>
      </c>
      <c r="D101" s="94" t="n">
        <v>14323043.784565</v>
      </c>
    </row>
    <row r="102" hidden="1">
      <c r="A102" s="119" t="inlineStr">
        <is>
          <t>Net Kar</t>
        </is>
      </c>
      <c r="B102" s="121" t="inlineStr">
        <is>
          <t>ISM</t>
        </is>
      </c>
      <c r="C102" s="94" t="n">
        <v>534949.7916459086</v>
      </c>
      <c r="D102" s="94" t="n">
        <v>19186280.176406</v>
      </c>
    </row>
    <row r="103" hidden="1">
      <c r="A103" s="119" t="inlineStr">
        <is>
          <t>Net Kar</t>
        </is>
      </c>
      <c r="B103" s="121" t="inlineStr">
        <is>
          <t>Maxion Aluminyum</t>
        </is>
      </c>
      <c r="C103" s="94" t="n">
        <v>12796253.9034092</v>
      </c>
      <c r="D103" s="94" t="n">
        <v>477633897.802106</v>
      </c>
    </row>
    <row r="104" hidden="1">
      <c r="A104" s="119" t="inlineStr">
        <is>
          <t>Net Kar</t>
        </is>
      </c>
      <c r="B104" s="121" t="inlineStr">
        <is>
          <t>Maxion Celik</t>
        </is>
      </c>
      <c r="C104" s="94" t="n">
        <v>6354247.279859601</v>
      </c>
      <c r="D104" s="94" t="n">
        <v>233232465.6951588</v>
      </c>
    </row>
    <row r="105" hidden="1">
      <c r="A105" s="119" t="inlineStr">
        <is>
          <t>Net Kar</t>
        </is>
      </c>
      <c r="B105" s="121" t="inlineStr">
        <is>
          <t>Maxion Jantas</t>
        </is>
      </c>
      <c r="C105" s="94" t="n">
        <v>5579563.505897201</v>
      </c>
      <c r="D105" s="94" t="n">
        <v>207638959.6447919</v>
      </c>
    </row>
    <row r="106" hidden="1">
      <c r="A106" s="119" t="inlineStr">
        <is>
          <t>Net Kar</t>
        </is>
      </c>
      <c r="B106" s="121" t="inlineStr">
        <is>
          <t>Yusen İnci Lojistik</t>
        </is>
      </c>
      <c r="C106" s="94" t="n">
        <v>771196.621522381</v>
      </c>
      <c r="D106" s="94" t="n">
        <v>27879453.35879</v>
      </c>
    </row>
    <row r="107" hidden="1">
      <c r="A107" s="119" t="inlineStr">
        <is>
          <t>Krediler</t>
        </is>
      </c>
      <c r="B107" s="121" t="inlineStr">
        <is>
          <t>İnci GS Yuasa</t>
        </is>
      </c>
    </row>
    <row r="108">
      <c r="A108" s="119" t="inlineStr">
        <is>
          <t>Krediler</t>
        </is>
      </c>
      <c r="B108" s="121" t="inlineStr">
        <is>
          <t>İnci Holding</t>
        </is>
      </c>
    </row>
    <row r="109" hidden="1">
      <c r="A109" s="119" t="inlineStr">
        <is>
          <t>Krediler</t>
        </is>
      </c>
      <c r="B109" s="121" t="inlineStr">
        <is>
          <t>İncitaş</t>
        </is>
      </c>
    </row>
    <row r="110" hidden="1">
      <c r="A110" s="119" t="inlineStr">
        <is>
          <t>Krediler</t>
        </is>
      </c>
      <c r="B110" s="121" t="inlineStr">
        <is>
          <t>ISM</t>
        </is>
      </c>
    </row>
    <row r="111" hidden="1">
      <c r="A111" s="119" t="inlineStr">
        <is>
          <t>Krediler</t>
        </is>
      </c>
      <c r="B111" s="121" t="inlineStr">
        <is>
          <t>Maxion Aluminyum</t>
        </is>
      </c>
    </row>
    <row r="112" hidden="1">
      <c r="A112" s="119" t="inlineStr">
        <is>
          <t>Krediler</t>
        </is>
      </c>
      <c r="B112" s="121" t="inlineStr">
        <is>
          <t>Maxion Celik</t>
        </is>
      </c>
    </row>
    <row r="113" hidden="1">
      <c r="A113" s="119" t="inlineStr">
        <is>
          <t>Krediler</t>
        </is>
      </c>
      <c r="B113" s="121" t="inlineStr">
        <is>
          <t>Maxion Jantas</t>
        </is>
      </c>
    </row>
    <row r="114" hidden="1">
      <c r="A114" s="119" t="inlineStr">
        <is>
          <t>Krediler</t>
        </is>
      </c>
      <c r="B114" s="121" t="inlineStr">
        <is>
          <t>Yusen İnci Lojistik</t>
        </is>
      </c>
    </row>
    <row r="115" hidden="1">
      <c r="A115" s="119" t="inlineStr">
        <is>
          <t>Nakit ve Bankalar</t>
        </is>
      </c>
      <c r="B115" s="121" t="inlineStr">
        <is>
          <t>İnci GS Yuasa</t>
        </is>
      </c>
    </row>
    <row r="116">
      <c r="A116" s="119" t="inlineStr">
        <is>
          <t>Nakit ve Bankalar</t>
        </is>
      </c>
      <c r="B116" s="121" t="inlineStr">
        <is>
          <t>İnci Holding</t>
        </is>
      </c>
    </row>
    <row r="117" hidden="1">
      <c r="A117" s="119" t="inlineStr">
        <is>
          <t>Nakit ve Bankalar</t>
        </is>
      </c>
      <c r="B117" s="121" t="inlineStr">
        <is>
          <t>İncitaş</t>
        </is>
      </c>
    </row>
    <row r="118" hidden="1">
      <c r="A118" s="119" t="inlineStr">
        <is>
          <t>Nakit ve Bankalar</t>
        </is>
      </c>
      <c r="B118" s="121" t="inlineStr">
        <is>
          <t>ISM</t>
        </is>
      </c>
    </row>
    <row r="119" hidden="1">
      <c r="A119" s="119" t="inlineStr">
        <is>
          <t>Nakit ve Bankalar</t>
        </is>
      </c>
      <c r="B119" s="121" t="inlineStr">
        <is>
          <t>Maxion Aluminyum</t>
        </is>
      </c>
    </row>
    <row r="120" hidden="1">
      <c r="A120" s="119" t="inlineStr">
        <is>
          <t>Nakit ve Bankalar</t>
        </is>
      </c>
      <c r="B120" s="121" t="inlineStr">
        <is>
          <t>Maxion Celik</t>
        </is>
      </c>
    </row>
    <row r="121" hidden="1">
      <c r="A121" s="119" t="inlineStr">
        <is>
          <t>Nakit ve Bankalar</t>
        </is>
      </c>
      <c r="B121" s="121" t="inlineStr">
        <is>
          <t>Maxion Jantas</t>
        </is>
      </c>
    </row>
    <row r="122" hidden="1">
      <c r="A122" s="119" t="inlineStr">
        <is>
          <t>Nakit ve Bankalar</t>
        </is>
      </c>
      <c r="B122" s="121" t="inlineStr">
        <is>
          <t>Yusen İnci Lojistik</t>
        </is>
      </c>
    </row>
    <row r="123" hidden="1">
      <c r="A123" s="119" t="inlineStr">
        <is>
          <t>Net Finansal Borç</t>
        </is>
      </c>
      <c r="B123" s="121" t="inlineStr">
        <is>
          <t>İnci GS Yuasa</t>
        </is>
      </c>
    </row>
    <row r="124">
      <c r="A124" s="119" t="inlineStr">
        <is>
          <t>Net Finansal Borç</t>
        </is>
      </c>
      <c r="B124" s="121" t="inlineStr">
        <is>
          <t>İnci Holding</t>
        </is>
      </c>
    </row>
    <row r="125" hidden="1">
      <c r="A125" s="119" t="inlineStr">
        <is>
          <t>Net Finansal Borç</t>
        </is>
      </c>
      <c r="B125" s="121" t="inlineStr">
        <is>
          <t>İncitaş</t>
        </is>
      </c>
    </row>
    <row r="126" hidden="1">
      <c r="A126" s="119" t="inlineStr">
        <is>
          <t>Net Finansal Borç</t>
        </is>
      </c>
      <c r="B126" s="121" t="inlineStr">
        <is>
          <t>ISM</t>
        </is>
      </c>
    </row>
    <row r="127" hidden="1">
      <c r="A127" s="119" t="inlineStr">
        <is>
          <t>Net Finansal Borç</t>
        </is>
      </c>
      <c r="B127" s="121" t="inlineStr">
        <is>
          <t>Maxion Aluminyum</t>
        </is>
      </c>
    </row>
    <row r="128" hidden="1">
      <c r="A128" s="119" t="inlineStr">
        <is>
          <t>Net Finansal Borç</t>
        </is>
      </c>
      <c r="B128" s="121" t="inlineStr">
        <is>
          <t>Maxion Celik</t>
        </is>
      </c>
    </row>
    <row r="129" hidden="1">
      <c r="A129" s="119" t="inlineStr">
        <is>
          <t>Net Finansal Borç</t>
        </is>
      </c>
      <c r="B129" s="121" t="inlineStr">
        <is>
          <t>Maxion Jantas</t>
        </is>
      </c>
    </row>
    <row r="130" hidden="1">
      <c r="A130" s="119" t="inlineStr">
        <is>
          <t>Net Finansal Borç</t>
        </is>
      </c>
      <c r="B130" s="121" t="inlineStr">
        <is>
          <t>Yusen İnci Lojistik</t>
        </is>
      </c>
    </row>
    <row r="131" hidden="1">
      <c r="A131" s="119" t="inlineStr">
        <is>
          <t>Yatırımlar</t>
        </is>
      </c>
      <c r="B131" s="121" t="inlineStr">
        <is>
          <t>İnci GS Yuasa</t>
        </is>
      </c>
    </row>
    <row r="132">
      <c r="A132" s="119" t="inlineStr">
        <is>
          <t>Yatırımlar</t>
        </is>
      </c>
      <c r="B132" s="121" t="inlineStr">
        <is>
          <t>İnci Holding</t>
        </is>
      </c>
    </row>
    <row r="133" hidden="1">
      <c r="A133" s="119" t="inlineStr">
        <is>
          <t>Yatırımlar</t>
        </is>
      </c>
      <c r="B133" s="121" t="inlineStr">
        <is>
          <t>İncitaş</t>
        </is>
      </c>
    </row>
    <row r="134" hidden="1">
      <c r="A134" s="119" t="inlineStr">
        <is>
          <t>Yatırımlar</t>
        </is>
      </c>
      <c r="B134" s="121" t="inlineStr">
        <is>
          <t>ISM</t>
        </is>
      </c>
    </row>
    <row r="135" hidden="1">
      <c r="A135" s="119" t="inlineStr">
        <is>
          <t>Yatırımlar</t>
        </is>
      </c>
      <c r="B135" s="121" t="inlineStr">
        <is>
          <t>Maxion Aluminyum</t>
        </is>
      </c>
    </row>
    <row r="136" hidden="1">
      <c r="A136" s="119" t="inlineStr">
        <is>
          <t>Yatırımlar</t>
        </is>
      </c>
      <c r="B136" s="121" t="inlineStr">
        <is>
          <t>Maxion Celik</t>
        </is>
      </c>
    </row>
    <row r="137" hidden="1">
      <c r="A137" s="119" t="inlineStr">
        <is>
          <t>Yatırımlar</t>
        </is>
      </c>
      <c r="B137" s="121" t="inlineStr">
        <is>
          <t>Maxion Jantas</t>
        </is>
      </c>
    </row>
    <row r="138" hidden="1">
      <c r="A138" s="119" t="inlineStr">
        <is>
          <t>Yatırımlar</t>
        </is>
      </c>
      <c r="B138" s="121" t="inlineStr">
        <is>
          <t>Yusen İnci Lojistik</t>
        </is>
      </c>
    </row>
    <row r="139" hidden="1">
      <c r="A139" s="119" t="inlineStr">
        <is>
          <t>Operasyonel Nakit</t>
        </is>
      </c>
      <c r="B139" s="121" t="inlineStr">
        <is>
          <t>İnci GS Yuasa</t>
        </is>
      </c>
    </row>
    <row r="140">
      <c r="A140" s="119" t="inlineStr">
        <is>
          <t>Operasyonel Nakit</t>
        </is>
      </c>
      <c r="B140" s="121" t="inlineStr">
        <is>
          <t>İnci Holding</t>
        </is>
      </c>
    </row>
    <row r="141" hidden="1">
      <c r="A141" s="119" t="inlineStr">
        <is>
          <t>Operasyonel Nakit</t>
        </is>
      </c>
      <c r="B141" s="121" t="inlineStr">
        <is>
          <t>İncitaş</t>
        </is>
      </c>
    </row>
    <row r="142" hidden="1">
      <c r="A142" s="119" t="inlineStr">
        <is>
          <t>Operasyonel Nakit</t>
        </is>
      </c>
      <c r="B142" s="121" t="inlineStr">
        <is>
          <t>ISM</t>
        </is>
      </c>
    </row>
    <row r="143" hidden="1">
      <c r="A143" s="119" t="inlineStr">
        <is>
          <t>Operasyonel Nakit</t>
        </is>
      </c>
      <c r="B143" s="121" t="inlineStr">
        <is>
          <t>Maxion Aluminyum</t>
        </is>
      </c>
    </row>
    <row r="144" hidden="1">
      <c r="A144" s="119" t="inlineStr">
        <is>
          <t>Operasyonel Nakit</t>
        </is>
      </c>
      <c r="B144" s="121" t="inlineStr">
        <is>
          <t>Maxion Celik</t>
        </is>
      </c>
    </row>
    <row r="145" hidden="1">
      <c r="A145" s="119" t="inlineStr">
        <is>
          <t>Operasyonel Nakit</t>
        </is>
      </c>
      <c r="B145" s="121" t="inlineStr">
        <is>
          <t>Maxion Jantas</t>
        </is>
      </c>
    </row>
    <row r="146" hidden="1">
      <c r="A146" s="119" t="inlineStr">
        <is>
          <t>Operasyonel Nakit</t>
        </is>
      </c>
      <c r="B146" s="121" t="inlineStr">
        <is>
          <t>Yusen İnci Lojistik</t>
        </is>
      </c>
    </row>
    <row r="147" hidden="1">
      <c r="A147" s="119" t="inlineStr">
        <is>
          <t>Serbest Nakit</t>
        </is>
      </c>
      <c r="B147" s="121" t="inlineStr">
        <is>
          <t>İnci GS Yuasa</t>
        </is>
      </c>
    </row>
    <row r="148">
      <c r="A148" s="119" t="inlineStr">
        <is>
          <t>Serbest Nakit</t>
        </is>
      </c>
      <c r="B148" s="121" t="inlineStr">
        <is>
          <t>İnci Holding</t>
        </is>
      </c>
    </row>
    <row r="149" hidden="1">
      <c r="A149" s="119" t="inlineStr">
        <is>
          <t>Serbest Nakit</t>
        </is>
      </c>
      <c r="B149" s="121" t="inlineStr">
        <is>
          <t>İncitaş</t>
        </is>
      </c>
    </row>
    <row r="150" hidden="1">
      <c r="A150" s="119" t="inlineStr">
        <is>
          <t>Serbest Nakit</t>
        </is>
      </c>
      <c r="B150" s="121" t="inlineStr">
        <is>
          <t>ISM</t>
        </is>
      </c>
    </row>
    <row r="151" hidden="1">
      <c r="A151" s="119" t="inlineStr">
        <is>
          <t>Serbest Nakit</t>
        </is>
      </c>
      <c r="B151" s="121" t="inlineStr">
        <is>
          <t>Maxion Aluminyum</t>
        </is>
      </c>
    </row>
    <row r="152" hidden="1">
      <c r="A152" s="119" t="inlineStr">
        <is>
          <t>Serbest Nakit</t>
        </is>
      </c>
      <c r="B152" s="121" t="inlineStr">
        <is>
          <t>Maxion Celik</t>
        </is>
      </c>
    </row>
    <row r="153" hidden="1">
      <c r="A153" s="119" t="inlineStr">
        <is>
          <t>Serbest Nakit</t>
        </is>
      </c>
      <c r="B153" s="121" t="inlineStr">
        <is>
          <t>Maxion Jantas</t>
        </is>
      </c>
    </row>
    <row r="154" hidden="1">
      <c r="A154" s="119" t="inlineStr">
        <is>
          <t>Serbest Nakit</t>
        </is>
      </c>
      <c r="B154" s="121" t="inlineStr">
        <is>
          <t>Yusen İnci Lojistik</t>
        </is>
      </c>
    </row>
  </sheetData>
  <autoFilter ref="A2:O154">
    <filterColumn colId="1" hiddenButton="0" showButton="1">
      <filters>
        <filter val="İnci Holding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00B0F0"/>
    <outlinePr summaryBelow="1" summaryRight="1"/>
    <pageSetUpPr/>
  </sheetPr>
  <dimension ref="A1:W211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:A12"/>
    </sheetView>
  </sheetViews>
  <sheetFormatPr baseColWidth="8" defaultColWidth="8.81640625" defaultRowHeight="14.5"/>
  <cols>
    <col width="29.81640625" bestFit="1" customWidth="1" min="1" max="1"/>
    <col width="12.26953125" bestFit="1" customWidth="1" min="2" max="2"/>
    <col width="12.1796875" bestFit="1" customWidth="1" min="3" max="3"/>
    <col width="12.26953125" bestFit="1" customWidth="1" min="4" max="4"/>
    <col width="12.1796875" bestFit="1" customWidth="1" min="5" max="6"/>
    <col width="13.26953125" bestFit="1" customWidth="1" min="7" max="8"/>
    <col width="12.1796875" bestFit="1" customWidth="1" min="9" max="9"/>
    <col width="13.26953125" bestFit="1" customWidth="1" min="10" max="13"/>
    <col width="14.1796875" bestFit="1" customWidth="1" min="14" max="14"/>
    <col width="15.1796875" bestFit="1" customWidth="1" min="15" max="15"/>
    <col width="13.26953125" bestFit="1" customWidth="1" min="16" max="16"/>
    <col width="16.26953125" bestFit="1" customWidth="1" min="17" max="17"/>
    <col width="13.54296875" bestFit="1" customWidth="1" min="18" max="18"/>
    <col width="13.26953125" bestFit="1" customWidth="1" min="19" max="19"/>
    <col width="13.54296875" bestFit="1" customWidth="1" min="20" max="20"/>
  </cols>
  <sheetData>
    <row r="1">
      <c r="A1" s="60" t="inlineStr">
        <is>
          <t>Takvim yılı / takvim ayı</t>
        </is>
      </c>
      <c r="B1" s="61" t="inlineStr">
        <is>
          <t>OCK 2025</t>
        </is>
      </c>
      <c r="C1" s="61" t="inlineStr">
        <is>
          <t>ŞBT 2025</t>
        </is>
      </c>
      <c r="D1" s="61" t="inlineStr">
        <is>
          <t>MAR 2025</t>
        </is>
      </c>
      <c r="E1" s="61" t="inlineStr">
        <is>
          <t>NİS 2025</t>
        </is>
      </c>
      <c r="F1" s="61" t="inlineStr">
        <is>
          <t>MAY 2025</t>
        </is>
      </c>
      <c r="G1" s="61" t="inlineStr">
        <is>
          <t>HAZ 2025</t>
        </is>
      </c>
      <c r="H1" s="61" t="inlineStr">
        <is>
          <t>TEM 2025</t>
        </is>
      </c>
      <c r="I1" s="61" t="inlineStr">
        <is>
          <t>AGU 2025</t>
        </is>
      </c>
      <c r="J1" s="61" t="inlineStr">
        <is>
          <t>EYL 2025</t>
        </is>
      </c>
      <c r="K1" s="61" t="inlineStr">
        <is>
          <t>EKM 2025</t>
        </is>
      </c>
      <c r="L1" s="61" t="inlineStr">
        <is>
          <t>KSM 2025</t>
        </is>
      </c>
      <c r="M1" s="61" t="inlineStr">
        <is>
          <t>ARL 2025</t>
        </is>
      </c>
      <c r="N1" s="68" t="inlineStr">
        <is>
          <t>Toplam sonuç</t>
        </is>
      </c>
    </row>
    <row r="2">
      <c r="A2" s="61" t="inlineStr">
        <is>
          <t>Eur Kuru-kapanış / G.1.1.</t>
        </is>
      </c>
      <c r="B2" s="546">
        <f>'gerç aylık-tl'!B160/'gerç aylık-eur'!B160</f>
        <v/>
      </c>
      <c r="C2" s="546">
        <f>'gerç aylık-tl'!C160/'gerç aylık-eur'!C160</f>
        <v/>
      </c>
      <c r="D2" s="546">
        <f>'gerç aylık-tl'!D160/'gerç aylık-eur'!D160</f>
        <v/>
      </c>
      <c r="E2" s="546">
        <f>'gerç aylık-tl'!E160/'gerç aylık-eur'!E160</f>
        <v/>
      </c>
      <c r="F2" s="546">
        <f>'gerç aylık-tl'!F160/'gerç aylık-eur'!F160</f>
        <v/>
      </c>
      <c r="G2" s="546">
        <f>'gerç aylık-tl'!G160/'gerç aylık-eur'!G160</f>
        <v/>
      </c>
      <c r="H2" s="546">
        <f>'gerç aylık-tl'!H160/'gerç aylık-eur'!H160</f>
        <v/>
      </c>
      <c r="I2" s="546">
        <f>'gerç aylık-tl'!I160/'gerç aylık-eur'!I160</f>
        <v/>
      </c>
      <c r="J2" s="546">
        <f>'gerç aylık-tl'!J160/'gerç aylık-eur'!J160</f>
        <v/>
      </c>
      <c r="K2" s="546">
        <f>'gerç aylık-tl'!K160/'gerç aylık-eur'!K160</f>
        <v/>
      </c>
      <c r="L2" s="546">
        <f>'gerç aylık-tl'!L160/'gerç aylık-eur'!L160</f>
        <v/>
      </c>
      <c r="M2" s="546">
        <f>'gerç aylık-tl'!M160/'gerç aylık-eur'!M160</f>
        <v/>
      </c>
      <c r="N2" s="547" t="n"/>
    </row>
    <row r="3">
      <c r="A3" s="61" t="inlineStr">
        <is>
          <t>Eur Kuru-ortalama / G.1.2.</t>
        </is>
      </c>
      <c r="B3" s="548">
        <f>'gerç aylık-tl'!B5/'gerç aylık-eur'!B5</f>
        <v/>
      </c>
      <c r="C3" s="548">
        <f>'gerç aylık-tl'!C5/'gerç aylık-eur'!C5</f>
        <v/>
      </c>
      <c r="D3" s="548">
        <f>'gerç aylık-tl'!D5/'gerç aylık-eur'!D5</f>
        <v/>
      </c>
      <c r="E3" s="548">
        <f>'gerç aylık-tl'!E5/'gerç aylık-eur'!E5</f>
        <v/>
      </c>
      <c r="F3" s="548">
        <f>'gerç aylık-tl'!F5/'gerç aylık-eur'!F5</f>
        <v/>
      </c>
      <c r="G3" s="548">
        <f>'gerç aylık-tl'!G5/'gerç aylık-eur'!G5</f>
        <v/>
      </c>
      <c r="H3" s="548">
        <f>'gerç aylık-tl'!H5/'gerç aylık-eur'!H5</f>
        <v/>
      </c>
      <c r="I3" s="548">
        <f>'gerç aylık-tl'!I5/'gerç aylık-eur'!I5</f>
        <v/>
      </c>
      <c r="J3" s="548">
        <f>'gerç aylık-tl'!J5/'gerç aylık-eur'!J5</f>
        <v/>
      </c>
      <c r="K3" s="548">
        <f>'gerç aylık-tl'!K5/'gerç aylık-eur'!K5</f>
        <v/>
      </c>
      <c r="L3" s="548">
        <f>'gerç aylık-tl'!L5/'gerç aylık-eur'!L5</f>
        <v/>
      </c>
      <c r="M3" s="548">
        <f>'gerç aylık-tl'!M5/'gerç aylık-eur'!M5</f>
        <v/>
      </c>
      <c r="N3" s="547" t="n"/>
    </row>
    <row r="4">
      <c r="A4" s="61" t="inlineStr">
        <is>
          <t>Net Satışlar-EUR / G.1.</t>
        </is>
      </c>
      <c r="B4" s="64">
        <f>SUM(B5:B7)+SUM(B8:B12)*0.4</f>
        <v/>
      </c>
      <c r="C4" s="64">
        <f>SUM(C5:C7)+SUM(C8:C12)*0.4</f>
        <v/>
      </c>
      <c r="D4" s="64">
        <f>SUM(D5:D7)+SUM(D8:D12)*0.4</f>
        <v/>
      </c>
      <c r="E4" s="64">
        <f>SUM(E5:E7)+SUM(E8:E12)*0.4</f>
        <v/>
      </c>
      <c r="F4" s="64">
        <f>SUM(F5:F7)+SUM(F8:F12)*0.4</f>
        <v/>
      </c>
      <c r="G4" s="64">
        <f>SUM(G5:G7)+SUM(G8:G12)*0.4</f>
        <v/>
      </c>
      <c r="H4" s="64">
        <f>SUM(H5:H7)+SUM(H8:H12)*0.4</f>
        <v/>
      </c>
      <c r="I4" s="64">
        <f>SUM(I5:I7)+SUM(I8:I12)*0.4</f>
        <v/>
      </c>
      <c r="J4" s="64">
        <f>SUM(J5:J7)+SUM(J8:J12)*0.4</f>
        <v/>
      </c>
      <c r="K4" s="64">
        <f>SUM(K5:K7)+SUM(K8:K12)*0.4</f>
        <v/>
      </c>
      <c r="L4" s="64">
        <f>SUM(L5:L7)+SUM(L8:L12)*0.4</f>
        <v/>
      </c>
      <c r="M4" s="64">
        <f>SUM(M5:M7)+SUM(M8:M12)*0.4</f>
        <v/>
      </c>
      <c r="N4" s="70">
        <f>SUM(B4:M4)</f>
        <v/>
      </c>
      <c r="O4" s="94" t="n"/>
      <c r="P4" s="94" t="n"/>
      <c r="Q4" s="94" t="n"/>
      <c r="R4" s="94" t="n"/>
      <c r="S4" s="94" t="n"/>
      <c r="T4" s="94" t="n"/>
    </row>
    <row r="5">
      <c r="A5" s="61" t="inlineStr">
        <is>
          <t>İnci Holding / G.1.1.</t>
        </is>
      </c>
      <c r="B5" s="64" t="n">
        <v>754597.3341061122</v>
      </c>
      <c r="C5" s="64" t="n">
        <v>724922.8199698186</v>
      </c>
      <c r="D5" s="64" t="n">
        <v>791351.515680627</v>
      </c>
      <c r="E5" s="64" t="n">
        <v>689017.2074526444</v>
      </c>
      <c r="F5" s="64" t="n">
        <v>778380.8519433609</v>
      </c>
      <c r="G5" s="64" t="n">
        <v>668367.4882885767</v>
      </c>
      <c r="H5" s="64" t="n">
        <v>729930.3750414964</v>
      </c>
      <c r="I5" s="64" t="n">
        <v>603787.7320352045</v>
      </c>
      <c r="J5" s="64" t="n">
        <v>789956.1686004475</v>
      </c>
      <c r="K5" s="64" t="n">
        <v>754597.3341061122</v>
      </c>
      <c r="L5" s="64" t="n"/>
      <c r="M5" s="64" t="n"/>
      <c r="N5" s="70">
        <f>SUM(B5:M5)</f>
        <v/>
      </c>
      <c r="O5" s="94">
        <f>N5-SUM(B5:M5)</f>
        <v/>
      </c>
    </row>
    <row r="6">
      <c r="A6" s="61" t="inlineStr">
        <is>
          <t>ISM / G.1.2.</t>
        </is>
      </c>
      <c r="B6" s="64" t="n">
        <v>881940.7819076179</v>
      </c>
      <c r="C6" s="64" t="n">
        <v>936556.6719173734</v>
      </c>
      <c r="D6" s="64" t="n">
        <v>696132.5673904411</v>
      </c>
      <c r="E6" s="64" t="n">
        <v>467016.1962788022</v>
      </c>
      <c r="F6" s="64" t="n">
        <v>705071.8458577479</v>
      </c>
      <c r="G6" s="64" t="n">
        <v>633638.4285379311</v>
      </c>
      <c r="H6" s="64" t="n">
        <v>693656.1561459427</v>
      </c>
      <c r="I6" s="64" t="n">
        <v>500471.2132504297</v>
      </c>
      <c r="J6" s="64" t="n">
        <v>453450.9958633537</v>
      </c>
      <c r="K6" s="64" t="n">
        <v>881940.7819076179</v>
      </c>
      <c r="L6" s="64" t="n"/>
      <c r="M6" s="64" t="n"/>
      <c r="N6" s="70">
        <f>SUM(B6:M6)</f>
        <v/>
      </c>
      <c r="O6" s="94">
        <f>N6-SUM(B6:M6)</f>
        <v/>
      </c>
    </row>
    <row r="7">
      <c r="A7" s="61" t="inlineStr">
        <is>
          <t>İncitaş / G.1.3.</t>
        </is>
      </c>
      <c r="B7" s="64" t="n">
        <v>967950.9685131563</v>
      </c>
      <c r="C7" s="64" t="n">
        <v>1038871.405633925</v>
      </c>
      <c r="D7" s="64" t="n">
        <v>1519045.425994013</v>
      </c>
      <c r="E7" s="64" t="n">
        <v>1265253.170902909</v>
      </c>
      <c r="F7" s="64" t="n">
        <v>747521.9456993336</v>
      </c>
      <c r="G7" s="64" t="n">
        <v>899615.9612764086</v>
      </c>
      <c r="H7" s="64" t="n">
        <v>927197.7162794898</v>
      </c>
      <c r="I7" s="64" t="n">
        <v>831655.3520951658</v>
      </c>
      <c r="J7" s="64" t="n">
        <v>890674.7596867472</v>
      </c>
      <c r="K7" s="64" t="n">
        <v>967950.9685131563</v>
      </c>
      <c r="L7" s="64" t="n"/>
      <c r="M7" s="64" t="n"/>
      <c r="N7" s="70">
        <f>SUM(B7:M7)</f>
        <v/>
      </c>
      <c r="O7" s="94">
        <f>N7-SUM(B7:M7)</f>
        <v/>
      </c>
    </row>
    <row r="8">
      <c r="A8" s="61" t="inlineStr">
        <is>
          <t>İnci GS Yuasa / G.1.4.</t>
        </is>
      </c>
      <c r="B8" s="64" t="n">
        <v>21339706.3843102</v>
      </c>
      <c r="C8" s="64" t="n">
        <v>15129669.04327655</v>
      </c>
      <c r="D8" s="64" t="n">
        <v>12750548.4966739</v>
      </c>
      <c r="E8" s="64" t="n">
        <v>12435016.93186727</v>
      </c>
      <c r="F8" s="64" t="n">
        <v>14259476.83173827</v>
      </c>
      <c r="G8" s="64" t="n">
        <v>8679241.233198136</v>
      </c>
      <c r="H8" s="64" t="n">
        <v>16380819.21702922</v>
      </c>
      <c r="I8" s="64" t="n">
        <v>14295312.34252416</v>
      </c>
      <c r="J8" s="64" t="n">
        <v>10760310.27330992</v>
      </c>
      <c r="K8" s="64" t="n">
        <v>21339706.3843102</v>
      </c>
      <c r="L8" s="64" t="n"/>
      <c r="M8" s="64" t="n"/>
      <c r="N8" s="70">
        <f>SUM(B8:M8)</f>
        <v/>
      </c>
      <c r="O8" s="94">
        <f>N8-SUM(B8:M8)</f>
        <v/>
      </c>
    </row>
    <row r="9">
      <c r="A9" s="61" t="inlineStr">
        <is>
          <t>Yusen İnci Loj. / G.1.5.</t>
        </is>
      </c>
      <c r="B9" s="64" t="n">
        <v>6014583.699950526</v>
      </c>
      <c r="C9" s="64" t="n">
        <v>5689931.340066935</v>
      </c>
      <c r="D9" s="64" t="n">
        <v>6425103.563104166</v>
      </c>
      <c r="E9" s="64" t="n">
        <v>5089628.387324966</v>
      </c>
      <c r="F9" s="64" t="n">
        <v>5622265.868942495</v>
      </c>
      <c r="G9" s="64" t="n">
        <v>4374597.432386389</v>
      </c>
      <c r="H9" s="64" t="n">
        <v>5296348.134893317</v>
      </c>
      <c r="I9" s="64" t="n">
        <v>4571844.397954222</v>
      </c>
      <c r="J9" s="64" t="n">
        <v>5403645.58654223</v>
      </c>
      <c r="K9" s="64" t="n">
        <v>6014583.699950526</v>
      </c>
      <c r="L9" s="64" t="n"/>
      <c r="M9" s="64" t="n"/>
      <c r="N9" s="70">
        <f>SUM(B9:M9)</f>
        <v/>
      </c>
      <c r="O9" s="94">
        <f>N9-SUM(B9:M9)</f>
        <v/>
      </c>
    </row>
    <row r="10">
      <c r="A10" s="61" t="inlineStr">
        <is>
          <t>Jantaş / G.1.6.</t>
        </is>
      </c>
      <c r="B10" s="64" t="n">
        <v>11605520.09</v>
      </c>
      <c r="C10" s="64" t="n">
        <v>11543132.73</v>
      </c>
      <c r="D10" s="64" t="n">
        <v>12423119.07</v>
      </c>
      <c r="E10" s="64" t="n">
        <v>12093194.74</v>
      </c>
      <c r="F10" s="64" t="n">
        <v>12658094.32</v>
      </c>
      <c r="G10" s="64" t="n">
        <v>12477093.47</v>
      </c>
      <c r="H10" s="64" t="n">
        <v>10770777.8</v>
      </c>
      <c r="I10" s="64" t="n">
        <v>9564597.189999998</v>
      </c>
      <c r="J10" s="64" t="n">
        <v>11814678.54000001</v>
      </c>
      <c r="K10" s="64" t="n">
        <v>11605520.09</v>
      </c>
      <c r="L10" s="64" t="n"/>
      <c r="M10" s="64" t="n"/>
      <c r="N10" s="70">
        <f>SUM(B10:M10)</f>
        <v/>
      </c>
      <c r="O10" s="94">
        <f>N10-SUM(B10:M10)</f>
        <v/>
      </c>
    </row>
    <row r="11">
      <c r="A11" s="61" t="inlineStr">
        <is>
          <t>Çelik / G.1.7.</t>
        </is>
      </c>
      <c r="B11" s="64" t="n">
        <v>7830554.330000001</v>
      </c>
      <c r="C11" s="64" t="n">
        <v>8732829.09</v>
      </c>
      <c r="D11" s="64" t="n">
        <v>8949431.250000002</v>
      </c>
      <c r="E11" s="64" t="n">
        <v>8776440.420000002</v>
      </c>
      <c r="F11" s="64" t="n">
        <v>8093665.309999995</v>
      </c>
      <c r="G11" s="64" t="n">
        <v>7243188.649999999</v>
      </c>
      <c r="H11" s="64" t="n">
        <v>8047483.36</v>
      </c>
      <c r="I11" s="64" t="n">
        <v>6472770.090000005</v>
      </c>
      <c r="J11" s="64" t="n">
        <v>9589366.329999998</v>
      </c>
      <c r="K11" s="64" t="n">
        <v>7830554.330000001</v>
      </c>
      <c r="L11" s="64" t="n"/>
      <c r="M11" s="64" t="n"/>
      <c r="N11" s="70">
        <f>SUM(B11:M11)</f>
        <v/>
      </c>
      <c r="O11" s="94">
        <f>N11-SUM(B11:M11)</f>
        <v/>
      </c>
    </row>
    <row r="12">
      <c r="A12" s="61" t="inlineStr">
        <is>
          <t>Alüminyum / G.1.8.</t>
        </is>
      </c>
      <c r="B12" s="64" t="n">
        <v>22219414.13</v>
      </c>
      <c r="C12" s="64" t="n">
        <v>19882328.6</v>
      </c>
      <c r="D12" s="64" t="n">
        <v>21990946.94000001</v>
      </c>
      <c r="E12" s="64" t="n">
        <v>22058913.78999999</v>
      </c>
      <c r="F12" s="64" t="n">
        <v>24537693.28</v>
      </c>
      <c r="G12" s="64" t="n">
        <v>21018078.44000001</v>
      </c>
      <c r="H12" s="64" t="n">
        <v>21629443.70999998</v>
      </c>
      <c r="I12" s="64" t="n">
        <v>15062250.99000001</v>
      </c>
      <c r="J12" s="64" t="n">
        <v>22482646.68000001</v>
      </c>
      <c r="K12" s="64" t="n">
        <v>22219414.13</v>
      </c>
      <c r="L12" s="64" t="n"/>
      <c r="M12" s="64" t="n"/>
      <c r="N12" s="70">
        <f>SUM(B12:M12)</f>
        <v/>
      </c>
      <c r="O12" s="94">
        <f>N12-SUM(B12:M12)</f>
        <v/>
      </c>
    </row>
    <row r="13">
      <c r="A13" s="61" t="inlineStr">
        <is>
          <t>x / G.1.9.</t>
        </is>
      </c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70" t="n"/>
    </row>
    <row r="14">
      <c r="A14" s="61" t="inlineStr">
        <is>
          <t>y / G.1.10.</t>
        </is>
      </c>
      <c r="B14" s="64" t="n"/>
      <c r="C14" s="64" t="n"/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70" t="n"/>
    </row>
    <row r="15">
      <c r="A15" s="61" t="inlineStr">
        <is>
          <t>SMM-EUR / G.2.</t>
        </is>
      </c>
      <c r="B15" s="64">
        <f>SUM(B16:B18)+SUM(B19:B23)*0.4</f>
        <v/>
      </c>
      <c r="C15" s="64">
        <f>SUM(C16:C18)+SUM(C19:C23)*0.4</f>
        <v/>
      </c>
      <c r="D15" s="64">
        <f>SUM(D16:D18)+SUM(D19:D23)*0.4</f>
        <v/>
      </c>
      <c r="E15" s="64">
        <f>SUM(E16:E18)+SUM(E19:E23)*0.4</f>
        <v/>
      </c>
      <c r="F15" s="64">
        <f>SUM(F16:F18)+SUM(F19:F23)*0.4</f>
        <v/>
      </c>
      <c r="G15" s="64">
        <f>SUM(G16:G18)+SUM(G19:G23)*0.4</f>
        <v/>
      </c>
      <c r="H15" s="64">
        <f>SUM(H16:H18)+SUM(H19:H23)*0.4</f>
        <v/>
      </c>
      <c r="I15" s="64">
        <f>SUM(I16:I18)+SUM(I19:I23)*0.4</f>
        <v/>
      </c>
      <c r="J15" s="64">
        <f>SUM(J16:J18)+SUM(J19:J23)*0.4</f>
        <v/>
      </c>
      <c r="K15" s="64">
        <f>SUM(K16:K18)+SUM(K19:K23)*0.4</f>
        <v/>
      </c>
      <c r="L15" s="64">
        <f>SUM(L16:L18)+SUM(L19:L23)*0.4</f>
        <v/>
      </c>
      <c r="M15" s="64">
        <f>SUM(M16:M18)+SUM(M19:M23)*0.4</f>
        <v/>
      </c>
      <c r="N15" s="70">
        <f>SUM(B15:M15)</f>
        <v/>
      </c>
    </row>
    <row r="16">
      <c r="A16" s="61" t="inlineStr">
        <is>
          <t>İnci Holding / G.2.1.</t>
        </is>
      </c>
      <c r="B16" s="64" t="n">
        <v>0</v>
      </c>
      <c r="C16" s="64" t="n">
        <v>0</v>
      </c>
      <c r="D16" s="64" t="n">
        <v>0</v>
      </c>
      <c r="E16" s="64" t="n">
        <v>0</v>
      </c>
      <c r="F16" s="64" t="n">
        <v>0</v>
      </c>
      <c r="G16" s="64" t="n">
        <v>0</v>
      </c>
      <c r="H16" s="64" t="n">
        <v>0</v>
      </c>
      <c r="I16" s="64" t="n">
        <v>0</v>
      </c>
      <c r="J16" s="64" t="n">
        <v>0</v>
      </c>
      <c r="K16" s="64" t="n"/>
      <c r="L16" s="64" t="n"/>
      <c r="M16" s="64" t="n"/>
      <c r="N16" s="70">
        <f>SUM(B16:M16)</f>
        <v/>
      </c>
      <c r="O16" s="94">
        <f>N16-SUM(B16:M16)</f>
        <v/>
      </c>
    </row>
    <row r="17">
      <c r="A17" s="61" t="inlineStr">
        <is>
          <t>ISM / G.2.2.</t>
        </is>
      </c>
      <c r="B17" s="64" t="n">
        <v>-767129.8541769451</v>
      </c>
      <c r="C17" s="64" t="n">
        <v>-735480.7426293551</v>
      </c>
      <c r="D17" s="64" t="n">
        <v>-512067.7118677576</v>
      </c>
      <c r="E17" s="64" t="n">
        <v>-348214.0216591173</v>
      </c>
      <c r="F17" s="64" t="n">
        <v>-528284.9747199605</v>
      </c>
      <c r="G17" s="64" t="n">
        <v>-452190.2348604745</v>
      </c>
      <c r="H17" s="64" t="n">
        <v>-500825.1597356437</v>
      </c>
      <c r="I17" s="64" t="n">
        <v>-372109.3194932129</v>
      </c>
      <c r="J17" s="64" t="n">
        <v>-349748.3828237234</v>
      </c>
      <c r="K17" s="64" t="n"/>
      <c r="L17" s="64" t="n"/>
      <c r="M17" s="64" t="n"/>
      <c r="N17" s="70">
        <f>SUM(B17:M17)</f>
        <v/>
      </c>
      <c r="O17" s="94">
        <f>N17-SUM(B17:M17)</f>
        <v/>
      </c>
    </row>
    <row r="18">
      <c r="A18" s="61" t="inlineStr">
        <is>
          <t>İncitaş / G.2.3.</t>
        </is>
      </c>
      <c r="B18" s="64" t="n">
        <v>-812200.1905189626</v>
      </c>
      <c r="C18" s="64" t="n">
        <v>-887645.0482514423</v>
      </c>
      <c r="D18" s="64" t="n">
        <v>-1333158.273034437</v>
      </c>
      <c r="E18" s="64" t="n">
        <v>-1101433.315057476</v>
      </c>
      <c r="F18" s="64" t="n">
        <v>-592110.2366851089</v>
      </c>
      <c r="G18" s="64" t="n">
        <v>-757063.7454753455</v>
      </c>
      <c r="H18" s="64" t="n">
        <v>-754712.3971183086</v>
      </c>
      <c r="I18" s="64" t="n">
        <v>-701275.7861770535</v>
      </c>
      <c r="J18" s="64" t="n">
        <v>-720338.9287299109</v>
      </c>
      <c r="K18" s="64" t="n"/>
      <c r="L18" s="64" t="n"/>
      <c r="M18" s="64" t="n"/>
      <c r="N18" s="70">
        <f>SUM(B18:M18)</f>
        <v/>
      </c>
      <c r="O18" s="94">
        <f>N18-SUM(B18:M18)</f>
        <v/>
      </c>
    </row>
    <row r="19">
      <c r="A19" s="61" t="inlineStr">
        <is>
          <t>İnci GS Yuasa / G.2.4.</t>
        </is>
      </c>
      <c r="B19" s="64" t="n">
        <v>-18157629.55202238</v>
      </c>
      <c r="C19" s="64" t="n">
        <v>-12233803.88417786</v>
      </c>
      <c r="D19" s="64" t="n">
        <v>-10995533.78844673</v>
      </c>
      <c r="E19" s="64" t="n">
        <v>-11073551.6323667</v>
      </c>
      <c r="F19" s="64" t="n">
        <v>-12511024.34344446</v>
      </c>
      <c r="G19" s="64" t="n">
        <v>-7798345.160862057</v>
      </c>
      <c r="H19" s="64" t="n">
        <v>-15147147.59199835</v>
      </c>
      <c r="I19" s="64" t="n">
        <v>-11924532.93033517</v>
      </c>
      <c r="J19" s="64" t="n">
        <v>-9112889.312502248</v>
      </c>
      <c r="K19" s="64" t="n"/>
      <c r="L19" s="64" t="n"/>
      <c r="M19" s="64" t="n"/>
      <c r="N19" s="70">
        <f>SUM(B19:M19)</f>
        <v/>
      </c>
      <c r="O19" s="94">
        <f>N19-SUM(B19:M19)</f>
        <v/>
      </c>
    </row>
    <row r="20">
      <c r="A20" s="61" t="inlineStr">
        <is>
          <t>Yusen İnci Loj. / G.2.5.</t>
        </is>
      </c>
      <c r="B20" s="64" t="n">
        <v>-4806926.657044513</v>
      </c>
      <c r="C20" s="64" t="n">
        <v>-4364788.43995901</v>
      </c>
      <c r="D20" s="64" t="n">
        <v>-5238263.575766185</v>
      </c>
      <c r="E20" s="64" t="n">
        <v>-4126059.739860482</v>
      </c>
      <c r="F20" s="64" t="n">
        <v>-4375272.213582937</v>
      </c>
      <c r="G20" s="64" t="n">
        <v>-3419608.684218306</v>
      </c>
      <c r="H20" s="64" t="n">
        <v>-4199812.029063385</v>
      </c>
      <c r="I20" s="64" t="n">
        <v>-3462987.390245923</v>
      </c>
      <c r="J20" s="64" t="n">
        <v>-4220624.218271793</v>
      </c>
      <c r="K20" s="64" t="n"/>
      <c r="L20" s="64" t="n"/>
      <c r="M20" s="64" t="n"/>
      <c r="N20" s="70">
        <f>SUM(B20:M20)</f>
        <v/>
      </c>
      <c r="O20" s="94">
        <f>N20-SUM(B20:M20)</f>
        <v/>
      </c>
    </row>
    <row r="21">
      <c r="A21" s="61" t="inlineStr">
        <is>
          <t>Jantaş / G.2.6.</t>
        </is>
      </c>
      <c r="B21" s="64" t="n">
        <v>-10209677.41</v>
      </c>
      <c r="C21" s="64" t="n">
        <v>-9472337.59</v>
      </c>
      <c r="D21" s="64" t="n">
        <v>-10020408.18</v>
      </c>
      <c r="E21" s="64" t="n">
        <v>-9830366.530000001</v>
      </c>
      <c r="F21" s="64" t="n">
        <v>-10263254.19</v>
      </c>
      <c r="G21" s="64" t="n">
        <v>-10239801.07</v>
      </c>
      <c r="H21" s="64" t="n">
        <v>-8729660.290000007</v>
      </c>
      <c r="I21" s="64" t="n">
        <v>-8043420.699999989</v>
      </c>
      <c r="J21" s="64" t="n">
        <v>-8787607.970000014</v>
      </c>
      <c r="K21" s="64" t="n"/>
      <c r="L21" s="64" t="n"/>
      <c r="M21" s="64" t="n"/>
      <c r="N21" s="70">
        <f>SUM(B21:M21)</f>
        <v/>
      </c>
      <c r="O21" s="94">
        <f>N21-SUM(B21:M21)</f>
        <v/>
      </c>
    </row>
    <row r="22">
      <c r="A22" s="61" t="inlineStr">
        <is>
          <t>Çelik / G.2.7.</t>
        </is>
      </c>
      <c r="B22" s="64" t="n">
        <v>-6060948.91</v>
      </c>
      <c r="C22" s="64" t="n">
        <v>-6296735.02</v>
      </c>
      <c r="D22" s="64" t="n">
        <v>-6668993.240000002</v>
      </c>
      <c r="E22" s="64" t="n">
        <v>-6062040.549999997</v>
      </c>
      <c r="F22" s="64" t="n">
        <v>-5953403.630000002</v>
      </c>
      <c r="G22" s="64" t="n">
        <v>-5258438.799999997</v>
      </c>
      <c r="H22" s="64" t="n">
        <v>-5450068.460000001</v>
      </c>
      <c r="I22" s="64" t="n">
        <v>-4671113.509999998</v>
      </c>
      <c r="J22" s="64" t="n">
        <v>-6189426.920000001</v>
      </c>
      <c r="K22" s="64" t="n"/>
      <c r="L22" s="64" t="n"/>
      <c r="M22" s="64" t="n"/>
      <c r="N22" s="70">
        <f>SUM(B22:M22)</f>
        <v/>
      </c>
      <c r="O22" s="94">
        <f>N22-SUM(B22:M22)</f>
        <v/>
      </c>
    </row>
    <row r="23">
      <c r="A23" s="61" t="inlineStr">
        <is>
          <t>Alüminyum / G.2.8.</t>
        </is>
      </c>
      <c r="B23" s="64" t="n">
        <v>-19260644.9</v>
      </c>
      <c r="C23" s="64" t="n">
        <v>-18172422.62</v>
      </c>
      <c r="D23" s="64" t="n">
        <v>-19771558.86</v>
      </c>
      <c r="E23" s="64" t="n">
        <v>-19962441.21</v>
      </c>
      <c r="F23" s="64" t="n">
        <v>-20671559.97999999</v>
      </c>
      <c r="G23" s="64" t="n">
        <v>-18659952.04000001</v>
      </c>
      <c r="H23" s="64" t="n">
        <v>-18896971.92</v>
      </c>
      <c r="I23" s="64" t="n">
        <v>-13603706.09999999</v>
      </c>
      <c r="J23" s="64" t="n">
        <v>-18519272.97</v>
      </c>
      <c r="K23" s="64" t="n"/>
      <c r="L23" s="64" t="n"/>
      <c r="M23" s="64" t="n"/>
      <c r="N23" s="70">
        <f>SUM(B23:M23)</f>
        <v/>
      </c>
      <c r="O23" s="94">
        <f>N23-SUM(B23:M23)</f>
        <v/>
      </c>
    </row>
    <row r="24">
      <c r="A24" s="61" t="inlineStr">
        <is>
          <t>x / G.2.9.</t>
        </is>
      </c>
      <c r="B24" s="64" t="n"/>
      <c r="C24" s="64" t="n">
        <v>0</v>
      </c>
      <c r="D24" s="64" t="n">
        <v>0</v>
      </c>
      <c r="E24" s="64" t="n">
        <v>0</v>
      </c>
      <c r="F24" s="64" t="n">
        <v>0</v>
      </c>
      <c r="G24" s="64" t="n">
        <v>0</v>
      </c>
      <c r="H24" s="64" t="n">
        <v>0</v>
      </c>
      <c r="I24" s="64" t="n">
        <v>0</v>
      </c>
      <c r="J24" s="64" t="n">
        <v>0</v>
      </c>
      <c r="K24" s="64" t="n">
        <v>0</v>
      </c>
      <c r="L24" s="64" t="n">
        <v>0</v>
      </c>
      <c r="M24" s="64" t="n">
        <v>0</v>
      </c>
      <c r="N24" s="70" t="n"/>
    </row>
    <row r="25">
      <c r="A25" s="61" t="inlineStr">
        <is>
          <t>y / G.2.10.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70" t="n"/>
    </row>
    <row r="26">
      <c r="A26" s="61" t="inlineStr">
        <is>
          <t>BRÜT KAR-EUR / G.3.</t>
        </is>
      </c>
      <c r="B26" s="64">
        <f>SUM(B27:B29)+SUM(B30:B34)*0.4</f>
        <v/>
      </c>
      <c r="C26" s="64">
        <f>SUM(C27:C29)+SUM(C30:C34)*0.4</f>
        <v/>
      </c>
      <c r="D26" s="64">
        <f>SUM(D27:D29)+SUM(D30:D34)*0.4</f>
        <v/>
      </c>
      <c r="E26" s="64">
        <f>SUM(E27:E29)+SUM(E30:E34)*0.4</f>
        <v/>
      </c>
      <c r="F26" s="64">
        <f>SUM(F27:F29)+SUM(F30:F34)*0.4</f>
        <v/>
      </c>
      <c r="G26" s="64">
        <f>SUM(G27:G29)+SUM(G30:G34)*0.4</f>
        <v/>
      </c>
      <c r="H26" s="64">
        <f>SUM(H27:H29)+SUM(H30:H34)*0.4</f>
        <v/>
      </c>
      <c r="I26" s="64">
        <f>SUM(I27:I29)+SUM(I30:I34)*0.4</f>
        <v/>
      </c>
      <c r="J26" s="64">
        <f>SUM(J27:J29)+SUM(J30:J34)*0.4</f>
        <v/>
      </c>
      <c r="K26" s="64">
        <f>SUM(K27:K29)+SUM(K30:K34)*0.4</f>
        <v/>
      </c>
      <c r="L26" s="64">
        <f>SUM(L27:L29)+SUM(L30:L34)*0.4</f>
        <v/>
      </c>
      <c r="M26" s="64">
        <f>SUM(M27:M29)+SUM(M30:M34)*0.4</f>
        <v/>
      </c>
      <c r="N26" s="70">
        <f>SUM(B26:M26)</f>
        <v/>
      </c>
    </row>
    <row r="27">
      <c r="A27" s="61" t="inlineStr">
        <is>
          <t>İnci Holding / G.3.1.</t>
        </is>
      </c>
      <c r="B27" s="64" t="n">
        <v>754597.3341061122</v>
      </c>
      <c r="C27" s="64" t="n">
        <v>724922.8199698186</v>
      </c>
      <c r="D27" s="64" t="n">
        <v>791351.515680627</v>
      </c>
      <c r="E27" s="64" t="n">
        <v>689017.2074526444</v>
      </c>
      <c r="F27" s="64" t="n">
        <v>778380.8519433609</v>
      </c>
      <c r="G27" s="64" t="n">
        <v>668367.4882885767</v>
      </c>
      <c r="H27" s="64" t="n">
        <v>729930.3750414964</v>
      </c>
      <c r="I27" s="64" t="n">
        <v>603787.7320352045</v>
      </c>
      <c r="J27" s="64" t="n">
        <v>789956.1686004475</v>
      </c>
      <c r="K27" s="64" t="n"/>
      <c r="L27" s="64" t="n"/>
      <c r="M27" s="64" t="n"/>
      <c r="N27" s="70">
        <f>SUM(B27:M27)</f>
        <v/>
      </c>
      <c r="O27" s="94">
        <f>N27-SUM(B27:M27)</f>
        <v/>
      </c>
    </row>
    <row r="28">
      <c r="A28" s="61" t="inlineStr">
        <is>
          <t>ISM / G.3.2.</t>
        </is>
      </c>
      <c r="B28" s="64" t="n">
        <v>114810.9277306729</v>
      </c>
      <c r="C28" s="64" t="n">
        <v>201075.9292880184</v>
      </c>
      <c r="D28" s="64" t="n">
        <v>184064.8555226835</v>
      </c>
      <c r="E28" s="64" t="n">
        <v>118802.174619685</v>
      </c>
      <c r="F28" s="64" t="n">
        <v>176786.8711377875</v>
      </c>
      <c r="G28" s="64" t="n">
        <v>181448.1936774565</v>
      </c>
      <c r="H28" s="64" t="n">
        <v>192830.9964102991</v>
      </c>
      <c r="I28" s="64" t="n">
        <v>128361.8937572168</v>
      </c>
      <c r="J28" s="64" t="n">
        <v>103702.6130396303</v>
      </c>
      <c r="K28" s="64" t="n"/>
      <c r="L28" s="64" t="n"/>
      <c r="M28" s="64" t="n"/>
      <c r="N28" s="70">
        <f>SUM(B28:M28)</f>
        <v/>
      </c>
      <c r="O28" s="94">
        <f>N28-SUM(B28:M28)</f>
        <v/>
      </c>
    </row>
    <row r="29">
      <c r="A29" s="61" t="inlineStr">
        <is>
          <t>İncitaş / G.3.3.</t>
        </is>
      </c>
      <c r="B29" s="64" t="n">
        <v>155750.7779941937</v>
      </c>
      <c r="C29" s="64" t="n">
        <v>151226.3573824828</v>
      </c>
      <c r="D29" s="64" t="n">
        <v>185887.1529595756</v>
      </c>
      <c r="E29" s="64" t="n">
        <v>163819.8558454325</v>
      </c>
      <c r="F29" s="64" t="n">
        <v>155411.7090142247</v>
      </c>
      <c r="G29" s="64" t="n">
        <v>142552.2158010631</v>
      </c>
      <c r="H29" s="64" t="n">
        <v>172485.3191611812</v>
      </c>
      <c r="I29" s="64" t="n">
        <v>130379.5659181123</v>
      </c>
      <c r="J29" s="64" t="n">
        <v>170335.8309568363</v>
      </c>
      <c r="K29" s="64" t="n"/>
      <c r="L29" s="64" t="n"/>
      <c r="M29" s="64" t="n"/>
      <c r="N29" s="70">
        <f>SUM(B29:M29)</f>
        <v/>
      </c>
      <c r="O29" s="94">
        <f>N29-SUM(B29:M29)</f>
        <v/>
      </c>
    </row>
    <row r="30">
      <c r="A30" s="61" t="inlineStr">
        <is>
          <t>İnci GS Yuasa / G.3.4.</t>
        </is>
      </c>
      <c r="B30" s="64" t="n">
        <v>3182076.832287821</v>
      </c>
      <c r="C30" s="64" t="n">
        <v>2895865.15909869</v>
      </c>
      <c r="D30" s="64" t="n">
        <v>1755014.708227171</v>
      </c>
      <c r="E30" s="64" t="n">
        <v>1361465.299500569</v>
      </c>
      <c r="F30" s="64" t="n">
        <v>1748452.488293813</v>
      </c>
      <c r="G30" s="64" t="n">
        <v>880896.0723360779</v>
      </c>
      <c r="H30" s="64" t="n">
        <v>1233671.625030867</v>
      </c>
      <c r="I30" s="64" t="n">
        <v>2370779.412188993</v>
      </c>
      <c r="J30" s="64" t="n">
        <v>1647420.960807668</v>
      </c>
      <c r="K30" s="64" t="n"/>
      <c r="L30" s="64" t="n"/>
      <c r="M30" s="64" t="n"/>
      <c r="N30" s="70">
        <f>SUM(B30:M30)</f>
        <v/>
      </c>
      <c r="O30" s="94">
        <f>N30-SUM(B30:M30)</f>
        <v/>
      </c>
    </row>
    <row r="31">
      <c r="A31" s="61" t="inlineStr">
        <is>
          <t>Yusen İnci Loj. / G.3.5.</t>
        </is>
      </c>
      <c r="B31" s="64" t="n">
        <v>1207657.042906012</v>
      </c>
      <c r="C31" s="64" t="n">
        <v>1325142.900107924</v>
      </c>
      <c r="D31" s="64" t="n">
        <v>1186839.98733798</v>
      </c>
      <c r="E31" s="64" t="n">
        <v>963568.6474644847</v>
      </c>
      <c r="F31" s="64" t="n">
        <v>1246993.655359559</v>
      </c>
      <c r="G31" s="64" t="n">
        <v>954988.7481680827</v>
      </c>
      <c r="H31" s="64" t="n">
        <v>1096536.105829931</v>
      </c>
      <c r="I31" s="64" t="n">
        <v>1108857.007708299</v>
      </c>
      <c r="J31" s="64" t="n">
        <v>1183021.368270437</v>
      </c>
      <c r="K31" s="64" t="n"/>
      <c r="L31" s="64" t="n"/>
      <c r="M31" s="64" t="n"/>
      <c r="N31" s="70">
        <f>SUM(B31:M31)</f>
        <v/>
      </c>
      <c r="O31" s="94">
        <f>N31-SUM(B31:M31)</f>
        <v/>
      </c>
    </row>
    <row r="32">
      <c r="A32" s="61" t="inlineStr">
        <is>
          <t>Jantaş / G.3.6.</t>
        </is>
      </c>
      <c r="B32" s="64" t="n">
        <v>1395842.68</v>
      </c>
      <c r="C32" s="64" t="n">
        <v>2070795.14</v>
      </c>
      <c r="D32" s="64" t="n">
        <v>2402710.890000002</v>
      </c>
      <c r="E32" s="64" t="n">
        <v>2262828.21</v>
      </c>
      <c r="F32" s="64" t="n">
        <v>2394840.130000003</v>
      </c>
      <c r="G32" s="64" t="n">
        <v>2237292.399999998</v>
      </c>
      <c r="H32" s="64" t="n">
        <v>2041117.509999991</v>
      </c>
      <c r="I32" s="64" t="n">
        <v>1521176.490000009</v>
      </c>
      <c r="J32" s="64" t="n">
        <v>3027070.569999993</v>
      </c>
      <c r="K32" s="64" t="n"/>
      <c r="L32" s="64" t="n"/>
      <c r="M32" s="64" t="n"/>
      <c r="N32" s="70">
        <f>SUM(B32:M32)</f>
        <v/>
      </c>
      <c r="O32" s="94">
        <f>N32-SUM(B32:M32)</f>
        <v/>
      </c>
    </row>
    <row r="33">
      <c r="A33" s="61" t="inlineStr">
        <is>
          <t>Çelik / G.3.7.</t>
        </is>
      </c>
      <c r="B33" s="64" t="n">
        <v>1769605.42</v>
      </c>
      <c r="C33" s="64" t="n">
        <v>2436094.07</v>
      </c>
      <c r="D33" s="64" t="n">
        <v>2280438.01</v>
      </c>
      <c r="E33" s="64" t="n">
        <v>2714399.870000005</v>
      </c>
      <c r="F33" s="64" t="n">
        <v>2140261.679999992</v>
      </c>
      <c r="G33" s="64" t="n">
        <v>1984749.850000001</v>
      </c>
      <c r="H33" s="64" t="n">
        <v>2597414.899999999</v>
      </c>
      <c r="I33" s="64" t="n">
        <v>1801656.580000006</v>
      </c>
      <c r="J33" s="64" t="n">
        <v>3399939.409999997</v>
      </c>
      <c r="K33" s="64" t="n"/>
      <c r="L33" s="64" t="n"/>
      <c r="M33" s="64" t="n"/>
      <c r="N33" s="70">
        <f>SUM(B33:M33)</f>
        <v/>
      </c>
      <c r="O33" s="94">
        <f>N33-SUM(B33:M33)</f>
        <v/>
      </c>
    </row>
    <row r="34">
      <c r="A34" s="61" t="inlineStr">
        <is>
          <t>Alüminyum / G.3.8.</t>
        </is>
      </c>
      <c r="B34" s="64" t="n">
        <v>2958769.230000002</v>
      </c>
      <c r="C34" s="64" t="n">
        <v>1709905.979999993</v>
      </c>
      <c r="D34" s="64" t="n">
        <v>2219388.080000007</v>
      </c>
      <c r="E34" s="64" t="n">
        <v>2096472.57999999</v>
      </c>
      <c r="F34" s="64" t="n">
        <v>3866133.300000012</v>
      </c>
      <c r="G34" s="64" t="n">
        <v>2358126.400000006</v>
      </c>
      <c r="H34" s="64" t="n">
        <v>2732471.789999977</v>
      </c>
      <c r="I34" s="64" t="n">
        <v>1458544.890000017</v>
      </c>
      <c r="J34" s="64" t="n">
        <v>3963373.71000001</v>
      </c>
      <c r="K34" s="64" t="n"/>
      <c r="L34" s="64" t="n"/>
      <c r="M34" s="64" t="n"/>
      <c r="N34" s="70">
        <f>SUM(B34:M34)</f>
        <v/>
      </c>
      <c r="O34" s="94">
        <f>N34-SUM(B34:M34)</f>
        <v/>
      </c>
    </row>
    <row r="35">
      <c r="A35" s="61" t="inlineStr">
        <is>
          <t>x / G.3.9.</t>
        </is>
      </c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70" t="n"/>
    </row>
    <row r="36">
      <c r="A36" s="61" t="inlineStr">
        <is>
          <t>y / G.3.10.</t>
        </is>
      </c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70" t="n"/>
    </row>
    <row r="37">
      <c r="A37" s="61" t="inlineStr">
        <is>
          <t>Toplam Faaliyet Giderleri-EUR / G.4.</t>
        </is>
      </c>
      <c r="B37" s="64">
        <f>SUM(B38:B40)+SUM(B41:B45)*0.4</f>
        <v/>
      </c>
      <c r="C37" s="64">
        <f>SUM(C38:C40)+SUM(C41:C45)*0.4</f>
        <v/>
      </c>
      <c r="D37" s="64">
        <f>SUM(D38:D40)+SUM(D41:D45)*0.4</f>
        <v/>
      </c>
      <c r="E37" s="64">
        <f>SUM(E38:E40)+SUM(E41:E45)*0.4</f>
        <v/>
      </c>
      <c r="F37" s="64">
        <f>SUM(F38:F40)+SUM(F41:F45)*0.4</f>
        <v/>
      </c>
      <c r="G37" s="64">
        <f>SUM(G38:G40)+SUM(G41:G45)*0.4</f>
        <v/>
      </c>
      <c r="H37" s="64">
        <f>SUM(H38:H40)+SUM(H41:H45)*0.4</f>
        <v/>
      </c>
      <c r="I37" s="64">
        <f>SUM(I38:I40)+SUM(I41:I45)*0.4</f>
        <v/>
      </c>
      <c r="J37" s="64">
        <f>SUM(J38:J40)+SUM(J41:J45)*0.4</f>
        <v/>
      </c>
      <c r="K37" s="64">
        <f>SUM(K38:K40)+SUM(K41:K45)*0.4</f>
        <v/>
      </c>
      <c r="L37" s="64">
        <f>SUM(L38:L40)+SUM(L41:L45)*0.4</f>
        <v/>
      </c>
      <c r="M37" s="64">
        <f>SUM(M38:M40)+SUM(M41:M45)*0.4</f>
        <v/>
      </c>
      <c r="N37" s="70">
        <f>SUM(B37:M37)</f>
        <v/>
      </c>
    </row>
    <row r="38">
      <c r="A38" s="61" t="inlineStr">
        <is>
          <t>İnci Holding / G.4.1.</t>
        </is>
      </c>
      <c r="B38" s="64" t="n">
        <v>-379095.4920007797</v>
      </c>
      <c r="C38" s="64" t="n">
        <v>-414616.1515594636</v>
      </c>
      <c r="D38" s="64" t="n">
        <v>-452066.606804895</v>
      </c>
      <c r="E38" s="64" t="n">
        <v>-555022.2971448186</v>
      </c>
      <c r="F38" s="64" t="n">
        <v>-354817.3910124591</v>
      </c>
      <c r="G38" s="64" t="n">
        <v>-370767.3438180246</v>
      </c>
      <c r="H38" s="64" t="n">
        <v>-381941.3323868331</v>
      </c>
      <c r="I38" s="64" t="n">
        <v>-312966.8829524615</v>
      </c>
      <c r="J38" s="64" t="n">
        <v>-311389.8959306301</v>
      </c>
      <c r="K38" s="64" t="n"/>
      <c r="L38" s="64" t="n"/>
      <c r="M38" s="64" t="n"/>
      <c r="N38" s="70">
        <f>SUM(B38:M38)</f>
        <v/>
      </c>
      <c r="O38" s="94">
        <f>N38-SUM(B38:M38)</f>
        <v/>
      </c>
      <c r="P38" s="138" t="n">
        <v>-1</v>
      </c>
    </row>
    <row r="39">
      <c r="A39" s="61" t="inlineStr">
        <is>
          <t>ISM / G.4.2.</t>
        </is>
      </c>
      <c r="B39" s="64" t="n">
        <v>-126365.6514400003</v>
      </c>
      <c r="C39" s="64" t="n">
        <v>-162672.9898591471</v>
      </c>
      <c r="D39" s="64" t="n">
        <v>-163546.8881286141</v>
      </c>
      <c r="E39" s="64" t="n">
        <v>-138314.2399420308</v>
      </c>
      <c r="F39" s="64" t="n">
        <v>-148496.5441432253</v>
      </c>
      <c r="G39" s="64" t="n">
        <v>-160173.083593328</v>
      </c>
      <c r="H39" s="64" t="n">
        <v>-142821.5742050485</v>
      </c>
      <c r="I39" s="64" t="n">
        <v>-113424.7269620118</v>
      </c>
      <c r="J39" s="64" t="n">
        <v>-138693.8710712804</v>
      </c>
      <c r="K39" s="64" t="n"/>
      <c r="L39" s="64" t="n"/>
      <c r="M39" s="64" t="n"/>
      <c r="N39" s="70">
        <f>SUM(B39:M39)</f>
        <v/>
      </c>
      <c r="O39" s="94">
        <f>N39-SUM(B39:M39)</f>
        <v/>
      </c>
    </row>
    <row r="40">
      <c r="A40" s="61" t="inlineStr">
        <is>
          <t>İncitaş / G.4.3.</t>
        </is>
      </c>
      <c r="B40" s="64" t="n">
        <v>-121903.7833607109</v>
      </c>
      <c r="C40" s="64" t="n">
        <v>-119725.065998317</v>
      </c>
      <c r="D40" s="64" t="n">
        <v>-177243.8782980638</v>
      </c>
      <c r="E40" s="64" t="n">
        <v>-141699.6358781118</v>
      </c>
      <c r="F40" s="64" t="n">
        <v>-122616.7165061252</v>
      </c>
      <c r="G40" s="64" t="n">
        <v>-126790.7085137465</v>
      </c>
      <c r="H40" s="64" t="n">
        <v>-143950.8878281755</v>
      </c>
      <c r="I40" s="64" t="n">
        <v>-108305.2993854263</v>
      </c>
      <c r="J40" s="64" t="n">
        <v>-115524.0605563744</v>
      </c>
      <c r="K40" s="64" t="n"/>
      <c r="L40" s="64" t="n"/>
      <c r="M40" s="64" t="n"/>
      <c r="N40" s="70">
        <f>SUM(B40:M40)</f>
        <v/>
      </c>
      <c r="O40" s="94">
        <f>N40-SUM(B40:M40)</f>
        <v/>
      </c>
    </row>
    <row r="41">
      <c r="A41" s="61" t="inlineStr">
        <is>
          <t>İnci GS Yuasa / G.4.4.</t>
        </is>
      </c>
      <c r="B41" s="64" t="n">
        <v>-2081641.765454812</v>
      </c>
      <c r="C41" s="64" t="n">
        <v>-2272721.03079761</v>
      </c>
      <c r="D41" s="64" t="n">
        <v>-2300144.38969015</v>
      </c>
      <c r="E41" s="64" t="n">
        <v>-2068806.512818794</v>
      </c>
      <c r="F41" s="64" t="n">
        <v>-1942443.366473307</v>
      </c>
      <c r="G41" s="64" t="n">
        <v>-1761143.502068423</v>
      </c>
      <c r="H41" s="64" t="n">
        <v>-1677881.090027682</v>
      </c>
      <c r="I41" s="64" t="n">
        <v>-1685794.135207965</v>
      </c>
      <c r="J41" s="64" t="n">
        <v>-1591887.633807847</v>
      </c>
      <c r="K41" s="64" t="n"/>
      <c r="L41" s="64" t="n"/>
      <c r="M41" s="64" t="n"/>
      <c r="N41" s="70">
        <f>SUM(B41:M41)</f>
        <v/>
      </c>
      <c r="O41" s="94">
        <f>N41-SUM(B41:M41)</f>
        <v/>
      </c>
    </row>
    <row r="42">
      <c r="A42" s="61" t="inlineStr">
        <is>
          <t>Yusen İnci Loj. / G.4.5.</t>
        </is>
      </c>
      <c r="B42" s="64" t="n">
        <v>-958807.0926820971</v>
      </c>
      <c r="C42" s="64" t="n">
        <v>-880426.6891323025</v>
      </c>
      <c r="D42" s="64" t="n">
        <v>-742575.8454726505</v>
      </c>
      <c r="E42" s="64" t="n">
        <v>-1078954.013280716</v>
      </c>
      <c r="F42" s="64" t="n">
        <v>-1220908.25188525</v>
      </c>
      <c r="G42" s="64" t="n">
        <v>-889329.3824435114</v>
      </c>
      <c r="H42" s="64" t="n">
        <v>-798607.8151565519</v>
      </c>
      <c r="I42" s="64" t="n">
        <v>-796253.157601413</v>
      </c>
      <c r="J42" s="64" t="n">
        <v>-786328.4423269707</v>
      </c>
      <c r="K42" s="64" t="n"/>
      <c r="L42" s="64" t="n"/>
      <c r="M42" s="64" t="n"/>
      <c r="N42" s="70">
        <f>SUM(B42:M42)</f>
        <v/>
      </c>
      <c r="O42" s="94">
        <f>N42-SUM(B42:M42)</f>
        <v/>
      </c>
    </row>
    <row r="43">
      <c r="A43" s="61" t="inlineStr">
        <is>
          <t>Jantaş / G.4.6.</t>
        </is>
      </c>
      <c r="B43" s="64" t="n">
        <v>-671544.15</v>
      </c>
      <c r="C43" s="64" t="n">
        <v>-817810.9899999999</v>
      </c>
      <c r="D43" s="64" t="n">
        <v>-707904.8</v>
      </c>
      <c r="E43" s="64" t="n">
        <v>-952352.6299999999</v>
      </c>
      <c r="F43" s="64" t="n">
        <v>-828014.3500000001</v>
      </c>
      <c r="G43" s="64" t="n">
        <v>-648135.7999999998</v>
      </c>
      <c r="H43" s="64" t="n">
        <v>-607325.29</v>
      </c>
      <c r="I43" s="64" t="n">
        <v>-450295.96</v>
      </c>
      <c r="J43" s="64" t="n">
        <v>-594990.3600000003</v>
      </c>
      <c r="K43" s="64" t="n"/>
      <c r="L43" s="64" t="n"/>
      <c r="M43" s="64" t="n"/>
      <c r="N43" s="70">
        <f>SUM(B43:M43)</f>
        <v/>
      </c>
      <c r="O43" s="94">
        <f>N43-SUM(B43:M43)</f>
        <v/>
      </c>
    </row>
    <row r="44">
      <c r="A44" s="61" t="inlineStr">
        <is>
          <t>Çelik / G.4.7.</t>
        </is>
      </c>
      <c r="B44" s="64" t="n">
        <v>-411416.13</v>
      </c>
      <c r="C44" s="64" t="n">
        <v>-487724.54</v>
      </c>
      <c r="D44" s="64" t="n">
        <v>-279388.9</v>
      </c>
      <c r="E44" s="64" t="n">
        <v>-687637.28</v>
      </c>
      <c r="F44" s="64" t="n">
        <v>-491309.3300000001</v>
      </c>
      <c r="G44" s="64" t="n">
        <v>-384841.3499999996</v>
      </c>
      <c r="H44" s="64" t="n">
        <v>-453411.52</v>
      </c>
      <c r="I44" s="64" t="n">
        <v>-345208.7000000001</v>
      </c>
      <c r="J44" s="64" t="n">
        <v>-521905.6600000002</v>
      </c>
      <c r="K44" s="64" t="n"/>
      <c r="L44" s="64" t="n"/>
      <c r="M44" s="64" t="n"/>
      <c r="N44" s="70">
        <f>SUM(B44:M44)</f>
        <v/>
      </c>
      <c r="O44" s="94">
        <f>N44-SUM(B44:M44)</f>
        <v/>
      </c>
    </row>
    <row r="45">
      <c r="A45" s="61" t="inlineStr">
        <is>
          <t>Alüminyum / G.4.8.</t>
        </is>
      </c>
      <c r="B45" s="64" t="n">
        <v>-955273.8100000001</v>
      </c>
      <c r="C45" s="64" t="n">
        <v>-1013060.18</v>
      </c>
      <c r="D45" s="64" t="n">
        <v>-996047.5199999998</v>
      </c>
      <c r="E45" s="64" t="n">
        <v>-998426.4900000003</v>
      </c>
      <c r="F45" s="64" t="n">
        <v>-1087140.29</v>
      </c>
      <c r="G45" s="64" t="n">
        <v>-881114.4199999999</v>
      </c>
      <c r="H45" s="64" t="n">
        <v>-990961.8200000003</v>
      </c>
      <c r="I45" s="64" t="n">
        <v>-948586.8599999994</v>
      </c>
      <c r="J45" s="64" t="n">
        <v>-989463.2000000002</v>
      </c>
      <c r="K45" s="64" t="n"/>
      <c r="L45" s="64" t="n"/>
      <c r="M45" s="64" t="n"/>
      <c r="N45" s="70">
        <f>SUM(B45:M45)</f>
        <v/>
      </c>
      <c r="O45" s="94">
        <f>N45-SUM(B45:M45)</f>
        <v/>
      </c>
    </row>
    <row r="46">
      <c r="A46" s="61" t="inlineStr">
        <is>
          <t>x / G.4.9.</t>
        </is>
      </c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70" t="n"/>
    </row>
    <row r="47">
      <c r="A47" s="61" t="inlineStr">
        <is>
          <t>y / G.4.10.</t>
        </is>
      </c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70" t="n"/>
    </row>
    <row r="48">
      <c r="A48" s="61" t="inlineStr">
        <is>
          <t>Diğer Faaliyet Gelir(Gideri)-EUR / G.5.</t>
        </is>
      </c>
      <c r="B48" s="64">
        <f>SUM(B49:B51)+SUM(B52:B56)*0.4</f>
        <v/>
      </c>
      <c r="C48" s="64">
        <f>SUM(C49:C51)+SUM(C52:C56)*0.4</f>
        <v/>
      </c>
      <c r="D48" s="64">
        <f>SUM(D49:D51)+SUM(D52:D56)*0.4</f>
        <v/>
      </c>
      <c r="E48" s="64">
        <f>SUM(E49:E51)+SUM(E52:E56)*0.4</f>
        <v/>
      </c>
      <c r="F48" s="64">
        <f>SUM(F49:F51)+SUM(F52:F56)*0.4</f>
        <v/>
      </c>
      <c r="G48" s="64">
        <f>SUM(G49:G51)+SUM(G52:G56)*0.4</f>
        <v/>
      </c>
      <c r="H48" s="64">
        <f>SUM(H49:H51)+SUM(H52:H56)*0.4</f>
        <v/>
      </c>
      <c r="I48" s="64">
        <f>SUM(I49:I51)+SUM(I52:I56)*0.4</f>
        <v/>
      </c>
      <c r="J48" s="64">
        <f>SUM(J49:J51)+SUM(J52:J56)*0.4</f>
        <v/>
      </c>
      <c r="K48" s="64">
        <f>SUM(K49:K51)+SUM(K52:K56)*0.4</f>
        <v/>
      </c>
      <c r="L48" s="64">
        <f>SUM(L49:L51)+SUM(L52:L56)*0.4</f>
        <v/>
      </c>
      <c r="M48" s="64">
        <f>SUM(M49:M51)+SUM(M52:M56)*0.4</f>
        <v/>
      </c>
      <c r="N48" s="70">
        <f>SUM(B48:M48)</f>
        <v/>
      </c>
    </row>
    <row r="49">
      <c r="A49" s="61" t="inlineStr">
        <is>
          <t>İnci Holding / G.5.1.</t>
        </is>
      </c>
      <c r="B49" s="64" t="n">
        <v>0</v>
      </c>
      <c r="C49" s="64" t="n">
        <v>0</v>
      </c>
      <c r="D49" s="64" t="n">
        <v>0</v>
      </c>
      <c r="E49" s="64" t="n">
        <v>0</v>
      </c>
      <c r="F49" s="64" t="n">
        <v>0</v>
      </c>
      <c r="G49" s="64" t="n">
        <v>0</v>
      </c>
      <c r="H49" s="64" t="n">
        <v>0</v>
      </c>
      <c r="I49" s="64" t="n">
        <v>0</v>
      </c>
      <c r="J49" s="64" t="n">
        <v>0</v>
      </c>
      <c r="K49" s="64" t="n"/>
      <c r="L49" s="64" t="n"/>
      <c r="M49" s="64" t="n"/>
      <c r="N49" s="70">
        <f>SUM(B49:M49)</f>
        <v/>
      </c>
    </row>
    <row r="50">
      <c r="A50" s="61" t="inlineStr">
        <is>
          <t>ISM / G.5.2.</t>
        </is>
      </c>
      <c r="B50" s="64" t="n">
        <v>0</v>
      </c>
      <c r="C50" s="64" t="n">
        <v>0</v>
      </c>
      <c r="D50" s="64" t="n">
        <v>0</v>
      </c>
      <c r="E50" s="64" t="n">
        <v>0</v>
      </c>
      <c r="F50" s="64" t="n">
        <v>0</v>
      </c>
      <c r="G50" s="64" t="n">
        <v>0</v>
      </c>
      <c r="H50" s="64" t="n">
        <v>0</v>
      </c>
      <c r="I50" s="64" t="n">
        <v>0</v>
      </c>
      <c r="J50" s="64" t="n">
        <v>0</v>
      </c>
      <c r="K50" s="64" t="n"/>
      <c r="L50" s="64" t="n"/>
      <c r="M50" s="64" t="n"/>
      <c r="N50" s="70">
        <f>SUM(B50:M50)</f>
        <v/>
      </c>
    </row>
    <row r="51">
      <c r="A51" s="61" t="inlineStr">
        <is>
          <t>İncitaş / G.5.3.</t>
        </is>
      </c>
      <c r="B51" s="64" t="n">
        <v>0</v>
      </c>
      <c r="C51" s="64" t="n">
        <v>0</v>
      </c>
      <c r="D51" s="64" t="n">
        <v>0</v>
      </c>
      <c r="E51" s="64" t="n">
        <v>0</v>
      </c>
      <c r="F51" s="64" t="n">
        <v>0</v>
      </c>
      <c r="G51" s="64" t="n">
        <v>0</v>
      </c>
      <c r="H51" s="64" t="n">
        <v>0</v>
      </c>
      <c r="I51" s="64" t="n">
        <v>0</v>
      </c>
      <c r="J51" s="64" t="n">
        <v>0</v>
      </c>
      <c r="K51" s="64" t="n"/>
      <c r="L51" s="64" t="n"/>
      <c r="M51" s="64" t="n"/>
      <c r="N51" s="70">
        <f>SUM(B51:M51)</f>
        <v/>
      </c>
    </row>
    <row r="52">
      <c r="A52" s="61" t="inlineStr">
        <is>
          <t>İnci GS Yuasa / G.5.4.</t>
        </is>
      </c>
      <c r="B52" s="64" t="n">
        <v>0</v>
      </c>
      <c r="C52" s="64" t="n">
        <v>0</v>
      </c>
      <c r="D52" s="64" t="n">
        <v>0</v>
      </c>
      <c r="E52" s="64" t="n">
        <v>0</v>
      </c>
      <c r="F52" s="64" t="n">
        <v>0</v>
      </c>
      <c r="G52" s="64" t="n">
        <v>0</v>
      </c>
      <c r="H52" s="64" t="n">
        <v>0</v>
      </c>
      <c r="I52" s="64" t="n">
        <v>0</v>
      </c>
      <c r="J52" s="64" t="n">
        <v>0</v>
      </c>
      <c r="K52" s="64" t="n"/>
      <c r="L52" s="64" t="n"/>
      <c r="M52" s="64" t="n"/>
      <c r="N52" s="70">
        <f>SUM(B52:M52)</f>
        <v/>
      </c>
    </row>
    <row r="53">
      <c r="A53" s="61" t="inlineStr">
        <is>
          <t>Yusen İnci Loj. / G.5.5.</t>
        </is>
      </c>
      <c r="B53" s="64" t="n">
        <v>0</v>
      </c>
      <c r="C53" s="64" t="n">
        <v>0</v>
      </c>
      <c r="D53" s="64" t="n">
        <v>0</v>
      </c>
      <c r="E53" s="64" t="n">
        <v>0</v>
      </c>
      <c r="F53" s="64" t="n">
        <v>0</v>
      </c>
      <c r="G53" s="64" t="n">
        <v>0</v>
      </c>
      <c r="H53" s="64" t="n">
        <v>0</v>
      </c>
      <c r="I53" s="64" t="n">
        <v>0</v>
      </c>
      <c r="J53" s="64" t="n">
        <v>0</v>
      </c>
      <c r="K53" s="64" t="n"/>
      <c r="L53" s="64" t="n"/>
      <c r="M53" s="64" t="n"/>
      <c r="N53" s="70">
        <f>SUM(B53:M53)</f>
        <v/>
      </c>
    </row>
    <row r="54">
      <c r="A54" s="61" t="inlineStr">
        <is>
          <t>Jantaş / G.5.6.</t>
        </is>
      </c>
      <c r="B54" s="64" t="n">
        <v>193.29</v>
      </c>
      <c r="C54" s="64" t="n">
        <v>982.26</v>
      </c>
      <c r="D54" s="64" t="n">
        <v>8216.950000000001</v>
      </c>
      <c r="E54" s="64" t="n">
        <v>-29292.39</v>
      </c>
      <c r="F54" s="64" t="n">
        <v>-1541.400000000001</v>
      </c>
      <c r="G54" s="64" t="n">
        <v>-20298.59</v>
      </c>
      <c r="H54" s="64" t="n">
        <v>85885.54999999997</v>
      </c>
      <c r="I54" s="64" t="n">
        <v>3180.099999999999</v>
      </c>
      <c r="J54" s="64" t="n">
        <v>417.4000000000015</v>
      </c>
      <c r="K54" s="64" t="n"/>
      <c r="L54" s="64" t="n"/>
      <c r="M54" s="64" t="n"/>
      <c r="N54" s="70">
        <f>SUM(B54:M54)</f>
        <v/>
      </c>
    </row>
    <row r="55">
      <c r="A55" s="61" t="inlineStr">
        <is>
          <t>Çelik / G.5.7.</t>
        </is>
      </c>
      <c r="B55" s="64" t="n">
        <v>0</v>
      </c>
      <c r="C55" s="64" t="n">
        <v>0</v>
      </c>
      <c r="D55" s="64" t="n">
        <v>0</v>
      </c>
      <c r="E55" s="64" t="n">
        <v>0</v>
      </c>
      <c r="F55" s="64" t="n">
        <v>7.14</v>
      </c>
      <c r="G55" s="64" t="n">
        <v>0</v>
      </c>
      <c r="H55" s="64" t="n">
        <v>-14.28</v>
      </c>
      <c r="I55" s="64" t="n">
        <v>0</v>
      </c>
      <c r="J55" s="64" t="n">
        <v>14.28</v>
      </c>
      <c r="K55" s="64" t="n"/>
      <c r="L55" s="64" t="n"/>
      <c r="M55" s="64" t="n"/>
      <c r="N55" s="70">
        <f>SUM(B55:M55)</f>
        <v/>
      </c>
    </row>
    <row r="56">
      <c r="A56" s="61" t="inlineStr">
        <is>
          <t>Alüminyum / G.5.8.</t>
        </is>
      </c>
      <c r="B56" s="64" t="n">
        <v>0</v>
      </c>
      <c r="C56" s="64" t="n">
        <v>0</v>
      </c>
      <c r="D56" s="64" t="n">
        <v>6027.34</v>
      </c>
      <c r="E56" s="64" t="n">
        <v>-12054.68</v>
      </c>
      <c r="F56" s="64" t="n">
        <v>0</v>
      </c>
      <c r="G56" s="64" t="n">
        <v>12054.68</v>
      </c>
      <c r="H56" s="64" t="n">
        <v>0</v>
      </c>
      <c r="I56" s="64" t="n">
        <v>0</v>
      </c>
      <c r="J56" s="64" t="n">
        <v>6589.77</v>
      </c>
      <c r="K56" s="64" t="n"/>
      <c r="L56" s="64" t="n"/>
      <c r="M56" s="64" t="n"/>
      <c r="N56" s="70">
        <f>SUM(B56:M56)</f>
        <v/>
      </c>
    </row>
    <row r="57">
      <c r="A57" s="61" t="inlineStr">
        <is>
          <t>x / G.5.9.</t>
        </is>
      </c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70" t="n"/>
    </row>
    <row r="58">
      <c r="A58" s="61" t="inlineStr">
        <is>
          <t>y / G.5.10.</t>
        </is>
      </c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70" t="n"/>
    </row>
    <row r="59">
      <c r="A59" s="61" t="inlineStr">
        <is>
          <t>EBİT-EUR / G.6.</t>
        </is>
      </c>
      <c r="B59" s="64">
        <f>SUM(B60:B62)+SUM(B63:B67)*0.4</f>
        <v/>
      </c>
      <c r="C59" s="64">
        <f>SUM(C60:C62)+SUM(C63:C67)*0.4</f>
        <v/>
      </c>
      <c r="D59" s="64">
        <f>SUM(D60:D62)+SUM(D63:D67)*0.4</f>
        <v/>
      </c>
      <c r="E59" s="64">
        <f>SUM(E60:E62)+SUM(E63:E67)*0.4</f>
        <v/>
      </c>
      <c r="F59" s="64">
        <f>SUM(F60:F62)+SUM(F63:F67)*0.4</f>
        <v/>
      </c>
      <c r="G59" s="64">
        <f>SUM(G60:G62)+SUM(G63:G67)*0.4</f>
        <v/>
      </c>
      <c r="H59" s="64">
        <f>SUM(H60:H62)+SUM(H63:H67)*0.4</f>
        <v/>
      </c>
      <c r="I59" s="64">
        <f>SUM(I60:I62)+SUM(I63:I67)*0.4</f>
        <v/>
      </c>
      <c r="J59" s="64">
        <f>SUM(J60:J62)+SUM(J63:J67)*0.4</f>
        <v/>
      </c>
      <c r="K59" s="64">
        <f>SUM(K60:K62)+SUM(K63:K67)*0.4</f>
        <v/>
      </c>
      <c r="L59" s="64">
        <f>SUM(L60:L62)+SUM(L63:L67)*0.4</f>
        <v/>
      </c>
      <c r="M59" s="64">
        <f>SUM(M60:M62)+SUM(M63:M67)*0.4</f>
        <v/>
      </c>
      <c r="N59" s="70">
        <f>SUM(B59:M59)</f>
        <v/>
      </c>
    </row>
    <row r="60">
      <c r="A60" s="61" t="inlineStr">
        <is>
          <t>İnci Holding / G.6.1.</t>
        </is>
      </c>
      <c r="B60" s="64" t="n">
        <v>375501.8421053326</v>
      </c>
      <c r="C60" s="64" t="n">
        <v>310306.6684103549</v>
      </c>
      <c r="D60" s="64" t="n">
        <v>339284.9088757319</v>
      </c>
      <c r="E60" s="64" t="n">
        <v>133994.9103078258</v>
      </c>
      <c r="F60" s="64" t="n">
        <v>423563.4609309018</v>
      </c>
      <c r="G60" s="64" t="n">
        <v>297600.1444705522</v>
      </c>
      <c r="H60" s="64" t="n">
        <v>347989.0426546632</v>
      </c>
      <c r="I60" s="64" t="n">
        <v>290820.849082743</v>
      </c>
      <c r="J60" s="64" t="n">
        <v>478566.2726698174</v>
      </c>
      <c r="K60" s="64" t="n"/>
      <c r="L60" s="64" t="n"/>
      <c r="M60" s="64" t="n"/>
      <c r="N60" s="70">
        <f>SUM(B60:M60)</f>
        <v/>
      </c>
      <c r="O60" s="94">
        <f>N60-SUM(B60:M60)</f>
        <v/>
      </c>
    </row>
    <row r="61">
      <c r="A61" s="61" t="inlineStr">
        <is>
          <t>ISM / G.6.2.</t>
        </is>
      </c>
      <c r="B61" s="64" t="n">
        <v>-11554.72370932743</v>
      </c>
      <c r="C61" s="64" t="n">
        <v>38402.93942887129</v>
      </c>
      <c r="D61" s="64" t="n">
        <v>20517.96739406933</v>
      </c>
      <c r="E61" s="64" t="n">
        <v>-19512.06532234579</v>
      </c>
      <c r="F61" s="64" t="n">
        <v>28290.3269945622</v>
      </c>
      <c r="G61" s="64" t="n">
        <v>21275.11008412854</v>
      </c>
      <c r="H61" s="64" t="n">
        <v>50009.42220525056</v>
      </c>
      <c r="I61" s="64" t="n">
        <v>14937.16679520496</v>
      </c>
      <c r="J61" s="64" t="n">
        <v>-34991.2580316501</v>
      </c>
      <c r="K61" s="64" t="n"/>
      <c r="L61" s="64" t="n"/>
      <c r="M61" s="64" t="n"/>
      <c r="N61" s="70">
        <f>SUM(B61:M61)</f>
        <v/>
      </c>
      <c r="O61" s="94">
        <f>N61-SUM(B61:M61)</f>
        <v/>
      </c>
    </row>
    <row r="62">
      <c r="A62" s="61" t="inlineStr">
        <is>
          <t>İncitaş / G.6.3.</t>
        </is>
      </c>
      <c r="B62" s="64" t="n">
        <v>33846.99463348284</v>
      </c>
      <c r="C62" s="64" t="n">
        <v>31501.29138416586</v>
      </c>
      <c r="D62" s="64" t="n">
        <v>8643.274661511823</v>
      </c>
      <c r="E62" s="64" t="n">
        <v>22120.21996732074</v>
      </c>
      <c r="F62" s="64" t="n">
        <v>32794.9925080995</v>
      </c>
      <c r="G62" s="64" t="n">
        <v>15761.50728731662</v>
      </c>
      <c r="H62" s="64" t="n">
        <v>28534.43133300569</v>
      </c>
      <c r="I62" s="64" t="n">
        <v>22074.26653268594</v>
      </c>
      <c r="J62" s="64" t="n">
        <v>54811.7704004619</v>
      </c>
      <c r="K62" s="64" t="n"/>
      <c r="L62" s="64" t="n"/>
      <c r="M62" s="64" t="n"/>
      <c r="N62" s="70">
        <f>SUM(B62:M62)</f>
        <v/>
      </c>
      <c r="O62" s="94">
        <f>N62-SUM(B62:M62)</f>
        <v/>
      </c>
    </row>
    <row r="63">
      <c r="A63" s="61" t="inlineStr">
        <is>
          <t>İnci GS Yuasa / G.6.4.</t>
        </is>
      </c>
      <c r="B63" s="64" t="n">
        <v>1100435.066833009</v>
      </c>
      <c r="C63" s="64" t="n">
        <v>623144.1283010802</v>
      </c>
      <c r="D63" s="64" t="n">
        <v>-545129.6814629791</v>
      </c>
      <c r="E63" s="64" t="n">
        <v>-707341.2133182253</v>
      </c>
      <c r="F63" s="64" t="n">
        <v>-193990.8781794936</v>
      </c>
      <c r="G63" s="64" t="n">
        <v>-880247.429732345</v>
      </c>
      <c r="H63" s="64" t="n">
        <v>-444209.4649968151</v>
      </c>
      <c r="I63" s="64" t="n">
        <v>684985.2769810284</v>
      </c>
      <c r="J63" s="64" t="n">
        <v>55533.326999821</v>
      </c>
      <c r="K63" s="64" t="n"/>
      <c r="L63" s="64" t="n"/>
      <c r="M63" s="64" t="n"/>
      <c r="N63" s="70">
        <f>SUM(B63:M63)</f>
        <v/>
      </c>
      <c r="O63" s="94">
        <f>N63-SUM(B63:M63)</f>
        <v/>
      </c>
    </row>
    <row r="64">
      <c r="A64" s="61" t="inlineStr">
        <is>
          <t>Yusen İnci Loj. / G.6.5.</t>
        </is>
      </c>
      <c r="B64" s="64" t="n">
        <v>248849.9502239154</v>
      </c>
      <c r="C64" s="64" t="n">
        <v>444716.2109756218</v>
      </c>
      <c r="D64" s="64" t="n">
        <v>444264.1418653299</v>
      </c>
      <c r="E64" s="64" t="n">
        <v>-115385.3658162314</v>
      </c>
      <c r="F64" s="64" t="n">
        <v>26085.40347430899</v>
      </c>
      <c r="G64" s="64" t="n">
        <v>65659.36572457125</v>
      </c>
      <c r="H64" s="64" t="n">
        <v>297928.2906733794</v>
      </c>
      <c r="I64" s="64" t="n">
        <v>312603.8501068857</v>
      </c>
      <c r="J64" s="64" t="n">
        <v>396692.9259434658</v>
      </c>
      <c r="K64" s="64" t="n"/>
      <c r="L64" s="64" t="n"/>
      <c r="M64" s="64" t="n"/>
      <c r="N64" s="70">
        <f>SUM(B64:M64)</f>
        <v/>
      </c>
      <c r="O64" s="94">
        <f>N64-SUM(B64:M64)</f>
        <v/>
      </c>
    </row>
    <row r="65">
      <c r="A65" s="61" t="inlineStr">
        <is>
          <t>Jantaş / G.6.6.</t>
        </is>
      </c>
      <c r="B65" s="64" t="n">
        <v>724298.5300000003</v>
      </c>
      <c r="C65" s="64" t="n">
        <v>1252984.15</v>
      </c>
      <c r="D65" s="64" t="n">
        <v>1694806.090000001</v>
      </c>
      <c r="E65" s="64" t="n">
        <v>1310475.58</v>
      </c>
      <c r="F65" s="64" t="n">
        <v>1566825.780000003</v>
      </c>
      <c r="G65" s="64" t="n">
        <v>1589156.599999998</v>
      </c>
      <c r="H65" s="64" t="n">
        <v>1433792.219999991</v>
      </c>
      <c r="I65" s="64" t="n">
        <v>1070880.530000009</v>
      </c>
      <c r="J65" s="64" t="n">
        <v>2432080.209999993</v>
      </c>
      <c r="K65" s="64" t="n"/>
      <c r="L65" s="64" t="n"/>
      <c r="M65" s="64" t="n"/>
      <c r="N65" s="70">
        <f>SUM(B65:M65)</f>
        <v/>
      </c>
      <c r="O65" s="94">
        <f>N65-SUM(B65:M65)</f>
        <v/>
      </c>
    </row>
    <row r="66">
      <c r="A66" s="61" t="inlineStr">
        <is>
          <t>Çelik / G.6.7.</t>
        </is>
      </c>
      <c r="B66" s="64" t="n">
        <v>1358189.29</v>
      </c>
      <c r="C66" s="64" t="n">
        <v>1948369.53</v>
      </c>
      <c r="D66" s="64" t="n">
        <v>2001049.11</v>
      </c>
      <c r="E66" s="64" t="n">
        <v>2026762.590000005</v>
      </c>
      <c r="F66" s="64" t="n">
        <v>1648952.349999992</v>
      </c>
      <c r="G66" s="64" t="n">
        <v>1599908.500000001</v>
      </c>
      <c r="H66" s="64" t="n">
        <v>2144003.379999998</v>
      </c>
      <c r="I66" s="64" t="n">
        <v>1456447.880000006</v>
      </c>
      <c r="J66" s="64" t="n">
        <v>2878033.749999998</v>
      </c>
      <c r="K66" s="64" t="n"/>
      <c r="L66" s="64" t="n"/>
      <c r="M66" s="64" t="n"/>
      <c r="N66" s="70">
        <f>SUM(B66:M66)</f>
        <v/>
      </c>
      <c r="O66" s="94">
        <f>N66-SUM(B66:M66)</f>
        <v/>
      </c>
    </row>
    <row r="67">
      <c r="A67" s="61" t="inlineStr">
        <is>
          <t>Alüminyum / G.6.8.</t>
        </is>
      </c>
      <c r="B67" s="64" t="n">
        <v>2003495.420000002</v>
      </c>
      <c r="C67" s="64" t="n">
        <v>696845.7999999929</v>
      </c>
      <c r="D67" s="64" t="n">
        <v>1223340.560000007</v>
      </c>
      <c r="E67" s="64" t="n">
        <v>1098046.089999989</v>
      </c>
      <c r="F67" s="64" t="n">
        <v>2778993.010000012</v>
      </c>
      <c r="G67" s="64" t="n">
        <v>1477011.980000006</v>
      </c>
      <c r="H67" s="64" t="n">
        <v>1741509.969999976</v>
      </c>
      <c r="I67" s="64" t="n">
        <v>509958.0300000174</v>
      </c>
      <c r="J67" s="64" t="n">
        <v>2973910.51000001</v>
      </c>
      <c r="K67" s="64" t="n"/>
      <c r="L67" s="64" t="n"/>
      <c r="M67" s="64" t="n"/>
      <c r="N67" s="70">
        <f>SUM(B67:M67)</f>
        <v/>
      </c>
      <c r="O67" s="94">
        <f>N67-SUM(B67:M67)</f>
        <v/>
      </c>
    </row>
    <row r="68">
      <c r="A68" s="61" t="inlineStr">
        <is>
          <t>x / G.6.9.</t>
        </is>
      </c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70" t="n"/>
    </row>
    <row r="69">
      <c r="A69" s="61" t="inlineStr">
        <is>
          <t>y / G.6.10.</t>
        </is>
      </c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70" t="n"/>
    </row>
    <row r="70">
      <c r="A70" s="61" t="inlineStr">
        <is>
          <t>Amortisman-EUR / G.7.</t>
        </is>
      </c>
      <c r="B70" s="64">
        <f>SUM(B71:B73)+SUM(B74:B78)*0.4</f>
        <v/>
      </c>
      <c r="C70" s="64">
        <f>SUM(C71:C73)+SUM(C74:C78)*0.4</f>
        <v/>
      </c>
      <c r="D70" s="64">
        <f>SUM(D71:D73)+SUM(D74:D78)*0.4</f>
        <v/>
      </c>
      <c r="E70" s="64">
        <f>SUM(E71:E73)+SUM(E74:E78)*0.4</f>
        <v/>
      </c>
      <c r="F70" s="64">
        <f>SUM(F71:F73)+SUM(F74:F78)*0.4</f>
        <v/>
      </c>
      <c r="G70" s="64">
        <f>SUM(G71:G73)+SUM(G74:G78)*0.4</f>
        <v/>
      </c>
      <c r="H70" s="64">
        <f>SUM(H71:H73)+SUM(H74:H78)*0.4</f>
        <v/>
      </c>
      <c r="I70" s="64">
        <f>SUM(I71:I73)+SUM(I74:I78)*0.4</f>
        <v/>
      </c>
      <c r="J70" s="64">
        <f>SUM(J71:J73)+SUM(J74:J78)*0.4</f>
        <v/>
      </c>
      <c r="K70" s="64">
        <f>SUM(K71:K73)+SUM(K74:K78)*0.4</f>
        <v/>
      </c>
      <c r="L70" s="64">
        <f>SUM(L71:L73)+SUM(L74:L78)*0.4</f>
        <v/>
      </c>
      <c r="M70" s="64">
        <f>SUM(M71:M73)+SUM(M74:M78)*0.4</f>
        <v/>
      </c>
      <c r="N70" s="70">
        <f>SUM(B70:M70)</f>
        <v/>
      </c>
    </row>
    <row r="71">
      <c r="A71" s="61" t="inlineStr">
        <is>
          <t>İnci Holding / G.7.1.</t>
        </is>
      </c>
      <c r="B71" s="64" t="n">
        <v>4905.158448842067</v>
      </c>
      <c r="C71" s="64" t="n">
        <v>4789.181237584061</v>
      </c>
      <c r="D71" s="64" t="n">
        <v>4535.463619099426</v>
      </c>
      <c r="E71" s="64" t="n">
        <v>4206.051529793932</v>
      </c>
      <c r="F71" s="64" t="n">
        <v>4116.608814972991</v>
      </c>
      <c r="G71" s="64" t="n">
        <v>6132.83463649427</v>
      </c>
      <c r="H71" s="64" t="n">
        <v>3778.919295647703</v>
      </c>
      <c r="I71" s="64" t="n">
        <v>4996.346023265354</v>
      </c>
      <c r="J71" s="64" t="n">
        <v>4000.169638968967</v>
      </c>
      <c r="K71" s="64" t="n"/>
      <c r="L71" s="64" t="n"/>
      <c r="M71" s="64" t="n"/>
      <c r="N71" s="70">
        <f>SUM(B71:M71)</f>
        <v/>
      </c>
      <c r="O71" s="94">
        <f>N71-SUM(B71:M71)</f>
        <v/>
      </c>
    </row>
    <row r="72">
      <c r="A72" s="61" t="inlineStr">
        <is>
          <t>ISM / G.7.2.</t>
        </is>
      </c>
      <c r="B72" s="64" t="n">
        <v>8779.858156614517</v>
      </c>
      <c r="C72" s="64" t="n">
        <v>13057.78205505202</v>
      </c>
      <c r="D72" s="64" t="n">
        <v>10237.15585754922</v>
      </c>
      <c r="E72" s="64" t="n">
        <v>20726.65358168399</v>
      </c>
      <c r="F72" s="64" t="n">
        <v>12833.15924960561</v>
      </c>
      <c r="G72" s="64" t="n">
        <v>12269.38716759225</v>
      </c>
      <c r="H72" s="64" t="n">
        <v>11791.25347820909</v>
      </c>
      <c r="I72" s="64" t="n">
        <v>12230.46437490149</v>
      </c>
      <c r="J72" s="64" t="n">
        <v>11582.14032659639</v>
      </c>
      <c r="K72" s="64" t="n"/>
      <c r="L72" s="64" t="n"/>
      <c r="M72" s="64" t="n"/>
      <c r="N72" s="70">
        <f>SUM(B72:M72)</f>
        <v/>
      </c>
      <c r="O72" s="94">
        <f>N72-SUM(B72:M72)</f>
        <v/>
      </c>
    </row>
    <row r="73">
      <c r="A73" s="61" t="inlineStr">
        <is>
          <t>İncitaş / G.7.3.</t>
        </is>
      </c>
      <c r="B73" s="64" t="n">
        <v>266.9764845492717</v>
      </c>
      <c r="C73" s="64" t="n">
        <v>260.6643870729587</v>
      </c>
      <c r="D73" s="64" t="n">
        <v>1590.185073655477</v>
      </c>
      <c r="E73" s="64" t="n">
        <v>648.4869925705868</v>
      </c>
      <c r="F73" s="64" t="n">
        <v>765.1270034878115</v>
      </c>
      <c r="G73" s="64" t="n">
        <v>657.5024194505918</v>
      </c>
      <c r="H73" s="64" t="n">
        <v>432.6834350472557</v>
      </c>
      <c r="I73" s="64" t="n">
        <v>429.1315941315799</v>
      </c>
      <c r="J73" s="64" t="n">
        <v>419.9391989110006</v>
      </c>
      <c r="K73" s="64" t="n"/>
      <c r="L73" s="64" t="n"/>
      <c r="M73" s="64" t="n"/>
      <c r="N73" s="70">
        <f>SUM(B73:M73)</f>
        <v/>
      </c>
      <c r="O73" s="94">
        <f>N73-SUM(B73:M73)</f>
        <v/>
      </c>
    </row>
    <row r="74">
      <c r="A74" s="61" t="inlineStr">
        <is>
          <t>İnci GS Yuasa / G.7.4.</t>
        </is>
      </c>
      <c r="B74" s="64" t="n">
        <v>198424.9591927663</v>
      </c>
      <c r="C74" s="64" t="n">
        <v>220629.5134638869</v>
      </c>
      <c r="D74" s="64" t="n">
        <v>208518.0522301161</v>
      </c>
      <c r="E74" s="64" t="n">
        <v>252270.6780434517</v>
      </c>
      <c r="F74" s="64" t="n">
        <v>200049.0063380629</v>
      </c>
      <c r="G74" s="64" t="n">
        <v>184969.0591975273</v>
      </c>
      <c r="H74" s="64" t="n">
        <v>206120.6933906807</v>
      </c>
      <c r="I74" s="64" t="n">
        <v>192159.2725803658</v>
      </c>
      <c r="J74" s="64" t="n">
        <v>218816.1326794993</v>
      </c>
      <c r="K74" s="64" t="n"/>
      <c r="L74" s="64" t="n"/>
      <c r="M74" s="64" t="n"/>
      <c r="N74" s="70">
        <f>SUM(B74:M74)</f>
        <v/>
      </c>
      <c r="O74" s="94">
        <f>N74-SUM(B74:M74)</f>
        <v/>
      </c>
    </row>
    <row r="75">
      <c r="A75" s="61" t="inlineStr">
        <is>
          <t>Yusen İnci Loj. / G.7.5.</t>
        </is>
      </c>
      <c r="B75" s="64" t="n">
        <v>166903.7399890959</v>
      </c>
      <c r="C75" s="64" t="n">
        <v>161190.6896645332</v>
      </c>
      <c r="D75" s="64" t="n">
        <v>173920.2927896135</v>
      </c>
      <c r="E75" s="64" t="n">
        <v>175208.6810557108</v>
      </c>
      <c r="F75" s="64" t="n">
        <v>189887.2570669321</v>
      </c>
      <c r="G75" s="64" t="n">
        <v>204731.6970891638</v>
      </c>
      <c r="H75" s="64" t="n">
        <v>202326.234023866</v>
      </c>
      <c r="I75" s="64" t="n">
        <v>221081.7231052544</v>
      </c>
      <c r="J75" s="64" t="n">
        <v>209707.7889016601</v>
      </c>
      <c r="K75" s="64" t="n"/>
      <c r="L75" s="64" t="n"/>
      <c r="M75" s="64" t="n"/>
      <c r="N75" s="70">
        <f>SUM(B75:M75)</f>
        <v/>
      </c>
      <c r="O75" s="94">
        <f>N75-SUM(B75:M75)</f>
        <v/>
      </c>
    </row>
    <row r="76">
      <c r="A76" s="61" t="inlineStr">
        <is>
          <t>Jantaş / G.7.6.</t>
        </is>
      </c>
      <c r="B76" s="64" t="n">
        <v>443019.62</v>
      </c>
      <c r="C76" s="64" t="n">
        <v>396373.65</v>
      </c>
      <c r="D76" s="64" t="n">
        <v>440788.6599999999</v>
      </c>
      <c r="E76" s="64" t="n">
        <v>427168.1200000001</v>
      </c>
      <c r="F76" s="64" t="n">
        <v>439360.6900000002</v>
      </c>
      <c r="G76" s="64" t="n">
        <v>423303.8799999999</v>
      </c>
      <c r="H76" s="64" t="n">
        <v>440164.1699999999</v>
      </c>
      <c r="I76" s="64" t="n">
        <v>441735.1400000001</v>
      </c>
      <c r="J76" s="64" t="n">
        <v>433535.0299999998</v>
      </c>
      <c r="K76" s="64" t="n"/>
      <c r="L76" s="64" t="n"/>
      <c r="M76" s="64" t="n"/>
      <c r="N76" s="70">
        <f>SUM(B76:M76)</f>
        <v/>
      </c>
      <c r="O76" s="94">
        <f>N76-SUM(B76:M76)</f>
        <v/>
      </c>
    </row>
    <row r="77">
      <c r="A77" s="61" t="inlineStr">
        <is>
          <t>Çelik / G.7.7.</t>
        </is>
      </c>
      <c r="B77" s="64" t="n">
        <v>251260.35</v>
      </c>
      <c r="C77" s="64" t="n">
        <v>226918.99</v>
      </c>
      <c r="D77" s="64" t="n">
        <v>252717.2100000001</v>
      </c>
      <c r="E77" s="64" t="n">
        <v>244749.22</v>
      </c>
      <c r="F77" s="64" t="n">
        <v>252523.6099999999</v>
      </c>
      <c r="G77" s="64" t="n">
        <v>241361.8700000001</v>
      </c>
      <c r="H77" s="64" t="n">
        <v>251181.6699999999</v>
      </c>
      <c r="I77" s="64" t="n">
        <v>251124.74</v>
      </c>
      <c r="J77" s="64" t="n">
        <v>238963.6700000002</v>
      </c>
      <c r="K77" s="64" t="n"/>
      <c r="L77" s="64" t="n"/>
      <c r="M77" s="64" t="n"/>
      <c r="N77" s="70">
        <f>SUM(B77:M77)</f>
        <v/>
      </c>
      <c r="O77" s="94">
        <f>N77-SUM(B77:M77)</f>
        <v/>
      </c>
    </row>
    <row r="78">
      <c r="A78" s="61" t="inlineStr">
        <is>
          <t>Alüminyum / G.7.8.</t>
        </is>
      </c>
      <c r="B78" s="64" t="n">
        <v>747522.48</v>
      </c>
      <c r="C78" s="64" t="n">
        <v>686439.9899999999</v>
      </c>
      <c r="D78" s="64" t="n">
        <v>757195.2599999999</v>
      </c>
      <c r="E78" s="64" t="n">
        <v>715820.54</v>
      </c>
      <c r="F78" s="64" t="n">
        <v>741789.2000000002</v>
      </c>
      <c r="G78" s="64" t="n">
        <v>705735.0399999996</v>
      </c>
      <c r="H78" s="64" t="n">
        <v>721691.8600000002</v>
      </c>
      <c r="I78" s="64" t="n">
        <v>736244.1499999994</v>
      </c>
      <c r="J78" s="64" t="n">
        <v>673396.2300000004</v>
      </c>
      <c r="K78" s="64" t="n"/>
      <c r="L78" s="64" t="n"/>
      <c r="M78" s="64" t="n"/>
      <c r="N78" s="70">
        <f>SUM(B78:M78)</f>
        <v/>
      </c>
      <c r="O78" s="94">
        <f>N78-SUM(B78:M78)</f>
        <v/>
      </c>
    </row>
    <row r="79">
      <c r="A79" s="61" t="inlineStr">
        <is>
          <t>x / G.7.9.</t>
        </is>
      </c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70" t="n"/>
    </row>
    <row r="80">
      <c r="A80" s="61" t="inlineStr">
        <is>
          <t>EBİTDA-EUR / G.8.</t>
        </is>
      </c>
      <c r="B80" s="64">
        <f>SUM(B81:B83)+SUM(B84:B88)*0.4</f>
        <v/>
      </c>
      <c r="C80" s="64">
        <f>SUM(C81:C83)+SUM(C84:C88)*0.4</f>
        <v/>
      </c>
      <c r="D80" s="64">
        <f>SUM(D81:D83)+SUM(D84:D88)*0.4</f>
        <v/>
      </c>
      <c r="E80" s="64">
        <f>SUM(E81:E83)+SUM(E84:E88)*0.4</f>
        <v/>
      </c>
      <c r="F80" s="64">
        <f>SUM(F81:F83)+SUM(F84:F88)*0.4</f>
        <v/>
      </c>
      <c r="G80" s="64">
        <f>SUM(G81:G83)+SUM(G84:G88)*0.4</f>
        <v/>
      </c>
      <c r="H80" s="64">
        <f>SUM(H81:H83)+SUM(H84:H88)*0.4</f>
        <v/>
      </c>
      <c r="I80" s="64">
        <f>SUM(I81:I83)+SUM(I84:I88)*0.4</f>
        <v/>
      </c>
      <c r="J80" s="64">
        <f>SUM(J81:J83)+SUM(J84:J88)*0.4</f>
        <v/>
      </c>
      <c r="K80" s="64">
        <f>SUM(K81:K83)+SUM(K84:K88)*0.4</f>
        <v/>
      </c>
      <c r="L80" s="64">
        <f>SUM(L81:L83)+SUM(L84:L88)*0.4</f>
        <v/>
      </c>
      <c r="M80" s="64">
        <f>SUM(M81:M83)+SUM(M84:M88)*0.4</f>
        <v/>
      </c>
      <c r="N80" s="70">
        <f>SUM(B80:M80)</f>
        <v/>
      </c>
    </row>
    <row r="81">
      <c r="A81" s="61" t="inlineStr">
        <is>
          <t>İnci Holding / G.8.1.</t>
        </is>
      </c>
      <c r="B81" s="64" t="n">
        <v>380407.0005541746</v>
      </c>
      <c r="C81" s="64" t="n">
        <v>315095.849647939</v>
      </c>
      <c r="D81" s="64" t="n">
        <v>343820.3724948313</v>
      </c>
      <c r="E81" s="64" t="n">
        <v>138200.9618376196</v>
      </c>
      <c r="F81" s="64" t="n">
        <v>427680.0697458748</v>
      </c>
      <c r="G81" s="64" t="n">
        <v>303732.9791070464</v>
      </c>
      <c r="H81" s="64" t="n">
        <v>351767.9619503109</v>
      </c>
      <c r="I81" s="64" t="n">
        <v>295817.1951060083</v>
      </c>
      <c r="J81" s="64" t="n">
        <v>482566.4423087863</v>
      </c>
      <c r="K81" s="64" t="n"/>
      <c r="L81" s="64" t="n"/>
      <c r="M81" s="64" t="n"/>
      <c r="N81" s="70">
        <f>SUM(B81:M81)</f>
        <v/>
      </c>
      <c r="O81" s="94">
        <f>N81-SUM(B81:M81)</f>
        <v/>
      </c>
    </row>
    <row r="82">
      <c r="A82" s="61" t="inlineStr">
        <is>
          <t>ISM / G.8.2.</t>
        </is>
      </c>
      <c r="B82" s="64" t="n">
        <v>-2368.196606480001</v>
      </c>
      <c r="C82" s="64" t="n">
        <v>51857.81871862857</v>
      </c>
      <c r="D82" s="64" t="n">
        <v>30755.07957182845</v>
      </c>
      <c r="E82" s="64" t="n">
        <v>1214.594290832032</v>
      </c>
      <c r="F82" s="64" t="n">
        <v>41123.51166219018</v>
      </c>
      <c r="G82" s="64" t="n">
        <v>33544.48557697899</v>
      </c>
      <c r="H82" s="64" t="n">
        <v>61800.67568345965</v>
      </c>
      <c r="I82" s="64" t="n">
        <v>27167.62969026942</v>
      </c>
      <c r="J82" s="64" t="n">
        <v>-23409.09470854681</v>
      </c>
      <c r="K82" s="64" t="n"/>
      <c r="L82" s="64" t="n"/>
      <c r="M82" s="64" t="n"/>
      <c r="N82" s="70">
        <f>SUM(B82:M82)</f>
        <v/>
      </c>
      <c r="O82" s="94">
        <f>N82-SUM(B82:M82)</f>
        <v/>
      </c>
    </row>
    <row r="83">
      <c r="A83" s="61" t="inlineStr">
        <is>
          <t>İncitaş / G.8.3.</t>
        </is>
      </c>
      <c r="B83" s="64" t="n">
        <v>34113.97326034839</v>
      </c>
      <c r="C83" s="64" t="n">
        <v>31761.94111627353</v>
      </c>
      <c r="D83" s="64" t="n">
        <v>10233.46400117861</v>
      </c>
      <c r="E83" s="64" t="n">
        <v>22768.70695989121</v>
      </c>
      <c r="F83" s="64" t="n">
        <v>33560.1486456397</v>
      </c>
      <c r="G83" s="64" t="n">
        <v>16419.00970676723</v>
      </c>
      <c r="H83" s="64" t="n">
        <v>28967.08841356259</v>
      </c>
      <c r="I83" s="64" t="n">
        <v>22503.38337707058</v>
      </c>
      <c r="J83" s="64" t="n">
        <v>55231.72736388283</v>
      </c>
      <c r="K83" s="64" t="n"/>
      <c r="L83" s="64" t="n"/>
      <c r="M83" s="64" t="n"/>
      <c r="N83" s="70">
        <f>SUM(B83:M83)</f>
        <v/>
      </c>
      <c r="O83" s="94">
        <f>N83-SUM(B83:M83)</f>
        <v/>
      </c>
    </row>
    <row r="84">
      <c r="A84" s="61" t="inlineStr">
        <is>
          <t>İnci GS Yuasa / G.8.4.</t>
        </is>
      </c>
      <c r="B84" s="64" t="n">
        <v>1298860.026025779</v>
      </c>
      <c r="C84" s="64" t="n">
        <v>843773.6417649672</v>
      </c>
      <c r="D84" s="64" t="n">
        <v>-336611.6292328383</v>
      </c>
      <c r="E84" s="64" t="n">
        <v>-455070.5352747507</v>
      </c>
      <c r="F84" s="64" t="n">
        <v>-79296.60006120399</v>
      </c>
      <c r="G84" s="64" t="n">
        <v>-695278.3705348396</v>
      </c>
      <c r="H84" s="64" t="n">
        <v>-238088.7716061322</v>
      </c>
      <c r="I84" s="64" t="n">
        <v>877144.549561395</v>
      </c>
      <c r="J84" s="64" t="n">
        <v>274349.4596793203</v>
      </c>
      <c r="K84" s="64" t="n"/>
      <c r="L84" s="64" t="n"/>
      <c r="M84" s="64" t="n"/>
      <c r="N84" s="70">
        <f>SUM(B84:M84)</f>
        <v/>
      </c>
      <c r="O84" s="94">
        <f>N84-SUM(B84:M84)</f>
        <v/>
      </c>
    </row>
    <row r="85">
      <c r="A85" s="61" t="inlineStr">
        <is>
          <t>Yusen İnci Loj. / G.8.5.</t>
        </is>
      </c>
      <c r="B85" s="64" t="n">
        <v>415753.6902130113</v>
      </c>
      <c r="C85" s="64" t="n">
        <v>605906.9006401553</v>
      </c>
      <c r="D85" s="64" t="n">
        <v>618184.4346549687</v>
      </c>
      <c r="E85" s="64" t="n">
        <v>59823.31523947949</v>
      </c>
      <c r="F85" s="64" t="n">
        <v>215972.6605412411</v>
      </c>
      <c r="G85" s="64" t="n">
        <v>270391.0628137354</v>
      </c>
      <c r="H85" s="64" t="n">
        <v>500254.5246972441</v>
      </c>
      <c r="I85" s="64" t="n">
        <v>533685.5732121401</v>
      </c>
      <c r="J85" s="64" t="n">
        <v>606400.7148451268</v>
      </c>
      <c r="K85" s="64" t="n"/>
      <c r="L85" s="64" t="n"/>
      <c r="M85" s="64" t="n"/>
      <c r="N85" s="70">
        <f>SUM(B85:M85)</f>
        <v/>
      </c>
      <c r="O85" s="94">
        <f>N85-SUM(B85:M85)</f>
        <v/>
      </c>
    </row>
    <row r="86">
      <c r="A86" s="61" t="inlineStr">
        <is>
          <t>Jantaş / G.8.6.</t>
        </is>
      </c>
      <c r="B86" s="64" t="n">
        <v>1167511.44</v>
      </c>
      <c r="C86" s="64" t="n">
        <v>1650340.06</v>
      </c>
      <c r="D86" s="64" t="n">
        <v>2143811.7</v>
      </c>
      <c r="E86" s="64" t="n">
        <v>1748151.09</v>
      </c>
      <c r="F86" s="64" t="n">
        <v>2007727.87</v>
      </c>
      <c r="G86" s="64" t="n">
        <v>2032759.07</v>
      </c>
      <c r="H86" s="64" t="n">
        <v>1876362.18</v>
      </c>
      <c r="I86" s="64" t="n">
        <v>1515795.77</v>
      </c>
      <c r="J86" s="64" t="n">
        <v>2866032.640000001</v>
      </c>
      <c r="K86" s="64" t="n"/>
      <c r="L86" s="64" t="n"/>
      <c r="M86" s="64" t="n"/>
      <c r="N86" s="70">
        <f>SUM(B86:M86)</f>
        <v/>
      </c>
      <c r="O86" s="94">
        <f>N86-SUM(B86:M86)</f>
        <v/>
      </c>
    </row>
    <row r="87">
      <c r="A87" s="61" t="inlineStr">
        <is>
          <t>Çelik / G.8.7.</t>
        </is>
      </c>
      <c r="B87" s="64" t="n">
        <v>1609449.64</v>
      </c>
      <c r="C87" s="64" t="n">
        <v>2175288.52</v>
      </c>
      <c r="D87" s="64" t="n">
        <v>2056165.34</v>
      </c>
      <c r="E87" s="64" t="n">
        <v>2469112.79</v>
      </c>
      <c r="F87" s="64" t="n">
        <v>1901468.819999999</v>
      </c>
      <c r="G87" s="64" t="n">
        <v>1841284.65</v>
      </c>
      <c r="H87" s="64" t="n">
        <v>2395170.77</v>
      </c>
      <c r="I87" s="64" t="n">
        <v>1707572.620000001</v>
      </c>
      <c r="J87" s="64" t="n">
        <v>3117004.560000001</v>
      </c>
      <c r="K87" s="64" t="n"/>
      <c r="L87" s="64" t="n"/>
      <c r="M87" s="64" t="n"/>
      <c r="N87" s="70">
        <f>SUM(B87:M87)</f>
        <v/>
      </c>
      <c r="O87" s="94">
        <f>N87-SUM(B87:M87)</f>
        <v/>
      </c>
    </row>
    <row r="88">
      <c r="A88" s="61" t="inlineStr">
        <is>
          <t>Alüminyum / G.8.8.</t>
        </is>
      </c>
      <c r="B88" s="64" t="n">
        <v>2751017.899999999</v>
      </c>
      <c r="C88" s="64" t="n">
        <v>1383285.79</v>
      </c>
      <c r="D88" s="64" t="n">
        <v>1986563.16</v>
      </c>
      <c r="E88" s="64" t="n">
        <v>1813866.630000001</v>
      </c>
      <c r="F88" s="64" t="n">
        <v>3520782.209999999</v>
      </c>
      <c r="G88" s="64" t="n">
        <v>2182747.020000001</v>
      </c>
      <c r="H88" s="64" t="n">
        <v>2463201.829999998</v>
      </c>
      <c r="I88" s="64" t="n">
        <v>1246202.18</v>
      </c>
      <c r="J88" s="64" t="n">
        <v>3653896.510000002</v>
      </c>
      <c r="K88" s="64" t="n"/>
      <c r="L88" s="64" t="n"/>
      <c r="M88" s="64" t="n"/>
      <c r="N88" s="70">
        <f>SUM(B88:M88)</f>
        <v/>
      </c>
      <c r="O88" s="94">
        <f>N88-SUM(B88:M88)</f>
        <v/>
      </c>
    </row>
    <row r="89">
      <c r="A89" s="61" t="inlineStr">
        <is>
          <t>x / G.8.9.</t>
        </is>
      </c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  <c r="K89" s="64" t="n"/>
      <c r="L89" s="64" t="n"/>
      <c r="M89" s="64" t="n"/>
      <c r="N89" s="70" t="n"/>
    </row>
    <row r="90">
      <c r="A90" s="61" t="inlineStr">
        <is>
          <t>y / G.8.10.</t>
        </is>
      </c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70" t="n"/>
    </row>
    <row r="91">
      <c r="A91" s="61" t="inlineStr">
        <is>
          <t>Finansman Gelir-Gideri-EUR / G.9.</t>
        </is>
      </c>
      <c r="B91" s="64">
        <f>SUM(B92:B94)+SUM(B95:B99)*0.4</f>
        <v/>
      </c>
      <c r="C91" s="64">
        <f>SUM(C92:C94)+SUM(C95:C99)*0.4</f>
        <v/>
      </c>
      <c r="D91" s="64">
        <f>SUM(D92:D94)+SUM(D95:D99)*0.4</f>
        <v/>
      </c>
      <c r="E91" s="64">
        <f>SUM(E92:E94)+SUM(E95:E99)*0.4</f>
        <v/>
      </c>
      <c r="F91" s="64">
        <f>SUM(F92:F94)+SUM(F95:F99)*0.4</f>
        <v/>
      </c>
      <c r="G91" s="64">
        <f>SUM(G92:G94)+SUM(G95:G99)*0.4</f>
        <v/>
      </c>
      <c r="H91" s="64">
        <f>SUM(H92:H94)+SUM(H95:H99)*0.4</f>
        <v/>
      </c>
      <c r="I91" s="64">
        <f>SUM(I92:I94)+SUM(I95:I99)*0.4</f>
        <v/>
      </c>
      <c r="J91" s="64">
        <f>SUM(J92:J94)+SUM(J95:J99)*0.4</f>
        <v/>
      </c>
      <c r="K91" s="64">
        <f>SUM(K92:K94)+SUM(K95:K99)*0.4</f>
        <v/>
      </c>
      <c r="L91" s="64">
        <f>SUM(L92:L94)+SUM(L95:L99)*0.4</f>
        <v/>
      </c>
      <c r="M91" s="64">
        <f>SUM(M92:M94)+SUM(M95:M99)*0.4</f>
        <v/>
      </c>
      <c r="N91" s="70">
        <f>SUM(B91:M91)</f>
        <v/>
      </c>
      <c r="Q91" t="n">
        <v>331.66</v>
      </c>
      <c r="R91" t="n">
        <v>331.15</v>
      </c>
      <c r="T91" t="n">
        <v>351.36</v>
      </c>
    </row>
    <row r="92">
      <c r="A92" s="61" t="inlineStr">
        <is>
          <t>İnci Holding / G.9.1.</t>
        </is>
      </c>
      <c r="B92" s="64" t="n">
        <v>-242607.0127050448</v>
      </c>
      <c r="C92" s="64" t="n">
        <v>-209891.9423161034</v>
      </c>
      <c r="D92" s="64" t="n">
        <v>-96128.31828491774</v>
      </c>
      <c r="E92" s="64" t="n">
        <v>-111180.4480144553</v>
      </c>
      <c r="F92" s="64" t="n">
        <v>-108833.3108861812</v>
      </c>
      <c r="G92" s="64" t="n">
        <v>-93232.04747761358</v>
      </c>
      <c r="H92" s="64" t="n">
        <v>-91465.13209012139</v>
      </c>
      <c r="I92" s="64" t="n">
        <v>-88802.64715564069</v>
      </c>
      <c r="J92" s="64" t="n">
        <v>-6642.497871755008</v>
      </c>
      <c r="K92" s="64" t="n"/>
      <c r="L92" s="64" t="n"/>
      <c r="M92" s="64" t="n"/>
      <c r="N92" s="70">
        <f>SUM(B92:M92)</f>
        <v/>
      </c>
      <c r="O92" s="94">
        <f>N92-SUM(B92:M92)</f>
        <v/>
      </c>
      <c r="Q92" s="317" t="n">
        <v>-5.54950589609023</v>
      </c>
      <c r="R92" s="317">
        <f>N91/1000000</f>
        <v/>
      </c>
      <c r="S92" s="549" t="n"/>
      <c r="T92" s="317">
        <f>'Bütçe aylık-Eur'!N92/1000000</f>
        <v/>
      </c>
      <c r="V92" s="312">
        <f>(R92/Q92)-1</f>
        <v/>
      </c>
      <c r="W92" s="312">
        <f>(R92/T92)-1</f>
        <v/>
      </c>
    </row>
    <row r="93">
      <c r="A93" s="61" t="inlineStr">
        <is>
          <t>ISM / G.9.2.</t>
        </is>
      </c>
      <c r="B93" s="64" t="n">
        <v>-57620.05731654274</v>
      </c>
      <c r="C93" s="64" t="n">
        <v>-56389.64015322533</v>
      </c>
      <c r="D93" s="64" t="n">
        <v>-87998.11449368678</v>
      </c>
      <c r="E93" s="64" t="n">
        <v>-89946.15539199373</v>
      </c>
      <c r="F93" s="64" t="n">
        <v>-71650.78061529968</v>
      </c>
      <c r="G93" s="64" t="n">
        <v>-104009.5835003751</v>
      </c>
      <c r="H93" s="64" t="n">
        <v>-65903.17285381055</v>
      </c>
      <c r="I93" s="64" t="n">
        <v>-63711.52262476438</v>
      </c>
      <c r="J93" s="64" t="n">
        <v>-113476.7258334083</v>
      </c>
      <c r="K93" s="64" t="n"/>
      <c r="L93" s="64" t="n"/>
      <c r="M93" s="64" t="n"/>
      <c r="N93" s="70">
        <f>SUM(B93:M93)</f>
        <v/>
      </c>
      <c r="O93" s="94">
        <f>N93-SUM(B93:M93)</f>
        <v/>
      </c>
      <c r="Q93" s="312">
        <f>Q92/Q91</f>
        <v/>
      </c>
      <c r="R93" s="312">
        <f>R92/R91</f>
        <v/>
      </c>
      <c r="S93" s="312" t="n"/>
      <c r="T93" s="312">
        <f>T92/T91</f>
        <v/>
      </c>
      <c r="V93" s="312">
        <f>R93-Q93</f>
        <v/>
      </c>
      <c r="W93" s="312">
        <f>R93-T93</f>
        <v/>
      </c>
    </row>
    <row r="94">
      <c r="A94" s="61" t="inlineStr">
        <is>
          <t>İncitaş / G.9.3.</t>
        </is>
      </c>
      <c r="B94" s="64" t="n">
        <v>-40504.93108161823</v>
      </c>
      <c r="C94" s="64" t="n">
        <v>-32876.3273209667</v>
      </c>
      <c r="D94" s="64" t="n">
        <v>-49523.99975391509</v>
      </c>
      <c r="E94" s="64" t="n">
        <v>-44029.69609402566</v>
      </c>
      <c r="F94" s="64" t="n">
        <v>-32551.98020332714</v>
      </c>
      <c r="G94" s="64" t="n">
        <v>-52124.59490647334</v>
      </c>
      <c r="H94" s="64" t="n">
        <v>-62430.76930270244</v>
      </c>
      <c r="I94" s="64" t="n">
        <v>-58507.70302903539</v>
      </c>
      <c r="J94" s="64" t="n">
        <v>-35659.12497323532</v>
      </c>
      <c r="K94" s="64" t="n"/>
      <c r="L94" s="64" t="n"/>
      <c r="M94" s="64" t="n"/>
      <c r="N94" s="70">
        <f>SUM(B94:M94)</f>
        <v/>
      </c>
      <c r="O94" s="94">
        <f>N94-SUM(B94:M94)</f>
        <v/>
      </c>
    </row>
    <row r="95">
      <c r="A95" s="61" t="inlineStr">
        <is>
          <t>İnci GS Yuasa / G.9.4.</t>
        </is>
      </c>
      <c r="B95" s="64" t="n">
        <v>-1710891.897040103</v>
      </c>
      <c r="C95" s="64" t="n">
        <v>-1524978.415051933</v>
      </c>
      <c r="D95" s="64" t="n">
        <v>-1581941.945584476</v>
      </c>
      <c r="E95" s="64" t="n">
        <v>-1540146.638329324</v>
      </c>
      <c r="F95" s="64" t="n">
        <v>-1757779.049295085</v>
      </c>
      <c r="G95" s="64" t="n">
        <v>-2130915.523641631</v>
      </c>
      <c r="H95" s="64" t="n">
        <v>-2048675.46057993</v>
      </c>
      <c r="I95" s="64" t="n">
        <v>-2188854.234730928</v>
      </c>
      <c r="J95" s="64" t="n">
        <v>-1886416.829220106</v>
      </c>
      <c r="K95" s="64" t="n"/>
      <c r="L95" s="64" t="n"/>
      <c r="M95" s="64" t="n"/>
      <c r="N95" s="70">
        <f>SUM(B95:M95)</f>
        <v/>
      </c>
      <c r="O95" s="94">
        <f>N95-SUM(B95:M95)</f>
        <v/>
      </c>
    </row>
    <row r="96">
      <c r="A96" s="61" t="inlineStr">
        <is>
          <t>Yusen İnci Loj. / G.9.5.</t>
        </is>
      </c>
      <c r="B96" s="64" t="n">
        <v>-131887.1968779957</v>
      </c>
      <c r="C96" s="64" t="n">
        <v>-129540.6390302419</v>
      </c>
      <c r="D96" s="64" t="n">
        <v>-121999.5285667165</v>
      </c>
      <c r="E96" s="64" t="n">
        <v>-110445.0676272128</v>
      </c>
      <c r="F96" s="64" t="n">
        <v>-107505.2296243777</v>
      </c>
      <c r="G96" s="64" t="n">
        <v>-195252.7436811159</v>
      </c>
      <c r="H96" s="64" t="n">
        <v>-181010.5404212597</v>
      </c>
      <c r="I96" s="64" t="n">
        <v>-203438.0193486104</v>
      </c>
      <c r="J96" s="64" t="n">
        <v>-194198.0941135898</v>
      </c>
      <c r="K96" s="64" t="n"/>
      <c r="L96" s="64" t="n"/>
      <c r="M96" s="64" t="n"/>
      <c r="N96" s="70">
        <f>SUM(B96:M96)</f>
        <v/>
      </c>
      <c r="O96" s="94">
        <f>N96-SUM(B96:M96)</f>
        <v/>
      </c>
    </row>
    <row r="97">
      <c r="A97" s="61" t="inlineStr">
        <is>
          <t>Jantaş / G.9.6.</t>
        </is>
      </c>
      <c r="B97" s="64" t="n">
        <v>-43741.61</v>
      </c>
      <c r="C97" s="64" t="n">
        <v>-30844.81999999999</v>
      </c>
      <c r="D97" s="64" t="n">
        <v>-43626.55</v>
      </c>
      <c r="E97" s="64" t="n">
        <v>-35659.12999999999</v>
      </c>
      <c r="F97" s="64" t="n">
        <v>6277.439999999974</v>
      </c>
      <c r="G97" s="64" t="n">
        <v>-122724.27</v>
      </c>
      <c r="H97" s="64" t="n">
        <v>-80714.91999999998</v>
      </c>
      <c r="I97" s="64" t="n">
        <v>11818.34999999998</v>
      </c>
      <c r="J97" s="64" t="n">
        <v>-29009.28999999998</v>
      </c>
      <c r="K97" s="64" t="n"/>
      <c r="L97" s="64" t="n"/>
      <c r="M97" s="64" t="n"/>
      <c r="N97" s="70">
        <f>SUM(B97:M97)</f>
        <v/>
      </c>
      <c r="O97" s="94">
        <f>N97-SUM(B97:M97)</f>
        <v/>
      </c>
    </row>
    <row r="98">
      <c r="A98" s="61" t="inlineStr">
        <is>
          <t>Çelik / G.9.7.</t>
        </is>
      </c>
      <c r="B98" s="64" t="n">
        <v>86412.27</v>
      </c>
      <c r="C98" s="64" t="n">
        <v>21004.87999999999</v>
      </c>
      <c r="D98" s="64" t="n">
        <v>24203.06</v>
      </c>
      <c r="E98" s="64" t="n">
        <v>82750.77999999998</v>
      </c>
      <c r="F98" s="64" t="n">
        <v>122414.73</v>
      </c>
      <c r="G98" s="64" t="n">
        <v>104329.21</v>
      </c>
      <c r="H98" s="64" t="n">
        <v>124811.72</v>
      </c>
      <c r="I98" s="64" t="n">
        <v>9584.739999999991</v>
      </c>
      <c r="J98" s="64" t="n">
        <v>61220.60999999999</v>
      </c>
      <c r="K98" s="64" t="n"/>
      <c r="L98" s="64" t="n"/>
      <c r="M98" s="64" t="n"/>
      <c r="N98" s="70">
        <f>SUM(B98:M98)</f>
        <v/>
      </c>
      <c r="O98" s="94">
        <f>N98-SUM(B98:M98)</f>
        <v/>
      </c>
    </row>
    <row r="99">
      <c r="A99" s="61" t="inlineStr">
        <is>
          <t>Alüminyum / G.9.8.</t>
        </is>
      </c>
      <c r="B99" s="64" t="n">
        <v>-66598.38</v>
      </c>
      <c r="C99" s="64" t="n">
        <v>-88551.10999999999</v>
      </c>
      <c r="D99" s="64" t="n">
        <v>-125519.09</v>
      </c>
      <c r="E99" s="64" t="n">
        <v>-12697.37</v>
      </c>
      <c r="F99" s="64" t="n">
        <v>-48604.58000000001</v>
      </c>
      <c r="G99" s="64" t="n">
        <v>-59631.39999999997</v>
      </c>
      <c r="H99" s="64" t="n">
        <v>-24804.66999999999</v>
      </c>
      <c r="I99" s="64" t="n">
        <v>51341.00999999995</v>
      </c>
      <c r="J99" s="64" t="n">
        <v>14175.83000000002</v>
      </c>
      <c r="K99" s="64" t="n"/>
      <c r="L99" s="64" t="n"/>
      <c r="M99" s="64" t="n"/>
      <c r="N99" s="70">
        <f>SUM(B99:M99)</f>
        <v/>
      </c>
      <c r="O99" s="94">
        <f>N99-SUM(B99:M99)</f>
        <v/>
      </c>
    </row>
    <row r="100">
      <c r="A100" s="61" t="inlineStr">
        <is>
          <t>x / G.9.9.</t>
        </is>
      </c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70" t="n"/>
    </row>
    <row r="101">
      <c r="A101" s="61" t="inlineStr">
        <is>
          <t>y / G.9.10.</t>
        </is>
      </c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70" t="n"/>
    </row>
    <row r="102">
      <c r="A102" s="61" t="inlineStr">
        <is>
          <t>Diğer Gelir-Gideri-EUR / G.10.</t>
        </is>
      </c>
      <c r="B102" s="64">
        <f>SUM(B103:B105)+SUM(B106:B110)*0.4</f>
        <v/>
      </c>
      <c r="C102" s="64">
        <f>SUM(C103:C105)+SUM(C106:C110)*0.4</f>
        <v/>
      </c>
      <c r="D102" s="64">
        <f>SUM(D103:D105)+SUM(D106:D110)*0.4</f>
        <v/>
      </c>
      <c r="E102" s="64">
        <f>SUM(E103:E105)+SUM(E106:E110)*0.4</f>
        <v/>
      </c>
      <c r="F102" s="64">
        <f>SUM(F103:F105)+SUM(F106:F110)*0.4</f>
        <v/>
      </c>
      <c r="G102" s="64">
        <f>SUM(G103:G105)+SUM(G106:G110)*0.4</f>
        <v/>
      </c>
      <c r="H102" s="64">
        <f>SUM(H103:H105)+SUM(H106:H110)*0.4</f>
        <v/>
      </c>
      <c r="I102" s="64">
        <f>SUM(I103:I105)+SUM(I106:I110)*0.4</f>
        <v/>
      </c>
      <c r="J102" s="64">
        <f>SUM(J103:J105)+SUM(J106:J110)*0.4</f>
        <v/>
      </c>
      <c r="K102" s="64">
        <f>SUM(K103:K105)+SUM(K106:K110)*0.4</f>
        <v/>
      </c>
      <c r="L102" s="64">
        <f>SUM(L103:L105)+SUM(L106:L110)*0.4</f>
        <v/>
      </c>
      <c r="M102" s="64">
        <f>SUM(M103:M105)+SUM(M106:M110)*0.4</f>
        <v/>
      </c>
      <c r="N102" s="70">
        <f>SUM(B102:M102)</f>
        <v/>
      </c>
    </row>
    <row r="103">
      <c r="A103" s="61" t="inlineStr">
        <is>
          <t>İnci Holding / G.10.1.</t>
        </is>
      </c>
      <c r="B103" s="64" t="n">
        <v>49545.35076669617</v>
      </c>
      <c r="C103" s="64" t="n">
        <v>360244.5489432468</v>
      </c>
      <c r="D103" s="64" t="n">
        <v>583131.5682003261</v>
      </c>
      <c r="E103" s="64" t="n">
        <v>479847.1592576306</v>
      </c>
      <c r="F103" s="64" t="n">
        <v>-1005.352403607191</v>
      </c>
      <c r="G103" s="64" t="n">
        <v>37540.41958365329</v>
      </c>
      <c r="H103" s="64" t="n">
        <v>-23063.63619548766</v>
      </c>
      <c r="I103" s="64" t="n">
        <v>89419.48973308101</v>
      </c>
      <c r="J103" s="64" t="n">
        <v>33711.39529088428</v>
      </c>
      <c r="K103" s="64" t="n"/>
      <c r="L103" s="64" t="n"/>
      <c r="M103" s="64" t="n"/>
      <c r="N103" s="70">
        <f>SUM(B103:M103)</f>
        <v/>
      </c>
      <c r="O103" s="94">
        <f>N103-SUM(B103:M103)</f>
        <v/>
      </c>
    </row>
    <row r="104">
      <c r="A104" s="61" t="inlineStr">
        <is>
          <t>ISM / G.10.2.</t>
        </is>
      </c>
      <c r="B104" s="64" t="n">
        <v>-4925.446674165271</v>
      </c>
      <c r="C104" s="64" t="n">
        <v>3305.177708896174</v>
      </c>
      <c r="D104" s="64" t="n">
        <v>2694.986392476278</v>
      </c>
      <c r="E104" s="64" t="n">
        <v>184030.0194040707</v>
      </c>
      <c r="F104" s="64" t="n">
        <v>-68199.51844352217</v>
      </c>
      <c r="G104" s="64" t="n">
        <v>-308671.6680069366</v>
      </c>
      <c r="H104" s="64" t="n">
        <v>-28918.64069787238</v>
      </c>
      <c r="I104" s="64" t="n">
        <v>-121451.8069116844</v>
      </c>
      <c r="J104" s="64" t="n">
        <v>-35751.17749097758</v>
      </c>
      <c r="K104" s="64" t="n"/>
      <c r="L104" s="64" t="n"/>
      <c r="M104" s="64" t="n"/>
      <c r="N104" s="70">
        <f>SUM(B104:M104)</f>
        <v/>
      </c>
      <c r="O104" s="94">
        <f>N104-SUM(B104:M104)</f>
        <v/>
      </c>
    </row>
    <row r="105">
      <c r="A105" s="61" t="inlineStr">
        <is>
          <t>İncitaş / G.10.3.</t>
        </is>
      </c>
      <c r="B105" s="64" t="n">
        <v>7862.573130522238</v>
      </c>
      <c r="C105" s="64" t="n">
        <v>3499.361988747507</v>
      </c>
      <c r="D105" s="64" t="n">
        <v>12268.04474212083</v>
      </c>
      <c r="E105" s="64" t="n">
        <v>5507.323765366114</v>
      </c>
      <c r="F105" s="64" t="n">
        <v>10248.3456057001</v>
      </c>
      <c r="G105" s="64" t="n">
        <v>6960.743322437975</v>
      </c>
      <c r="H105" s="64" t="n">
        <v>-2560.993973625431</v>
      </c>
      <c r="I105" s="64" t="n">
        <v>7607.778678030902</v>
      </c>
      <c r="J105" s="64" t="n">
        <v>8030.04678518638</v>
      </c>
      <c r="K105" s="64" t="n"/>
      <c r="L105" s="64" t="n"/>
      <c r="M105" s="64" t="n"/>
      <c r="N105" s="70">
        <f>SUM(B105:M105)</f>
        <v/>
      </c>
      <c r="O105" s="94">
        <f>N105-SUM(B105:M105)</f>
        <v/>
      </c>
    </row>
    <row r="106">
      <c r="A106" s="61" t="inlineStr">
        <is>
          <t>İnci GS Yuasa / G.10.4.</t>
        </is>
      </c>
      <c r="B106" s="64" t="n">
        <v>-1010555.712708655</v>
      </c>
      <c r="C106" s="64" t="n">
        <v>-890510.1729244484</v>
      </c>
      <c r="D106" s="64" t="n">
        <v>-2088729.143972119</v>
      </c>
      <c r="E106" s="64" t="n">
        <v>-2603782.583273857</v>
      </c>
      <c r="F106" s="64" t="n">
        <v>-912717.40522666</v>
      </c>
      <c r="G106" s="64" t="n">
        <v>-61136.80394592106</v>
      </c>
      <c r="H106" s="64" t="n">
        <v>-806450.8642114368</v>
      </c>
      <c r="I106" s="64" t="n">
        <v>-437197.9421180298</v>
      </c>
      <c r="J106" s="64" t="n">
        <v>-641928.8352817817</v>
      </c>
      <c r="K106" s="64" t="n"/>
      <c r="L106" s="64" t="n"/>
      <c r="M106" s="64" t="n"/>
      <c r="N106" s="70">
        <f>SUM(B106:M106)</f>
        <v/>
      </c>
      <c r="O106" s="94">
        <f>N106-SUM(B106:M106)</f>
        <v/>
      </c>
    </row>
    <row r="107">
      <c r="A107" s="61" t="inlineStr">
        <is>
          <t>Yusen İnci Loj. / G.10.5.</t>
        </is>
      </c>
      <c r="B107" s="64" t="n">
        <v>46095.97224147679</v>
      </c>
      <c r="C107" s="64" t="n">
        <v>78329.52603547812</v>
      </c>
      <c r="D107" s="64" t="n">
        <v>166270.8550640873</v>
      </c>
      <c r="E107" s="64" t="n">
        <v>123468.8828337364</v>
      </c>
      <c r="F107" s="64" t="n">
        <v>72175.77153767653</v>
      </c>
      <c r="G107" s="64" t="n">
        <v>98123.83319687418</v>
      </c>
      <c r="H107" s="64" t="n">
        <v>39436.86912637512</v>
      </c>
      <c r="I107" s="64" t="n">
        <v>45806.30525818824</v>
      </c>
      <c r="J107" s="64" t="n">
        <v>51909.96080719182</v>
      </c>
      <c r="K107" s="64" t="n"/>
      <c r="L107" s="64" t="n"/>
      <c r="M107" s="64" t="n"/>
      <c r="N107" s="70">
        <f>SUM(B107:M107)</f>
        <v/>
      </c>
      <c r="O107" s="94">
        <f>N107-SUM(B107:M107)</f>
        <v/>
      </c>
    </row>
    <row r="108">
      <c r="A108" s="61" t="inlineStr">
        <is>
          <t>Jantaş / G.10.6.</t>
        </is>
      </c>
      <c r="B108" s="64" t="n">
        <v>-253203.69</v>
      </c>
      <c r="C108" s="64" t="n">
        <v>718767.8300000001</v>
      </c>
      <c r="D108" s="64" t="n">
        <v>-75471.19</v>
      </c>
      <c r="E108" s="64" t="n">
        <v>379643.4999999999</v>
      </c>
      <c r="F108" s="64" t="n">
        <v>-40782.95999999996</v>
      </c>
      <c r="G108" s="64" t="n">
        <v>-70874.78000000003</v>
      </c>
      <c r="H108" s="64" t="n">
        <v>-318564.03</v>
      </c>
      <c r="I108" s="64" t="n">
        <v>-468742.34</v>
      </c>
      <c r="J108" s="64" t="n">
        <v>65943.84</v>
      </c>
      <c r="K108" s="64" t="n"/>
      <c r="L108" s="64" t="n"/>
      <c r="M108" s="64" t="n"/>
      <c r="N108" s="70">
        <f>SUM(B108:M108)</f>
        <v/>
      </c>
      <c r="O108" s="94">
        <f>N108-SUM(B108:M108)</f>
        <v/>
      </c>
    </row>
    <row r="109">
      <c r="A109" s="61" t="inlineStr">
        <is>
          <t>Çelik / G.10.7.</t>
        </is>
      </c>
      <c r="B109" s="64" t="n">
        <v>-371625.1599999999</v>
      </c>
      <c r="C109" s="64" t="n">
        <v>-270671.61</v>
      </c>
      <c r="D109" s="64" t="n">
        <v>-520100.8</v>
      </c>
      <c r="E109" s="64" t="n">
        <v>-2217588.61</v>
      </c>
      <c r="F109" s="64" t="n">
        <v>-355920.4099999997</v>
      </c>
      <c r="G109" s="64" t="n">
        <v>-1298123.51</v>
      </c>
      <c r="H109" s="64" t="n">
        <v>-61873.27000000048</v>
      </c>
      <c r="I109" s="64" t="n">
        <v>-528909.2599999998</v>
      </c>
      <c r="J109" s="64" t="n">
        <v>-339392.79</v>
      </c>
      <c r="K109" s="64" t="n"/>
      <c r="L109" s="64" t="n"/>
      <c r="M109" s="64" t="n"/>
      <c r="N109" s="70">
        <f>SUM(B109:M109)</f>
        <v/>
      </c>
      <c r="O109" s="94">
        <f>N109-SUM(B109:M109)</f>
        <v/>
      </c>
    </row>
    <row r="110">
      <c r="A110" s="61" t="inlineStr">
        <is>
          <t>Alüminyum / G.10.8.</t>
        </is>
      </c>
      <c r="B110" s="64" t="n">
        <v>-113550.16</v>
      </c>
      <c r="C110" s="64" t="n">
        <v>-135225.85</v>
      </c>
      <c r="D110" s="64" t="n">
        <v>-45724.08000000002</v>
      </c>
      <c r="E110" s="64" t="n">
        <v>28952.83000000002</v>
      </c>
      <c r="F110" s="64" t="n">
        <v>-170075.88</v>
      </c>
      <c r="G110" s="64" t="n">
        <v>41387.77000000002</v>
      </c>
      <c r="H110" s="64" t="n">
        <v>-215824.25</v>
      </c>
      <c r="I110" s="64" t="n">
        <v>169707.18</v>
      </c>
      <c r="J110" s="64" t="n">
        <v>125261.44</v>
      </c>
      <c r="K110" s="64" t="n"/>
      <c r="L110" s="64" t="n"/>
      <c r="M110" s="64" t="n"/>
      <c r="N110" s="70">
        <f>SUM(B110:M110)</f>
        <v/>
      </c>
      <c r="O110" s="94">
        <f>N110-SUM(B110:M110)</f>
        <v/>
      </c>
    </row>
    <row r="111">
      <c r="A111" s="61" t="inlineStr">
        <is>
          <t>x / G.10.9.</t>
        </is>
      </c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70" t="n"/>
    </row>
    <row r="112">
      <c r="A112" s="61" t="inlineStr">
        <is>
          <t>y / G.10.10.</t>
        </is>
      </c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70" t="n"/>
    </row>
    <row r="113">
      <c r="A113" s="61" t="inlineStr">
        <is>
          <t>VÖK-EUR / G.11.</t>
        </is>
      </c>
      <c r="B113" s="64">
        <f>SUM(B114:B116)+SUM(B117:B121)*0.4</f>
        <v/>
      </c>
      <c r="C113" s="64">
        <f>SUM(C114:C116)+SUM(C117:C121)*0.4</f>
        <v/>
      </c>
      <c r="D113" s="64">
        <f>SUM(D114:D116)+SUM(D117:D121)*0.4</f>
        <v/>
      </c>
      <c r="E113" s="64">
        <f>SUM(E114:E116)+SUM(E117:E121)*0.4</f>
        <v/>
      </c>
      <c r="F113" s="64">
        <f>SUM(F114:F116)+SUM(F117:F121)*0.4</f>
        <v/>
      </c>
      <c r="G113" s="64">
        <f>SUM(G114:G116)+SUM(G117:G121)*0.4</f>
        <v/>
      </c>
      <c r="H113" s="64">
        <f>SUM(H114:H116)+SUM(H117:H121)*0.4</f>
        <v/>
      </c>
      <c r="I113" s="64">
        <f>SUM(I114:I116)+SUM(I117:I121)*0.4</f>
        <v/>
      </c>
      <c r="J113" s="64">
        <f>SUM(J114:J116)+SUM(J117:J121)*0.4</f>
        <v/>
      </c>
      <c r="K113" s="64">
        <f>SUM(K114:K116)+SUM(K117:K121)*0.4</f>
        <v/>
      </c>
      <c r="L113" s="64">
        <f>SUM(L114:L116)+SUM(L117:L121)*0.4</f>
        <v/>
      </c>
      <c r="M113" s="64">
        <f>SUM(M114:M116)+SUM(M117:M121)*0.4</f>
        <v/>
      </c>
      <c r="N113" s="70">
        <f>SUM(B113:M113)</f>
        <v/>
      </c>
    </row>
    <row r="114">
      <c r="A114" s="61" t="inlineStr">
        <is>
          <t>İnci Holding / G.11.1.</t>
        </is>
      </c>
      <c r="B114" s="130" t="n">
        <v>182440.1801669839</v>
      </c>
      <c r="C114" s="130" t="n">
        <v>460659.2750374983</v>
      </c>
      <c r="D114" s="130" t="n">
        <v>826288.1587911402</v>
      </c>
      <c r="E114" s="130" t="n">
        <v>502661.621551001</v>
      </c>
      <c r="F114" s="130" t="n">
        <v>313724.7976411134</v>
      </c>
      <c r="G114" s="130" t="n">
        <v>241908.5165765919</v>
      </c>
      <c r="H114" s="64" t="n">
        <v>233460.2743690545</v>
      </c>
      <c r="I114" s="64" t="n">
        <v>291437.6916601833</v>
      </c>
      <c r="J114" s="64" t="n">
        <v>505635.1700889466</v>
      </c>
      <c r="K114" s="64" t="n"/>
      <c r="L114" s="64" t="n"/>
      <c r="M114" s="64" t="n"/>
      <c r="N114" s="70">
        <f>SUM(B114:M114)</f>
        <v/>
      </c>
      <c r="O114" s="94">
        <f>N114-SUM(B114:M114)</f>
        <v/>
      </c>
    </row>
    <row r="115">
      <c r="A115" s="61" t="inlineStr">
        <is>
          <t>ISM / G.11.2.</t>
        </is>
      </c>
      <c r="B115" s="64" t="n">
        <v>-73693.55875377527</v>
      </c>
      <c r="C115" s="64" t="n">
        <v>-14284.42578075261</v>
      </c>
      <c r="D115" s="64" t="n">
        <v>-64785.20438693127</v>
      </c>
      <c r="E115" s="64" t="n">
        <v>74571.80472122497</v>
      </c>
      <c r="F115" s="64" t="n">
        <v>-111559.9466462373</v>
      </c>
      <c r="G115" s="64" t="n">
        <v>-391406.1530979249</v>
      </c>
      <c r="H115" s="64" t="n">
        <v>-44812.39134643237</v>
      </c>
      <c r="I115" s="64" t="n">
        <v>-170226.1642210809</v>
      </c>
      <c r="J115" s="64" t="n">
        <v>-184219.1383595291</v>
      </c>
      <c r="K115" s="64" t="n"/>
      <c r="L115" s="64" t="n"/>
      <c r="M115" s="64" t="n"/>
      <c r="N115" s="70">
        <f>SUM(B115:M115)</f>
        <v/>
      </c>
      <c r="O115" s="94">
        <f>N115-SUM(B115:M115)</f>
        <v/>
      </c>
    </row>
    <row r="116">
      <c r="A116" s="61" t="inlineStr">
        <is>
          <t>İncitaş / G.11.3.</t>
        </is>
      </c>
      <c r="B116" s="64" t="n">
        <v>1204.638824703123</v>
      </c>
      <c r="C116" s="64" t="n">
        <v>2124.311396981378</v>
      </c>
      <c r="D116" s="64" t="n">
        <v>-28612.67608427112</v>
      </c>
      <c r="E116" s="64" t="n">
        <v>-16402.15236133893</v>
      </c>
      <c r="F116" s="64" t="n">
        <v>10491.38722882735</v>
      </c>
      <c r="G116" s="64" t="n">
        <v>-29402.34429671872</v>
      </c>
      <c r="H116" s="64" t="n">
        <v>-36457.35829781253</v>
      </c>
      <c r="I116" s="64" t="n">
        <v>-28825.6725680655</v>
      </c>
      <c r="J116" s="64" t="n">
        <v>27182.7099769229</v>
      </c>
      <c r="K116" s="64" t="n"/>
      <c r="L116" s="64" t="n"/>
      <c r="M116" s="64" t="n"/>
      <c r="N116" s="70">
        <f>SUM(B116:M116)</f>
        <v/>
      </c>
      <c r="O116" s="94">
        <f>N116-SUM(B116:M116)</f>
        <v/>
      </c>
    </row>
    <row r="117">
      <c r="A117" s="61" t="inlineStr">
        <is>
          <t>İnci GS Yuasa / G.11.4.</t>
        </is>
      </c>
      <c r="B117" s="64" t="n">
        <v>-1621012.542915745</v>
      </c>
      <c r="C117" s="64" t="n">
        <v>-1792344.459675301</v>
      </c>
      <c r="D117" s="64" t="n">
        <v>-4215800.771019549</v>
      </c>
      <c r="E117" s="64" t="n">
        <v>-4851270.434921407</v>
      </c>
      <c r="F117" s="64" t="n">
        <v>-2949842.060921012</v>
      </c>
      <c r="G117" s="64" t="n">
        <v>-3072299.757319897</v>
      </c>
      <c r="H117" s="64" t="n">
        <v>-3299335.789788158</v>
      </c>
      <c r="I117" s="64" t="n">
        <v>-1941066.899867929</v>
      </c>
      <c r="J117" s="64" t="n">
        <v>-2472812.337502066</v>
      </c>
      <c r="K117" s="64" t="n"/>
      <c r="L117" s="64" t="n"/>
      <c r="M117" s="64" t="n"/>
      <c r="N117" s="70">
        <f>SUM(B117:M117)</f>
        <v/>
      </c>
      <c r="O117" s="94">
        <f>N117-SUM(B117:M117)</f>
        <v/>
      </c>
    </row>
    <row r="118">
      <c r="A118" s="61" t="inlineStr">
        <is>
          <t>Yusen İnci Loj. / G.11.5.</t>
        </is>
      </c>
      <c r="B118" s="64" t="n">
        <v>163058.7255874238</v>
      </c>
      <c r="C118" s="64" t="n">
        <v>393505.0979808582</v>
      </c>
      <c r="D118" s="64" t="n">
        <v>488535.4683627259</v>
      </c>
      <c r="E118" s="64" t="n">
        <v>-102361.5506097078</v>
      </c>
      <c r="F118" s="64" t="n">
        <v>-9244.054612392176</v>
      </c>
      <c r="G118" s="64" t="n">
        <v>-31469.54475967012</v>
      </c>
      <c r="H118" s="64" t="n">
        <v>156354.6193784935</v>
      </c>
      <c r="I118" s="64" t="n">
        <v>154972.1360164635</v>
      </c>
      <c r="J118" s="64" t="n">
        <v>254404.7926370688</v>
      </c>
      <c r="K118" s="64" t="n"/>
      <c r="L118" s="64" t="n"/>
      <c r="M118" s="64" t="n"/>
      <c r="N118" s="70">
        <f>SUM(B118:M118)</f>
        <v/>
      </c>
      <c r="O118" s="94">
        <f>N118-SUM(B118:M118)</f>
        <v/>
      </c>
    </row>
    <row r="119">
      <c r="A119" s="61" t="inlineStr">
        <is>
          <t>Jantaş / G.11.6.</t>
        </is>
      </c>
      <c r="B119" s="64" t="n">
        <v>933953.9000000001</v>
      </c>
      <c r="C119" s="64" t="n">
        <v>1435482.04</v>
      </c>
      <c r="D119" s="64" t="n">
        <v>1583925.3</v>
      </c>
      <c r="E119" s="64" t="n">
        <v>1664967.34</v>
      </c>
      <c r="F119" s="64" t="n">
        <v>1533861.66</v>
      </c>
      <c r="G119" s="64" t="n">
        <v>1415856.140000001</v>
      </c>
      <c r="H119" s="64" t="n">
        <v>1036919.059999999</v>
      </c>
      <c r="I119" s="64" t="n">
        <v>617136.6400000006</v>
      </c>
      <c r="J119" s="64" t="n">
        <v>2469432.16</v>
      </c>
      <c r="K119" s="64" t="n"/>
      <c r="L119" s="64" t="n"/>
      <c r="M119" s="64" t="n"/>
      <c r="N119" s="70">
        <f>SUM(B119:M119)</f>
        <v/>
      </c>
      <c r="O119" s="94">
        <f>N119-SUM(B119:M119)</f>
        <v/>
      </c>
    </row>
    <row r="120">
      <c r="A120" s="61" t="inlineStr">
        <is>
          <t>Çelik / G.11.7.</t>
        </is>
      </c>
      <c r="B120" s="64" t="n">
        <v>1072976.4</v>
      </c>
      <c r="C120" s="64" t="n">
        <v>1698702.8</v>
      </c>
      <c r="D120" s="64" t="n">
        <v>1307550.39</v>
      </c>
      <c r="E120" s="64" t="n">
        <v>89525.74000000022</v>
      </c>
      <c r="F120" s="64" t="n">
        <v>1415439.53</v>
      </c>
      <c r="G120" s="64" t="n">
        <v>406114.1999999993</v>
      </c>
      <c r="H120" s="64" t="n">
        <v>2206948.970000001</v>
      </c>
      <c r="I120" s="64" t="n">
        <v>937116.2199999997</v>
      </c>
      <c r="J120" s="64" t="n">
        <v>2599868.710000001</v>
      </c>
      <c r="K120" s="64" t="n"/>
      <c r="L120" s="64" t="n"/>
      <c r="M120" s="64" t="n"/>
      <c r="N120" s="70">
        <f>SUM(B120:M120)</f>
        <v/>
      </c>
      <c r="O120" s="94">
        <f>N120-SUM(B120:M120)</f>
        <v/>
      </c>
    </row>
    <row r="121">
      <c r="A121" s="61" t="inlineStr">
        <is>
          <t>Alüminyum / G.11.8.</t>
        </is>
      </c>
      <c r="B121" s="64" t="n">
        <v>1823346.88</v>
      </c>
      <c r="C121" s="64" t="n">
        <v>473068.8400000003</v>
      </c>
      <c r="D121" s="64" t="n">
        <v>1058124.73</v>
      </c>
      <c r="E121" s="64" t="n">
        <v>1114301.55</v>
      </c>
      <c r="F121" s="64" t="n">
        <v>2560312.55</v>
      </c>
      <c r="G121" s="64" t="n">
        <v>1458768.35</v>
      </c>
      <c r="H121" s="64" t="n">
        <v>1500881.049999999</v>
      </c>
      <c r="I121" s="64" t="n">
        <v>731006.2200000007</v>
      </c>
      <c r="J121" s="64" t="n">
        <v>3119937.55</v>
      </c>
      <c r="K121" s="64" t="n"/>
      <c r="L121" s="64" t="n"/>
      <c r="M121" s="64" t="n"/>
      <c r="N121" s="70">
        <f>SUM(B121:M121)</f>
        <v/>
      </c>
      <c r="O121" s="94">
        <f>N121-SUM(B121:M121)</f>
        <v/>
      </c>
    </row>
    <row r="122">
      <c r="A122" s="61" t="inlineStr">
        <is>
          <t>x / G.11.9.</t>
        </is>
      </c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70" t="n"/>
    </row>
    <row r="123">
      <c r="A123" s="61" t="inlineStr">
        <is>
          <t>y / G.11.10.</t>
        </is>
      </c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70" t="n"/>
    </row>
    <row r="124">
      <c r="A124" s="61" t="inlineStr">
        <is>
          <t>Vergi-EUR / G.12.</t>
        </is>
      </c>
      <c r="B124" s="64">
        <f>SUM(B125:B127)+SUM(B128:B132)*0.4</f>
        <v/>
      </c>
      <c r="C124" s="64">
        <f>SUM(C125:C127)+SUM(C128:C132)*0.4</f>
        <v/>
      </c>
      <c r="D124" s="64">
        <f>SUM(D125:D127)+SUM(D128:D132)*0.4</f>
        <v/>
      </c>
      <c r="E124" s="64">
        <f>SUM(E125:E127)+SUM(E128:E132)*0.4</f>
        <v/>
      </c>
      <c r="F124" s="64">
        <f>SUM(F125:F127)+SUM(F128:F132)*0.4</f>
        <v/>
      </c>
      <c r="G124" s="64">
        <f>SUM(G125:G127)+SUM(G128:G132)*0.4</f>
        <v/>
      </c>
      <c r="H124" s="64">
        <f>SUM(H125:H127)+SUM(H128:H132)*0.4</f>
        <v/>
      </c>
      <c r="I124" s="64">
        <f>SUM(I125:I127)+SUM(I128:I132)*0.4</f>
        <v/>
      </c>
      <c r="J124" s="64">
        <f>SUM(J125:J127)+SUM(J128:J132)*0.4</f>
        <v/>
      </c>
      <c r="K124" s="64">
        <f>SUM(K125:K127)+SUM(K128:K132)*0.4</f>
        <v/>
      </c>
      <c r="L124" s="64">
        <f>SUM(L125:L127)+SUM(L128:L132)*0.4</f>
        <v/>
      </c>
      <c r="M124" s="64">
        <f>SUM(M125:M127)+SUM(M128:M132)*0.4</f>
        <v/>
      </c>
      <c r="N124" s="70">
        <f>SUM(B124:M124)</f>
        <v/>
      </c>
    </row>
    <row r="125">
      <c r="A125" s="61" t="inlineStr">
        <is>
          <t>İnci Holding / G.12.1.</t>
        </is>
      </c>
      <c r="B125" s="130" t="n">
        <v>-45610.04504174597</v>
      </c>
      <c r="C125" s="130" t="n">
        <v>-115164.8187593746</v>
      </c>
      <c r="D125" s="130" t="n">
        <v>-206572.039697785</v>
      </c>
      <c r="E125" s="130" t="n">
        <v>-125665.4053877561</v>
      </c>
      <c r="F125" s="130" t="n">
        <v>-78431.1994102669</v>
      </c>
      <c r="G125" s="130" t="n">
        <v>-60477.12914415901</v>
      </c>
      <c r="H125" s="64" t="n">
        <v>-58365.06859226353</v>
      </c>
      <c r="I125" s="64" t="n">
        <v>-72859.42291505111</v>
      </c>
      <c r="J125" s="64" t="n">
        <v>-126408.7925222315</v>
      </c>
      <c r="K125" s="64" t="n"/>
      <c r="L125" s="64" t="n"/>
      <c r="M125" s="64" t="n"/>
      <c r="N125" s="70">
        <f>SUM(B125:M125)</f>
        <v/>
      </c>
      <c r="O125" s="94">
        <f>N125-SUM(B125:M125)</f>
        <v/>
      </c>
      <c r="Q125" t="n">
        <v>-1</v>
      </c>
    </row>
    <row r="126">
      <c r="A126" s="61" t="inlineStr">
        <is>
          <t>ISM / G.12.2.</t>
        </is>
      </c>
      <c r="B126" s="64" t="n">
        <v>4276.120109793047</v>
      </c>
      <c r="C126" s="64" t="n">
        <v>3598.642698765738</v>
      </c>
      <c r="D126" s="64" t="n">
        <v>3776.270445789276</v>
      </c>
      <c r="E126" s="64" t="n">
        <v>4517.725324971902</v>
      </c>
      <c r="F126" s="64" t="n">
        <v>-1363.47081683013</v>
      </c>
      <c r="G126" s="64" t="n">
        <v>-6386.118029456162</v>
      </c>
      <c r="H126" s="64" t="n">
        <v>-5582.457246188717</v>
      </c>
      <c r="I126" s="64" t="n">
        <v>-16715.25386059198</v>
      </c>
      <c r="J126" s="64" t="n">
        <v>-20740.76924486868</v>
      </c>
      <c r="K126" s="64" t="n"/>
      <c r="L126" s="64" t="n"/>
      <c r="M126" s="64" t="n"/>
      <c r="N126" s="70">
        <f>SUM(B126:M126)</f>
        <v/>
      </c>
      <c r="O126" s="94">
        <f>N126-SUM(B126:M126)</f>
        <v/>
      </c>
    </row>
    <row r="127">
      <c r="A127" s="61" t="inlineStr">
        <is>
          <t>İncitaş / G.12.3.</t>
        </is>
      </c>
      <c r="B127" s="64" t="n">
        <v>-8.208388378738931</v>
      </c>
      <c r="C127" s="64" t="n">
        <v>0</v>
      </c>
      <c r="D127" s="64" t="n">
        <v>0</v>
      </c>
      <c r="E127" s="64" t="n">
        <v>0</v>
      </c>
      <c r="F127" s="64" t="n">
        <v>0</v>
      </c>
      <c r="G127" s="64" t="n">
        <v>0</v>
      </c>
      <c r="H127" s="64" t="n">
        <v>0</v>
      </c>
      <c r="I127" s="64" t="n">
        <v>0</v>
      </c>
      <c r="J127" s="64" t="n">
        <v>0</v>
      </c>
      <c r="K127" s="64" t="n"/>
      <c r="L127" s="64" t="n"/>
      <c r="M127" s="64" t="n"/>
      <c r="N127" s="70">
        <f>SUM(B127:M127)</f>
        <v/>
      </c>
      <c r="O127" s="94">
        <f>N127-SUM(B127:M127)</f>
        <v/>
      </c>
    </row>
    <row r="128">
      <c r="A128" s="61" t="inlineStr">
        <is>
          <t>İnci GS Yuasa / G.12.4.</t>
        </is>
      </c>
      <c r="B128" s="64" t="n">
        <v>0</v>
      </c>
      <c r="C128" s="64" t="n">
        <v>0</v>
      </c>
      <c r="D128" s="64" t="n">
        <v>0</v>
      </c>
      <c r="E128" s="64" t="n">
        <v>0</v>
      </c>
      <c r="F128" s="64" t="n">
        <v>0</v>
      </c>
      <c r="G128" s="64" t="n">
        <v>0</v>
      </c>
      <c r="H128" s="64" t="n">
        <v>0</v>
      </c>
      <c r="I128" s="64" t="n">
        <v>0</v>
      </c>
      <c r="J128" s="64" t="n">
        <v>0</v>
      </c>
      <c r="K128" s="64" t="n"/>
      <c r="L128" s="64" t="n"/>
      <c r="M128" s="64" t="n"/>
      <c r="N128" s="70">
        <f>SUM(B128:M128)</f>
        <v/>
      </c>
      <c r="O128" s="94">
        <f>N128-SUM(B128:M128)</f>
        <v/>
      </c>
    </row>
    <row r="129">
      <c r="A129" s="61" t="inlineStr">
        <is>
          <t>Yusen İnci Loj. / G.12.5.</t>
        </is>
      </c>
      <c r="B129" s="64" t="n">
        <v>89441.77359301495</v>
      </c>
      <c r="C129" s="64" t="n">
        <v>-172086.4997970529</v>
      </c>
      <c r="D129" s="64" t="n">
        <v>23705.1432875073</v>
      </c>
      <c r="E129" s="64" t="n">
        <v>16621.86052612442</v>
      </c>
      <c r="F129" s="64" t="n">
        <v>10331.69641177024</v>
      </c>
      <c r="G129" s="64" t="n">
        <v>-60927.14176129812</v>
      </c>
      <c r="H129" s="64" t="n">
        <v>-43665.54042451615</v>
      </c>
      <c r="I129" s="64" t="n">
        <v>-84318.75533942239</v>
      </c>
      <c r="J129" s="64" t="n">
        <v>12510.28900633974</v>
      </c>
      <c r="K129" s="64" t="n"/>
      <c r="L129" s="64" t="n"/>
      <c r="M129" s="64" t="n"/>
      <c r="N129" s="70">
        <f>SUM(B129:M129)</f>
        <v/>
      </c>
      <c r="O129" s="94">
        <f>N129-SUM(B129:M129)</f>
        <v/>
      </c>
    </row>
    <row r="130">
      <c r="A130" s="61" t="inlineStr">
        <is>
          <t>Jantaş / G.12.6.</t>
        </is>
      </c>
      <c r="B130" s="64" t="n">
        <v>-321620.92</v>
      </c>
      <c r="C130" s="64" t="n">
        <v>-439357.78</v>
      </c>
      <c r="D130" s="64" t="n">
        <v>-627360.1500000001</v>
      </c>
      <c r="E130" s="64" t="n">
        <v>-412736.0599999998</v>
      </c>
      <c r="F130" s="64" t="n">
        <v>-624666.24</v>
      </c>
      <c r="G130" s="64" t="n">
        <v>-152797.79</v>
      </c>
      <c r="H130" s="64" t="n">
        <v>231624.5299999998</v>
      </c>
      <c r="I130" s="64" t="n">
        <v>-321115.3599999999</v>
      </c>
      <c r="J130" s="64" t="n">
        <v>-373984.0800000001</v>
      </c>
      <c r="K130" s="64" t="n"/>
      <c r="L130" s="64" t="n"/>
      <c r="M130" s="64" t="n"/>
      <c r="N130" s="70">
        <f>SUM(B130:M130)</f>
        <v/>
      </c>
      <c r="O130" s="94">
        <f>N130-SUM(B130:M130)</f>
        <v/>
      </c>
    </row>
    <row r="131">
      <c r="A131" s="61" t="inlineStr">
        <is>
          <t>Çelik / G.12.7.</t>
        </is>
      </c>
      <c r="B131" s="64" t="n">
        <v>-126395.68</v>
      </c>
      <c r="C131" s="64" t="n">
        <v>-895440.45</v>
      </c>
      <c r="D131" s="64" t="n">
        <v>224318.4300000001</v>
      </c>
      <c r="E131" s="64" t="n">
        <v>261739.7899999999</v>
      </c>
      <c r="F131" s="64" t="n">
        <v>66293.38</v>
      </c>
      <c r="G131" s="64" t="n">
        <v>-184803.35</v>
      </c>
      <c r="H131" s="64" t="n">
        <v>292245.88</v>
      </c>
      <c r="I131" s="64" t="n">
        <v>-306563.3199999999</v>
      </c>
      <c r="J131" s="64" t="n">
        <v>-13928.15000000002</v>
      </c>
      <c r="K131" s="64" t="n"/>
      <c r="L131" s="64" t="n"/>
      <c r="M131" s="64" t="n"/>
      <c r="N131" s="70">
        <f>SUM(B131:M131)</f>
        <v/>
      </c>
      <c r="O131" s="94">
        <f>N131-SUM(B131:M131)</f>
        <v/>
      </c>
    </row>
    <row r="132">
      <c r="A132" s="61" t="inlineStr">
        <is>
          <t>Alüminyum / G.12.8.</t>
        </is>
      </c>
      <c r="B132" s="64" t="n">
        <v>-352219.55</v>
      </c>
      <c r="C132" s="64" t="n">
        <v>-171899.77</v>
      </c>
      <c r="D132" s="64" t="n">
        <v>-114588.29</v>
      </c>
      <c r="E132" s="64" t="n">
        <v>-563485.13</v>
      </c>
      <c r="F132" s="64" t="n">
        <v>-433762.64</v>
      </c>
      <c r="G132" s="64" t="n">
        <v>-151480.1500000001</v>
      </c>
      <c r="H132" s="64" t="n">
        <v>399896.98</v>
      </c>
      <c r="I132" s="64" t="n">
        <v>144442.76</v>
      </c>
      <c r="J132" s="64" t="n">
        <v>180992.21</v>
      </c>
      <c r="K132" s="64" t="n"/>
      <c r="L132" s="64" t="n"/>
      <c r="M132" s="64" t="n"/>
      <c r="N132" s="70">
        <f>SUM(B132:M132)</f>
        <v/>
      </c>
      <c r="O132" s="94">
        <f>N132-SUM(B132:M132)</f>
        <v/>
      </c>
    </row>
    <row r="133">
      <c r="A133" s="61" t="inlineStr">
        <is>
          <t>x / G.12.9.</t>
        </is>
      </c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70" t="n"/>
    </row>
    <row r="134">
      <c r="A134" s="61" t="inlineStr">
        <is>
          <t>y / G.12.10.</t>
        </is>
      </c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70" t="n"/>
    </row>
    <row r="135">
      <c r="A135" s="61" t="inlineStr">
        <is>
          <t>Net Kar-EUR / G.13.</t>
        </is>
      </c>
      <c r="B135" s="64">
        <f>SUM(B136:B138)+SUM(B139:B143)*0.4</f>
        <v/>
      </c>
      <c r="C135" s="64">
        <f>SUM(C136:C138)+SUM(C139:C143)*0.4</f>
        <v/>
      </c>
      <c r="D135" s="64">
        <f>SUM(D136:D138)+SUM(D139:D143)*0.4</f>
        <v/>
      </c>
      <c r="E135" s="64">
        <f>SUM(E136:E138)+SUM(E139:E143)*0.4</f>
        <v/>
      </c>
      <c r="F135" s="64">
        <f>SUM(F136:F138)+SUM(F139:F143)*0.4</f>
        <v/>
      </c>
      <c r="G135" s="64">
        <f>SUM(G136:G138)+SUM(G139:G143)*0.4</f>
        <v/>
      </c>
      <c r="H135" s="64">
        <f>SUM(H136:H138)+SUM(H139:H143)*0.4</f>
        <v/>
      </c>
      <c r="I135" s="64">
        <f>SUM(I136:I138)+SUM(I139:I143)*0.4</f>
        <v/>
      </c>
      <c r="J135" s="64">
        <f>SUM(J136:J138)+SUM(J139:J143)*0.4</f>
        <v/>
      </c>
      <c r="K135" s="64">
        <f>SUM(K136:K138)+SUM(K139:K143)*0.4</f>
        <v/>
      </c>
      <c r="L135" s="64">
        <f>SUM(L136:L138)+SUM(L139:L143)*0.4</f>
        <v/>
      </c>
      <c r="M135" s="64">
        <f>SUM(M136:M138)+SUM(M139:M143)*0.4</f>
        <v/>
      </c>
      <c r="N135" s="70">
        <f>SUM(B135:M135)</f>
        <v/>
      </c>
    </row>
    <row r="136">
      <c r="A136" s="61" t="inlineStr">
        <is>
          <t>İnci Holding / G.13.1.</t>
        </is>
      </c>
      <c r="B136" s="130" t="n">
        <v>136830.1351252379</v>
      </c>
      <c r="C136" s="130" t="n">
        <v>345494.4562781238</v>
      </c>
      <c r="D136" s="130" t="n">
        <v>619716.1190933551</v>
      </c>
      <c r="E136" s="130" t="n">
        <v>376996.2161632683</v>
      </c>
      <c r="F136" s="130" t="n">
        <v>235293.5982308236</v>
      </c>
      <c r="G136" s="130" t="n">
        <v>181431.3874324549</v>
      </c>
      <c r="H136" s="64" t="n">
        <v>175095.2057767911</v>
      </c>
      <c r="I136" s="64" t="n">
        <v>218578.2687451533</v>
      </c>
      <c r="J136" s="64" t="n">
        <v>379226.3775667152</v>
      </c>
      <c r="K136" s="64" t="n"/>
      <c r="L136" s="64" t="n"/>
      <c r="M136" s="64" t="n"/>
      <c r="N136" s="70">
        <f>SUM(B136:M136)</f>
        <v/>
      </c>
      <c r="O136" s="94">
        <f>N136-SUM(B136:M136)</f>
        <v/>
      </c>
    </row>
    <row r="137">
      <c r="A137" s="61" t="inlineStr">
        <is>
          <t>ISM / G.13.2.</t>
        </is>
      </c>
      <c r="B137" s="64" t="n">
        <v>-69417.43864398223</v>
      </c>
      <c r="C137" s="64" t="n">
        <v>-10685.78308198687</v>
      </c>
      <c r="D137" s="64" t="n">
        <v>-61008.93394114199</v>
      </c>
      <c r="E137" s="64" t="n">
        <v>79089.53004619687</v>
      </c>
      <c r="F137" s="64" t="n">
        <v>-112923.4174630674</v>
      </c>
      <c r="G137" s="64" t="n">
        <v>-397792.2711274032</v>
      </c>
      <c r="H137" s="64" t="n">
        <v>-50394.84859262109</v>
      </c>
      <c r="I137" s="64" t="n">
        <v>-186941.4180816728</v>
      </c>
      <c r="J137" s="64" t="n">
        <v>-204959.9076043978</v>
      </c>
      <c r="K137" s="64" t="n"/>
      <c r="L137" s="64" t="n"/>
      <c r="M137" s="64" t="n"/>
      <c r="N137" s="70">
        <f>SUM(B137:M137)</f>
        <v/>
      </c>
      <c r="O137" s="94">
        <f>N137-SUM(B137:M137)</f>
        <v/>
      </c>
    </row>
    <row r="138">
      <c r="A138" s="61" t="inlineStr">
        <is>
          <t>İncitaş / G.13.3.</t>
        </is>
      </c>
      <c r="B138" s="64" t="n">
        <v>1204.638862861428</v>
      </c>
      <c r="C138" s="64" t="n">
        <v>2124.31135557385</v>
      </c>
      <c r="D138" s="64" t="n">
        <v>-28612.67608427112</v>
      </c>
      <c r="E138" s="64" t="n">
        <v>-16402.1524684554</v>
      </c>
      <c r="F138" s="64" t="n">
        <v>10491.38722882735</v>
      </c>
      <c r="G138" s="64" t="n">
        <v>-29402.34429671872</v>
      </c>
      <c r="H138" s="64" t="n">
        <v>-36457.35829781253</v>
      </c>
      <c r="I138" s="64" t="n">
        <v>-28825.6725680655</v>
      </c>
      <c r="J138" s="64" t="n">
        <v>27182.7099769229</v>
      </c>
      <c r="K138" s="64" t="n"/>
      <c r="L138" s="64" t="n"/>
      <c r="M138" s="64" t="n"/>
      <c r="N138" s="70">
        <f>SUM(B138:M138)</f>
        <v/>
      </c>
      <c r="O138" s="94">
        <f>N138-SUM(B138:M138)</f>
        <v/>
      </c>
    </row>
    <row r="139">
      <c r="A139" s="61" t="inlineStr">
        <is>
          <t>İnci GS Yuasa / G.13.4.</t>
        </is>
      </c>
      <c r="B139" s="64" t="n">
        <v>-1621012.542915745</v>
      </c>
      <c r="C139" s="64" t="n">
        <v>-1792344.459675301</v>
      </c>
      <c r="D139" s="64" t="n">
        <v>-4215800.771019549</v>
      </c>
      <c r="E139" s="64" t="n">
        <v>-4851270.434921407</v>
      </c>
      <c r="F139" s="64" t="n">
        <v>-2949842.060921012</v>
      </c>
      <c r="G139" s="64" t="n">
        <v>-3072299.757319897</v>
      </c>
      <c r="H139" s="64" t="n">
        <v>-3299335.789788158</v>
      </c>
      <c r="I139" s="64" t="n">
        <v>-1941066.899867929</v>
      </c>
      <c r="J139" s="64" t="n">
        <v>-2472812.337502066</v>
      </c>
      <c r="K139" s="64" t="n"/>
      <c r="L139" s="64" t="n"/>
      <c r="M139" s="64" t="n"/>
      <c r="N139" s="70">
        <f>SUM(B139:M139)</f>
        <v/>
      </c>
      <c r="O139" s="94">
        <f>N139-SUM(B139:M139)</f>
        <v/>
      </c>
    </row>
    <row r="140">
      <c r="A140" s="61" t="inlineStr">
        <is>
          <t>Yusen İnci Loj. / G.13.5.</t>
        </is>
      </c>
      <c r="B140" s="64" t="n">
        <v>252500.4991804387</v>
      </c>
      <c r="C140" s="64" t="n">
        <v>221418.598183832</v>
      </c>
      <c r="D140" s="64" t="n">
        <v>512240.6116502331</v>
      </c>
      <c r="E140" s="64" t="n">
        <v>-85739.69008355992</v>
      </c>
      <c r="F140" s="64" t="n">
        <v>1087.64179937806</v>
      </c>
      <c r="G140" s="64" t="n">
        <v>-92396.68652096824</v>
      </c>
      <c r="H140" s="64" t="n">
        <v>112689.0789539987</v>
      </c>
      <c r="I140" s="64" t="n">
        <v>70653.38067704109</v>
      </c>
      <c r="J140" s="64" t="n">
        <v>266915.0816434086</v>
      </c>
      <c r="K140" s="64" t="n"/>
      <c r="L140" s="64" t="n"/>
      <c r="M140" s="64" t="n"/>
      <c r="N140" s="70">
        <f>SUM(B140:M140)</f>
        <v/>
      </c>
      <c r="O140" s="94">
        <f>N140-SUM(B140:M140)</f>
        <v/>
      </c>
    </row>
    <row r="141">
      <c r="A141" s="61" t="inlineStr">
        <is>
          <t>Jantaş / G.13.6.</t>
        </is>
      </c>
      <c r="B141" s="64" t="n">
        <v>612332.98</v>
      </c>
      <c r="C141" s="64" t="n">
        <v>996124.26</v>
      </c>
      <c r="D141" s="64" t="n">
        <v>956565.1500000001</v>
      </c>
      <c r="E141" s="64" t="n">
        <v>1252231.28</v>
      </c>
      <c r="F141" s="64" t="n">
        <v>909195.4199999999</v>
      </c>
      <c r="G141" s="64" t="n">
        <v>1263058.350000001</v>
      </c>
      <c r="H141" s="64" t="n">
        <v>1268543.59</v>
      </c>
      <c r="I141" s="64" t="n">
        <v>296021.2799999993</v>
      </c>
      <c r="J141" s="64" t="n">
        <v>2095448.080000001</v>
      </c>
      <c r="K141" s="64" t="n"/>
      <c r="L141" s="64" t="n"/>
      <c r="M141" s="64" t="n"/>
      <c r="N141" s="70">
        <f>SUM(B141:M141)</f>
        <v/>
      </c>
      <c r="O141" s="94">
        <f>N141-SUM(B141:M141)</f>
        <v/>
      </c>
    </row>
    <row r="142">
      <c r="A142" s="61" t="inlineStr">
        <is>
          <t>Çelik / G.13.7.</t>
        </is>
      </c>
      <c r="B142" s="64" t="n">
        <v>946580.72</v>
      </c>
      <c r="C142" s="64" t="n">
        <v>803262.3500000001</v>
      </c>
      <c r="D142" s="64" t="n">
        <v>1531868.82</v>
      </c>
      <c r="E142" s="64" t="n">
        <v>351265.5299999997</v>
      </c>
      <c r="F142" s="64" t="n">
        <v>1481732.91</v>
      </c>
      <c r="G142" s="64" t="n">
        <v>221310.8499999996</v>
      </c>
      <c r="H142" s="64" t="n">
        <v>2499187.71</v>
      </c>
      <c r="I142" s="64" t="n">
        <v>630560.04</v>
      </c>
      <c r="J142" s="64" t="n">
        <v>2585940.560000001</v>
      </c>
      <c r="K142" s="64" t="n"/>
      <c r="L142" s="64" t="n"/>
      <c r="M142" s="64" t="n"/>
      <c r="N142" s="70">
        <f>SUM(B142:M142)</f>
        <v/>
      </c>
      <c r="O142" s="94">
        <f>N142-SUM(B142:M142)</f>
        <v/>
      </c>
    </row>
    <row r="143">
      <c r="A143" s="61" t="inlineStr">
        <is>
          <t>Alüminyum / G.13.8.</t>
        </is>
      </c>
      <c r="B143" s="64" t="n">
        <v>1471127.33</v>
      </c>
      <c r="C143" s="64" t="n">
        <v>301169.0699999998</v>
      </c>
      <c r="D143" s="64" t="n">
        <v>943536.4399999999</v>
      </c>
      <c r="E143" s="64" t="n">
        <v>550816.4199999999</v>
      </c>
      <c r="F143" s="64" t="n">
        <v>2126549.91</v>
      </c>
      <c r="G143" s="64" t="n">
        <v>1307288.2</v>
      </c>
      <c r="H143" s="64" t="n">
        <v>1900778.03</v>
      </c>
      <c r="I143" s="64" t="n">
        <v>875448.9800000004</v>
      </c>
      <c r="J143" s="64" t="n">
        <v>3300929.76</v>
      </c>
      <c r="K143" s="64" t="n"/>
      <c r="L143" s="64" t="n"/>
      <c r="M143" s="64" t="n"/>
      <c r="N143" s="70">
        <f>SUM(B143:M143)</f>
        <v/>
      </c>
      <c r="O143" s="94">
        <f>N143-SUM(B143:M143)</f>
        <v/>
      </c>
    </row>
    <row r="144">
      <c r="A144" s="61" t="inlineStr">
        <is>
          <t>x / G.13.9.</t>
        </is>
      </c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70" t="n"/>
    </row>
    <row r="145">
      <c r="A145" s="61" t="inlineStr">
        <is>
          <t>y / G.13.10.</t>
        </is>
      </c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70" t="n"/>
    </row>
    <row r="146">
      <c r="A146" s="61" t="inlineStr">
        <is>
          <t>Kredi-EUR / G.16.</t>
        </is>
      </c>
      <c r="B146" s="64">
        <f>SUM(B147:B149)+SUM(B150:B154)*0.4</f>
        <v/>
      </c>
      <c r="C146" s="64">
        <f>SUM(C147:C149)+SUM(C150:C154)*0.4</f>
        <v/>
      </c>
      <c r="D146" s="64">
        <f>SUM(D147:D149)+SUM(D150:D154)*0.4</f>
        <v/>
      </c>
      <c r="E146" s="64">
        <f>SUM(E147:E149)+SUM(E150:E154)*0.4</f>
        <v/>
      </c>
      <c r="F146" s="64">
        <f>SUM(F147:F149)+SUM(F150:F154)*0.4</f>
        <v/>
      </c>
      <c r="G146" s="64">
        <f>SUM(G147:G149)+SUM(G150:G154)*0.4</f>
        <v/>
      </c>
      <c r="H146" s="64">
        <f>SUM(H147:H149)+SUM(H150:H154)*0.4</f>
        <v/>
      </c>
      <c r="I146" s="64">
        <f>SUM(I147:I149)+SUM(I150:I154)*0.4</f>
        <v/>
      </c>
      <c r="J146" s="64">
        <f>SUM(J147:J149)+SUM(J150:J154)*0.4</f>
        <v/>
      </c>
      <c r="K146" s="64">
        <f>SUM(K147:K149)+SUM(K150:K154)*0.4</f>
        <v/>
      </c>
      <c r="L146" s="64">
        <f>SUM(L147:L149)+SUM(L150:L154)*0.4</f>
        <v/>
      </c>
      <c r="M146" s="64">
        <f>SUM(M147:M149)+SUM(M150:M154)*0.4</f>
        <v/>
      </c>
      <c r="N146" s="70">
        <f>SUM(B146:M146)</f>
        <v/>
      </c>
    </row>
    <row r="147">
      <c r="A147" s="61" t="inlineStr">
        <is>
          <t>İnci Holding / G.16.1.</t>
        </is>
      </c>
      <c r="B147" s="130" t="n">
        <v>0</v>
      </c>
      <c r="C147" s="130" t="n">
        <v>0</v>
      </c>
      <c r="D147" s="130" t="n">
        <v>0</v>
      </c>
      <c r="E147" s="130" t="n">
        <v>0</v>
      </c>
      <c r="F147" s="130" t="n">
        <v>0</v>
      </c>
      <c r="G147" s="130" t="n">
        <v>0</v>
      </c>
      <c r="H147" s="64" t="n">
        <v>0</v>
      </c>
      <c r="I147" s="64" t="n">
        <v>0</v>
      </c>
      <c r="J147" s="64" t="n">
        <v>0</v>
      </c>
      <c r="K147" s="64" t="n"/>
      <c r="L147" s="64" t="n"/>
      <c r="M147" s="64" t="n"/>
      <c r="N147" s="70">
        <f>SUM(B147:M147)</f>
        <v/>
      </c>
      <c r="O147" s="94" t="n"/>
    </row>
    <row r="148">
      <c r="A148" s="61" t="inlineStr">
        <is>
          <t>ISM / G.16.2.</t>
        </is>
      </c>
      <c r="B148" s="64" t="n">
        <v>1756795.941308721</v>
      </c>
      <c r="C148" s="64" t="n">
        <v>1780717.982364056</v>
      </c>
      <c r="D148" s="64" t="n">
        <v>1751023.041430498</v>
      </c>
      <c r="E148" s="64" t="n">
        <v>6647633.583452746</v>
      </c>
      <c r="F148" s="64" t="n">
        <v>6543569.296327584</v>
      </c>
      <c r="G148" s="64" t="n">
        <v>6336207.471763124</v>
      </c>
      <c r="H148" s="64" t="n">
        <v>6284844.399209723</v>
      </c>
      <c r="I148" s="64" t="n">
        <v>6303711.581048926</v>
      </c>
      <c r="J148" s="64" t="n">
        <v>6436404.477685573</v>
      </c>
      <c r="K148" s="64" t="n"/>
      <c r="L148" s="64" t="n"/>
      <c r="M148" s="64" t="n"/>
      <c r="N148" s="70">
        <f>SUM(B148:M148)</f>
        <v/>
      </c>
      <c r="O148" s="94" t="n"/>
    </row>
    <row r="149">
      <c r="A149" s="61" t="inlineStr">
        <is>
          <t>İncitaş / G.16.3.</t>
        </is>
      </c>
      <c r="B149" s="64" t="n">
        <v>0</v>
      </c>
      <c r="C149" s="64" t="n">
        <v>215461.6762309994</v>
      </c>
      <c r="D149" s="64" t="n">
        <v>0</v>
      </c>
      <c r="E149" s="64" t="n">
        <v>292683.9880960404</v>
      </c>
      <c r="F149" s="64" t="n">
        <v>415774.5858033322</v>
      </c>
      <c r="G149" s="64" t="n">
        <v>285252.6820230664</v>
      </c>
      <c r="H149" s="64" t="n">
        <v>480461.2322142088</v>
      </c>
      <c r="I149" s="64" t="n">
        <v>363212.1746863496</v>
      </c>
      <c r="J149" s="64" t="n">
        <v>246670.4626510086</v>
      </c>
      <c r="K149" s="64" t="n"/>
      <c r="L149" s="64" t="n"/>
      <c r="M149" s="64" t="n"/>
      <c r="N149" s="70">
        <f>SUM(B149:M149)</f>
        <v/>
      </c>
      <c r="O149" s="94" t="n"/>
    </row>
    <row r="150">
      <c r="A150" s="61" t="inlineStr">
        <is>
          <t>İnci GS Yuasa / G.16.4.</t>
        </is>
      </c>
      <c r="B150" s="64" t="n">
        <v>45698236.91616807</v>
      </c>
      <c r="C150" s="64" t="n">
        <v>47809144.40766167</v>
      </c>
      <c r="D150" s="64" t="n">
        <v>43449065.79068863</v>
      </c>
      <c r="E150" s="64" t="n">
        <v>42224041.6567855</v>
      </c>
      <c r="F150" s="64" t="n">
        <v>47056014.60111225</v>
      </c>
      <c r="G150" s="64" t="n">
        <v>50096539.39844391</v>
      </c>
      <c r="H150" s="64" t="n">
        <v>53127709.30799428</v>
      </c>
      <c r="I150" s="64" t="n">
        <v>52427689.12671788</v>
      </c>
      <c r="J150" s="64" t="n">
        <v>54516116.00911859</v>
      </c>
      <c r="K150" s="64" t="n"/>
      <c r="L150" s="64" t="n"/>
      <c r="M150" s="64" t="n"/>
      <c r="N150" s="70">
        <f>SUM(B150:M150)</f>
        <v/>
      </c>
      <c r="O150" s="94" t="n"/>
    </row>
    <row r="151">
      <c r="A151" s="61" t="inlineStr">
        <is>
          <t>Yusen İnci Loj. / G.16.5.</t>
        </is>
      </c>
      <c r="B151" s="64" t="n">
        <v>0</v>
      </c>
      <c r="C151" s="64" t="n">
        <v>0</v>
      </c>
      <c r="D151" s="64" t="n">
        <v>0</v>
      </c>
      <c r="E151" s="64" t="n">
        <v>0</v>
      </c>
      <c r="F151" s="64" t="n">
        <v>0</v>
      </c>
      <c r="G151" s="64" t="n">
        <v>0</v>
      </c>
      <c r="H151" s="64" t="n">
        <v>0</v>
      </c>
      <c r="I151" s="64" t="n">
        <v>0</v>
      </c>
      <c r="J151" s="64" t="n">
        <v>0</v>
      </c>
      <c r="K151" s="64" t="n"/>
      <c r="L151" s="64" t="n"/>
      <c r="M151" s="64" t="n"/>
      <c r="N151" s="70">
        <f>SUM(B151:M151)</f>
        <v/>
      </c>
      <c r="O151" s="94" t="n"/>
    </row>
    <row r="152">
      <c r="A152" s="61" t="inlineStr">
        <is>
          <t>Jantaş / G.16.6.</t>
        </is>
      </c>
      <c r="B152" s="64" t="n">
        <v>0</v>
      </c>
      <c r="C152" s="64" t="n">
        <v>0</v>
      </c>
      <c r="D152" s="64" t="n">
        <v>0</v>
      </c>
      <c r="E152" s="64" t="n">
        <v>0</v>
      </c>
      <c r="F152" s="64" t="n">
        <v>0</v>
      </c>
      <c r="G152" s="64" t="n">
        <v>0</v>
      </c>
      <c r="H152" s="64" t="n">
        <v>0</v>
      </c>
      <c r="I152" s="64" t="n">
        <v>0</v>
      </c>
      <c r="J152" s="64" t="n">
        <v>0</v>
      </c>
      <c r="K152" s="64" t="n"/>
      <c r="L152" s="64" t="n"/>
      <c r="M152" s="64" t="n"/>
      <c r="N152" s="70">
        <f>SUM(B152:M152)</f>
        <v/>
      </c>
      <c r="O152" s="94" t="n"/>
    </row>
    <row r="153">
      <c r="A153" s="61" t="inlineStr">
        <is>
          <t>Çelik / G.16.7.</t>
        </is>
      </c>
      <c r="B153" s="64" t="n">
        <v>0</v>
      </c>
      <c r="C153" s="64" t="n">
        <v>0</v>
      </c>
      <c r="D153" s="64" t="n">
        <v>0</v>
      </c>
      <c r="E153" s="64" t="n">
        <v>0</v>
      </c>
      <c r="F153" s="64" t="n">
        <v>0</v>
      </c>
      <c r="G153" s="64" t="n">
        <v>0</v>
      </c>
      <c r="H153" s="64" t="n">
        <v>0</v>
      </c>
      <c r="I153" s="64" t="n">
        <v>0</v>
      </c>
      <c r="J153" s="64" t="n">
        <v>0</v>
      </c>
      <c r="K153" s="64" t="n"/>
      <c r="L153" s="64" t="n"/>
      <c r="M153" s="64" t="n"/>
      <c r="N153" s="70">
        <f>SUM(B153:M153)</f>
        <v/>
      </c>
      <c r="O153" s="94" t="n"/>
    </row>
    <row r="154">
      <c r="A154" s="61" t="inlineStr">
        <is>
          <t>Alüminyum / G.16.8.</t>
        </is>
      </c>
      <c r="B154" s="64" t="n">
        <v>0</v>
      </c>
      <c r="C154" s="64" t="n">
        <v>0</v>
      </c>
      <c r="D154" s="64" t="n">
        <v>0</v>
      </c>
      <c r="E154" s="64" t="n">
        <v>0</v>
      </c>
      <c r="F154" s="64" t="n">
        <v>0</v>
      </c>
      <c r="G154" s="64" t="n">
        <v>0</v>
      </c>
      <c r="H154" s="64" t="n">
        <v>0</v>
      </c>
      <c r="I154" s="64" t="n">
        <v>0</v>
      </c>
      <c r="J154" s="64" t="n">
        <v>0</v>
      </c>
      <c r="K154" s="64" t="n"/>
      <c r="L154" s="64" t="n"/>
      <c r="M154" s="64" t="n"/>
      <c r="N154" s="70">
        <f>SUM(B154:M154)</f>
        <v/>
      </c>
      <c r="O154" s="94" t="n"/>
    </row>
    <row r="155">
      <c r="A155" s="61" t="inlineStr">
        <is>
          <t>x / G.16.9.</t>
        </is>
      </c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70" t="n"/>
    </row>
    <row r="156">
      <c r="A156" s="61" t="inlineStr">
        <is>
          <t>y / G.16.10.</t>
        </is>
      </c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70" t="n"/>
    </row>
    <row r="157">
      <c r="A157" s="61" t="inlineStr">
        <is>
          <t>35 Venture / G.16.11.</t>
        </is>
      </c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70" t="n"/>
    </row>
    <row r="158">
      <c r="A158" s="61" t="inlineStr">
        <is>
          <t>Vinci / G.16.12.</t>
        </is>
      </c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70" t="n"/>
    </row>
    <row r="159">
      <c r="A159" s="61" t="inlineStr">
        <is>
          <t>Mevduat-EUR / G.17.</t>
        </is>
      </c>
      <c r="B159" s="64">
        <f>SUM(B160:B162)+SUM(B163:B167)*0.4</f>
        <v/>
      </c>
      <c r="C159" s="64">
        <f>SUM(C160:C162)+SUM(C163:C167)*0.4</f>
        <v/>
      </c>
      <c r="D159" s="64">
        <f>SUM(D160:D162)+SUM(D163:D167)*0.4</f>
        <v/>
      </c>
      <c r="E159" s="64">
        <f>SUM(E160:E162)+SUM(E163:E167)*0.4</f>
        <v/>
      </c>
      <c r="F159" s="64">
        <f>SUM(F160:F162)+SUM(F163:F167)*0.4</f>
        <v/>
      </c>
      <c r="G159" s="64">
        <f>SUM(G160:G162)+SUM(G163:G167)*0.4</f>
        <v/>
      </c>
      <c r="H159" s="64">
        <f>SUM(H160:H162)+SUM(H163:H167)*0.4</f>
        <v/>
      </c>
      <c r="I159" s="64">
        <f>SUM(I160:I162)+SUM(I163:I167)*0.4</f>
        <v/>
      </c>
      <c r="J159" s="64">
        <f>SUM(J160:J162)+SUM(J163:J167)*0.4</f>
        <v/>
      </c>
      <c r="K159" s="64">
        <f>SUM(K160:K162)+SUM(K163:K167)*0.4</f>
        <v/>
      </c>
      <c r="L159" s="64">
        <f>SUM(L160:L162)+SUM(L163:L167)*0.4</f>
        <v/>
      </c>
      <c r="M159" s="64">
        <f>SUM(M160:M162)+SUM(M163:M167)*0.4</f>
        <v/>
      </c>
      <c r="N159" s="70">
        <f>SUM(B159:M159)</f>
        <v/>
      </c>
      <c r="O159" s="52">
        <f>I159-I146</f>
        <v/>
      </c>
    </row>
    <row r="160">
      <c r="A160" s="61" t="inlineStr">
        <is>
          <t>İnci Holding / G.17.1.</t>
        </is>
      </c>
      <c r="B160" s="130" t="n">
        <v>25017917.40018414</v>
      </c>
      <c r="C160" s="130" t="n">
        <v>25516514.8148459</v>
      </c>
      <c r="D160" s="130" t="n">
        <v>23631542.23881384</v>
      </c>
      <c r="E160" s="130" t="n">
        <v>15093147.7647699</v>
      </c>
      <c r="F160" s="130" t="n">
        <v>15865222.32584365</v>
      </c>
      <c r="G160" s="130" t="n">
        <v>15508820.9111843</v>
      </c>
      <c r="H160" s="64" t="n">
        <v>18608467.26229687</v>
      </c>
      <c r="I160" s="64" t="n">
        <v>19135505.52021848</v>
      </c>
      <c r="J160" s="64" t="n">
        <v>17091703.99060891</v>
      </c>
      <c r="K160" s="64" t="n"/>
      <c r="L160" s="64" t="n"/>
      <c r="M160" s="64" t="n"/>
      <c r="N160" s="70">
        <f>SUM(B160:M160)</f>
        <v/>
      </c>
    </row>
    <row r="161">
      <c r="A161" s="61" t="inlineStr">
        <is>
          <t>ISM / G.17.2.</t>
        </is>
      </c>
      <c r="B161" s="64" t="n">
        <v>165537.1378857801</v>
      </c>
      <c r="C161" s="64" t="n">
        <v>39119.29587444888</v>
      </c>
      <c r="D161" s="64" t="n">
        <v>23666.65118827377</v>
      </c>
      <c r="E161" s="64" t="n">
        <v>958967.8774338572</v>
      </c>
      <c r="F161" s="64" t="n">
        <v>252698.4995685624</v>
      </c>
      <c r="G161" s="64" t="n">
        <v>61169.87278906012</v>
      </c>
      <c r="H161" s="64" t="n">
        <v>59625.14657332729</v>
      </c>
      <c r="I161" s="64" t="n">
        <v>32919.0932234781</v>
      </c>
      <c r="J161" s="64" t="n">
        <v>47905.15705713916</v>
      </c>
      <c r="K161" s="64" t="n"/>
      <c r="L161" s="64" t="n"/>
      <c r="M161" s="64" t="n"/>
      <c r="N161" s="70">
        <f>SUM(B161:M161)</f>
        <v/>
      </c>
    </row>
    <row r="162">
      <c r="A162" s="61" t="inlineStr">
        <is>
          <t>İncitaş / G.17.3.</t>
        </is>
      </c>
      <c r="B162" s="64" t="n">
        <v>146950.9525499941</v>
      </c>
      <c r="C162" s="64" t="n">
        <v>92367.1530547974</v>
      </c>
      <c r="D162" s="64" t="n">
        <v>224751.5717939457</v>
      </c>
      <c r="E162" s="64" t="n">
        <v>70176.85380604224</v>
      </c>
      <c r="F162" s="64" t="n">
        <v>117389.8478900218</v>
      </c>
      <c r="G162" s="64" t="n">
        <v>74235.05883667078</v>
      </c>
      <c r="H162" s="64" t="n">
        <v>29679.20647274655</v>
      </c>
      <c r="I162" s="64" t="n">
        <v>152813.2370390988</v>
      </c>
      <c r="J162" s="64" t="n">
        <v>68368.29544543546</v>
      </c>
      <c r="K162" s="64" t="n"/>
      <c r="L162" s="64" t="n"/>
      <c r="M162" s="64" t="n"/>
      <c r="N162" s="70">
        <f>SUM(B162:M162)</f>
        <v/>
      </c>
    </row>
    <row r="163">
      <c r="A163" s="61" t="inlineStr">
        <is>
          <t>İnci GS Yuasa / G.17.4.</t>
        </is>
      </c>
      <c r="B163" s="64" t="n">
        <v>7240613.451398974</v>
      </c>
      <c r="C163" s="64" t="n">
        <v>4360779.195150116</v>
      </c>
      <c r="D163" s="64" t="n">
        <v>2898925.467691926</v>
      </c>
      <c r="E163" s="64" t="n">
        <v>3093956.297090816</v>
      </c>
      <c r="F163" s="64" t="n">
        <v>3721611.652875723</v>
      </c>
      <c r="G163" s="64" t="n">
        <v>1556714.726810103</v>
      </c>
      <c r="H163" s="64" t="n">
        <v>2231928.411795144</v>
      </c>
      <c r="I163" s="64" t="n">
        <v>3995914.256085183</v>
      </c>
      <c r="J163" s="64" t="n">
        <v>3471586.817446447</v>
      </c>
      <c r="K163" s="64" t="n"/>
      <c r="L163" s="64" t="n"/>
      <c r="M163" s="64" t="n"/>
      <c r="N163" s="70">
        <f>SUM(B163:M163)</f>
        <v/>
      </c>
    </row>
    <row r="164">
      <c r="A164" s="61" t="inlineStr">
        <is>
          <t>Yusen İnci Loj. / G.17.5.</t>
        </is>
      </c>
      <c r="B164" s="64" t="n">
        <v>796564.2551715237</v>
      </c>
      <c r="C164" s="64" t="n">
        <v>645764.4210581566</v>
      </c>
      <c r="D164" s="64" t="n">
        <v>2363380.871900329</v>
      </c>
      <c r="E164" s="64" t="n">
        <v>2506225.653187077</v>
      </c>
      <c r="F164" s="64" t="n">
        <v>1957287.42348195</v>
      </c>
      <c r="G164" s="64" t="n">
        <v>1358723.297946839</v>
      </c>
      <c r="H164" s="64" t="n">
        <v>2382930.274287767</v>
      </c>
      <c r="I164" s="64" t="n">
        <v>2409644.850483738</v>
      </c>
      <c r="J164" s="64" t="n">
        <v>1603079.202391059</v>
      </c>
      <c r="K164" s="64" t="n"/>
      <c r="L164" s="64" t="n"/>
      <c r="M164" s="64" t="n"/>
      <c r="N164" s="70">
        <f>SUM(B164:M164)</f>
        <v/>
      </c>
    </row>
    <row r="165">
      <c r="A165" s="61" t="inlineStr">
        <is>
          <t>Jantaş / G.17.6.</t>
        </is>
      </c>
      <c r="B165" s="64" t="n">
        <v>8176307.55</v>
      </c>
      <c r="C165" s="64" t="n">
        <v>5105706.58</v>
      </c>
      <c r="D165" s="64" t="n">
        <v>3716834.46</v>
      </c>
      <c r="E165" s="64" t="n">
        <v>5231278.49</v>
      </c>
      <c r="F165" s="64" t="n">
        <v>2386392.87</v>
      </c>
      <c r="G165" s="64" t="n">
        <v>3324160.27</v>
      </c>
      <c r="H165" s="64" t="n">
        <v>6850161.140000001</v>
      </c>
      <c r="I165" s="64" t="n">
        <v>7307009.02</v>
      </c>
      <c r="J165" s="64" t="n">
        <v>8134848</v>
      </c>
      <c r="K165" s="64" t="n"/>
      <c r="L165" s="64" t="n"/>
      <c r="M165" s="64" t="n"/>
      <c r="N165" s="70">
        <f>SUM(B165:M165)</f>
        <v/>
      </c>
    </row>
    <row r="166">
      <c r="A166" s="61" t="inlineStr">
        <is>
          <t>Çelik / G.17.7.</t>
        </is>
      </c>
      <c r="B166" s="64" t="n">
        <v>15586616.51</v>
      </c>
      <c r="C166" s="64" t="n">
        <v>19661179.25</v>
      </c>
      <c r="D166" s="64" t="n">
        <v>16422110.95</v>
      </c>
      <c r="E166" s="64" t="n">
        <v>13817389.81</v>
      </c>
      <c r="F166" s="64" t="n">
        <v>14923552.49</v>
      </c>
      <c r="G166" s="64" t="n">
        <v>19032801.07</v>
      </c>
      <c r="H166" s="64" t="n">
        <v>12734684.58</v>
      </c>
      <c r="I166" s="64" t="n">
        <v>11336876.7</v>
      </c>
      <c r="J166" s="64" t="n">
        <v>14279442.13</v>
      </c>
      <c r="K166" s="64" t="n"/>
      <c r="L166" s="64" t="n"/>
      <c r="M166" s="64" t="n"/>
      <c r="N166" s="70">
        <f>SUM(B166:M166)</f>
        <v/>
      </c>
    </row>
    <row r="167">
      <c r="A167" s="61" t="inlineStr">
        <is>
          <t>Alüminyum / G.17.8.</t>
        </is>
      </c>
      <c r="B167" s="64" t="n">
        <v>8173657.81</v>
      </c>
      <c r="C167" s="64" t="n">
        <v>3447860.57</v>
      </c>
      <c r="D167" s="64" t="n">
        <v>17610904.03</v>
      </c>
      <c r="E167" s="64" t="n">
        <v>11873516.38</v>
      </c>
      <c r="F167" s="64" t="n">
        <v>8190844.77</v>
      </c>
      <c r="G167" s="64" t="n">
        <v>13337143.73</v>
      </c>
      <c r="H167" s="64" t="n">
        <v>11806021.47</v>
      </c>
      <c r="I167" s="64" t="n">
        <v>11270507.6</v>
      </c>
      <c r="J167" s="64" t="n">
        <v>11967887.96</v>
      </c>
      <c r="K167" s="64" t="n"/>
      <c r="L167" s="64" t="n"/>
      <c r="M167" s="64" t="n"/>
      <c r="N167" s="70">
        <f>SUM(B167:M167)</f>
        <v/>
      </c>
    </row>
    <row r="168">
      <c r="A168" s="61" t="inlineStr">
        <is>
          <t>x / G.17.9.</t>
        </is>
      </c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70" t="n"/>
    </row>
    <row r="169">
      <c r="A169" s="61" t="inlineStr">
        <is>
          <t>y / G.17.10.</t>
        </is>
      </c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70" t="n"/>
    </row>
    <row r="170">
      <c r="A170" s="61" t="inlineStr">
        <is>
          <t>35 Venture / G.17.11.</t>
        </is>
      </c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70" t="n"/>
    </row>
    <row r="171">
      <c r="A171" s="61" t="inlineStr">
        <is>
          <t>Vinci / G.17.12.</t>
        </is>
      </c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70" t="n"/>
    </row>
    <row r="172">
      <c r="A172" s="61" t="inlineStr">
        <is>
          <t>Net Nakit-EUR / G.18.</t>
        </is>
      </c>
      <c r="B172" s="64">
        <f>SUM(B173:B175)+SUM(B176:B180)*0.4</f>
        <v/>
      </c>
      <c r="C172" s="64">
        <f>SUM(C173:C175)+SUM(C176:C180)*0.4</f>
        <v/>
      </c>
      <c r="D172" s="64">
        <f>SUM(D173:D175)+SUM(D176:D180)*0.4</f>
        <v/>
      </c>
      <c r="E172" s="64">
        <f>SUM(E173:E175)+SUM(E176:E180)*0.4</f>
        <v/>
      </c>
      <c r="F172" s="64">
        <f>SUM(F173:F175)+SUM(F176:F180)*0.4</f>
        <v/>
      </c>
      <c r="G172" s="64">
        <f>SUM(G173:G175)+SUM(G176:G180)*0.4</f>
        <v/>
      </c>
      <c r="H172" s="64">
        <f>SUM(H173:H175)+SUM(H176:H180)*0.4</f>
        <v/>
      </c>
      <c r="I172" s="64">
        <f>SUM(I173:I175)+SUM(I176:I180)*0.4</f>
        <v/>
      </c>
      <c r="J172" s="64">
        <f>SUM(J173:J175)+SUM(J176:J180)*0.4</f>
        <v/>
      </c>
      <c r="K172" s="64">
        <f>SUM(K173:K175)+SUM(K176:K180)*0.4</f>
        <v/>
      </c>
      <c r="L172" s="64">
        <f>SUM(L173:L175)+SUM(L176:L180)*0.4</f>
        <v/>
      </c>
      <c r="M172" s="64">
        <f>SUM(M173:M175)+SUM(M176:M180)*0.4</f>
        <v/>
      </c>
      <c r="N172" s="70">
        <f>SUM(B172:M172)</f>
        <v/>
      </c>
    </row>
    <row r="173">
      <c r="A173" s="61" t="inlineStr">
        <is>
          <t>İnci Holding / G.18.1.</t>
        </is>
      </c>
      <c r="B173" s="130" t="n">
        <v>25017917.40018414</v>
      </c>
      <c r="C173" s="130" t="n">
        <v>25516514.8148459</v>
      </c>
      <c r="D173" s="130" t="n">
        <v>23631542.23881384</v>
      </c>
      <c r="E173" s="130" t="n">
        <v>15093147.7647699</v>
      </c>
      <c r="F173" s="130" t="n">
        <v>15865222.32584365</v>
      </c>
      <c r="G173" s="130" t="n">
        <v>15508820.9111843</v>
      </c>
      <c r="H173" s="64" t="n">
        <v>18608467.26229687</v>
      </c>
      <c r="I173" s="64" t="n">
        <v>19135505.52021848</v>
      </c>
      <c r="J173" s="64" t="n">
        <v>17091703.99060891</v>
      </c>
      <c r="K173" s="64" t="n"/>
      <c r="L173" s="64" t="n"/>
      <c r="M173" s="64" t="n"/>
      <c r="N173" s="70">
        <f>SUM(B173:M173)</f>
        <v/>
      </c>
      <c r="P173" s="52">
        <f>I160-I147</f>
        <v/>
      </c>
    </row>
    <row r="174">
      <c r="A174" s="61" t="inlineStr">
        <is>
          <t>ISM / G.18.2.</t>
        </is>
      </c>
      <c r="B174" s="64" t="n">
        <v>-1591258.803422941</v>
      </c>
      <c r="C174" s="64" t="n">
        <v>-1741598.686489607</v>
      </c>
      <c r="D174" s="64" t="n">
        <v>-1727356.390242225</v>
      </c>
      <c r="E174" s="64" t="n">
        <v>-5688665.706018889</v>
      </c>
      <c r="F174" s="64" t="n">
        <v>-6290870.796759022</v>
      </c>
      <c r="G174" s="64" t="n">
        <v>-6275037.598974064</v>
      </c>
      <c r="H174" s="64" t="n">
        <v>-6225219.252636395</v>
      </c>
      <c r="I174" s="64" t="n">
        <v>-6270792.487825449</v>
      </c>
      <c r="J174" s="64" t="n">
        <v>-6388499.320628433</v>
      </c>
      <c r="K174" s="64" t="n"/>
      <c r="L174" s="64" t="n"/>
      <c r="M174" s="64" t="n"/>
      <c r="N174" s="70">
        <f>SUM(B174:M174)</f>
        <v/>
      </c>
      <c r="P174" s="52">
        <f>I161-I148</f>
        <v/>
      </c>
    </row>
    <row r="175">
      <c r="A175" s="61" t="inlineStr">
        <is>
          <t>İncitaş / G.18.3.</t>
        </is>
      </c>
      <c r="B175" s="64" t="n">
        <v>146950.9525499941</v>
      </c>
      <c r="C175" s="64" t="n">
        <v>-123094.523176202</v>
      </c>
      <c r="D175" s="64" t="n">
        <v>224751.5717939457</v>
      </c>
      <c r="E175" s="64" t="n">
        <v>-222507.1342899982</v>
      </c>
      <c r="F175" s="64" t="n">
        <v>-298384.7379133104</v>
      </c>
      <c r="G175" s="64" t="n">
        <v>-211017.6231863956</v>
      </c>
      <c r="H175" s="64" t="n">
        <v>-450782.0257414622</v>
      </c>
      <c r="I175" s="64" t="n">
        <v>-210398.9376472509</v>
      </c>
      <c r="J175" s="64" t="n">
        <v>-178302.1672055731</v>
      </c>
      <c r="K175" s="64" t="n"/>
      <c r="L175" s="64" t="n"/>
      <c r="M175" s="64" t="n"/>
      <c r="N175" s="70">
        <f>SUM(B175:M175)</f>
        <v/>
      </c>
      <c r="P175" s="52">
        <f>I162-I149</f>
        <v/>
      </c>
    </row>
    <row r="176">
      <c r="A176" s="61" t="inlineStr">
        <is>
          <t>İnci GS Yuasa / G.18.4.</t>
        </is>
      </c>
      <c r="B176" s="64" t="n">
        <v>-38457623.4647691</v>
      </c>
      <c r="C176" s="64" t="n">
        <v>-43448365.21251155</v>
      </c>
      <c r="D176" s="64" t="n">
        <v>-40550140.32299671</v>
      </c>
      <c r="E176" s="64" t="n">
        <v>-39130085.35969468</v>
      </c>
      <c r="F176" s="64" t="n">
        <v>-43334402.94823653</v>
      </c>
      <c r="G176" s="64" t="n">
        <v>-48539824.67163381</v>
      </c>
      <c r="H176" s="64" t="n">
        <v>-50895780.89619914</v>
      </c>
      <c r="I176" s="64" t="n">
        <v>-48431774.8706327</v>
      </c>
      <c r="J176" s="64" t="n">
        <v>-51044529.19167215</v>
      </c>
      <c r="K176" s="64" t="n"/>
      <c r="L176" s="64" t="n"/>
      <c r="M176" s="64" t="n"/>
      <c r="N176" s="70">
        <f>SUM(B176:M176)</f>
        <v/>
      </c>
      <c r="P176" s="52">
        <f>I163-I150</f>
        <v/>
      </c>
    </row>
    <row r="177">
      <c r="A177" s="61" t="inlineStr">
        <is>
          <t>Yusen İnci Loj. / G.18.5.</t>
        </is>
      </c>
      <c r="B177" s="64" t="n">
        <v>796564.2551715237</v>
      </c>
      <c r="C177" s="64" t="n">
        <v>645764.4210581566</v>
      </c>
      <c r="D177" s="64" t="n">
        <v>2363380.871900329</v>
      </c>
      <c r="E177" s="64" t="n">
        <v>2506225.653187077</v>
      </c>
      <c r="F177" s="64" t="n">
        <v>1957287.42348195</v>
      </c>
      <c r="G177" s="64" t="n">
        <v>1358723.297946839</v>
      </c>
      <c r="H177" s="64" t="n">
        <v>2382930.274287767</v>
      </c>
      <c r="I177" s="64" t="n">
        <v>2409644.850483738</v>
      </c>
      <c r="J177" s="64" t="n">
        <v>1603079.202391059</v>
      </c>
      <c r="K177" s="64" t="n"/>
      <c r="L177" s="64" t="n"/>
      <c r="M177" s="64" t="n"/>
      <c r="N177" s="70">
        <f>SUM(B177:M177)</f>
        <v/>
      </c>
      <c r="P177" s="52">
        <f>I164-I151</f>
        <v/>
      </c>
    </row>
    <row r="178">
      <c r="A178" s="61" t="inlineStr">
        <is>
          <t>Jantaş / G.18.6.</t>
        </is>
      </c>
      <c r="B178" s="64" t="n">
        <v>8176307.55</v>
      </c>
      <c r="C178" s="64" t="n">
        <v>5105706.58</v>
      </c>
      <c r="D178" s="64" t="n">
        <v>3716834.46</v>
      </c>
      <c r="E178" s="64" t="n">
        <v>5231278.49</v>
      </c>
      <c r="F178" s="64" t="n">
        <v>2386392.87</v>
      </c>
      <c r="G178" s="64" t="n">
        <v>3324160.27</v>
      </c>
      <c r="H178" s="64" t="n">
        <v>6850161.140000001</v>
      </c>
      <c r="I178" s="64" t="n">
        <v>7307009.02</v>
      </c>
      <c r="J178" s="64" t="n">
        <v>8134848</v>
      </c>
      <c r="K178" s="64" t="n"/>
      <c r="L178" s="64" t="n"/>
      <c r="M178" s="64" t="n"/>
      <c r="N178" s="70">
        <f>SUM(B178:M178)</f>
        <v/>
      </c>
      <c r="P178" s="52">
        <f>I165-I152</f>
        <v/>
      </c>
    </row>
    <row r="179">
      <c r="A179" s="61" t="inlineStr">
        <is>
          <t>Çelik / G.18.7.</t>
        </is>
      </c>
      <c r="B179" s="64" t="n">
        <v>15586616.51</v>
      </c>
      <c r="C179" s="64" t="n">
        <v>19661179.25</v>
      </c>
      <c r="D179" s="64" t="n">
        <v>16422110.95</v>
      </c>
      <c r="E179" s="64" t="n">
        <v>13817389.81</v>
      </c>
      <c r="F179" s="64" t="n">
        <v>14923552.49</v>
      </c>
      <c r="G179" s="64" t="n">
        <v>19032801.07</v>
      </c>
      <c r="H179" s="64" t="n">
        <v>12734684.58</v>
      </c>
      <c r="I179" s="64" t="n">
        <v>11336876.7</v>
      </c>
      <c r="J179" s="64" t="n">
        <v>14279442.13</v>
      </c>
      <c r="K179" s="64" t="n"/>
      <c r="L179" s="64" t="n"/>
      <c r="M179" s="64" t="n"/>
      <c r="N179" s="70">
        <f>SUM(B179:M179)</f>
        <v/>
      </c>
      <c r="P179" s="52">
        <f>I166-I153</f>
        <v/>
      </c>
    </row>
    <row r="180">
      <c r="A180" s="61" t="inlineStr">
        <is>
          <t>Alüminyum / G.18.8.</t>
        </is>
      </c>
      <c r="B180" s="64" t="n">
        <v>8173657.81</v>
      </c>
      <c r="C180" s="64" t="n">
        <v>3447860.57</v>
      </c>
      <c r="D180" s="64" t="n">
        <v>17610904.03</v>
      </c>
      <c r="E180" s="64" t="n">
        <v>11873516.38</v>
      </c>
      <c r="F180" s="64" t="n">
        <v>8190844.77</v>
      </c>
      <c r="G180" s="64" t="n">
        <v>13337143.73</v>
      </c>
      <c r="H180" s="64" t="n">
        <v>11806021.47</v>
      </c>
      <c r="I180" s="64" t="n">
        <v>11270507.6</v>
      </c>
      <c r="J180" s="64" t="n">
        <v>11967887.96</v>
      </c>
      <c r="K180" s="64" t="n"/>
      <c r="L180" s="64" t="n"/>
      <c r="M180" s="64" t="n"/>
      <c r="N180" s="70">
        <f>SUM(B180:M180)</f>
        <v/>
      </c>
      <c r="P180" s="52">
        <f>I167-I154</f>
        <v/>
      </c>
    </row>
    <row r="181">
      <c r="A181" s="61" t="inlineStr">
        <is>
          <t>x / G.18.9.</t>
        </is>
      </c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70" t="n"/>
    </row>
    <row r="182">
      <c r="A182" s="61" t="inlineStr">
        <is>
          <t>y / G.18.10.</t>
        </is>
      </c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70" t="n"/>
    </row>
    <row r="183">
      <c r="A183" s="61" t="inlineStr">
        <is>
          <t>35 Venture / G.18.11.</t>
        </is>
      </c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70" t="n"/>
    </row>
    <row r="184">
      <c r="A184" s="61" t="inlineStr">
        <is>
          <t>Vinci / G.18.12.</t>
        </is>
      </c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70" t="n"/>
    </row>
    <row r="185">
      <c r="A185" s="61" t="inlineStr">
        <is>
          <t>Yatırım-EUR / G.19.</t>
        </is>
      </c>
      <c r="B185" s="64">
        <f>SUM(B186:B188)+SUM(B189:B193)*0.4</f>
        <v/>
      </c>
      <c r="C185" s="64">
        <f>SUM(C186:C188)+SUM(C189:C193)*0.4</f>
        <v/>
      </c>
      <c r="D185" s="64">
        <f>SUM(D186:D188)+SUM(D189:D193)*0.4</f>
        <v/>
      </c>
      <c r="E185" s="64">
        <f>SUM(E186:E188)+SUM(E189:E193)*0.4</f>
        <v/>
      </c>
      <c r="F185" s="64">
        <f>SUM(F186:F188)+SUM(F189:F193)*0.4</f>
        <v/>
      </c>
      <c r="G185" s="64">
        <f>SUM(G186:G188)+SUM(G189:G193)*0.4</f>
        <v/>
      </c>
      <c r="H185" s="64">
        <f>SUM(H186:H188)+SUM(H189:H193)*0.4</f>
        <v/>
      </c>
      <c r="I185" s="64">
        <f>SUM(I186:I188)+SUM(I189:I193)*0.4</f>
        <v/>
      </c>
      <c r="J185" s="64">
        <f>SUM(J186:J188)+SUM(J189:J193)*0.4</f>
        <v/>
      </c>
      <c r="K185" s="64">
        <f>SUM(K186:K188)+SUM(K189:K193)*0.4</f>
        <v/>
      </c>
      <c r="L185" s="64">
        <f>SUM(L186:L188)+SUM(L189:L193)*0.4</f>
        <v/>
      </c>
      <c r="M185" s="64">
        <f>SUM(M186:M188)+SUM(M189:M193)*0.4</f>
        <v/>
      </c>
      <c r="N185" s="70">
        <f>SUM(B185:M185)</f>
        <v/>
      </c>
    </row>
    <row r="186">
      <c r="A186" s="61" t="inlineStr">
        <is>
          <t>İnci Holding / G.19.1.</t>
        </is>
      </c>
      <c r="B186" s="130" t="n">
        <v>0</v>
      </c>
      <c r="C186" s="130" t="n">
        <v>410.2607948215497</v>
      </c>
      <c r="D186" s="130" t="n">
        <v>0</v>
      </c>
      <c r="E186" s="130" t="n">
        <v>0</v>
      </c>
      <c r="F186" s="130" t="n">
        <v>0</v>
      </c>
      <c r="G186" s="130" t="n">
        <v>7134.775724613568</v>
      </c>
      <c r="H186" s="64" t="n">
        <v>0</v>
      </c>
      <c r="I186" s="64" t="n">
        <v>0</v>
      </c>
      <c r="J186" s="64" t="n">
        <v>0</v>
      </c>
      <c r="K186" s="64" t="n"/>
      <c r="L186" s="64" t="n"/>
      <c r="M186" s="64" t="n"/>
      <c r="N186" s="70">
        <f>SUM(B186:M186)</f>
        <v/>
      </c>
      <c r="O186" s="52">
        <f>N186-SUM(B186:L186)</f>
        <v/>
      </c>
    </row>
    <row r="187">
      <c r="A187" s="61" t="inlineStr">
        <is>
          <t>ISM / G.19.2.</t>
        </is>
      </c>
      <c r="B187" s="64" t="n">
        <v>53252.05635893635</v>
      </c>
      <c r="C187" s="64" t="n">
        <v>65645.94083992427</v>
      </c>
      <c r="D187" s="64" t="n">
        <v>81363.29983664495</v>
      </c>
      <c r="E187" s="64" t="n">
        <v>59406.17029292329</v>
      </c>
      <c r="F187" s="64" t="n">
        <v>50725.20197815899</v>
      </c>
      <c r="G187" s="64" t="n">
        <v>65019.62491164058</v>
      </c>
      <c r="H187" s="64" t="n">
        <v>50764.06871458703</v>
      </c>
      <c r="I187" s="64" t="n">
        <v>52567.51040335649</v>
      </c>
      <c r="J187" s="64" t="n">
        <v>50745.98736603435</v>
      </c>
      <c r="K187" s="64" t="n"/>
      <c r="L187" s="64" t="n"/>
      <c r="M187" s="64" t="n"/>
      <c r="N187" s="70">
        <f>SUM(B187:M187)</f>
        <v/>
      </c>
      <c r="O187" s="52">
        <f>N187-SUM(B187:L187)</f>
        <v/>
      </c>
    </row>
    <row r="188">
      <c r="A188" s="61" t="inlineStr">
        <is>
          <t>İncitaş / G.19.3.</t>
        </is>
      </c>
      <c r="B188" s="64" t="n">
        <v>0</v>
      </c>
      <c r="C188" s="64" t="n">
        <v>0</v>
      </c>
      <c r="D188" s="64" t="n">
        <v>0</v>
      </c>
      <c r="E188" s="64" t="n">
        <v>0</v>
      </c>
      <c r="F188" s="64" t="n">
        <v>0</v>
      </c>
      <c r="G188" s="64" t="n">
        <v>0</v>
      </c>
      <c r="H188" s="64" t="n">
        <v>0</v>
      </c>
      <c r="I188" s="64" t="n">
        <v>0</v>
      </c>
      <c r="J188" s="64" t="n">
        <v>0</v>
      </c>
      <c r="K188" s="64" t="n"/>
      <c r="L188" s="64" t="n"/>
      <c r="M188" s="64" t="n"/>
      <c r="N188" s="70">
        <f>SUM(B188:M188)</f>
        <v/>
      </c>
      <c r="O188" s="52">
        <f>N188-SUM(B188:L188)</f>
        <v/>
      </c>
    </row>
    <row r="189">
      <c r="A189" s="61" t="inlineStr">
        <is>
          <t>İnci GS Yuasa / G.19.4.</t>
        </is>
      </c>
      <c r="B189" s="64" t="n">
        <v>179430.8001435948</v>
      </c>
      <c r="C189" s="64" t="n">
        <v>92513.50346586567</v>
      </c>
      <c r="D189" s="64" t="n">
        <v>166931.4097750751</v>
      </c>
      <c r="E189" s="64" t="n">
        <v>0</v>
      </c>
      <c r="F189" s="64" t="n">
        <v>0</v>
      </c>
      <c r="G189" s="64" t="n">
        <v>0</v>
      </c>
      <c r="H189" s="64" t="n">
        <v>0</v>
      </c>
      <c r="I189" s="64" t="n">
        <v>720963.55453987</v>
      </c>
      <c r="J189" s="64" t="n">
        <v>267455.9070047447</v>
      </c>
      <c r="K189" s="64" t="n"/>
      <c r="L189" s="64" t="n"/>
      <c r="M189" s="64" t="n"/>
      <c r="N189" s="70">
        <f>SUM(B189:M189)</f>
        <v/>
      </c>
      <c r="O189" s="52">
        <f>N189-SUM(B189:L189)</f>
        <v/>
      </c>
    </row>
    <row r="190">
      <c r="A190" s="61" t="inlineStr">
        <is>
          <t>Yusen İnci Loj. / G.19.5.</t>
        </is>
      </c>
      <c r="B190" s="64" t="n">
        <v>112475.8565550208</v>
      </c>
      <c r="C190" s="64" t="n">
        <v>106041.1319097056</v>
      </c>
      <c r="D190" s="64" t="n">
        <v>333927.8513792895</v>
      </c>
      <c r="E190" s="64" t="n">
        <v>31662.42017917111</v>
      </c>
      <c r="F190" s="64" t="n">
        <v>29497.47869535319</v>
      </c>
      <c r="G190" s="64" t="n">
        <v>106308.1728897272</v>
      </c>
      <c r="H190" s="64" t="n">
        <v>373105.6706256664</v>
      </c>
      <c r="I190" s="64" t="n">
        <v>12172.61754594331</v>
      </c>
      <c r="J190" s="64" t="n">
        <v>61132.34363476317</v>
      </c>
      <c r="K190" s="64" t="n"/>
      <c r="L190" s="64" t="n"/>
      <c r="M190" s="64" t="n"/>
      <c r="N190" s="70">
        <f>SUM(B190:M190)</f>
        <v/>
      </c>
      <c r="O190" s="52">
        <f>N190-SUM(B190:L190)</f>
        <v/>
      </c>
    </row>
    <row r="191">
      <c r="A191" s="61" t="inlineStr">
        <is>
          <t>Jantaş / G.19.6.</t>
        </is>
      </c>
      <c r="B191" s="64" t="n">
        <v>126976.17</v>
      </c>
      <c r="C191" s="64" t="n">
        <v>45072.26817099998</v>
      </c>
      <c r="D191" s="64" t="n">
        <v>25424.38059900003</v>
      </c>
      <c r="E191" s="64" t="n">
        <v>248423.153722</v>
      </c>
      <c r="F191" s="64" t="n">
        <v>268609.793999</v>
      </c>
      <c r="G191" s="64" t="n">
        <v>196786.098934</v>
      </c>
      <c r="H191" s="64" t="n">
        <v>-95078.01481399999</v>
      </c>
      <c r="I191" s="64" t="n">
        <v>1310961.729389</v>
      </c>
      <c r="J191" s="64" t="n">
        <v>295406.8199999998</v>
      </c>
      <c r="K191" s="64" t="n"/>
      <c r="L191" s="64" t="n"/>
      <c r="M191" s="64" t="n"/>
      <c r="N191" s="70">
        <f>SUM(B191:M191)</f>
        <v/>
      </c>
      <c r="O191" s="52">
        <f>N191-SUM(B191:L191)</f>
        <v/>
      </c>
    </row>
    <row r="192">
      <c r="A192" s="61" t="inlineStr">
        <is>
          <t>Çelik / G.19.7.</t>
        </is>
      </c>
      <c r="B192" s="64" t="n">
        <v>9435.450000000001</v>
      </c>
      <c r="C192" s="64" t="n">
        <v>20371.95</v>
      </c>
      <c r="D192" s="64" t="n">
        <v>5431.965532000002</v>
      </c>
      <c r="E192" s="64" t="n">
        <v>3212165.059141</v>
      </c>
      <c r="F192" s="64" t="n">
        <v>1498202.791952</v>
      </c>
      <c r="G192" s="64" t="n">
        <v>459659.4449999994</v>
      </c>
      <c r="H192" s="64" t="n">
        <v>-4568188.734235</v>
      </c>
      <c r="I192" s="64" t="n">
        <v>153333.275376</v>
      </c>
      <c r="J192" s="64" t="n">
        <v>250000</v>
      </c>
      <c r="K192" s="64" t="n"/>
      <c r="L192" s="64" t="n"/>
      <c r="M192" s="64" t="n"/>
      <c r="N192" s="70">
        <f>SUM(B192:M192)</f>
        <v/>
      </c>
      <c r="O192" s="52">
        <f>N192-SUM(B192:L192)</f>
        <v/>
      </c>
    </row>
    <row r="193">
      <c r="A193" s="61" t="inlineStr">
        <is>
          <t>Alüminyum / G.19.8.</t>
        </is>
      </c>
      <c r="B193" s="64" t="n">
        <v>101850.57</v>
      </c>
      <c r="C193" s="64" t="n">
        <v>68531.44999999998</v>
      </c>
      <c r="D193" s="64" t="n">
        <v>155508.17</v>
      </c>
      <c r="E193" s="64" t="n">
        <v>821134.8200000002</v>
      </c>
      <c r="F193" s="64" t="n">
        <v>256688.1000000001</v>
      </c>
      <c r="G193" s="64" t="n">
        <v>104766.4099999999</v>
      </c>
      <c r="H193" s="64" t="n">
        <v>125199.869277</v>
      </c>
      <c r="I193" s="64" t="n">
        <v>292614.415001</v>
      </c>
      <c r="J193" s="64" t="n">
        <v>195282.756479</v>
      </c>
      <c r="K193" s="64" t="n"/>
      <c r="L193" s="64" t="n"/>
      <c r="M193" s="64" t="n"/>
      <c r="N193" s="70">
        <f>SUM(B193:M193)</f>
        <v/>
      </c>
      <c r="O193" s="52">
        <f>N193-SUM(B193:L193)</f>
        <v/>
      </c>
    </row>
    <row r="194">
      <c r="A194" s="61" t="inlineStr">
        <is>
          <t>x / G.19.9.</t>
        </is>
      </c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70" t="n"/>
    </row>
    <row r="195">
      <c r="A195" s="61" t="inlineStr">
        <is>
          <t>y / G.19.10.</t>
        </is>
      </c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71" t="n"/>
    </row>
    <row r="197">
      <c r="K197" t="n">
        <v>29.538</v>
      </c>
      <c r="L197" t="n">
        <v>29.97</v>
      </c>
      <c r="M197" t="n">
        <v>30.348</v>
      </c>
    </row>
    <row r="198">
      <c r="B198" t="n">
        <v>207024.94</v>
      </c>
      <c r="C198" t="n">
        <v>94770.78999999998</v>
      </c>
      <c r="D198" t="n">
        <v>202903.62</v>
      </c>
      <c r="E198" t="n">
        <v>231037.62</v>
      </c>
      <c r="F198" t="n">
        <v>296743.89</v>
      </c>
      <c r="G198" t="n">
        <v>564587.84</v>
      </c>
      <c r="H198" t="n">
        <v>377027.315681</v>
      </c>
      <c r="I198" t="n">
        <v>254555.5243190001</v>
      </c>
      <c r="J198" t="n">
        <v>557927.0783509999</v>
      </c>
      <c r="K198" t="n">
        <v>737807.1272163334</v>
      </c>
      <c r="L198" t="n">
        <v>737807.1272163334</v>
      </c>
      <c r="M198" t="n">
        <v>737807.1272163334</v>
      </c>
    </row>
    <row r="199">
      <c r="B199" s="94">
        <f>B198*B3</f>
        <v/>
      </c>
      <c r="C199" s="94">
        <f>C198*C3</f>
        <v/>
      </c>
      <c r="D199" s="94">
        <f>D198*D3</f>
        <v/>
      </c>
      <c r="E199" s="94">
        <f>E198*E3</f>
        <v/>
      </c>
      <c r="F199" s="94">
        <f>F198*F3</f>
        <v/>
      </c>
      <c r="G199" s="94">
        <f>G198*G3</f>
        <v/>
      </c>
      <c r="H199" s="94">
        <f>H198*H3</f>
        <v/>
      </c>
      <c r="I199" s="94">
        <f>I198*I3</f>
        <v/>
      </c>
      <c r="J199" s="94">
        <f>J198*J3</f>
        <v/>
      </c>
      <c r="K199" s="94">
        <f>K198*K197</f>
        <v/>
      </c>
      <c r="L199" s="94">
        <f>L198*L197</f>
        <v/>
      </c>
      <c r="M199" s="94">
        <f>M198*M197</f>
        <v/>
      </c>
    </row>
    <row r="201">
      <c r="K201">
        <f>K198/3</f>
        <v/>
      </c>
    </row>
    <row r="205">
      <c r="G205">
        <f>'gerç aylık-tl'!G60/'gerç aylık-eur'!G60</f>
        <v/>
      </c>
    </row>
    <row r="206">
      <c r="G206">
        <f>'gerç aylık-tl'!G61/'gerç aylık-eur'!G61</f>
        <v/>
      </c>
    </row>
    <row r="207">
      <c r="G207">
        <f>'gerç aylık-tl'!G62/'gerç aylık-eur'!G62</f>
        <v/>
      </c>
    </row>
    <row r="208">
      <c r="G208">
        <f>'gerç aylık-tl'!G63/'gerç aylık-eur'!G63</f>
        <v/>
      </c>
    </row>
    <row r="209">
      <c r="G209">
        <f>'gerç aylık-tl'!G64/'gerç aylık-eur'!G64</f>
        <v/>
      </c>
    </row>
    <row r="210">
      <c r="G210">
        <f>'gerç aylık-tl'!G65/'gerç aylık-eur'!G65</f>
        <v/>
      </c>
    </row>
    <row r="211">
      <c r="G211">
        <f>'gerç aylık-tl'!G66/'gerç aylık-eur'!G66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0070C0"/>
    <outlinePr summaryBelow="1" summaryRight="1"/>
    <pageSetUpPr/>
  </sheetPr>
  <dimension ref="A1:X195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baseColWidth="8" defaultRowHeight="14.5"/>
  <cols>
    <col width="28.453125" bestFit="1" customWidth="1" min="1" max="1"/>
    <col width="15.453125" bestFit="1" customWidth="1" min="2" max="8"/>
    <col width="14.7265625" bestFit="1" customWidth="1" min="9" max="11"/>
    <col width="15.453125" bestFit="1" customWidth="1" min="12" max="13"/>
    <col width="14.1796875" bestFit="1" customWidth="1" min="14" max="14"/>
    <col width="13.453125" bestFit="1" customWidth="1" min="16" max="16"/>
    <col width="14.26953125" bestFit="1" customWidth="1" min="17" max="17"/>
  </cols>
  <sheetData>
    <row r="1">
      <c r="A1" s="60" t="inlineStr">
        <is>
          <t>Takvim yılı / takvim ayı</t>
        </is>
      </c>
      <c r="B1" s="61" t="inlineStr">
        <is>
          <t>OCK 2025</t>
        </is>
      </c>
      <c r="C1" s="61" t="inlineStr">
        <is>
          <t>ŞBT 2025</t>
        </is>
      </c>
      <c r="D1" s="61" t="inlineStr">
        <is>
          <t>MAR 2025</t>
        </is>
      </c>
      <c r="E1" s="61" t="inlineStr">
        <is>
          <t>NİS 2025</t>
        </is>
      </c>
      <c r="F1" s="61" t="inlineStr">
        <is>
          <t>MAY 2025</t>
        </is>
      </c>
      <c r="G1" s="61" t="inlineStr">
        <is>
          <t>HAZ 2025</t>
        </is>
      </c>
      <c r="H1" s="61" t="inlineStr">
        <is>
          <t>TEM 2025</t>
        </is>
      </c>
      <c r="I1" s="61" t="inlineStr">
        <is>
          <t>AGU 2025</t>
        </is>
      </c>
      <c r="J1" s="61" t="inlineStr">
        <is>
          <t>EYL 2025</t>
        </is>
      </c>
      <c r="K1" s="61" t="inlineStr">
        <is>
          <t>EKM 2025</t>
        </is>
      </c>
      <c r="L1" s="61" t="inlineStr">
        <is>
          <t>KSM 2025</t>
        </is>
      </c>
      <c r="M1" s="61" t="inlineStr">
        <is>
          <t>ARL 2025</t>
        </is>
      </c>
      <c r="N1" s="68" t="inlineStr">
        <is>
          <t>Toplam sonuç</t>
        </is>
      </c>
    </row>
    <row r="2">
      <c r="A2" s="61" t="inlineStr">
        <is>
          <t>Eur Kuru-kapanış / G.1.1.</t>
        </is>
      </c>
      <c r="B2" s="509">
        <f>'gerç aylık-eur'!B2</f>
        <v/>
      </c>
      <c r="C2" s="509">
        <f>'gerç aylık-eur'!C2</f>
        <v/>
      </c>
      <c r="D2" s="509">
        <f>'gerç aylık-eur'!D2</f>
        <v/>
      </c>
      <c r="E2" s="509">
        <f>'gerç aylık-eur'!E2</f>
        <v/>
      </c>
      <c r="F2" s="509">
        <f>'gerç aylık-eur'!F2</f>
        <v/>
      </c>
      <c r="G2" s="509">
        <f>'gerç aylık-eur'!G2</f>
        <v/>
      </c>
      <c r="H2" s="509">
        <f>'gerç aylık-eur'!H2</f>
        <v/>
      </c>
      <c r="I2" s="509">
        <f>'gerç aylık-eur'!I2</f>
        <v/>
      </c>
      <c r="J2" s="509">
        <f>'gerç aylık-eur'!J2</f>
        <v/>
      </c>
      <c r="K2" s="509">
        <f>'gerç aylık-eur'!K2</f>
        <v/>
      </c>
      <c r="L2" s="509">
        <f>'gerç aylık-eur'!L2</f>
        <v/>
      </c>
      <c r="M2" s="509">
        <f>'gerç aylık-eur'!M2</f>
        <v/>
      </c>
      <c r="N2" s="547" t="n"/>
    </row>
    <row r="3">
      <c r="A3" s="61" t="inlineStr">
        <is>
          <t>Eur Kuru-ortalama / G.1.2.</t>
        </is>
      </c>
      <c r="B3" s="509">
        <f>'gerç aylık-eur'!B3</f>
        <v/>
      </c>
      <c r="C3" s="509">
        <f>'gerç aylık-eur'!C3</f>
        <v/>
      </c>
      <c r="D3" s="509">
        <f>'gerç aylık-eur'!D3</f>
        <v/>
      </c>
      <c r="E3" s="509">
        <f>'gerç aylık-eur'!E3</f>
        <v/>
      </c>
      <c r="F3" s="509">
        <f>'gerç aylık-eur'!F3</f>
        <v/>
      </c>
      <c r="G3" s="509">
        <f>'gerç aylık-eur'!G3</f>
        <v/>
      </c>
      <c r="H3" s="509">
        <f>'gerç aylık-eur'!H3</f>
        <v/>
      </c>
      <c r="I3" s="509">
        <f>'gerç aylık-eur'!I3</f>
        <v/>
      </c>
      <c r="J3" s="509">
        <f>'gerç aylık-eur'!J3</f>
        <v/>
      </c>
      <c r="K3" s="509">
        <f>'gerç aylık-eur'!K3</f>
        <v/>
      </c>
      <c r="L3" s="509">
        <f>'gerç aylık-eur'!L3</f>
        <v/>
      </c>
      <c r="M3" s="509">
        <f>'gerç aylık-eur'!M3</f>
        <v/>
      </c>
      <c r="N3" s="547" t="n"/>
    </row>
    <row r="4">
      <c r="A4" s="61" t="inlineStr">
        <is>
          <t>Net Satışlar-TL / G.1.</t>
        </is>
      </c>
      <c r="B4" s="64">
        <f>SUM(B5:B7)+SUM(B8:B12)*0.4</f>
        <v/>
      </c>
      <c r="C4" s="64">
        <f>SUM(C5:C7)+SUM(C8:C12)*0.4</f>
        <v/>
      </c>
      <c r="D4" s="64">
        <f>SUM(D5:D7)+SUM(D8:D12)*0.4</f>
        <v/>
      </c>
      <c r="E4" s="64">
        <f>SUM(E5:E7)+SUM(E8:E12)*0.4</f>
        <v/>
      </c>
      <c r="F4" s="64">
        <f>SUM(F5:F7)+SUM(F8:F12)*0.4</f>
        <v/>
      </c>
      <c r="G4" s="64">
        <f>SUM(G5:G7)+SUM(G8:G12)*0.4</f>
        <v/>
      </c>
      <c r="H4" s="64">
        <f>SUM(H5:H7)+SUM(H8:H12)*0.4</f>
        <v/>
      </c>
      <c r="I4" s="64">
        <f>SUM(I5:I7)+SUM(I8:I12)*0.4</f>
        <v/>
      </c>
      <c r="J4" s="64">
        <f>SUM(J5:J7)+SUM(J8:J12)*0.4</f>
        <v/>
      </c>
      <c r="K4" s="64">
        <f>SUM(K5:K7)+SUM(K8:K12)*0.4</f>
        <v/>
      </c>
      <c r="L4" s="64">
        <f>SUM(L5:L7)+SUM(L8:L12)*0.4</f>
        <v/>
      </c>
      <c r="M4" s="64">
        <f>SUM(M5:M7)+SUM(M8:M12)*0.4</f>
        <v/>
      </c>
      <c r="N4" s="70">
        <f>SUM(B4:M4)</f>
        <v/>
      </c>
    </row>
    <row r="5">
      <c r="A5" s="61" t="inlineStr">
        <is>
          <t>İnci Holding / G.1.1.</t>
        </is>
      </c>
      <c r="B5" s="23" t="n">
        <v>27685618.76</v>
      </c>
      <c r="C5" s="23" t="n">
        <v>27240937.43</v>
      </c>
      <c r="D5" s="23" t="n">
        <v>31535255.79</v>
      </c>
      <c r="E5" s="23" t="n">
        <v>29402553.02</v>
      </c>
      <c r="F5" s="23" t="n">
        <v>33960256.9</v>
      </c>
      <c r="G5" s="23" t="n">
        <v>30228396.75</v>
      </c>
      <c r="H5" s="23" t="n">
        <v>34244104.31</v>
      </c>
      <c r="I5" s="23" t="n">
        <v>28560673.09</v>
      </c>
      <c r="J5" s="23" t="n">
        <v>38184861.78</v>
      </c>
      <c r="K5" s="23" t="n"/>
      <c r="L5" s="23" t="n"/>
      <c r="M5" s="23" t="n"/>
      <c r="N5" s="70">
        <f>SUM(B5:M5)</f>
        <v/>
      </c>
    </row>
    <row r="6">
      <c r="A6" s="61" t="inlineStr">
        <is>
          <t>ISM / G.1.2.</t>
        </is>
      </c>
      <c r="B6" s="23" t="n">
        <v>32357755.79</v>
      </c>
      <c r="C6" s="23" t="n">
        <v>35193652.34</v>
      </c>
      <c r="D6" s="23" t="n">
        <v>27740792.986952</v>
      </c>
      <c r="E6" s="23" t="n">
        <v>19929064.65</v>
      </c>
      <c r="F6" s="23" t="n">
        <v>30761832.024137</v>
      </c>
      <c r="G6" s="23" t="n">
        <v>28657698.271555</v>
      </c>
      <c r="H6" s="23" t="n">
        <v>32542328.115863</v>
      </c>
      <c r="I6" s="23" t="n">
        <v>23673542.793625</v>
      </c>
      <c r="J6" s="23" t="n">
        <v>21918891.565493</v>
      </c>
      <c r="K6" s="23" t="n"/>
      <c r="L6" s="23" t="n"/>
      <c r="M6" s="23" t="n"/>
      <c r="N6" s="70">
        <f>SUM(B6:M6)</f>
        <v/>
      </c>
    </row>
    <row r="7">
      <c r="A7" s="61" t="inlineStr">
        <is>
          <t>İncitaş / G.1.3.</t>
        </is>
      </c>
      <c r="B7" s="23" t="n">
        <v>35513406</v>
      </c>
      <c r="C7" s="23" t="n">
        <v>39038405.44</v>
      </c>
      <c r="D7" s="23" t="n">
        <v>60533764.22</v>
      </c>
      <c r="E7" s="23" t="n">
        <v>53992372.09</v>
      </c>
      <c r="F7" s="23" t="n">
        <v>32613902.63</v>
      </c>
      <c r="G7" s="23" t="n">
        <v>40687120</v>
      </c>
      <c r="H7" s="23" t="n">
        <v>43498745.083</v>
      </c>
      <c r="I7" s="23" t="n">
        <v>39339382.658</v>
      </c>
      <c r="J7" s="23" t="n">
        <v>43053392</v>
      </c>
      <c r="K7" s="23" t="n"/>
      <c r="L7" s="23" t="n"/>
      <c r="M7" s="23" t="n"/>
      <c r="N7" s="70">
        <f>SUM(B7:M7)</f>
        <v/>
      </c>
    </row>
    <row r="8">
      <c r="A8" s="61" t="inlineStr">
        <is>
          <t>İnci GS Yuasa / G.1.4.</t>
        </is>
      </c>
      <c r="B8" s="23" t="n">
        <v>782938063.392722</v>
      </c>
      <c r="C8" s="23" t="n">
        <v>568538272.476598</v>
      </c>
      <c r="D8" s="23" t="n">
        <v>508107712.360391</v>
      </c>
      <c r="E8" s="23" t="n">
        <v>530641674.386563</v>
      </c>
      <c r="F8" s="23" t="n">
        <v>622131820.504581</v>
      </c>
      <c r="G8" s="23" t="n">
        <v>392537865.8945109</v>
      </c>
      <c r="H8" s="23" t="n">
        <v>768493134.594257</v>
      </c>
      <c r="I8" s="23" t="n">
        <v>676204104.310071</v>
      </c>
      <c r="J8" s="23" t="n">
        <v>520131339.975741</v>
      </c>
      <c r="K8" s="23" t="n"/>
      <c r="L8" s="23" t="n"/>
      <c r="M8" s="23" t="n"/>
      <c r="N8" s="70">
        <f>SUM(B8:M8)</f>
        <v/>
      </c>
    </row>
    <row r="9">
      <c r="A9" s="61" t="inlineStr">
        <is>
          <t>Yusen İnci Loj. / G.1.5.</t>
        </is>
      </c>
      <c r="B9" s="23" t="n">
        <v>220670632.92</v>
      </c>
      <c r="C9" s="23" t="n">
        <v>213814573.56</v>
      </c>
      <c r="D9" s="23" t="n">
        <v>256039547.94408</v>
      </c>
      <c r="E9" s="23" t="n">
        <v>217190611.34</v>
      </c>
      <c r="F9" s="23" t="n">
        <v>245295850.73</v>
      </c>
      <c r="G9" s="23" t="n">
        <v>197850836.74</v>
      </c>
      <c r="H9" s="23" t="n">
        <v>248473969.84</v>
      </c>
      <c r="I9" s="23" t="n">
        <v>216259699.13</v>
      </c>
      <c r="J9" s="23" t="n">
        <v>261201150.179999</v>
      </c>
      <c r="K9" s="23" t="n"/>
      <c r="L9" s="23" t="n"/>
      <c r="M9" s="23" t="n"/>
      <c r="N9" s="70">
        <f>SUM(B9:M9)</f>
        <v/>
      </c>
    </row>
    <row r="10">
      <c r="A10" s="61" t="inlineStr">
        <is>
          <t>Jantaş / G.1.6.</t>
        </is>
      </c>
      <c r="B10" s="23" t="n">
        <v>425797958.9920981</v>
      </c>
      <c r="C10" s="23" t="n">
        <v>433764461.2390692</v>
      </c>
      <c r="D10" s="23" t="n">
        <v>495059691.9563943</v>
      </c>
      <c r="E10" s="23" t="n">
        <v>516055035.604424</v>
      </c>
      <c r="F10" s="23" t="n">
        <v>552264529.5016977</v>
      </c>
      <c r="G10" s="23" t="n">
        <v>564304126.5573187</v>
      </c>
      <c r="H10" s="23" t="n">
        <v>505302493.3536491</v>
      </c>
      <c r="I10" s="23" t="n">
        <v>452429420.2870538</v>
      </c>
      <c r="J10" s="23" t="n">
        <v>571097340.5325933</v>
      </c>
      <c r="K10" s="23" t="n"/>
      <c r="L10" s="23" t="n"/>
      <c r="M10" s="23" t="n"/>
      <c r="N10" s="70">
        <f>SUM(B10:M10)</f>
        <v/>
      </c>
    </row>
    <row r="11">
      <c r="A11" s="61" t="inlineStr">
        <is>
          <t>Çelik / G.1.7.</t>
        </is>
      </c>
      <c r="B11" s="23" t="n">
        <v>287297253.8614369</v>
      </c>
      <c r="C11" s="23" t="n">
        <v>328159694.0726437</v>
      </c>
      <c r="D11" s="23" t="n">
        <v>356633680.5471776</v>
      </c>
      <c r="E11" s="23" t="n">
        <v>374518592.5471342</v>
      </c>
      <c r="F11" s="23" t="n">
        <v>353121421.8643426</v>
      </c>
      <c r="G11" s="23" t="n">
        <v>327589214.1431664</v>
      </c>
      <c r="H11" s="23" t="n">
        <v>377541295.7669595</v>
      </c>
      <c r="I11" s="23" t="n">
        <v>306178248.9420323</v>
      </c>
      <c r="J11" s="23" t="n">
        <v>463530310.1912234</v>
      </c>
      <c r="K11" s="23" t="n"/>
      <c r="L11" s="23" t="n"/>
      <c r="M11" s="23" t="n"/>
      <c r="N11" s="70">
        <f>SUM(B11:M11)</f>
        <v/>
      </c>
    </row>
    <row r="12">
      <c r="A12" s="61" t="inlineStr">
        <is>
          <t>Alüminyum / G.1.8.</t>
        </is>
      </c>
      <c r="B12" s="23" t="n">
        <v>815213890.7334557</v>
      </c>
      <c r="C12" s="23" t="n">
        <v>747132321.4488528</v>
      </c>
      <c r="D12" s="23" t="n">
        <v>876336398.0174598</v>
      </c>
      <c r="E12" s="23" t="n">
        <v>941323925.2354389</v>
      </c>
      <c r="F12" s="23" t="n">
        <v>1070563806.190391</v>
      </c>
      <c r="G12" s="23" t="n">
        <v>950589047.4023529</v>
      </c>
      <c r="H12" s="23" t="n">
        <v>1014728187.644479</v>
      </c>
      <c r="I12" s="23" t="n">
        <v>712482224.6302886</v>
      </c>
      <c r="J12" s="23" t="n">
        <v>1086765051.085506</v>
      </c>
      <c r="K12" s="23" t="n"/>
      <c r="L12" s="23" t="n"/>
      <c r="M12" s="23" t="n"/>
      <c r="N12" s="70">
        <f>SUM(B12:M12)</f>
        <v/>
      </c>
    </row>
    <row r="13">
      <c r="A13" s="61" t="inlineStr">
        <is>
          <t>x / G.1.9.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70" t="n"/>
    </row>
    <row r="14">
      <c r="A14" s="61" t="inlineStr">
        <is>
          <t>y / G.1.10.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70" t="n"/>
    </row>
    <row r="15">
      <c r="A15" s="61" t="inlineStr">
        <is>
          <t>SMM-TL / G.2.</t>
        </is>
      </c>
      <c r="B15" s="23">
        <f>SUM(B16:B18)+SUM(B19:B23)*0.4</f>
        <v/>
      </c>
      <c r="C15" s="23">
        <f>SUM(C16:C18)+SUM(C19:C23)*0.4</f>
        <v/>
      </c>
      <c r="D15" s="23">
        <f>SUM(D16:D18)+SUM(D19:D23)*0.4</f>
        <v/>
      </c>
      <c r="E15" s="23">
        <f>SUM(E16:E18)+SUM(E19:E23)*0.4</f>
        <v/>
      </c>
      <c r="F15" s="23">
        <f>SUM(F16:F18)+SUM(F19:F23)*0.4</f>
        <v/>
      </c>
      <c r="G15" s="23">
        <f>SUM(G16:G18)+SUM(G19:G23)*0.4</f>
        <v/>
      </c>
      <c r="H15" s="23">
        <f>SUM(H16:H18)+SUM(H19:H23)*0.4</f>
        <v/>
      </c>
      <c r="I15" s="23">
        <f>SUM(I16:I18)+SUM(I19:I23)*0.4</f>
        <v/>
      </c>
      <c r="J15" s="23">
        <f>SUM(J16:J18)+SUM(J19:J23)*0.4</f>
        <v/>
      </c>
      <c r="K15" s="23">
        <f>SUM(K16:K18)+SUM(K19:K23)*0.4</f>
        <v/>
      </c>
      <c r="L15" s="23">
        <f>SUM(L16:L18)+SUM(L19:L23)*0.4</f>
        <v/>
      </c>
      <c r="M15" s="23">
        <f>SUM(M16:M18)+SUM(M19:M23)*0.4</f>
        <v/>
      </c>
      <c r="N15" s="70">
        <f>SUM(B15:M15)</f>
        <v/>
      </c>
    </row>
    <row r="16">
      <c r="A16" s="61" t="inlineStr">
        <is>
          <t>İnci Holding / G.2.1.</t>
        </is>
      </c>
      <c r="B16" s="23" t="n">
        <v>0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/>
      <c r="L16" s="23" t="n"/>
      <c r="M16" s="23" t="n"/>
      <c r="N16" s="70">
        <f>SUM(B16:M16)</f>
        <v/>
      </c>
    </row>
    <row r="17">
      <c r="A17" s="61" t="inlineStr">
        <is>
          <t>ISM / G.2.2.</t>
        </is>
      </c>
      <c r="B17" s="23" t="n">
        <v>-28145427.663505</v>
      </c>
      <c r="C17" s="23" t="n">
        <v>-27637679.955737</v>
      </c>
      <c r="D17" s="23" t="n">
        <v>-20405832.244677</v>
      </c>
      <c r="E17" s="23" t="n">
        <v>-14859398.46407</v>
      </c>
      <c r="F17" s="23" t="n">
        <v>-23048734.322161</v>
      </c>
      <c r="G17" s="23" t="n">
        <v>-20451302.711984</v>
      </c>
      <c r="H17" s="23" t="n">
        <v>-23495814.94</v>
      </c>
      <c r="I17" s="23" t="n">
        <v>-17601703.486033</v>
      </c>
      <c r="J17" s="23" t="n">
        <v>-16906119.841514</v>
      </c>
      <c r="K17" s="23" t="n"/>
      <c r="L17" s="23" t="n"/>
      <c r="M17" s="23" t="n"/>
      <c r="N17" s="70">
        <f>SUM(B17:M17)</f>
        <v/>
      </c>
    </row>
    <row r="18">
      <c r="A18" s="61" t="inlineStr">
        <is>
          <t>İncitaş / G.2.3.</t>
        </is>
      </c>
      <c r="B18" s="23" t="n">
        <v>-29799025.01</v>
      </c>
      <c r="C18" s="23" t="n">
        <v>-33355665.67</v>
      </c>
      <c r="D18" s="23" t="n">
        <v>-53126185.16</v>
      </c>
      <c r="E18" s="23" t="n">
        <v>-47001658.44</v>
      </c>
      <c r="F18" s="23" t="n">
        <v>-25833389.53</v>
      </c>
      <c r="G18" s="23" t="n">
        <v>-34239881</v>
      </c>
      <c r="H18" s="23" t="n">
        <v>-35406733.21</v>
      </c>
      <c r="I18" s="23" t="n">
        <v>-33172102.4</v>
      </c>
      <c r="J18" s="23" t="n">
        <v>-34819707.12</v>
      </c>
      <c r="K18" s="23" t="n"/>
      <c r="L18" s="23" t="n"/>
      <c r="M18" s="23" t="n"/>
      <c r="N18" s="70">
        <f>SUM(B18:M18)</f>
        <v/>
      </c>
    </row>
    <row r="19">
      <c r="A19" s="61" t="inlineStr">
        <is>
          <t>İnci GS Yuasa / G.2.4.</t>
        </is>
      </c>
      <c r="B19" s="23" t="n">
        <v>-666190015.047032</v>
      </c>
      <c r="C19" s="23" t="n">
        <v>-459718299.602784</v>
      </c>
      <c r="D19" s="23" t="n">
        <v>-438170602.691049</v>
      </c>
      <c r="E19" s="23" t="n">
        <v>-472543625.135439</v>
      </c>
      <c r="F19" s="23" t="n">
        <v>-545847960.834016</v>
      </c>
      <c r="G19" s="23" t="n">
        <v>-352697394.242792</v>
      </c>
      <c r="H19" s="23" t="n">
        <v>-710616409.284062</v>
      </c>
      <c r="I19" s="23" t="n">
        <v>-564060295.86965</v>
      </c>
      <c r="J19" s="23" t="n">
        <v>-440498387.943268</v>
      </c>
      <c r="K19" s="23" t="n"/>
      <c r="L19" s="23" t="n"/>
      <c r="M19" s="23" t="n"/>
      <c r="N19" s="70">
        <f>SUM(B19:M19)</f>
        <v/>
      </c>
    </row>
    <row r="20">
      <c r="A20" s="61" t="inlineStr">
        <is>
          <t>Yusen İnci Loj. / G.2.5.</t>
        </is>
      </c>
      <c r="B20" s="23" t="n">
        <v>-176362588.123723</v>
      </c>
      <c r="C20" s="23" t="n">
        <v>-164018741.737308</v>
      </c>
      <c r="D20" s="23" t="n">
        <v>-208744127.589305</v>
      </c>
      <c r="E20" s="23" t="n">
        <v>-176072076.216287</v>
      </c>
      <c r="F20" s="23" t="n">
        <v>-190890318.036138</v>
      </c>
      <c r="G20" s="23" t="n">
        <v>-154659360.078965</v>
      </c>
      <c r="H20" s="23" t="n">
        <v>-197030848.589447</v>
      </c>
      <c r="I20" s="23" t="n">
        <v>-163807983.368962</v>
      </c>
      <c r="J20" s="23" t="n">
        <v>-204016322.431611</v>
      </c>
      <c r="K20" s="23" t="n"/>
      <c r="L20" s="23" t="n"/>
      <c r="M20" s="23" t="n"/>
      <c r="N20" s="70">
        <f>SUM(B20:M20)</f>
        <v/>
      </c>
    </row>
    <row r="21">
      <c r="A21" s="61" t="inlineStr">
        <is>
          <t>Jantaş / G.2.6.</t>
        </is>
      </c>
      <c r="B21" s="23" t="n">
        <v>-374585522.1853939</v>
      </c>
      <c r="C21" s="23" t="n">
        <v>-355948727.9152973</v>
      </c>
      <c r="D21" s="23" t="n">
        <v>-399311973.0171059</v>
      </c>
      <c r="E21" s="23" t="n">
        <v>-419492967.6327769</v>
      </c>
      <c r="F21" s="23" t="n">
        <v>-447779191.9626552</v>
      </c>
      <c r="G21" s="23" t="n">
        <v>-463117633.3511147</v>
      </c>
      <c r="H21" s="23" t="n">
        <v>-409545085.0975074</v>
      </c>
      <c r="I21" s="23" t="n">
        <v>-380473959.5547864</v>
      </c>
      <c r="J21" s="23" t="n">
        <v>-424774954.6734622</v>
      </c>
      <c r="K21" s="23" t="n"/>
      <c r="L21" s="23" t="n"/>
      <c r="M21" s="23" t="n"/>
      <c r="N21" s="70">
        <f>SUM(B21:M21)</f>
        <v/>
      </c>
    </row>
    <row r="22">
      <c r="A22" s="61" t="inlineStr">
        <is>
          <t>Çelik / G.2.7.</t>
        </is>
      </c>
      <c r="B22" s="23" t="n">
        <v>-222371738.2262859</v>
      </c>
      <c r="C22" s="23" t="n">
        <v>-236616864.5377328</v>
      </c>
      <c r="D22" s="23" t="n">
        <v>-265758520.0987433</v>
      </c>
      <c r="E22" s="23" t="n">
        <v>-258686527.350647</v>
      </c>
      <c r="F22" s="23" t="n">
        <v>-259743178.6758602</v>
      </c>
      <c r="G22" s="23" t="n">
        <v>-237824515.8797479</v>
      </c>
      <c r="H22" s="23" t="n">
        <v>-255685636.9078641</v>
      </c>
      <c r="I22" s="23" t="n">
        <v>-220955376.9429912</v>
      </c>
      <c r="J22" s="23" t="n">
        <v>-299184208.9876141</v>
      </c>
      <c r="K22" s="23" t="n"/>
      <c r="L22" s="23" t="n"/>
      <c r="M22" s="23" t="n"/>
      <c r="N22" s="70">
        <f>SUM(B22:M22)</f>
        <v/>
      </c>
    </row>
    <row r="23">
      <c r="A23" s="61" t="inlineStr">
        <is>
          <t>Alüminyum / G.2.8.</t>
        </is>
      </c>
      <c r="B23" s="23" t="n">
        <v>-706658833.3562191</v>
      </c>
      <c r="C23" s="23" t="n">
        <v>-682877975.290593</v>
      </c>
      <c r="D23" s="23" t="n">
        <v>-787894069.402115</v>
      </c>
      <c r="E23" s="23" t="n">
        <v>-851860780.4522771</v>
      </c>
      <c r="F23" s="23" t="n">
        <v>-901886892.1195412</v>
      </c>
      <c r="G23" s="23" t="n">
        <v>-843937569.5030087</v>
      </c>
      <c r="H23" s="23" t="n">
        <v>-886536441.9652122</v>
      </c>
      <c r="I23" s="23" t="n">
        <v>-643489395.5610958</v>
      </c>
      <c r="J23" s="23" t="n">
        <v>-895183690.8602114</v>
      </c>
      <c r="K23" s="23" t="n"/>
      <c r="L23" s="23" t="n"/>
      <c r="M23" s="23" t="n"/>
      <c r="N23" s="70">
        <f>SUM(B23:M23)</f>
        <v/>
      </c>
    </row>
    <row r="24">
      <c r="A24" s="61" t="inlineStr">
        <is>
          <t>x / G.2.9.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70" t="n"/>
    </row>
    <row r="25">
      <c r="A25" s="61" t="inlineStr">
        <is>
          <t>y / G.2.10.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70" t="n"/>
    </row>
    <row r="26">
      <c r="A26" s="61" t="inlineStr">
        <is>
          <t>BRÜT KAR-TL / G.3.</t>
        </is>
      </c>
      <c r="B26" s="23">
        <f>SUM(B27:B29)+SUM(B30:B34)*0.4</f>
        <v/>
      </c>
      <c r="C26" s="23">
        <f>SUM(C27:C29)+SUM(C30:C34)*0.4</f>
        <v/>
      </c>
      <c r="D26" s="23">
        <f>SUM(D27:D29)+SUM(D30:D34)*0.4</f>
        <v/>
      </c>
      <c r="E26" s="23">
        <f>SUM(E27:E29)+SUM(E30:E34)*0.4</f>
        <v/>
      </c>
      <c r="F26" s="23">
        <f>SUM(F27:F29)+SUM(F30:F34)*0.4</f>
        <v/>
      </c>
      <c r="G26" s="23">
        <f>SUM(G27:G29)+SUM(G30:G34)*0.4</f>
        <v/>
      </c>
      <c r="H26" s="23">
        <f>SUM(H27:H29)+SUM(H30:H34)*0.4</f>
        <v/>
      </c>
      <c r="I26" s="23">
        <f>SUM(I27:I29)+SUM(I30:I34)*0.4</f>
        <v/>
      </c>
      <c r="J26" s="23">
        <f>SUM(J27:J29)+SUM(J30:J34)*0.4</f>
        <v/>
      </c>
      <c r="K26" s="23">
        <f>SUM(K27:K29)+SUM(K30:K34)*0.4</f>
        <v/>
      </c>
      <c r="L26" s="23">
        <f>SUM(L27:L29)+SUM(L30:L34)*0.4</f>
        <v/>
      </c>
      <c r="M26" s="23">
        <f>SUM(M27:M29)+SUM(M30:M34)*0.4</f>
        <v/>
      </c>
      <c r="N26" s="70">
        <f>SUM(B26:M26)</f>
        <v/>
      </c>
    </row>
    <row r="27">
      <c r="A27" s="61" t="inlineStr">
        <is>
          <t>İnci Holding / G.3.1.</t>
        </is>
      </c>
      <c r="B27" s="23" t="n">
        <v>27685618.76</v>
      </c>
      <c r="C27" s="23" t="n">
        <v>27240937.43</v>
      </c>
      <c r="D27" s="23" t="n">
        <v>31535255.79</v>
      </c>
      <c r="E27" s="23" t="n">
        <v>29402553.02</v>
      </c>
      <c r="F27" s="23" t="n">
        <v>33960256.9</v>
      </c>
      <c r="G27" s="23" t="n">
        <v>30228396.75</v>
      </c>
      <c r="H27" s="23" t="n">
        <v>34244104.31</v>
      </c>
      <c r="I27" s="23" t="n">
        <v>28560673.09</v>
      </c>
      <c r="J27" s="23" t="n">
        <v>38184861.78</v>
      </c>
      <c r="K27" s="23" t="n"/>
      <c r="L27" s="23" t="n"/>
      <c r="M27" s="23" t="n"/>
      <c r="N27" s="70">
        <f>SUM(B27:M27)</f>
        <v/>
      </c>
    </row>
    <row r="28">
      <c r="A28" s="61" t="inlineStr">
        <is>
          <t>ISM / G.3.2.</t>
        </is>
      </c>
      <c r="B28" s="23" t="n">
        <v>4212328.126495</v>
      </c>
      <c r="C28" s="23" t="n">
        <v>7555972.384263005</v>
      </c>
      <c r="D28" s="23" t="n">
        <v>7334960.742275</v>
      </c>
      <c r="E28" s="23" t="n">
        <v>5069666.185929999</v>
      </c>
      <c r="F28" s="23" t="n">
        <v>7713097.701976001</v>
      </c>
      <c r="G28" s="23" t="n">
        <v>8206395.559570998</v>
      </c>
      <c r="H28" s="23" t="n">
        <v>9046513.175862998</v>
      </c>
      <c r="I28" s="23" t="n">
        <v>6071839.307592001</v>
      </c>
      <c r="J28" s="23" t="n">
        <v>5012771.723979</v>
      </c>
      <c r="K28" s="23" t="n"/>
      <c r="L28" s="23" t="n"/>
      <c r="M28" s="23" t="n"/>
      <c r="N28" s="70">
        <f>SUM(B28:M28)</f>
        <v/>
      </c>
    </row>
    <row r="29">
      <c r="A29" s="61" t="inlineStr">
        <is>
          <t>İncitaş / G.3.3.</t>
        </is>
      </c>
      <c r="B29" s="23" t="n">
        <v>5714380.989999998</v>
      </c>
      <c r="C29" s="23" t="n">
        <v>5682739.769999996</v>
      </c>
      <c r="D29" s="23" t="n">
        <v>7407579.060000002</v>
      </c>
      <c r="E29" s="23" t="n">
        <v>6990713.650000006</v>
      </c>
      <c r="F29" s="23" t="n">
        <v>6780513.099999998</v>
      </c>
      <c r="G29" s="23" t="n">
        <v>6447239</v>
      </c>
      <c r="H29" s="23" t="n">
        <v>8092011.872999996</v>
      </c>
      <c r="I29" s="23" t="n">
        <v>6167280.258000001</v>
      </c>
      <c r="J29" s="23" t="n">
        <v>8233684.880000003</v>
      </c>
      <c r="K29" s="23" t="n"/>
      <c r="L29" s="23" t="n"/>
      <c r="M29" s="23" t="n"/>
      <c r="N29" s="70">
        <f>SUM(B29:M29)</f>
        <v/>
      </c>
    </row>
    <row r="30">
      <c r="A30" s="61" t="inlineStr">
        <is>
          <t>İnci GS Yuasa / G.3.4.</t>
        </is>
      </c>
      <c r="B30" s="23" t="n">
        <v>116748048.34569</v>
      </c>
      <c r="C30" s="23" t="n">
        <v>108819972.873814</v>
      </c>
      <c r="D30" s="23" t="n">
        <v>69937109.66934204</v>
      </c>
      <c r="E30" s="23" t="n">
        <v>58098049.25112396</v>
      </c>
      <c r="F30" s="23" t="n">
        <v>76283859.67056505</v>
      </c>
      <c r="G30" s="23" t="n">
        <v>39840471.65171891</v>
      </c>
      <c r="H30" s="23" t="n">
        <v>57876725.31019494</v>
      </c>
      <c r="I30" s="23" t="n">
        <v>112143808.440421</v>
      </c>
      <c r="J30" s="23" t="n">
        <v>79632952.03247301</v>
      </c>
      <c r="K30" s="23" t="n"/>
      <c r="L30" s="23" t="n"/>
      <c r="M30" s="23" t="n"/>
      <c r="N30" s="70">
        <f>SUM(B30:M30)</f>
        <v/>
      </c>
    </row>
    <row r="31">
      <c r="A31" s="61" t="inlineStr">
        <is>
          <t>Yusen İnci Loj. / G.3.5.</t>
        </is>
      </c>
      <c r="B31" s="23" t="n">
        <v>44308044.79627699</v>
      </c>
      <c r="C31" s="23" t="n">
        <v>49795831.82269202</v>
      </c>
      <c r="D31" s="23" t="n">
        <v>47295420.35477497</v>
      </c>
      <c r="E31" s="23" t="n">
        <v>41118535.12371305</v>
      </c>
      <c r="F31" s="23" t="n">
        <v>54405532.69386198</v>
      </c>
      <c r="G31" s="23" t="n">
        <v>43191476.66103501</v>
      </c>
      <c r="H31" s="23" t="n">
        <v>51443121.25055302</v>
      </c>
      <c r="I31" s="23" t="n">
        <v>52451715.76103803</v>
      </c>
      <c r="J31" s="23" t="n">
        <v>57184827.74838801</v>
      </c>
      <c r="K31" s="23" t="n"/>
      <c r="L31" s="23" t="n"/>
      <c r="M31" s="23" t="n"/>
      <c r="N31" s="70">
        <f>SUM(B31:M31)</f>
        <v/>
      </c>
    </row>
    <row r="32">
      <c r="A32" s="61" t="inlineStr">
        <is>
          <t>Jantaş / G.3.6.</t>
        </is>
      </c>
      <c r="B32" s="23" t="n">
        <v>51212436.80670418</v>
      </c>
      <c r="C32" s="23" t="n">
        <v>77815733.32377188</v>
      </c>
      <c r="D32" s="23" t="n">
        <v>95747718.93928841</v>
      </c>
      <c r="E32" s="23" t="n">
        <v>96562067.97164708</v>
      </c>
      <c r="F32" s="23" t="n">
        <v>104485337.5390425</v>
      </c>
      <c r="G32" s="23" t="n">
        <v>101186493.206204</v>
      </c>
      <c r="H32" s="23" t="n">
        <v>95757408.25614169</v>
      </c>
      <c r="I32" s="23" t="n">
        <v>71955460.73226742</v>
      </c>
      <c r="J32" s="23" t="n">
        <v>146322385.8591311</v>
      </c>
      <c r="K32" s="23" t="n"/>
      <c r="L32" s="23" t="n"/>
      <c r="M32" s="23" t="n"/>
      <c r="N32" s="70">
        <f>SUM(B32:M32)</f>
        <v/>
      </c>
    </row>
    <row r="33">
      <c r="A33" s="61" t="inlineStr">
        <is>
          <t>Çelik / G.3.7.</t>
        </is>
      </c>
      <c r="B33" s="23" t="n">
        <v>64925515.63515104</v>
      </c>
      <c r="C33" s="23" t="n">
        <v>91542829.53491095</v>
      </c>
      <c r="D33" s="23" t="n">
        <v>90875160.4484342</v>
      </c>
      <c r="E33" s="23" t="n">
        <v>115832065.1964872</v>
      </c>
      <c r="F33" s="23" t="n">
        <v>93378243.18848245</v>
      </c>
      <c r="G33" s="23" t="n">
        <v>89764698.26341856</v>
      </c>
      <c r="H33" s="23" t="n">
        <v>121855658.8590955</v>
      </c>
      <c r="I33" s="23" t="n">
        <v>85222871.99904114</v>
      </c>
      <c r="J33" s="23" t="n">
        <v>164346101.2036093</v>
      </c>
      <c r="K33" s="23" t="n"/>
      <c r="L33" s="23" t="n"/>
      <c r="M33" s="23" t="n"/>
      <c r="N33" s="70">
        <f>SUM(B33:M33)</f>
        <v/>
      </c>
    </row>
    <row r="34">
      <c r="A34" s="61" t="inlineStr">
        <is>
          <t>Alüminyum / G.3.8.</t>
        </is>
      </c>
      <c r="B34" s="23" t="n">
        <v>108555057.3772366</v>
      </c>
      <c r="C34" s="23" t="n">
        <v>64254346.15825981</v>
      </c>
      <c r="D34" s="23" t="n">
        <v>88442328.61534476</v>
      </c>
      <c r="E34" s="23" t="n">
        <v>89463144.78316188</v>
      </c>
      <c r="F34" s="23" t="n">
        <v>168676914.07085</v>
      </c>
      <c r="G34" s="23" t="n">
        <v>106651477.8993443</v>
      </c>
      <c r="H34" s="23" t="n">
        <v>128191745.679267</v>
      </c>
      <c r="I34" s="23" t="n">
        <v>68992829.06919278</v>
      </c>
      <c r="J34" s="23" t="n">
        <v>191581360.2252951</v>
      </c>
      <c r="K34" s="23" t="n"/>
      <c r="L34" s="23" t="n"/>
      <c r="M34" s="23" t="n"/>
      <c r="N34" s="70">
        <f>SUM(B34:M34)</f>
        <v/>
      </c>
    </row>
    <row r="35">
      <c r="A35" s="61" t="inlineStr">
        <is>
          <t>x / G.3.9.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70" t="n"/>
    </row>
    <row r="36">
      <c r="A36" s="61" t="inlineStr">
        <is>
          <t>y / G.3.10.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70" t="n"/>
    </row>
    <row r="37">
      <c r="A37" s="61" t="inlineStr">
        <is>
          <t>Toplam Faaliyet Giderleri-TL / G.4.</t>
        </is>
      </c>
      <c r="B37" s="23">
        <f>SUM(B38:B40)+SUM(B41:B45)*0.4</f>
        <v/>
      </c>
      <c r="C37" s="23">
        <f>SUM(C38:C40)+SUM(C41:C45)*0.4</f>
        <v/>
      </c>
      <c r="D37" s="23">
        <f>SUM(D38:D40)+SUM(D41:D45)*0.4</f>
        <v/>
      </c>
      <c r="E37" s="23">
        <f>SUM(E38:E40)+SUM(E41:E45)*0.4</f>
        <v/>
      </c>
      <c r="F37" s="23">
        <f>SUM(F38:F40)+SUM(F41:F45)*0.4</f>
        <v/>
      </c>
      <c r="G37" s="23">
        <f>SUM(G38:G40)+SUM(G41:G45)*0.4</f>
        <v/>
      </c>
      <c r="H37" s="23">
        <f>SUM(H38:H40)+SUM(H41:H45)*0.4</f>
        <v/>
      </c>
      <c r="I37" s="23">
        <f>SUM(I38:I40)+SUM(I41:I45)*0.4</f>
        <v/>
      </c>
      <c r="J37" s="23">
        <f>SUM(J38:J40)+SUM(J41:J45)*0.4</f>
        <v/>
      </c>
      <c r="K37" s="23">
        <f>SUM(K38:K40)+SUM(K41:K45)*0.4</f>
        <v/>
      </c>
      <c r="L37" s="23">
        <f>SUM(L38:L40)+SUM(L41:L45)*0.4</f>
        <v/>
      </c>
      <c r="M37" s="23">
        <f>SUM(M38:M40)+SUM(M41:M45)*0.4</f>
        <v/>
      </c>
      <c r="N37" s="70">
        <f>SUM(B37:M37)</f>
        <v/>
      </c>
    </row>
    <row r="38">
      <c r="A38" s="61" t="inlineStr">
        <is>
          <t>İnci Holding / G.4.1.</t>
        </is>
      </c>
      <c r="B38" s="23" t="n">
        <v>-13908733.56</v>
      </c>
      <c r="C38" s="23" t="n">
        <v>-15580324.32</v>
      </c>
      <c r="D38" s="23" t="n">
        <v>-18014795.95</v>
      </c>
      <c r="E38" s="23" t="n">
        <v>-23684564.54</v>
      </c>
      <c r="F38" s="23" t="n">
        <v>-15480455</v>
      </c>
      <c r="G38" s="23" t="n">
        <v>-16768772.52</v>
      </c>
      <c r="H38" s="23" t="n">
        <v>-17918474.52</v>
      </c>
      <c r="I38" s="23" t="n">
        <v>-14804118</v>
      </c>
      <c r="J38" s="23" t="n">
        <v>-15051949.22</v>
      </c>
      <c r="K38" s="23" t="n"/>
      <c r="L38" s="23" t="n"/>
      <c r="M38" s="23" t="n"/>
      <c r="N38" s="70">
        <f>SUM(B38:M38)</f>
        <v/>
      </c>
      <c r="P38" s="137" t="n"/>
    </row>
    <row r="39">
      <c r="A39" s="61" t="inlineStr">
        <is>
          <t>ISM / G.4.2.</t>
        </is>
      </c>
      <c r="B39" s="23" t="n">
        <v>-4636262.403804</v>
      </c>
      <c r="C39" s="23" t="n">
        <v>-6112877.97298</v>
      </c>
      <c r="D39" s="23" t="n">
        <v>-6517322.389101</v>
      </c>
      <c r="E39" s="23" t="n">
        <v>-5902307.996562</v>
      </c>
      <c r="F39" s="23" t="n">
        <v>-6478808.895768</v>
      </c>
      <c r="G39" s="23" t="n">
        <v>-7244181.688023</v>
      </c>
      <c r="H39" s="23" t="n">
        <v>-6700360.818</v>
      </c>
      <c r="I39" s="23" t="n">
        <v>-5365273.878893</v>
      </c>
      <c r="J39" s="23" t="n">
        <v>-6704177.40515</v>
      </c>
      <c r="K39" s="23" t="n"/>
      <c r="L39" s="23" t="n"/>
      <c r="M39" s="23" t="n"/>
      <c r="N39" s="70">
        <f>SUM(B39:M39)</f>
        <v/>
      </c>
    </row>
    <row r="40">
      <c r="A40" s="61" t="inlineStr">
        <is>
          <t>İncitaş / G.4.3.</t>
        </is>
      </c>
      <c r="B40" s="23" t="n">
        <v>-4472559.76</v>
      </c>
      <c r="C40" s="23" t="n">
        <v>-4498993.467744</v>
      </c>
      <c r="D40" s="23" t="n">
        <v>-7063145.68</v>
      </c>
      <c r="E40" s="23" t="n">
        <v>-6046773.595429</v>
      </c>
      <c r="F40" s="23" t="n">
        <v>-5349688.629141</v>
      </c>
      <c r="G40" s="23" t="n">
        <v>-5734390</v>
      </c>
      <c r="H40" s="23" t="n">
        <v>-6753341.670464</v>
      </c>
      <c r="I40" s="23" t="n">
        <v>-5123112.122923</v>
      </c>
      <c r="J40" s="23" t="n">
        <v>-5584196.262971</v>
      </c>
      <c r="K40" s="23" t="n"/>
      <c r="L40" s="23" t="n"/>
      <c r="M40" s="23" t="n"/>
      <c r="N40" s="70">
        <f>SUM(B40:M40)</f>
        <v/>
      </c>
    </row>
    <row r="41">
      <c r="A41" s="61" t="inlineStr">
        <is>
          <t>İnci GS Yuasa / G.4.4.</t>
        </is>
      </c>
      <c r="B41" s="23" t="n">
        <v>-76373898.64562</v>
      </c>
      <c r="C41" s="23" t="n">
        <v>-85403645.31272498</v>
      </c>
      <c r="D41" s="23" t="n">
        <v>-91660457.136328</v>
      </c>
      <c r="E41" s="23" t="n">
        <v>-88282545.81066699</v>
      </c>
      <c r="F41" s="23" t="n">
        <v>-84747557.155908</v>
      </c>
      <c r="G41" s="23" t="n">
        <v>-79651607.008184</v>
      </c>
      <c r="H41" s="23" t="n">
        <v>-78716459.858816</v>
      </c>
      <c r="I41" s="23" t="n">
        <v>-79742287.95676599</v>
      </c>
      <c r="J41" s="23" t="n">
        <v>-76948584.84862199</v>
      </c>
      <c r="K41" s="23" t="n"/>
      <c r="L41" s="23" t="n"/>
      <c r="M41" s="23" t="n"/>
      <c r="N41" s="70">
        <f>SUM(B41:M41)</f>
        <v/>
      </c>
    </row>
    <row r="42">
      <c r="A42" s="61" t="inlineStr">
        <is>
          <t>Yusen İnci Loj. / G.4.5.</t>
        </is>
      </c>
      <c r="B42" s="23" t="n">
        <v>-35177923.950428</v>
      </c>
      <c r="C42" s="23" t="n">
        <v>-33084416.284969</v>
      </c>
      <c r="D42" s="23" t="n">
        <v>-29591551.625847</v>
      </c>
      <c r="E42" s="23" t="n">
        <v>-46042395.223937</v>
      </c>
      <c r="F42" s="23" t="n">
        <v>-53267443.285424</v>
      </c>
      <c r="G42" s="23" t="n">
        <v>-40221886.738943</v>
      </c>
      <c r="H42" s="23" t="n">
        <v>-37466051.914126</v>
      </c>
      <c r="I42" s="23" t="n">
        <v>-37664770.124558</v>
      </c>
      <c r="J42" s="23" t="n">
        <v>-38009504.928779</v>
      </c>
      <c r="K42" s="23" t="n"/>
      <c r="L42" s="23" t="n"/>
      <c r="M42" s="23" t="n"/>
      <c r="N42" s="70">
        <f>SUM(B42:M42)</f>
        <v/>
      </c>
    </row>
    <row r="43">
      <c r="A43" s="61" t="inlineStr">
        <is>
          <t>Jantaş / G.4.6.</t>
        </is>
      </c>
      <c r="B43" s="23" t="n">
        <v>-24638458.78733758</v>
      </c>
      <c r="C43" s="23" t="n">
        <v>-30731461.88043008</v>
      </c>
      <c r="D43" s="23" t="n">
        <v>-28209914.93744517</v>
      </c>
      <c r="E43" s="23" t="n">
        <v>-40639912.02895462</v>
      </c>
      <c r="F43" s="23" t="n">
        <v>-36125734.55870757</v>
      </c>
      <c r="G43" s="23" t="n">
        <v>-29313373.93511799</v>
      </c>
      <c r="H43" s="23" t="n">
        <v>-28492184.03834568</v>
      </c>
      <c r="I43" s="23" t="n">
        <v>-21300127.55303524</v>
      </c>
      <c r="J43" s="23" t="n">
        <v>-28760614.27216202</v>
      </c>
      <c r="K43" s="23" t="n"/>
      <c r="L43" s="23" t="n"/>
      <c r="M43" s="23" t="n"/>
      <c r="N43" s="70">
        <f>SUM(B43:M43)</f>
        <v/>
      </c>
    </row>
    <row r="44">
      <c r="A44" s="61" t="inlineStr">
        <is>
          <t>Çelik / G.4.7.</t>
        </is>
      </c>
      <c r="B44" s="23" t="n">
        <v>-15094553.89262333</v>
      </c>
      <c r="C44" s="23" t="n">
        <v>-18327569.93050472</v>
      </c>
      <c r="D44" s="23" t="n">
        <v>-11133611.61481936</v>
      </c>
      <c r="E44" s="23" t="n">
        <v>-29343667.13202613</v>
      </c>
      <c r="F44" s="23" t="n">
        <v>-21435510.67900752</v>
      </c>
      <c r="G44" s="23" t="n">
        <v>-17405300.55313348</v>
      </c>
      <c r="H44" s="23" t="n">
        <v>-21271441.65681962</v>
      </c>
      <c r="I44" s="23" t="n">
        <v>-16329236.75890292</v>
      </c>
      <c r="J44" s="23" t="n">
        <v>-25227849.69779701</v>
      </c>
      <c r="K44" s="23" t="n"/>
      <c r="L44" s="23" t="n"/>
      <c r="M44" s="23" t="n"/>
      <c r="N44" s="70">
        <f>SUM(B44:M44)</f>
        <v/>
      </c>
    </row>
    <row r="45">
      <c r="A45" s="61" t="inlineStr">
        <is>
          <t>Alüminyum / G.4.8.</t>
        </is>
      </c>
      <c r="B45" s="23" t="n">
        <v>-35048290.41889197</v>
      </c>
      <c r="C45" s="23" t="n">
        <v>-38068478.76213015</v>
      </c>
      <c r="D45" s="23" t="n">
        <v>-39692365.14973935</v>
      </c>
      <c r="E45" s="23" t="n">
        <v>-42606029.9964499</v>
      </c>
      <c r="F45" s="23" t="n">
        <v>-47431232.9787719</v>
      </c>
      <c r="G45" s="23" t="n">
        <v>-39850346.9073682</v>
      </c>
      <c r="H45" s="23" t="n">
        <v>-46490187.40914608</v>
      </c>
      <c r="I45" s="23" t="n">
        <v>-44870536.06506521</v>
      </c>
      <c r="J45" s="23" t="n">
        <v>-47828622.68844001</v>
      </c>
      <c r="K45" s="23" t="n"/>
      <c r="L45" s="23" t="n"/>
      <c r="M45" s="23" t="n"/>
      <c r="N45" s="70">
        <f>SUM(B45:M45)</f>
        <v/>
      </c>
    </row>
    <row r="46">
      <c r="A46" s="61" t="inlineStr">
        <is>
          <t>x / G.4.9.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70" t="n"/>
    </row>
    <row r="47">
      <c r="A47" s="61" t="inlineStr">
        <is>
          <t>y / G.4.10.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70" t="n"/>
    </row>
    <row r="48">
      <c r="A48" s="61" t="inlineStr">
        <is>
          <t>Diğer Faaliyet Gelir(Gideri)-TL / G.5.</t>
        </is>
      </c>
      <c r="B48" s="23">
        <f>SUM(B49:B51)+SUM(B52:B56)*0.4</f>
        <v/>
      </c>
      <c r="C48" s="23">
        <f>SUM(C49:C51)+SUM(C52:C56)*0.4</f>
        <v/>
      </c>
      <c r="D48" s="23">
        <f>SUM(D49:D51)+SUM(D52:D56)*0.4</f>
        <v/>
      </c>
      <c r="E48" s="23">
        <f>SUM(E49:E51)+SUM(E52:E56)*0.4</f>
        <v/>
      </c>
      <c r="F48" s="23">
        <f>SUM(F49:F51)+SUM(F52:F56)*0.4</f>
        <v/>
      </c>
      <c r="G48" s="23">
        <f>SUM(G49:G51)+SUM(G52:G56)*0.4</f>
        <v/>
      </c>
      <c r="H48" s="23">
        <f>SUM(H49:H51)+SUM(H52:H56)*0.4</f>
        <v/>
      </c>
      <c r="I48" s="23">
        <f>SUM(I49:I51)+SUM(I52:I56)*0.4</f>
        <v/>
      </c>
      <c r="J48" s="23">
        <f>SUM(J49:J51)+SUM(J52:J56)*0.4</f>
        <v/>
      </c>
      <c r="K48" s="23">
        <f>SUM(K49:K51)+SUM(K52:K56)*0.4</f>
        <v/>
      </c>
      <c r="L48" s="23">
        <f>SUM(L49:L51)+SUM(L52:L56)*0.4</f>
        <v/>
      </c>
      <c r="M48" s="23">
        <f>SUM(M49:M51)+SUM(M52:M56)*0.4</f>
        <v/>
      </c>
      <c r="N48" s="70">
        <f>SUM(B48:M48)</f>
        <v/>
      </c>
    </row>
    <row r="49">
      <c r="A49" s="61" t="inlineStr">
        <is>
          <t>İnci Holding / G.5.1.</t>
        </is>
      </c>
      <c r="B49" s="23" t="n">
        <v>0</v>
      </c>
      <c r="C49" s="23" t="n">
        <v>0</v>
      </c>
      <c r="D49" s="23" t="n">
        <v>0</v>
      </c>
      <c r="E49" s="23" t="n">
        <v>0</v>
      </c>
      <c r="F49" s="23" t="n">
        <v>0</v>
      </c>
      <c r="G49" s="23" t="n">
        <v>0</v>
      </c>
      <c r="H49" s="23" t="n">
        <v>0</v>
      </c>
      <c r="I49" s="23" t="n">
        <v>0</v>
      </c>
      <c r="J49" s="23" t="n">
        <v>0</v>
      </c>
      <c r="K49" s="23" t="n"/>
      <c r="L49" s="23" t="n"/>
      <c r="M49" s="23" t="n"/>
      <c r="N49" s="70">
        <f>SUM(B49:M49)</f>
        <v/>
      </c>
    </row>
    <row r="50">
      <c r="A50" s="61" t="inlineStr">
        <is>
          <t>ISM / G.5.2.</t>
        </is>
      </c>
      <c r="B50" s="23" t="n">
        <v>0</v>
      </c>
      <c r="C50" s="23" t="n">
        <v>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0</v>
      </c>
      <c r="J50" s="23" t="n">
        <v>0</v>
      </c>
      <c r="K50" s="23" t="n"/>
      <c r="L50" s="23" t="n"/>
      <c r="M50" s="23" t="n"/>
      <c r="N50" s="70">
        <f>SUM(B50:M50)</f>
        <v/>
      </c>
    </row>
    <row r="51">
      <c r="A51" s="61" t="inlineStr">
        <is>
          <t>İncitaş / G.5.3.</t>
        </is>
      </c>
      <c r="B51" s="23" t="n">
        <v>0</v>
      </c>
      <c r="C51" s="23" t="n">
        <v>0</v>
      </c>
      <c r="D51" s="23" t="n">
        <v>0</v>
      </c>
      <c r="E51" s="23" t="n">
        <v>0</v>
      </c>
      <c r="F51" s="23" t="n">
        <v>0</v>
      </c>
      <c r="G51" s="23" t="n">
        <v>0</v>
      </c>
      <c r="H51" s="23" t="n">
        <v>0</v>
      </c>
      <c r="I51" s="23" t="n">
        <v>0</v>
      </c>
      <c r="J51" s="23" t="n">
        <v>0</v>
      </c>
      <c r="K51" s="23" t="n"/>
      <c r="L51" s="23" t="n"/>
      <c r="M51" s="23" t="n"/>
      <c r="N51" s="70">
        <f>SUM(B51:M51)</f>
        <v/>
      </c>
    </row>
    <row r="52">
      <c r="A52" s="61" t="inlineStr">
        <is>
          <t>İnci GS Yuasa / G.5.4.</t>
        </is>
      </c>
      <c r="B52" s="23" t="n">
        <v>0</v>
      </c>
      <c r="C52" s="23" t="n">
        <v>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0</v>
      </c>
      <c r="J52" s="23" t="n">
        <v>0</v>
      </c>
      <c r="K52" s="23" t="n"/>
      <c r="L52" s="23" t="n"/>
      <c r="M52" s="23" t="n"/>
      <c r="N52" s="70">
        <f>SUM(B52:M52)</f>
        <v/>
      </c>
    </row>
    <row r="53">
      <c r="A53" s="61" t="inlineStr">
        <is>
          <t>Yusen İnci Loj. / G.5.5.</t>
        </is>
      </c>
      <c r="B53" s="23" t="n">
        <v>0</v>
      </c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0</v>
      </c>
      <c r="J53" s="23" t="n">
        <v>0</v>
      </c>
      <c r="K53" s="23" t="n"/>
      <c r="L53" s="23" t="n"/>
      <c r="M53" s="23" t="n"/>
      <c r="N53" s="70">
        <f>SUM(B53:M53)</f>
        <v/>
      </c>
    </row>
    <row r="54">
      <c r="A54" s="61" t="inlineStr">
        <is>
          <t>Jantaş / G.5.6.</t>
        </is>
      </c>
      <c r="B54" s="23" t="n">
        <v>7091.667314806452</v>
      </c>
      <c r="C54" s="23" t="n">
        <v>36911.07861814286</v>
      </c>
      <c r="D54" s="23" t="n">
        <v>327444.3972483872</v>
      </c>
      <c r="E54" s="23" t="n">
        <v>-1249999.3334589</v>
      </c>
      <c r="F54" s="23" t="n">
        <v>-67250.29252064521</v>
      </c>
      <c r="G54" s="23" t="n">
        <v>-918048.5926338999</v>
      </c>
      <c r="H54" s="23" t="n">
        <v>4029252.423910323</v>
      </c>
      <c r="I54" s="23" t="n">
        <v>150426.7007667742</v>
      </c>
      <c r="J54" s="23" t="n">
        <v>20176.26033000007</v>
      </c>
      <c r="K54" s="23" t="n"/>
      <c r="L54" s="23" t="n"/>
      <c r="M54" s="23" t="n"/>
      <c r="N54" s="70">
        <f>SUM(B54:M54)</f>
        <v/>
      </c>
    </row>
    <row r="55">
      <c r="A55" s="61" t="inlineStr">
        <is>
          <t>Çelik / G.5.7.</t>
        </is>
      </c>
      <c r="B55" s="23" t="n">
        <v>0</v>
      </c>
      <c r="C55" s="23" t="n">
        <v>0</v>
      </c>
      <c r="D55" s="23" t="n">
        <v>0</v>
      </c>
      <c r="E55" s="23" t="n">
        <v>0</v>
      </c>
      <c r="F55" s="23" t="n">
        <v>311.5136165806451</v>
      </c>
      <c r="G55" s="23" t="n">
        <v>0</v>
      </c>
      <c r="H55" s="23" t="n">
        <v>-669.9348681290323</v>
      </c>
      <c r="I55" s="23" t="n">
        <v>0</v>
      </c>
      <c r="J55" s="23" t="n">
        <v>690.2659259999999</v>
      </c>
      <c r="K55" s="23" t="n"/>
      <c r="L55" s="23" t="n"/>
      <c r="M55" s="23" t="n"/>
      <c r="N55" s="70">
        <f>SUM(B55:M55)</f>
        <v/>
      </c>
    </row>
    <row r="56">
      <c r="A56" s="61" t="inlineStr">
        <is>
          <t>Alüminyum / G.5.8.</t>
        </is>
      </c>
      <c r="B56" s="23" t="n">
        <v>0</v>
      </c>
      <c r="C56" s="23" t="n">
        <v>0</v>
      </c>
      <c r="D56" s="23" t="n">
        <v>240188.7212787097</v>
      </c>
      <c r="E56" s="23" t="n">
        <v>-514411.4893001333</v>
      </c>
      <c r="F56" s="23" t="n">
        <v>0</v>
      </c>
      <c r="G56" s="23" t="n">
        <v>545199.5438428</v>
      </c>
      <c r="H56" s="23" t="n">
        <v>0</v>
      </c>
      <c r="I56" s="23" t="n">
        <v>0</v>
      </c>
      <c r="J56" s="23" t="n">
        <v>318535.9727715</v>
      </c>
      <c r="K56" s="23" t="n"/>
      <c r="L56" s="23" t="n"/>
      <c r="M56" s="23" t="n"/>
      <c r="N56" s="70">
        <f>SUM(B56:M56)</f>
        <v/>
      </c>
    </row>
    <row r="57">
      <c r="A57" s="61" t="inlineStr">
        <is>
          <t>x / G.5.9.</t>
        </is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70" t="n"/>
    </row>
    <row r="58">
      <c r="A58" s="61" t="inlineStr">
        <is>
          <t>y / G.5.10.</t>
        </is>
      </c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70" t="n"/>
    </row>
    <row r="59">
      <c r="A59" s="61" t="inlineStr">
        <is>
          <t>EBİT-TL / G.6.</t>
        </is>
      </c>
      <c r="B59" s="23">
        <f>SUM(B60:B62)+SUM(B63:B67)*0.4</f>
        <v/>
      </c>
      <c r="C59" s="23">
        <f>SUM(C60:C62)+SUM(C63:C67)*0.4</f>
        <v/>
      </c>
      <c r="D59" s="23">
        <f>SUM(D60:D62)+SUM(D63:D67)*0.4</f>
        <v/>
      </c>
      <c r="E59" s="23">
        <f>SUM(E60:E62)+SUM(E63:E67)*0.4</f>
        <v/>
      </c>
      <c r="F59" s="23">
        <f>SUM(F60:F62)+SUM(F63:F67)*0.4</f>
        <v/>
      </c>
      <c r="G59" s="23">
        <f>SUM(G60:G62)+SUM(G63:G67)*0.4</f>
        <v/>
      </c>
      <c r="H59" s="23">
        <f>SUM(H60:H62)+SUM(H63:H67)*0.4</f>
        <v/>
      </c>
      <c r="I59" s="23">
        <f>SUM(I60:I62)+SUM(I63:I67)*0.4</f>
        <v/>
      </c>
      <c r="J59" s="23">
        <f>SUM(J60:J62)+SUM(J63:J67)*0.4</f>
        <v/>
      </c>
      <c r="K59" s="23">
        <f>SUM(K60:K62)+SUM(K63:K67)*0.4</f>
        <v/>
      </c>
      <c r="L59" s="23">
        <f>SUM(L60:L62)+SUM(L63:L67)*0.4</f>
        <v/>
      </c>
      <c r="M59" s="23">
        <f>SUM(M60:M62)+SUM(M63:M67)*0.4</f>
        <v/>
      </c>
      <c r="N59" s="70">
        <f>SUM(B59:M59)</f>
        <v/>
      </c>
    </row>
    <row r="60">
      <c r="A60" s="61" t="inlineStr">
        <is>
          <t>İnci Holding / G.6.1.</t>
        </is>
      </c>
      <c r="B60" s="23" t="n">
        <v>13776885.2</v>
      </c>
      <c r="C60" s="23" t="n">
        <v>11660613.11</v>
      </c>
      <c r="D60" s="23" t="n">
        <v>13520459.84</v>
      </c>
      <c r="E60" s="23" t="n">
        <v>5717988.48</v>
      </c>
      <c r="F60" s="23" t="n">
        <v>18479801.9</v>
      </c>
      <c r="G60" s="23" t="n">
        <v>13459624.23</v>
      </c>
      <c r="H60" s="23" t="n">
        <v>16325629.79</v>
      </c>
      <c r="I60" s="23" t="n">
        <v>13756555.09</v>
      </c>
      <c r="J60" s="23" t="n">
        <v>23132912.56</v>
      </c>
      <c r="K60" s="23" t="n"/>
      <c r="L60" s="23" t="n"/>
      <c r="M60" s="23" t="n"/>
      <c r="N60" s="70">
        <f>SUM(B60:M60)</f>
        <v/>
      </c>
    </row>
    <row r="61">
      <c r="A61" s="61" t="inlineStr">
        <is>
          <t>ISM / G.6.2.</t>
        </is>
      </c>
      <c r="B61" s="23" t="n">
        <v>-423934.2773089996</v>
      </c>
      <c r="C61" s="23" t="n">
        <v>1443094.411283005</v>
      </c>
      <c r="D61" s="23" t="n">
        <v>817638.353174</v>
      </c>
      <c r="E61" s="23" t="n">
        <v>-832641.8106320016</v>
      </c>
      <c r="F61" s="23" t="n">
        <v>1234288.806208001</v>
      </c>
      <c r="G61" s="23" t="n">
        <v>962213.8715479979</v>
      </c>
      <c r="H61" s="23" t="n">
        <v>2346152.357862998</v>
      </c>
      <c r="I61" s="23" t="n">
        <v>706565.4286990007</v>
      </c>
      <c r="J61" s="23" t="n">
        <v>-1691405.681171</v>
      </c>
      <c r="K61" s="23" t="n"/>
      <c r="L61" s="23" t="n"/>
      <c r="M61" s="23" t="n"/>
      <c r="N61" s="70">
        <f>SUM(B61:M61)</f>
        <v/>
      </c>
    </row>
    <row r="62">
      <c r="A62" s="61" t="inlineStr">
        <is>
          <t>İncitaş / G.6.3.</t>
        </is>
      </c>
      <c r="B62" s="23" t="n">
        <v>1241821.229999999</v>
      </c>
      <c r="C62" s="23" t="n">
        <v>1183746.302255996</v>
      </c>
      <c r="D62" s="23" t="n">
        <v>344433.3800000027</v>
      </c>
      <c r="E62" s="23" t="n">
        <v>943940.0545710055</v>
      </c>
      <c r="F62" s="23" t="n">
        <v>1430824.470858998</v>
      </c>
      <c r="G62" s="23" t="n">
        <v>712849</v>
      </c>
      <c r="H62" s="23" t="n">
        <v>1338670.202535996</v>
      </c>
      <c r="I62" s="23" t="n">
        <v>1044168.135077002</v>
      </c>
      <c r="J62" s="23" t="n">
        <v>2649488.617029003</v>
      </c>
      <c r="K62" s="23" t="n"/>
      <c r="L62" s="23" t="n"/>
      <c r="M62" s="23" t="n"/>
      <c r="N62" s="70">
        <f>SUM(B62:M62)</f>
        <v/>
      </c>
    </row>
    <row r="63">
      <c r="A63" s="61" t="inlineStr">
        <is>
          <t>İnci GS Yuasa / G.6.4.</t>
        </is>
      </c>
      <c r="B63" s="23" t="n">
        <v>40374149.70006999</v>
      </c>
      <c r="C63" s="23" t="n">
        <v>23416327.56108904</v>
      </c>
      <c r="D63" s="23" t="n">
        <v>-21723347.46698596</v>
      </c>
      <c r="E63" s="23" t="n">
        <v>-30184496.55954303</v>
      </c>
      <c r="F63" s="23" t="n">
        <v>-8463697.485342957</v>
      </c>
      <c r="G63" s="23" t="n">
        <v>-39811135.35646509</v>
      </c>
      <c r="H63" s="23" t="n">
        <v>-20839734.54862107</v>
      </c>
      <c r="I63" s="23" t="n">
        <v>32401520.483655</v>
      </c>
      <c r="J63" s="23" t="n">
        <v>2684367.183851013</v>
      </c>
      <c r="K63" s="23" t="n"/>
      <c r="L63" s="23" t="n"/>
      <c r="M63" s="23" t="n"/>
      <c r="N63" s="70">
        <f>SUM(B63:M63)</f>
        <v/>
      </c>
    </row>
    <row r="64">
      <c r="A64" s="61" t="inlineStr">
        <is>
          <t>Yusen İnci Loj. / G.6.5.</t>
        </is>
      </c>
      <c r="B64" s="23" t="n">
        <v>9130120.845848983</v>
      </c>
      <c r="C64" s="23" t="n">
        <v>16711415.53772302</v>
      </c>
      <c r="D64" s="23" t="n">
        <v>17703868.72892796</v>
      </c>
      <c r="E64" s="23" t="n">
        <v>-4923860.100223944</v>
      </c>
      <c r="F64" s="23" t="n">
        <v>1138089.408437982</v>
      </c>
      <c r="G64" s="23" t="n">
        <v>2969589.922092003</v>
      </c>
      <c r="H64" s="23" t="n">
        <v>13977069.33642702</v>
      </c>
      <c r="I64" s="23" t="n">
        <v>14786945.63648002</v>
      </c>
      <c r="J64" s="23" t="n">
        <v>19175322.81960901</v>
      </c>
      <c r="K64" s="23" t="n"/>
      <c r="L64" s="23" t="n"/>
      <c r="M64" s="23" t="n"/>
      <c r="N64" s="70">
        <f>SUM(B64:M64)</f>
        <v/>
      </c>
    </row>
    <row r="65">
      <c r="A65" s="61" t="inlineStr">
        <is>
          <t>Jantaş / G.6.6.</t>
        </is>
      </c>
      <c r="B65" s="23" t="n">
        <v>26573978.01936659</v>
      </c>
      <c r="C65" s="23" t="n">
        <v>47084271.4433418</v>
      </c>
      <c r="D65" s="23" t="n">
        <v>67537804.00184323</v>
      </c>
      <c r="E65" s="23" t="n">
        <v>55922155.94269246</v>
      </c>
      <c r="F65" s="23" t="n">
        <v>68359602.98033488</v>
      </c>
      <c r="G65" s="23" t="n">
        <v>71873119.27108604</v>
      </c>
      <c r="H65" s="23" t="n">
        <v>67265224.217796</v>
      </c>
      <c r="I65" s="23" t="n">
        <v>50655333.17923218</v>
      </c>
      <c r="J65" s="23" t="n">
        <v>117561771.586969</v>
      </c>
      <c r="K65" s="23" t="n"/>
      <c r="L65" s="23" t="n"/>
      <c r="M65" s="23" t="n"/>
      <c r="N65" s="70">
        <f>SUM(B65:M65)</f>
        <v/>
      </c>
    </row>
    <row r="66">
      <c r="A66" s="61" t="inlineStr">
        <is>
          <t>Çelik / G.6.7.</t>
        </is>
      </c>
      <c r="B66" s="23" t="n">
        <v>49830961.74252772</v>
      </c>
      <c r="C66" s="23" t="n">
        <v>73215259.60440624</v>
      </c>
      <c r="D66" s="23" t="n">
        <v>79741548.83361484</v>
      </c>
      <c r="E66" s="23" t="n">
        <v>86488398.06446102</v>
      </c>
      <c r="F66" s="23" t="n">
        <v>71942732.50947493</v>
      </c>
      <c r="G66" s="23" t="n">
        <v>72359397.71028507</v>
      </c>
      <c r="H66" s="23" t="n">
        <v>100584217.2022758</v>
      </c>
      <c r="I66" s="23" t="n">
        <v>68893635.24013822</v>
      </c>
      <c r="J66" s="23" t="n">
        <v>139118251.5058123</v>
      </c>
      <c r="K66" s="23" t="n"/>
      <c r="L66" s="23" t="n"/>
      <c r="M66" s="23" t="n"/>
      <c r="N66" s="70">
        <f>SUM(B66:M66)</f>
        <v/>
      </c>
    </row>
    <row r="67">
      <c r="A67" s="61" t="inlineStr">
        <is>
          <t>Alüminyum / G.6.8.</t>
        </is>
      </c>
      <c r="B67" s="23" t="n">
        <v>73506766.95834465</v>
      </c>
      <c r="C67" s="23" t="n">
        <v>26185867.39612966</v>
      </c>
      <c r="D67" s="23" t="n">
        <v>48749963.4656054</v>
      </c>
      <c r="E67" s="23" t="n">
        <v>46857114.78671198</v>
      </c>
      <c r="F67" s="23" t="n">
        <v>121245681.0920781</v>
      </c>
      <c r="G67" s="23" t="n">
        <v>66801130.99197606</v>
      </c>
      <c r="H67" s="23" t="n">
        <v>81701558.27012096</v>
      </c>
      <c r="I67" s="23" t="n">
        <v>24122293.00412756</v>
      </c>
      <c r="J67" s="23" t="n">
        <v>143752737.5368551</v>
      </c>
      <c r="K67" s="23" t="n"/>
      <c r="L67" s="23" t="n"/>
      <c r="M67" s="23" t="n"/>
      <c r="N67" s="70">
        <f>SUM(B67:M67)</f>
        <v/>
      </c>
    </row>
    <row r="68">
      <c r="A68" s="61" t="inlineStr">
        <is>
          <t>x / G.6.9.</t>
        </is>
      </c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70" t="n"/>
    </row>
    <row r="69">
      <c r="A69" s="61" t="inlineStr">
        <is>
          <t>y / G.6.10.</t>
        </is>
      </c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70" t="n"/>
    </row>
    <row r="70">
      <c r="A70" s="61" t="inlineStr">
        <is>
          <t>Amortisman-TL / G.7.</t>
        </is>
      </c>
      <c r="B70" s="23">
        <f>SUM(B71:B73)+SUM(B74:B78)*0.4</f>
        <v/>
      </c>
      <c r="C70" s="23">
        <f>SUM(C71:C73)+SUM(C74:C78)*0.4</f>
        <v/>
      </c>
      <c r="D70" s="23">
        <f>SUM(D71:D73)+SUM(D74:D78)*0.4</f>
        <v/>
      </c>
      <c r="E70" s="23">
        <f>SUM(E71:E73)+SUM(E74:E78)*0.4</f>
        <v/>
      </c>
      <c r="F70" s="23">
        <f>SUM(F71:F73)+SUM(F74:F78)*0.4</f>
        <v/>
      </c>
      <c r="G70" s="23">
        <f>SUM(G71:G73)+SUM(G74:G78)*0.4</f>
        <v/>
      </c>
      <c r="H70" s="23">
        <f>SUM(H71:H73)+SUM(H74:H78)*0.4</f>
        <v/>
      </c>
      <c r="I70" s="23">
        <f>SUM(I71:I73)+SUM(I74:I78)*0.4</f>
        <v/>
      </c>
      <c r="J70" s="23">
        <f>SUM(J71:J73)+SUM(J74:J78)*0.4</f>
        <v/>
      </c>
      <c r="K70" s="23">
        <f>SUM(K71:K73)+SUM(K74:K78)*0.4</f>
        <v/>
      </c>
      <c r="L70" s="23">
        <f>SUM(L71:L73)+SUM(L74:L78)*0.4</f>
        <v/>
      </c>
      <c r="M70" s="23">
        <f>SUM(M71:M73)+SUM(M74:M78)*0.4</f>
        <v/>
      </c>
      <c r="N70" s="70">
        <f>SUM(B70:M70)</f>
        <v/>
      </c>
    </row>
    <row r="71">
      <c r="A71" s="61" t="inlineStr">
        <is>
          <t>İnci Holding / G.7.1.</t>
        </is>
      </c>
      <c r="B71" s="23" t="n">
        <v>179966.64</v>
      </c>
      <c r="C71" s="23" t="n">
        <v>179966.45</v>
      </c>
      <c r="D71" s="23" t="n">
        <v>180737.64</v>
      </c>
      <c r="E71" s="23" t="n">
        <v>179485.58</v>
      </c>
      <c r="F71" s="23" t="n">
        <v>179605</v>
      </c>
      <c r="G71" s="23" t="n">
        <v>277371</v>
      </c>
      <c r="H71" s="23" t="n">
        <v>177285</v>
      </c>
      <c r="I71" s="23" t="n">
        <v>236339.69</v>
      </c>
      <c r="J71" s="23" t="n">
        <v>193360</v>
      </c>
      <c r="K71" s="23" t="n"/>
      <c r="L71" s="23" t="n"/>
      <c r="M71" s="23" t="n"/>
      <c r="N71" s="70">
        <f>SUM(B71:M71)</f>
        <v/>
      </c>
    </row>
    <row r="72">
      <c r="A72" s="61" t="inlineStr">
        <is>
          <t>ISM / G.7.2.</t>
        </is>
      </c>
      <c r="B72" s="23" t="n">
        <v>322126.51</v>
      </c>
      <c r="C72" s="23" t="n">
        <v>490681.51</v>
      </c>
      <c r="D72" s="23" t="n">
        <v>407949.34</v>
      </c>
      <c r="E72" s="23" t="n">
        <v>884472.15</v>
      </c>
      <c r="F72" s="23" t="n">
        <v>559902.5</v>
      </c>
      <c r="G72" s="23" t="n">
        <v>554910.15</v>
      </c>
      <c r="H72" s="23" t="n">
        <v>553177.3</v>
      </c>
      <c r="I72" s="23" t="n">
        <v>578531.62</v>
      </c>
      <c r="J72" s="23" t="n">
        <v>559856.92</v>
      </c>
      <c r="K72" s="23" t="n"/>
      <c r="L72" s="23" t="n"/>
      <c r="M72" s="23" t="n"/>
      <c r="N72" s="70">
        <f>SUM(B72:M72)</f>
        <v/>
      </c>
    </row>
    <row r="73">
      <c r="A73" s="61" t="inlineStr">
        <is>
          <t>İncitaş / G.7.3.</t>
        </is>
      </c>
      <c r="B73" s="23" t="n">
        <v>9795.17</v>
      </c>
      <c r="C73" s="23" t="n">
        <v>9795.17</v>
      </c>
      <c r="D73" s="23" t="n">
        <v>63368.67</v>
      </c>
      <c r="E73" s="23" t="n">
        <v>27673</v>
      </c>
      <c r="F73" s="23" t="n">
        <v>33382</v>
      </c>
      <c r="G73" s="23" t="n">
        <v>29737</v>
      </c>
      <c r="H73" s="23" t="n">
        <v>20299</v>
      </c>
      <c r="I73" s="23" t="n">
        <v>20299</v>
      </c>
      <c r="J73" s="23" t="n">
        <v>20299</v>
      </c>
      <c r="K73" s="23" t="n"/>
      <c r="L73" s="23" t="n"/>
      <c r="M73" s="23" t="n"/>
      <c r="N73" s="70">
        <f>SUM(B73:M73)</f>
        <v/>
      </c>
    </row>
    <row r="74">
      <c r="A74" s="61" t="inlineStr">
        <is>
          <t>İnci GS Yuasa / G.7.4.</t>
        </is>
      </c>
      <c r="B74" s="23" t="n">
        <v>7280065.174345</v>
      </c>
      <c r="C74" s="23" t="n">
        <v>8290751.244017</v>
      </c>
      <c r="D74" s="23" t="n">
        <v>8309417.475815001</v>
      </c>
      <c r="E74" s="23" t="n">
        <v>10765191.211968</v>
      </c>
      <c r="F74" s="23" t="n">
        <v>8728009.727973999</v>
      </c>
      <c r="G74" s="23" t="n">
        <v>8365634.483829001</v>
      </c>
      <c r="H74" s="23" t="n">
        <v>9669988.76368</v>
      </c>
      <c r="I74" s="23" t="n">
        <v>9089615.230970001</v>
      </c>
      <c r="J74" s="23" t="n">
        <v>10577123.280655</v>
      </c>
      <c r="K74" s="23" t="n"/>
      <c r="L74" s="23" t="n"/>
      <c r="M74" s="23" t="n"/>
      <c r="N74" s="70">
        <f>SUM(B74:M74)</f>
        <v/>
      </c>
    </row>
    <row r="75">
      <c r="A75" s="61" t="inlineStr">
        <is>
          <t>Yusen İnci Loj. / G.7.5.</t>
        </is>
      </c>
      <c r="B75" s="23" t="n">
        <v>6123574.926791999</v>
      </c>
      <c r="C75" s="23" t="n">
        <v>6057176.530369</v>
      </c>
      <c r="D75" s="23" t="n">
        <v>6930701.226338</v>
      </c>
      <c r="E75" s="23" t="n">
        <v>7476711.000224</v>
      </c>
      <c r="F75" s="23" t="n">
        <v>8284659.130462</v>
      </c>
      <c r="G75" s="23" t="n">
        <v>9259443.457908001</v>
      </c>
      <c r="H75" s="23" t="n">
        <v>9491974.713572999</v>
      </c>
      <c r="I75" s="23" t="n">
        <v>10457719.63352</v>
      </c>
      <c r="J75" s="23" t="n">
        <v>10136844.614539</v>
      </c>
      <c r="K75" s="23" t="n"/>
      <c r="L75" s="23" t="n"/>
      <c r="M75" s="23" t="n"/>
      <c r="N75" s="70">
        <f>SUM(B75:M75)</f>
        <v/>
      </c>
    </row>
    <row r="76">
      <c r="A76" s="61" t="inlineStr">
        <is>
          <t>Jantaş / G.7.6.</t>
        </is>
      </c>
      <c r="B76" s="23" t="n">
        <v>16254062.59491942</v>
      </c>
      <c r="C76" s="23" t="n">
        <v>14894812.93884536</v>
      </c>
      <c r="D76" s="23" t="n">
        <v>17565371.22504387</v>
      </c>
      <c r="E76" s="23" t="n">
        <v>18228620.65112787</v>
      </c>
      <c r="F76" s="23" t="n">
        <v>19169024.86348287</v>
      </c>
      <c r="G76" s="23" t="n">
        <v>19144853.47457479</v>
      </c>
      <c r="H76" s="23" t="n">
        <v>20649952.74398284</v>
      </c>
      <c r="I76" s="23" t="n">
        <v>20895179.30975414</v>
      </c>
      <c r="J76" s="23" t="n">
        <v>20956194.60338849</v>
      </c>
      <c r="K76" s="23" t="n"/>
      <c r="L76" s="23" t="n"/>
      <c r="M76" s="23" t="n"/>
      <c r="N76" s="70">
        <f>SUM(B76:M76)</f>
        <v/>
      </c>
    </row>
    <row r="77">
      <c r="A77" s="61" t="inlineStr">
        <is>
          <t>Çelik / G.7.7.</t>
        </is>
      </c>
      <c r="B77" s="23" t="n">
        <v>9218556.633047905</v>
      </c>
      <c r="C77" s="23" t="n">
        <v>8527095.351372931</v>
      </c>
      <c r="D77" s="23" t="n">
        <v>10070748.20982775</v>
      </c>
      <c r="E77" s="23" t="n">
        <v>10444226.70408886</v>
      </c>
      <c r="F77" s="23" t="n">
        <v>11017443.00043422</v>
      </c>
      <c r="G77" s="23" t="n">
        <v>10916123.9804827</v>
      </c>
      <c r="H77" s="23" t="n">
        <v>11783988.7232409</v>
      </c>
      <c r="I77" s="23" t="n">
        <v>11878829.63400962</v>
      </c>
      <c r="J77" s="23" t="n">
        <v>11551013.93227651</v>
      </c>
      <c r="K77" s="23" t="n"/>
      <c r="L77" s="23" t="n"/>
      <c r="M77" s="23" t="n"/>
      <c r="N77" s="70">
        <f>SUM(B77:M77)</f>
        <v/>
      </c>
    </row>
    <row r="78">
      <c r="A78" s="61" t="inlineStr">
        <is>
          <t>Alüminyum / G.7.8.</t>
        </is>
      </c>
      <c r="B78" s="23" t="n">
        <v>27426047.58910994</v>
      </c>
      <c r="C78" s="23" t="n">
        <v>25794840.91536579</v>
      </c>
      <c r="D78" s="23" t="n">
        <v>30174133.40838581</v>
      </c>
      <c r="E78" s="23" t="n">
        <v>30546336.36504873</v>
      </c>
      <c r="F78" s="23" t="n">
        <v>32363786.61519097</v>
      </c>
      <c r="G78" s="23" t="n">
        <v>31918426.85843838</v>
      </c>
      <c r="H78" s="23" t="n">
        <v>33857600.91448854</v>
      </c>
      <c r="I78" s="23" t="n">
        <v>34826193.65533725</v>
      </c>
      <c r="J78" s="23" t="n">
        <v>32550593.29592852</v>
      </c>
      <c r="K78" s="23" t="n"/>
      <c r="L78" s="23" t="n"/>
      <c r="M78" s="23" t="n"/>
      <c r="N78" s="70">
        <f>SUM(B78:M78)</f>
        <v/>
      </c>
    </row>
    <row r="79">
      <c r="A79" s="61" t="inlineStr">
        <is>
          <t>x / G.7.9.</t>
        </is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70" t="n"/>
    </row>
    <row r="80">
      <c r="A80" s="61" t="inlineStr">
        <is>
          <t>EBİTDA-TL / G.8.</t>
        </is>
      </c>
      <c r="B80" s="23">
        <f>SUM(B81:B83)+SUM(B84:B88)*0.4</f>
        <v/>
      </c>
      <c r="C80" s="23">
        <f>SUM(C81:C83)+SUM(C84:C88)*0.4</f>
        <v/>
      </c>
      <c r="D80" s="23">
        <f>SUM(D81:D83)+SUM(D84:D88)*0.4</f>
        <v/>
      </c>
      <c r="E80" s="23">
        <f>SUM(E81:E83)+SUM(E84:E88)*0.4</f>
        <v/>
      </c>
      <c r="F80" s="23">
        <f>SUM(F81:F83)+SUM(F84:F88)*0.4</f>
        <v/>
      </c>
      <c r="G80" s="23">
        <f>SUM(G81:G83)+SUM(G84:G88)*0.4</f>
        <v/>
      </c>
      <c r="H80" s="23">
        <f>SUM(H81:H83)+SUM(H84:H88)*0.4</f>
        <v/>
      </c>
      <c r="I80" s="23">
        <f>SUM(I81:I83)+SUM(I84:I88)*0.4</f>
        <v/>
      </c>
      <c r="J80" s="23">
        <f>SUM(J81:J83)+SUM(J84:J88)*0.4</f>
        <v/>
      </c>
      <c r="K80" s="23">
        <f>SUM(K81:K83)+SUM(K84:K88)*0.4</f>
        <v/>
      </c>
      <c r="L80" s="23">
        <f>SUM(L81:L83)+SUM(L84:L88)*0.4</f>
        <v/>
      </c>
      <c r="M80" s="23">
        <f>SUM(M81:M83)+SUM(M84:M88)*0.4</f>
        <v/>
      </c>
      <c r="N80" s="70">
        <f>SUM(B80:M80)</f>
        <v/>
      </c>
    </row>
    <row r="81">
      <c r="A81" s="61" t="inlineStr">
        <is>
          <t>İnci Holding / G.8.1.</t>
        </is>
      </c>
      <c r="B81" s="23" t="n">
        <v>13956851.84</v>
      </c>
      <c r="C81" s="23" t="n">
        <v>11840579.56</v>
      </c>
      <c r="D81" s="23" t="n">
        <v>13701197.48</v>
      </c>
      <c r="E81" s="23" t="n">
        <v>5897474.06</v>
      </c>
      <c r="F81" s="23" t="n">
        <v>18659406.9</v>
      </c>
      <c r="G81" s="23" t="n">
        <v>13736995.23</v>
      </c>
      <c r="H81" s="23" t="n">
        <v>16502914.79</v>
      </c>
      <c r="I81" s="23" t="n">
        <v>13992894.78</v>
      </c>
      <c r="J81" s="23" t="n">
        <v>23326272.56</v>
      </c>
      <c r="K81" s="23" t="n"/>
      <c r="L81" s="23" t="n"/>
      <c r="M81" s="23" t="n"/>
      <c r="N81" s="70">
        <f>SUM(B81:M81)</f>
        <v/>
      </c>
    </row>
    <row r="82">
      <c r="A82" s="61" t="inlineStr">
        <is>
          <t>ISM / G.8.2.</t>
        </is>
      </c>
      <c r="B82" s="23" t="n">
        <v>-86887.384082</v>
      </c>
      <c r="C82" s="23" t="n">
        <v>1948697.924876</v>
      </c>
      <c r="D82" s="23" t="n">
        <v>1225585.95254</v>
      </c>
      <c r="E82" s="23" t="n">
        <v>51830.596751</v>
      </c>
      <c r="F82" s="23" t="n">
        <v>1794192.41518</v>
      </c>
      <c r="G82" s="23" t="n">
        <v>1517123.493532</v>
      </c>
      <c r="H82" s="23" t="n">
        <v>2899329.657863</v>
      </c>
      <c r="I82" s="23" t="n">
        <v>1285096.978699</v>
      </c>
      <c r="J82" s="23" t="n">
        <v>-1131547.649567</v>
      </c>
      <c r="K82" s="23" t="n"/>
      <c r="L82" s="23" t="n"/>
      <c r="M82" s="23" t="n"/>
      <c r="N82" s="70">
        <f>SUM(B82:M82)</f>
        <v/>
      </c>
    </row>
    <row r="83">
      <c r="A83" s="61" t="inlineStr">
        <is>
          <t>İncitaş / G.8.3.</t>
        </is>
      </c>
      <c r="B83" s="23" t="n">
        <v>1251616.4786</v>
      </c>
      <c r="C83" s="23" t="n">
        <v>1193540.921556</v>
      </c>
      <c r="D83" s="23" t="n">
        <v>407802.22</v>
      </c>
      <c r="E83" s="23" t="n">
        <v>971613.054571</v>
      </c>
      <c r="F83" s="23" t="n">
        <v>1464207.741959</v>
      </c>
      <c r="G83" s="23" t="n">
        <v>742586</v>
      </c>
      <c r="H83" s="23" t="n">
        <v>1358967.966136</v>
      </c>
      <c r="I83" s="23" t="n">
        <v>1064466.437377</v>
      </c>
      <c r="J83" s="23" t="n">
        <v>2669788.475729</v>
      </c>
      <c r="K83" s="23" t="n"/>
      <c r="L83" s="23" t="n"/>
      <c r="M83" s="23" t="n"/>
      <c r="N83" s="70">
        <f>SUM(B83:M83)</f>
        <v/>
      </c>
    </row>
    <row r="84">
      <c r="A84" s="61" t="inlineStr">
        <is>
          <t>İnci GS Yuasa / G.8.4.</t>
        </is>
      </c>
      <c r="B84" s="23" t="n">
        <v>47654214.874415</v>
      </c>
      <c r="C84" s="23" t="n">
        <v>31707078.805106</v>
      </c>
      <c r="D84" s="23" t="n">
        <v>-13413929.99117</v>
      </c>
      <c r="E84" s="23" t="n">
        <v>-19419305.347574</v>
      </c>
      <c r="F84" s="23" t="n">
        <v>-3459659.757369</v>
      </c>
      <c r="G84" s="23" t="n">
        <v>-31445500.872637</v>
      </c>
      <c r="H84" s="23" t="n">
        <v>-11169745.784941</v>
      </c>
      <c r="I84" s="23" t="n">
        <v>41491135.714625</v>
      </c>
      <c r="J84" s="23" t="n">
        <v>13261490.464506</v>
      </c>
      <c r="K84" s="23" t="n"/>
      <c r="L84" s="23" t="n"/>
      <c r="M84" s="23" t="n"/>
      <c r="N84" s="70">
        <f>SUM(B84:M84)</f>
        <v/>
      </c>
    </row>
    <row r="85">
      <c r="A85" s="61" t="inlineStr">
        <is>
          <t>Yusen İnci Loj. / G.8.5.</t>
        </is>
      </c>
      <c r="B85" s="23" t="n">
        <v>15253695.772641</v>
      </c>
      <c r="C85" s="23" t="n">
        <v>22768592.068092</v>
      </c>
      <c r="D85" s="23" t="n">
        <v>24634569.955267</v>
      </c>
      <c r="E85" s="23" t="n">
        <v>2552850.9</v>
      </c>
      <c r="F85" s="23" t="n">
        <v>9422748.538899999</v>
      </c>
      <c r="G85" s="23" t="n">
        <v>12229033.38</v>
      </c>
      <c r="H85" s="23" t="n">
        <v>23469044.05</v>
      </c>
      <c r="I85" s="23" t="n">
        <v>25244665.27</v>
      </c>
      <c r="J85" s="23" t="n">
        <v>29312167.434148</v>
      </c>
      <c r="K85" s="23" t="n"/>
      <c r="L85" s="23" t="n"/>
      <c r="M85" s="23" t="n"/>
      <c r="N85" s="70">
        <f>SUM(B85:M85)</f>
        <v/>
      </c>
    </row>
    <row r="86">
      <c r="A86" s="61" t="inlineStr">
        <is>
          <t>Jantaş / G.8.6.</t>
        </is>
      </c>
      <c r="B86" s="23" t="n">
        <v>42835132.28160077</v>
      </c>
      <c r="C86" s="23" t="n">
        <v>62015995.4608053</v>
      </c>
      <c r="D86" s="23" t="n">
        <v>85430619.62413551</v>
      </c>
      <c r="E86" s="23" t="n">
        <v>74599160.30359587</v>
      </c>
      <c r="F86" s="23" t="n">
        <v>87595878.13633826</v>
      </c>
      <c r="G86" s="23" t="n">
        <v>91936021.33829471</v>
      </c>
      <c r="H86" s="23" t="n">
        <v>88028042.69051845</v>
      </c>
      <c r="I86" s="23" t="n">
        <v>71700939.18975256</v>
      </c>
      <c r="J86" s="23" t="n">
        <v>138538142.450688</v>
      </c>
      <c r="K86" s="23" t="n"/>
      <c r="L86" s="23" t="n"/>
      <c r="M86" s="23" t="n"/>
      <c r="N86" s="70">
        <f>SUM(B86:M86)</f>
        <v/>
      </c>
    </row>
    <row r="87">
      <c r="A87" s="61" t="inlineStr">
        <is>
          <t>Çelik / G.8.7.</t>
        </is>
      </c>
      <c r="B87" s="23" t="n">
        <v>59049518.37557562</v>
      </c>
      <c r="C87" s="23" t="n">
        <v>81742354.95577918</v>
      </c>
      <c r="D87" s="23" t="n">
        <v>81937923.48734324</v>
      </c>
      <c r="E87" s="23" t="n">
        <v>105364886.2975962</v>
      </c>
      <c r="F87" s="23" t="n">
        <v>82959863.99629292</v>
      </c>
      <c r="G87" s="23" t="n">
        <v>83276167.53532651</v>
      </c>
      <c r="H87" s="23" t="n">
        <v>112367535.9906486</v>
      </c>
      <c r="I87" s="23" t="n">
        <v>80772464.87414764</v>
      </c>
      <c r="J87" s="23" t="n">
        <v>150669610.571052</v>
      </c>
      <c r="K87" s="23" t="n"/>
      <c r="L87" s="23" t="n"/>
      <c r="M87" s="23" t="n"/>
      <c r="N87" s="70">
        <f>SUM(B87:M87)</f>
        <v/>
      </c>
    </row>
    <row r="88">
      <c r="A88" s="61" t="inlineStr">
        <is>
          <t>Alüminyum / G.8.8.</t>
        </is>
      </c>
      <c r="B88" s="23" t="n">
        <v>100932814.5474545</v>
      </c>
      <c r="C88" s="23" t="n">
        <v>51980708.3114958</v>
      </c>
      <c r="D88" s="23" t="n">
        <v>79164285.59526968</v>
      </c>
      <c r="E88" s="23" t="n">
        <v>77403451.15176131</v>
      </c>
      <c r="F88" s="23" t="n">
        <v>153609467.7072683</v>
      </c>
      <c r="G88" s="23" t="n">
        <v>98719557.85041426</v>
      </c>
      <c r="H88" s="23" t="n">
        <v>115559159.1846106</v>
      </c>
      <c r="I88" s="23" t="n">
        <v>58948486.65946409</v>
      </c>
      <c r="J88" s="23" t="n">
        <v>176621866.8055546</v>
      </c>
      <c r="K88" s="23" t="n"/>
      <c r="L88" s="23" t="n"/>
      <c r="M88" s="23" t="n"/>
      <c r="N88" s="70">
        <f>SUM(B88:M88)</f>
        <v/>
      </c>
    </row>
    <row r="89">
      <c r="A89" s="61" t="inlineStr">
        <is>
          <t>x / G.8.9.</t>
        </is>
      </c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70" t="n"/>
    </row>
    <row r="90">
      <c r="A90" s="61" t="inlineStr">
        <is>
          <t>y / G.8.10.</t>
        </is>
      </c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70" t="n"/>
      <c r="P90" t="n">
        <v>8469</v>
      </c>
      <c r="Q90" t="n">
        <v>11742</v>
      </c>
      <c r="S90" t="n">
        <v>13418</v>
      </c>
    </row>
    <row r="91">
      <c r="A91" s="61" t="inlineStr">
        <is>
          <t>Finansman Gelir/Gideri-TL / G.9.</t>
        </is>
      </c>
      <c r="B91" s="23">
        <f>SUM(B92:B94)+SUM(B95:B99)*0.4</f>
        <v/>
      </c>
      <c r="C91" s="23">
        <f>SUM(C92:C94)+SUM(C95:C99)*0.4</f>
        <v/>
      </c>
      <c r="D91" s="23">
        <f>SUM(D92:D94)+SUM(D95:D99)*0.4</f>
        <v/>
      </c>
      <c r="E91" s="23">
        <f>SUM(E92:E94)+SUM(E95:E99)*0.4</f>
        <v/>
      </c>
      <c r="F91" s="23">
        <f>SUM(F92:F94)+SUM(F95:F99)*0.4</f>
        <v/>
      </c>
      <c r="G91" s="23">
        <f>SUM(G92:G94)+SUM(G95:G99)*0.4</f>
        <v/>
      </c>
      <c r="H91" s="23">
        <f>SUM(H92:H94)+SUM(H95:H99)*0.4</f>
        <v/>
      </c>
      <c r="I91" s="23">
        <f>SUM(I92:I94)+SUM(I95:I99)*0.4</f>
        <v/>
      </c>
      <c r="J91" s="23">
        <f>SUM(J92:J94)+SUM(J95:J99)*0.4</f>
        <v/>
      </c>
      <c r="K91" s="23">
        <f>SUM(K92:K94)+SUM(K95:K99)*0.4</f>
        <v/>
      </c>
      <c r="L91" s="23">
        <f>SUM(L92:L94)+SUM(L95:L99)*0.4</f>
        <v/>
      </c>
      <c r="M91" s="23">
        <f>SUM(M92:M94)+SUM(M95:M99)*0.4</f>
        <v/>
      </c>
      <c r="N91" s="70">
        <f>SUM(B91:M91)</f>
        <v/>
      </c>
      <c r="P91" s="311">
        <f>-146890404.369238/1000000</f>
        <v/>
      </c>
      <c r="Q91" s="311">
        <f>N91/1000000</f>
        <v/>
      </c>
      <c r="S91" s="311" t="n">
        <v>-336.3101917321033</v>
      </c>
      <c r="V91" s="312">
        <f>(Q91/P91)-1</f>
        <v/>
      </c>
      <c r="X91" s="312">
        <f>(Q91/S91)-1</f>
        <v/>
      </c>
    </row>
    <row r="92">
      <c r="A92" s="61" t="inlineStr">
        <is>
          <t>İnci Holding / G.9.1.</t>
        </is>
      </c>
      <c r="B92" s="23" t="n">
        <v>-8901072.08</v>
      </c>
      <c r="C92" s="23" t="n">
        <v>-7887257.94</v>
      </c>
      <c r="D92" s="23" t="n">
        <v>-3830701.08</v>
      </c>
      <c r="E92" s="23" t="n">
        <v>-4744422.899999999</v>
      </c>
      <c r="F92" s="23" t="n">
        <v>-4748327.49</v>
      </c>
      <c r="G92" s="23" t="n">
        <v>-4216625.390000001</v>
      </c>
      <c r="H92" s="23" t="n">
        <v>-4291014.09</v>
      </c>
      <c r="I92" s="23" t="n">
        <v>-4200587.79</v>
      </c>
      <c r="J92" s="23" t="n">
        <v>-321084.73</v>
      </c>
      <c r="K92" s="23" t="n"/>
      <c r="L92" s="23" t="n"/>
      <c r="M92" s="23" t="n"/>
      <c r="N92" s="70">
        <f>SUM(B92:M92)</f>
        <v/>
      </c>
    </row>
    <row r="93">
      <c r="A93" s="61" t="inlineStr">
        <is>
          <t>ISM / G.9.2.</t>
        </is>
      </c>
      <c r="B93" s="23" t="n">
        <v>-2114037.33845</v>
      </c>
      <c r="C93" s="23" t="n">
        <v>-2118993.383569</v>
      </c>
      <c r="D93" s="23" t="n">
        <v>-3506713.507978</v>
      </c>
      <c r="E93" s="23" t="n">
        <v>-3838288.17953</v>
      </c>
      <c r="F93" s="23" t="n">
        <v>-3126077.563067</v>
      </c>
      <c r="G93" s="23" t="n">
        <v>-4704063.274984</v>
      </c>
      <c r="H93" s="23" t="n">
        <v>-3091795.05708</v>
      </c>
      <c r="I93" s="23" t="n">
        <v>-3013714.71</v>
      </c>
      <c r="J93" s="23" t="n">
        <v>-5485232.299499</v>
      </c>
      <c r="K93" s="23" t="n"/>
      <c r="L93" s="23" t="n"/>
      <c r="M93" s="23" t="n"/>
      <c r="N93" s="70">
        <f>SUM(B93:M93)</f>
        <v/>
      </c>
      <c r="P93" s="312">
        <f>P91/P90</f>
        <v/>
      </c>
      <c r="Q93" s="312">
        <f>Q91/Q90</f>
        <v/>
      </c>
      <c r="R93" s="312" t="n"/>
      <c r="S93" s="312">
        <f>S91/S90</f>
        <v/>
      </c>
      <c r="V93" s="315">
        <f>Q93-P93</f>
        <v/>
      </c>
      <c r="W93" s="314" t="n"/>
      <c r="X93" s="315">
        <f>Q93-S93</f>
        <v/>
      </c>
    </row>
    <row r="94">
      <c r="A94" s="61" t="inlineStr">
        <is>
          <t>İncitaş / G.9.3.</t>
        </is>
      </c>
      <c r="B94" s="23" t="n">
        <v>-1486096</v>
      </c>
      <c r="C94" s="23" t="n">
        <v>-1235417</v>
      </c>
      <c r="D94" s="23" t="n">
        <v>-1973525</v>
      </c>
      <c r="E94" s="23" t="n">
        <v>-1878887</v>
      </c>
      <c r="F94" s="23" t="n">
        <v>-1420222</v>
      </c>
      <c r="G94" s="23" t="n">
        <v>-2357450</v>
      </c>
      <c r="H94" s="23" t="n">
        <v>-2928890</v>
      </c>
      <c r="I94" s="23" t="n">
        <v>-2767561</v>
      </c>
      <c r="J94" s="23" t="n">
        <v>-1723689</v>
      </c>
      <c r="K94" s="23" t="n"/>
      <c r="L94" s="23" t="n"/>
      <c r="M94" s="23" t="n"/>
      <c r="N94" s="70">
        <f>SUM(B94:M94)</f>
        <v/>
      </c>
      <c r="P94" s="314" t="n"/>
      <c r="Q94" s="314" t="n"/>
      <c r="R94" s="314" t="n"/>
      <c r="S94" s="314" t="n"/>
    </row>
    <row r="95">
      <c r="A95" s="61" t="inlineStr">
        <is>
          <t>İnci GS Yuasa / G.9.4.</t>
        </is>
      </c>
      <c r="B95" s="23" t="n">
        <v>-62771359.85</v>
      </c>
      <c r="C95" s="23" t="n">
        <v>-57305192.28</v>
      </c>
      <c r="D95" s="23" t="n">
        <v>-63040182.41</v>
      </c>
      <c r="E95" s="23" t="n">
        <v>-65722949.59</v>
      </c>
      <c r="F95" s="23" t="n">
        <v>-76690771.54000001</v>
      </c>
      <c r="G95" s="23" t="n">
        <v>-96375363.88</v>
      </c>
      <c r="H95" s="23" t="n">
        <v>-96111983.51000001</v>
      </c>
      <c r="I95" s="23" t="n">
        <v>-103538291.56</v>
      </c>
      <c r="J95" s="23" t="n">
        <v>-91185522.37</v>
      </c>
      <c r="K95" s="23" t="n"/>
      <c r="L95" s="23" t="n"/>
      <c r="M95" s="23" t="n"/>
      <c r="N95" s="70">
        <f>SUM(B95:M95)</f>
        <v/>
      </c>
    </row>
    <row r="96">
      <c r="A96" s="61" t="inlineStr">
        <is>
          <t>Yusen İnci Loj. / G.9.5.</t>
        </is>
      </c>
      <c r="B96" s="23" t="n">
        <v>-4838843.827105</v>
      </c>
      <c r="C96" s="23" t="n">
        <v>-4867840.196577</v>
      </c>
      <c r="D96" s="23" t="n">
        <v>-4861665.471509</v>
      </c>
      <c r="E96" s="23" t="n">
        <v>-4713041.882818</v>
      </c>
      <c r="F96" s="23" t="n">
        <v>-4690384.15709</v>
      </c>
      <c r="G96" s="23" t="n">
        <v>-8830736.841542</v>
      </c>
      <c r="H96" s="23" t="n">
        <v>-8491965.863241</v>
      </c>
      <c r="I96" s="23" t="n">
        <v>-9623128.222741</v>
      </c>
      <c r="J96" s="23" t="n">
        <v>-9387137.763358001</v>
      </c>
      <c r="K96" s="23" t="n"/>
      <c r="L96" s="23" t="n"/>
      <c r="M96" s="23" t="n"/>
      <c r="N96" s="70">
        <f>SUM(B96:M96)</f>
        <v/>
      </c>
    </row>
    <row r="97">
      <c r="A97" s="61" t="inlineStr">
        <is>
          <t>Jantaş / G.9.6.</t>
        </is>
      </c>
      <c r="B97" s="23" t="n">
        <v>-1604847.358549387</v>
      </c>
      <c r="C97" s="23" t="n">
        <v>-1159077.612834143</v>
      </c>
      <c r="D97" s="23" t="n">
        <v>-1738512.388267742</v>
      </c>
      <c r="E97" s="23" t="n">
        <v>-1521688.354269632</v>
      </c>
      <c r="F97" s="23" t="n">
        <v>273880.6774885149</v>
      </c>
      <c r="G97" s="23" t="n">
        <v>-5550476.331386699</v>
      </c>
      <c r="H97" s="23" t="n">
        <v>-3786676.420605419</v>
      </c>
      <c r="I97" s="23" t="n">
        <v>559037.5771224186</v>
      </c>
      <c r="J97" s="23" t="n">
        <v>-1402249.609555499</v>
      </c>
      <c r="K97" s="23" t="n"/>
      <c r="L97" s="23" t="n"/>
      <c r="M97" s="23" t="n"/>
      <c r="N97" s="70">
        <f>SUM(B97:M97)</f>
        <v/>
      </c>
    </row>
    <row r="98">
      <c r="A98" s="61" t="inlineStr">
        <is>
          <t>Çelik / G.9.7.</t>
        </is>
      </c>
      <c r="B98" s="23" t="n">
        <v>3170402.352719903</v>
      </c>
      <c r="C98" s="23" t="n">
        <v>789315.2292108571</v>
      </c>
      <c r="D98" s="23" t="n">
        <v>964488.8180245162</v>
      </c>
      <c r="E98" s="23" t="n">
        <v>3531238.654244466</v>
      </c>
      <c r="F98" s="23" t="n">
        <v>5340876.087541061</v>
      </c>
      <c r="G98" s="23" t="n">
        <v>4718519.089804101</v>
      </c>
      <c r="H98" s="23" t="n">
        <v>5855442.799660906</v>
      </c>
      <c r="I98" s="23" t="n">
        <v>453382.225687032</v>
      </c>
      <c r="J98" s="23" t="n">
        <v>2959278.785149499</v>
      </c>
      <c r="K98" s="23" t="n"/>
      <c r="L98" s="23" t="n"/>
      <c r="M98" s="23" t="n"/>
      <c r="N98" s="70">
        <f>SUM(B98:M98)</f>
        <v/>
      </c>
    </row>
    <row r="99">
      <c r="A99" s="61" t="inlineStr">
        <is>
          <t>Alüminyum / G.9.8.</t>
        </is>
      </c>
      <c r="B99" s="23" t="n">
        <v>-2443445.365332194</v>
      </c>
      <c r="C99" s="23" t="n">
        <v>-3327547.678754929</v>
      </c>
      <c r="D99" s="23" t="n">
        <v>-5001919.540488389</v>
      </c>
      <c r="E99" s="23" t="n">
        <v>-541837.1132120329</v>
      </c>
      <c r="F99" s="23" t="n">
        <v>-2120586.624395419</v>
      </c>
      <c r="G99" s="23" t="n">
        <v>-2696961.850393998</v>
      </c>
      <c r="H99" s="23" t="n">
        <v>-1163691.409344129</v>
      </c>
      <c r="I99" s="23" t="n">
        <v>2428558.456757321</v>
      </c>
      <c r="J99" s="23" t="n">
        <v>685230.5617485007</v>
      </c>
      <c r="K99" s="23" t="n"/>
      <c r="L99" s="23" t="n"/>
      <c r="M99" s="23" t="n"/>
      <c r="N99" s="70">
        <f>SUM(B99:M99)</f>
        <v/>
      </c>
    </row>
    <row r="100">
      <c r="A100" s="61" t="inlineStr">
        <is>
          <t>x / G.9.9.</t>
        </is>
      </c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70" t="n"/>
    </row>
    <row r="101">
      <c r="A101" s="61" t="inlineStr">
        <is>
          <t>y / G.9.10.</t>
        </is>
      </c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70" t="n"/>
    </row>
    <row r="102">
      <c r="A102" s="61" t="inlineStr">
        <is>
          <t>Diğer Gelir/Gideri-TL / G.10.</t>
        </is>
      </c>
      <c r="B102" s="23">
        <f>SUM(B103:B105)+SUM(B106:B110)*0.4</f>
        <v/>
      </c>
      <c r="C102" s="23">
        <f>SUM(C103:C105)+SUM(C106:C110)*0.4</f>
        <v/>
      </c>
      <c r="D102" s="23">
        <f>SUM(D103:D105)+SUM(D106:D110)*0.4</f>
        <v/>
      </c>
      <c r="E102" s="23">
        <f>SUM(E103:E105)+SUM(E106:E110)*0.4</f>
        <v/>
      </c>
      <c r="F102" s="23">
        <f>SUM(F103:F105)+SUM(F106:F110)*0.4</f>
        <v/>
      </c>
      <c r="G102" s="23">
        <f>SUM(G103:G105)+SUM(G106:G110)*0.4</f>
        <v/>
      </c>
      <c r="H102" s="23">
        <f>SUM(H103:H105)+SUM(H106:H110)*0.4</f>
        <v/>
      </c>
      <c r="I102" s="23">
        <f>SUM(I103:I105)+SUM(I106:I110)*0.4</f>
        <v/>
      </c>
      <c r="J102" s="23">
        <f>SUM(J103:J105)+SUM(J106:J110)*0.4</f>
        <v/>
      </c>
      <c r="K102" s="23">
        <f>SUM(K103:K105)+SUM(K106:K110)*0.4</f>
        <v/>
      </c>
      <c r="L102" s="23">
        <f>SUM(L103:L105)+SUM(L106:L110)*0.4</f>
        <v/>
      </c>
      <c r="M102" s="23">
        <f>SUM(M103:M105)+SUM(M106:M110)*0.4</f>
        <v/>
      </c>
      <c r="N102" s="70">
        <f>SUM(B102:M102)</f>
        <v/>
      </c>
    </row>
    <row r="103">
      <c r="A103" s="61" t="inlineStr">
        <is>
          <t>İnci Holding / G.10.1.</t>
        </is>
      </c>
      <c r="B103" s="23" t="n">
        <v>1817782.32</v>
      </c>
      <c r="C103" s="23" t="n">
        <v>13537164.16</v>
      </c>
      <c r="D103" s="23" t="n">
        <v>23237717.75</v>
      </c>
      <c r="E103" s="23" t="n">
        <v>20476602.599999</v>
      </c>
      <c r="F103" s="23" t="n">
        <v>-43862.87999800005</v>
      </c>
      <c r="G103" s="23" t="n">
        <v>1697848.439998</v>
      </c>
      <c r="H103" s="23" t="n">
        <v>-1082012.19</v>
      </c>
      <c r="I103" s="23" t="n">
        <v>4229765.989999</v>
      </c>
      <c r="J103" s="23" t="n">
        <v>1629539.740001</v>
      </c>
      <c r="K103" s="23" t="n"/>
      <c r="L103" s="23" t="n"/>
      <c r="M103" s="23" t="n"/>
      <c r="N103" s="70">
        <f>SUM(B103:M103)</f>
        <v/>
      </c>
    </row>
    <row r="104">
      <c r="A104" s="61" t="inlineStr">
        <is>
          <t>ISM / G.10.2.</t>
        </is>
      </c>
      <c r="B104" s="23" t="n">
        <v>-180711</v>
      </c>
      <c r="C104" s="23" t="n">
        <v>124201</v>
      </c>
      <c r="D104" s="23" t="n">
        <v>107394.86</v>
      </c>
      <c r="E104" s="23" t="n">
        <v>7853145.53</v>
      </c>
      <c r="F104" s="23" t="n">
        <v>-2975501.21</v>
      </c>
      <c r="G104" s="23" t="n">
        <v>-13960358.35</v>
      </c>
      <c r="H104" s="23" t="n">
        <v>-1356695.08</v>
      </c>
      <c r="I104" s="23" t="n">
        <v>-5744974.88</v>
      </c>
      <c r="J104" s="23" t="n">
        <v>-1728138.63</v>
      </c>
      <c r="K104" s="23" t="n"/>
      <c r="L104" s="23" t="n"/>
      <c r="M104" s="23" t="n"/>
      <c r="N104" s="70">
        <f>SUM(B104:M104)</f>
        <v/>
      </c>
    </row>
    <row r="105">
      <c r="A105" s="61" t="inlineStr">
        <is>
          <t>İncitaş / G.10.3.</t>
        </is>
      </c>
      <c r="B105" s="23" t="n">
        <v>288472</v>
      </c>
      <c r="C105" s="23" t="n">
        <v>131498</v>
      </c>
      <c r="D105" s="23" t="n">
        <v>488880</v>
      </c>
      <c r="E105" s="23" t="n">
        <v>235015</v>
      </c>
      <c r="F105" s="23" t="n">
        <v>447128.74</v>
      </c>
      <c r="G105" s="23" t="n">
        <v>314815</v>
      </c>
      <c r="H105" s="23" t="n">
        <v>-120147</v>
      </c>
      <c r="I105" s="23" t="n">
        <v>359867</v>
      </c>
      <c r="J105" s="23" t="n">
        <v>388156</v>
      </c>
      <c r="K105" s="23" t="n"/>
      <c r="L105" s="23" t="n"/>
      <c r="M105" s="23" t="n"/>
      <c r="N105" s="70">
        <f>SUM(B105:M105)</f>
        <v/>
      </c>
    </row>
    <row r="106">
      <c r="A106" s="61" t="inlineStr">
        <is>
          <t>İnci GS Yuasa / G.10.4.</t>
        </is>
      </c>
      <c r="B106" s="23" t="n">
        <v>-37076542.591996</v>
      </c>
      <c r="C106" s="23" t="n">
        <v>-33463330.48589</v>
      </c>
      <c r="D106" s="23" t="n">
        <v>-83235586.873851</v>
      </c>
      <c r="E106" s="23" t="n">
        <v>-111111674.177635</v>
      </c>
      <c r="F106" s="23" t="n">
        <v>-39821274.48435</v>
      </c>
      <c r="G106" s="23" t="n">
        <v>-2765047.070791</v>
      </c>
      <c r="H106" s="23" t="n">
        <v>-37834002.336697</v>
      </c>
      <c r="I106" s="23" t="n">
        <v>-20680558.47767</v>
      </c>
      <c r="J106" s="23" t="n">
        <v>-31029523.943409</v>
      </c>
      <c r="K106" s="23" t="n"/>
      <c r="L106" s="23" t="n"/>
      <c r="M106" s="23" t="n"/>
      <c r="N106" s="70">
        <f>SUM(B106:M106)</f>
        <v/>
      </c>
    </row>
    <row r="107">
      <c r="A107" s="61" t="inlineStr">
        <is>
          <t>Yusen İnci Loj. / G.10.5.</t>
        </is>
      </c>
      <c r="B107" s="23" t="n">
        <v>1691227.169999</v>
      </c>
      <c r="C107" s="23" t="n">
        <v>2943443.990000001</v>
      </c>
      <c r="D107" s="23" t="n">
        <v>6625872.119999999</v>
      </c>
      <c r="E107" s="23" t="n">
        <v>5268809.450000001</v>
      </c>
      <c r="F107" s="23" t="n">
        <v>3148982.58</v>
      </c>
      <c r="G107" s="23" t="n">
        <v>4437867.21</v>
      </c>
      <c r="H107" s="23" t="n">
        <v>1850149.420000001</v>
      </c>
      <c r="I107" s="23" t="n">
        <v>2166753.050000001</v>
      </c>
      <c r="J107" s="23" t="n">
        <v>2509221.09</v>
      </c>
      <c r="K107" s="23" t="n"/>
      <c r="L107" s="23" t="n"/>
      <c r="M107" s="23" t="n"/>
      <c r="N107" s="70">
        <f>SUM(B107:M107)</f>
        <v/>
      </c>
    </row>
    <row r="108">
      <c r="A108" s="61" t="inlineStr">
        <is>
          <t>Jantaş / G.10.6.</t>
        </is>
      </c>
      <c r="B108" s="23" t="n">
        <v>-9289856.34208384</v>
      </c>
      <c r="C108" s="23" t="n">
        <v>27009647.01944694</v>
      </c>
      <c r="D108" s="23" t="n">
        <v>-3007517.183281936</v>
      </c>
      <c r="E108" s="23" t="n">
        <v>16200594.14585166</v>
      </c>
      <c r="F108" s="23" t="n">
        <v>-1779334.364770837</v>
      </c>
      <c r="G108" s="23" t="n">
        <v>-3205468.558763801</v>
      </c>
      <c r="H108" s="23" t="n">
        <v>-14945178.67147781</v>
      </c>
      <c r="I108" s="23" t="n">
        <v>-22172687.56199414</v>
      </c>
      <c r="J108" s="23" t="n">
        <v>3187590.040728</v>
      </c>
      <c r="K108" s="23" t="n"/>
      <c r="L108" s="23" t="n"/>
      <c r="M108" s="23" t="n"/>
      <c r="N108" s="70">
        <f>SUM(B108:M108)</f>
        <v/>
      </c>
    </row>
    <row r="109">
      <c r="A109" s="61" t="inlineStr">
        <is>
          <t>Çelik / G.10.7.</t>
        </is>
      </c>
      <c r="B109" s="23" t="n">
        <v>-13634652.59729793</v>
      </c>
      <c r="C109" s="23" t="n">
        <v>-10171218.49246565</v>
      </c>
      <c r="D109" s="23" t="n">
        <v>-20725949.77021936</v>
      </c>
      <c r="E109" s="23" t="n">
        <v>-94631550.52851775</v>
      </c>
      <c r="F109" s="23" t="n">
        <v>-15528579.01035937</v>
      </c>
      <c r="G109" s="23" t="n">
        <v>-58710504.59270709</v>
      </c>
      <c r="H109" s="23" t="n">
        <v>-2902735.36261641</v>
      </c>
      <c r="I109" s="23" t="n">
        <v>-25018733.68346781</v>
      </c>
      <c r="J109" s="23" t="n">
        <v>-16405551.7133805</v>
      </c>
      <c r="K109" s="23" t="n"/>
      <c r="L109" s="23" t="n"/>
      <c r="M109" s="23" t="n"/>
      <c r="N109" s="70">
        <f>SUM(B109:M109)</f>
        <v/>
      </c>
    </row>
    <row r="110">
      <c r="A110" s="61" t="inlineStr">
        <is>
          <t>Alüminyum / G.10.8.</t>
        </is>
      </c>
      <c r="B110" s="23" t="n">
        <v>-4166071.489797936</v>
      </c>
      <c r="C110" s="23" t="n">
        <v>-5081477.38944393</v>
      </c>
      <c r="D110" s="23" t="n">
        <v>-1822098.688118711</v>
      </c>
      <c r="E110" s="23" t="n">
        <v>1235509.229589967</v>
      </c>
      <c r="F110" s="23" t="n">
        <v>-7420301.466657676</v>
      </c>
      <c r="G110" s="23" t="n">
        <v>1871853.365221701</v>
      </c>
      <c r="H110" s="23" t="n">
        <v>-10125223.42176452</v>
      </c>
      <c r="I110" s="23" t="n">
        <v>8027574.976835037</v>
      </c>
      <c r="J110" s="23" t="n">
        <v>6054881.223648</v>
      </c>
      <c r="K110" s="23" t="n"/>
      <c r="L110" s="23" t="n"/>
      <c r="M110" s="23" t="n"/>
      <c r="N110" s="70">
        <f>SUM(B110:M110)</f>
        <v/>
      </c>
    </row>
    <row r="111">
      <c r="A111" s="61" t="inlineStr">
        <is>
          <t>x / G.10.9.</t>
        </is>
      </c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70" t="n"/>
    </row>
    <row r="112">
      <c r="A112" s="61" t="inlineStr">
        <is>
          <t>y / G.10.10.</t>
        </is>
      </c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70" t="n"/>
    </row>
    <row r="113">
      <c r="A113" s="61" t="inlineStr">
        <is>
          <t>VÖK-TL / G.11.</t>
        </is>
      </c>
      <c r="B113" s="23">
        <f>SUM(B114:B116)+SUM(B117:B121)*0.4</f>
        <v/>
      </c>
      <c r="C113" s="23">
        <f>SUM(C114:C116)+SUM(C117:C121)*0.4</f>
        <v/>
      </c>
      <c r="D113" s="23">
        <f>SUM(D114:D116)+SUM(D117:D121)*0.4</f>
        <v/>
      </c>
      <c r="E113" s="23">
        <f>SUM(E114:E116)+SUM(E117:E121)*0.4</f>
        <v/>
      </c>
      <c r="F113" s="23">
        <f>SUM(F114:F116)+SUM(F117:F121)*0.4</f>
        <v/>
      </c>
      <c r="G113" s="23">
        <f>SUM(G114:G116)+SUM(G117:G121)*0.4</f>
        <v/>
      </c>
      <c r="H113" s="23">
        <f>SUM(H114:H116)+SUM(H117:H121)*0.4</f>
        <v/>
      </c>
      <c r="I113" s="23">
        <f>SUM(I114:I116)+SUM(I117:I121)*0.4</f>
        <v/>
      </c>
      <c r="J113" s="23">
        <f>SUM(J114:J116)+SUM(J117:J121)*0.4</f>
        <v/>
      </c>
      <c r="K113" s="23">
        <f>SUM(K114:K116)+SUM(K117:K121)*0.4</f>
        <v/>
      </c>
      <c r="L113" s="23">
        <f>SUM(L114:L116)+SUM(L117:L121)*0.4</f>
        <v/>
      </c>
      <c r="M113" s="23">
        <f>SUM(M114:M116)+SUM(M117:M121)*0.4</f>
        <v/>
      </c>
      <c r="N113" s="70">
        <f>SUM(B113:M113)</f>
        <v/>
      </c>
    </row>
    <row r="114">
      <c r="A114" s="61" t="inlineStr">
        <is>
          <t>İnci Holding / G.11.1.</t>
        </is>
      </c>
      <c r="B114" s="23" t="n">
        <v>6693595.44</v>
      </c>
      <c r="C114" s="23" t="n">
        <v>17310519.33</v>
      </c>
      <c r="D114" s="23" t="n">
        <v>32927476.51</v>
      </c>
      <c r="E114" s="23" t="n">
        <v>21450168.179999</v>
      </c>
      <c r="F114" s="23" t="n">
        <v>13687611.530002</v>
      </c>
      <c r="G114" s="23" t="n">
        <v>10940847.279998</v>
      </c>
      <c r="H114" s="23" t="n">
        <v>10952603.51000001</v>
      </c>
      <c r="I114" s="23" t="n">
        <v>13785733.289999</v>
      </c>
      <c r="J114" s="23" t="n">
        <v>24441367.570001</v>
      </c>
      <c r="K114" s="23" t="n"/>
      <c r="L114" s="23" t="n"/>
      <c r="M114" s="23" t="n"/>
      <c r="N114" s="70">
        <f>SUM(B114:M114)</f>
        <v/>
      </c>
    </row>
    <row r="115">
      <c r="A115" s="61" t="inlineStr">
        <is>
          <t>ISM / G.11.2.</t>
        </is>
      </c>
      <c r="B115" s="23" t="n">
        <v>-2703762.232531</v>
      </c>
      <c r="C115" s="23" t="n">
        <v>-536775.968693</v>
      </c>
      <c r="D115" s="23" t="n">
        <v>-2581682.035438</v>
      </c>
      <c r="E115" s="23" t="n">
        <v>3182215.797221</v>
      </c>
      <c r="F115" s="23" t="n">
        <v>-4867288.857887</v>
      </c>
      <c r="G115" s="23" t="n">
        <v>-17702208.281452</v>
      </c>
      <c r="H115" s="23" t="n">
        <v>-2102337.779217</v>
      </c>
      <c r="I115" s="23" t="n">
        <v>-8052124.231301</v>
      </c>
      <c r="J115" s="23" t="n">
        <v>-8904775.499066001</v>
      </c>
      <c r="K115" s="23" t="n"/>
      <c r="L115" s="23" t="n"/>
      <c r="M115" s="23" t="n"/>
      <c r="N115" s="70">
        <f>SUM(B115:M115)</f>
        <v/>
      </c>
    </row>
    <row r="116">
      <c r="A116" s="61" t="inlineStr">
        <is>
          <t>İncitaş / G.11.3.</t>
        </is>
      </c>
      <c r="B116" s="23" t="n">
        <v>44197.3086</v>
      </c>
      <c r="C116" s="23" t="n">
        <v>79826.751556</v>
      </c>
      <c r="D116" s="23" t="n">
        <v>-1140211.45</v>
      </c>
      <c r="E116" s="23" t="n">
        <v>-699931.945429</v>
      </c>
      <c r="F116" s="23" t="n">
        <v>457732.49</v>
      </c>
      <c r="G116" s="23" t="n">
        <v>-1329786</v>
      </c>
      <c r="H116" s="23" t="n">
        <v>-1710368.033864</v>
      </c>
      <c r="I116" s="23" t="n">
        <v>-1363526.562623</v>
      </c>
      <c r="J116" s="23" t="n">
        <v>1313956.475729</v>
      </c>
      <c r="K116" s="23" t="n"/>
      <c r="L116" s="23" t="n"/>
      <c r="M116" s="23" t="n"/>
      <c r="N116" s="70">
        <f>SUM(B116:M116)</f>
        <v/>
      </c>
    </row>
    <row r="117">
      <c r="A117" s="61" t="inlineStr">
        <is>
          <t>İnci GS Yuasa / G.11.4.</t>
        </is>
      </c>
      <c r="B117" s="23" t="n">
        <v>-59473752.741926</v>
      </c>
      <c r="C117" s="23" t="n">
        <v>-67352195.20480099</v>
      </c>
      <c r="D117" s="23" t="n">
        <v>-167999116.750836</v>
      </c>
      <c r="E117" s="23" t="n">
        <v>-207019120.327178</v>
      </c>
      <c r="F117" s="23" t="n">
        <v>-128699715.509693</v>
      </c>
      <c r="G117" s="23" t="n">
        <v>-138951546.307256</v>
      </c>
      <c r="H117" s="23" t="n">
        <v>-154785720.395317</v>
      </c>
      <c r="I117" s="23" t="n">
        <v>-91817329.554015</v>
      </c>
      <c r="J117" s="23" t="n">
        <v>-119530679.129558</v>
      </c>
      <c r="K117" s="23" t="n"/>
      <c r="L117" s="23" t="n"/>
      <c r="M117" s="23" t="n"/>
      <c r="N117" s="70">
        <f>SUM(B117:M117)</f>
        <v/>
      </c>
    </row>
    <row r="118">
      <c r="A118" s="61" t="inlineStr">
        <is>
          <t>Yusen İnci Loj. / G.11.5.</t>
        </is>
      </c>
      <c r="B118" s="23" t="n">
        <v>5982504.188744</v>
      </c>
      <c r="C118" s="23" t="n">
        <v>14787019.331146</v>
      </c>
      <c r="D118" s="23" t="n">
        <v>19468075.37742</v>
      </c>
      <c r="E118" s="23" t="n">
        <v>-4368092.533042</v>
      </c>
      <c r="F118" s="23" t="n">
        <v>-403312.168652</v>
      </c>
      <c r="G118" s="23" t="n">
        <v>-1423279.70945</v>
      </c>
      <c r="H118" s="23" t="n">
        <v>7335252.893186</v>
      </c>
      <c r="I118" s="23" t="n">
        <v>7330570.463739</v>
      </c>
      <c r="J118" s="23" t="n">
        <v>12297406.146251</v>
      </c>
      <c r="K118" s="23" t="n"/>
      <c r="L118" s="23" t="n"/>
      <c r="M118" s="23" t="n"/>
      <c r="N118" s="70">
        <f>SUM(B118:M118)</f>
        <v/>
      </c>
    </row>
    <row r="119">
      <c r="A119" s="61" t="inlineStr">
        <is>
          <t>Jantaş / G.11.6.</t>
        </is>
      </c>
      <c r="B119" s="23" t="n">
        <v>34266078.67021581</v>
      </c>
      <c r="C119" s="23" t="n">
        <v>53942123.70795116</v>
      </c>
      <c r="D119" s="23" t="n">
        <v>63119218.82754195</v>
      </c>
      <c r="E119" s="23" t="n">
        <v>71049445.44405004</v>
      </c>
      <c r="F119" s="23" t="n">
        <v>66921399.58557308</v>
      </c>
      <c r="G119" s="23" t="n">
        <v>64035222.97356942</v>
      </c>
      <c r="H119" s="23" t="n">
        <v>48646234.85445233</v>
      </c>
      <c r="I119" s="23" t="n">
        <v>29192109.89512675</v>
      </c>
      <c r="J119" s="23" t="n">
        <v>119367288.278472</v>
      </c>
      <c r="K119" s="23" t="n"/>
      <c r="L119" s="23" t="n"/>
      <c r="M119" s="23" t="n"/>
      <c r="N119" s="70">
        <f>SUM(B119:M119)</f>
        <v/>
      </c>
    </row>
    <row r="120">
      <c r="A120" s="61" t="inlineStr">
        <is>
          <t>Çelik / G.11.7.</t>
        </is>
      </c>
      <c r="B120" s="23" t="n">
        <v>39366711.49794967</v>
      </c>
      <c r="C120" s="23" t="n">
        <v>63833356.34115145</v>
      </c>
      <c r="D120" s="23" t="n">
        <v>52105714.32532065</v>
      </c>
      <c r="E120" s="23" t="n">
        <v>3820347.719234075</v>
      </c>
      <c r="F120" s="23" t="n">
        <v>61754718.07304042</v>
      </c>
      <c r="G120" s="23" t="n">
        <v>18367412.20738197</v>
      </c>
      <c r="H120" s="23" t="n">
        <v>103537259.6067545</v>
      </c>
      <c r="I120" s="23" t="n">
        <v>44327946.0424611</v>
      </c>
      <c r="J120" s="23" t="n">
        <v>125672323.7105446</v>
      </c>
      <c r="K120" s="23" t="n"/>
      <c r="L120" s="23" t="n"/>
      <c r="M120" s="23" t="n"/>
      <c r="N120" s="70">
        <f>SUM(B120:M120)</f>
        <v/>
      </c>
    </row>
    <row r="121">
      <c r="A121" s="61" t="inlineStr">
        <is>
          <t>Alüminyum / G.11.8.</t>
        </is>
      </c>
      <c r="B121" s="23" t="n">
        <v>66897250.10321446</v>
      </c>
      <c r="C121" s="23" t="n">
        <v>17776842.32793116</v>
      </c>
      <c r="D121" s="23" t="n">
        <v>42166133.95827678</v>
      </c>
      <c r="E121" s="23" t="n">
        <v>47550786.90309048</v>
      </c>
      <c r="F121" s="23" t="n">
        <v>111704793.0010243</v>
      </c>
      <c r="G121" s="23" t="n">
        <v>65976022.50680353</v>
      </c>
      <c r="H121" s="23" t="n">
        <v>70412643.43901351</v>
      </c>
      <c r="I121" s="23" t="n">
        <v>34578426.43771921</v>
      </c>
      <c r="J121" s="23" t="n">
        <v>150811385.2950225</v>
      </c>
      <c r="K121" s="23" t="n"/>
      <c r="L121" s="23" t="n"/>
      <c r="M121" s="23" t="n"/>
      <c r="N121" s="70">
        <f>SUM(B121:M121)</f>
        <v/>
      </c>
    </row>
    <row r="122">
      <c r="A122" s="61" t="inlineStr">
        <is>
          <t>x / G.11.9.</t>
        </is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70" t="n"/>
    </row>
    <row r="123">
      <c r="A123" s="61" t="inlineStr">
        <is>
          <t>y / G.11.10.</t>
        </is>
      </c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70" t="n"/>
    </row>
    <row r="124">
      <c r="A124" s="61" t="inlineStr">
        <is>
          <t>Vergi-TL / G.12.</t>
        </is>
      </c>
      <c r="B124" s="23">
        <f>SUM(B125:B127)+SUM(B128:B132)*0.4</f>
        <v/>
      </c>
      <c r="C124" s="23">
        <f>SUM(C125:C127)+SUM(C128:C132)*0.4</f>
        <v/>
      </c>
      <c r="D124" s="23">
        <f>SUM(D125:D127)+SUM(D128:D132)*0.4</f>
        <v/>
      </c>
      <c r="E124" s="23">
        <f>SUM(E125:E127)+SUM(E128:E132)*0.4</f>
        <v/>
      </c>
      <c r="F124" s="23">
        <f>SUM(F125:F127)+SUM(F128:F132)*0.4</f>
        <v/>
      </c>
      <c r="G124" s="23">
        <f>SUM(G125:G127)+SUM(G128:G132)*0.4</f>
        <v/>
      </c>
      <c r="H124" s="23">
        <f>SUM(H125:H127)+SUM(H128:H132)*0.4</f>
        <v/>
      </c>
      <c r="I124" s="23">
        <f>SUM(I125:I127)+SUM(I128:I132)*0.4</f>
        <v/>
      </c>
      <c r="J124" s="23">
        <f>SUM(J125:J127)+SUM(J128:J132)*0.4</f>
        <v/>
      </c>
      <c r="K124" s="23">
        <f>SUM(K125:K127)+SUM(K128:K132)*0.4</f>
        <v/>
      </c>
      <c r="L124" s="23">
        <f>SUM(L125:L127)+SUM(L128:L132)*0.4</f>
        <v/>
      </c>
      <c r="M124" s="23">
        <f>SUM(M125:M127)+SUM(M128:M132)*0.4</f>
        <v/>
      </c>
      <c r="N124" s="70">
        <f>SUM(B124:M124)</f>
        <v/>
      </c>
    </row>
    <row r="125">
      <c r="A125" s="61" t="inlineStr">
        <is>
          <t>İnci Holding / G.12.1.</t>
        </is>
      </c>
      <c r="B125" s="23" t="n">
        <v>1673398.86</v>
      </c>
      <c r="C125" s="23" t="n">
        <v>4327629.8325</v>
      </c>
      <c r="D125" s="23" t="n">
        <v>8231869.1275</v>
      </c>
      <c r="E125" s="23" t="n">
        <v>5362542.045</v>
      </c>
      <c r="F125" s="23" t="n">
        <v>3421902.8825</v>
      </c>
      <c r="G125" s="23" t="n">
        <v>2735211.82</v>
      </c>
      <c r="H125" s="23" t="n">
        <v>2738150.8775</v>
      </c>
      <c r="I125" s="23" t="n">
        <v>3446433.3225</v>
      </c>
      <c r="J125" s="23" t="n">
        <v>6110341.8925</v>
      </c>
      <c r="K125" s="23" t="n"/>
      <c r="L125" s="23" t="n"/>
      <c r="M125" s="23" t="n"/>
      <c r="N125" s="70">
        <f>SUM(B125:M125)</f>
        <v/>
      </c>
    </row>
    <row r="126">
      <c r="A126" s="61" t="inlineStr">
        <is>
          <t>ISM / G.12.2.</t>
        </is>
      </c>
      <c r="B126" s="23" t="n">
        <v>156887.688017</v>
      </c>
      <c r="C126" s="23" t="n">
        <v>135228.741446</v>
      </c>
      <c r="D126" s="23" t="n">
        <v>150483.890004</v>
      </c>
      <c r="E126" s="23" t="n">
        <v>192785.690924</v>
      </c>
      <c r="F126" s="23" t="n">
        <v>-59487.356478</v>
      </c>
      <c r="G126" s="23" t="n">
        <v>-288826.301203</v>
      </c>
      <c r="H126" s="23" t="n">
        <v>-261896.551755</v>
      </c>
      <c r="I126" s="23" t="n">
        <v>-790673.403581</v>
      </c>
      <c r="J126" s="23" t="n">
        <v>-1002566.26672</v>
      </c>
      <c r="K126" s="23" t="n"/>
      <c r="L126" s="23" t="n"/>
      <c r="M126" s="23" t="n"/>
      <c r="N126" s="70">
        <f>SUM(B126:M126)</f>
        <v/>
      </c>
    </row>
    <row r="127">
      <c r="A127" s="61" t="inlineStr">
        <is>
          <t>İncitaş / G.12.3.</t>
        </is>
      </c>
      <c r="B127" s="23" t="n">
        <v>-301.159706</v>
      </c>
      <c r="C127" s="23" t="n">
        <v>0</v>
      </c>
      <c r="D127" s="23" t="n">
        <v>0</v>
      </c>
      <c r="E127" s="23" t="n">
        <v>0</v>
      </c>
      <c r="F127" s="23" t="n">
        <v>0</v>
      </c>
      <c r="G127" s="23" t="n">
        <v>0</v>
      </c>
      <c r="H127" s="23" t="n">
        <v>0</v>
      </c>
      <c r="I127" s="23" t="n">
        <v>0</v>
      </c>
      <c r="J127" s="23" t="n">
        <v>0</v>
      </c>
      <c r="K127" s="23" t="n"/>
      <c r="L127" s="23" t="n"/>
      <c r="M127" s="23" t="n"/>
      <c r="N127" s="70">
        <f>SUM(B127:M127)</f>
        <v/>
      </c>
    </row>
    <row r="128">
      <c r="A128" s="61" t="inlineStr">
        <is>
          <t>İnci GS Yuasa / G.12.4.</t>
        </is>
      </c>
      <c r="B128" s="23" t="n">
        <v>0</v>
      </c>
      <c r="C128" s="23" t="n">
        <v>0</v>
      </c>
      <c r="D128" s="23" t="n">
        <v>0</v>
      </c>
      <c r="E128" s="23" t="n">
        <v>0</v>
      </c>
      <c r="F128" s="23" t="n">
        <v>0</v>
      </c>
      <c r="G128" s="23" t="n">
        <v>0</v>
      </c>
      <c r="H128" s="23" t="n">
        <v>0</v>
      </c>
      <c r="I128" s="23" t="n">
        <v>0</v>
      </c>
      <c r="J128" s="23" t="n">
        <v>0</v>
      </c>
      <c r="K128" s="23" t="n"/>
      <c r="L128" s="23" t="n"/>
      <c r="M128" s="23" t="n"/>
      <c r="N128" s="70">
        <f>SUM(B128:M128)</f>
        <v/>
      </c>
    </row>
    <row r="129">
      <c r="A129" s="61" t="inlineStr">
        <is>
          <t>Yusen İnci Loj. / G.12.5.</t>
        </is>
      </c>
      <c r="B129" s="23" t="n">
        <v>3281552.601624</v>
      </c>
      <c r="C129" s="23" t="n">
        <v>-6466616.092613</v>
      </c>
      <c r="D129" s="23" t="n">
        <v>944646.901279</v>
      </c>
      <c r="E129" s="23" t="n">
        <v>709307.5907599999</v>
      </c>
      <c r="F129" s="23" t="n">
        <v>450765.2821630001</v>
      </c>
      <c r="G129" s="23" t="n">
        <v>-2755564.635138</v>
      </c>
      <c r="H129" s="23" t="n">
        <v>-2048534.178297</v>
      </c>
      <c r="I129" s="23" t="n">
        <v>-3988488.468435</v>
      </c>
      <c r="J129" s="23" t="n">
        <v>604721.724474</v>
      </c>
      <c r="K129" s="23" t="n"/>
      <c r="L129" s="23" t="n"/>
      <c r="M129" s="23" t="n"/>
      <c r="N129" s="70">
        <f>SUM(B129:M129)</f>
        <v/>
      </c>
    </row>
    <row r="130">
      <c r="A130" s="61" t="inlineStr">
        <is>
          <t>Jantaş / G.12.6.</t>
        </is>
      </c>
      <c r="B130" s="23" t="n">
        <v>-11800033.97031393</v>
      </c>
      <c r="C130" s="23" t="n">
        <v>-16510057.98777586</v>
      </c>
      <c r="D130" s="23" t="n">
        <v>-25000221.02780323</v>
      </c>
      <c r="E130" s="23" t="n">
        <v>-17612758.80508392</v>
      </c>
      <c r="F130" s="23" t="n">
        <v>-27253787.05577496</v>
      </c>
      <c r="G130" s="23" t="n">
        <v>-6910617.735865901</v>
      </c>
      <c r="H130" s="23" t="n">
        <v>10866481.0196778</v>
      </c>
      <c r="I130" s="23" t="n">
        <v>-15189561.388112</v>
      </c>
      <c r="J130" s="23" t="n">
        <v>-18077623.759836</v>
      </c>
      <c r="K130" s="23" t="n"/>
      <c r="L130" s="23" t="n"/>
      <c r="M130" s="23" t="n"/>
      <c r="N130" s="70">
        <f>SUM(B130:M130)</f>
        <v/>
      </c>
    </row>
    <row r="131">
      <c r="A131" s="61" t="inlineStr">
        <is>
          <t>Çelik / G.12.7.</t>
        </is>
      </c>
      <c r="B131" s="23" t="n">
        <v>-4637364.129488</v>
      </c>
      <c r="C131" s="23" t="n">
        <v>-33648598.99396822</v>
      </c>
      <c r="D131" s="23" t="n">
        <v>8939060.491186455</v>
      </c>
      <c r="E131" s="23" t="n">
        <v>11169268.29936623</v>
      </c>
      <c r="F131" s="23" t="n">
        <v>2892337.613327032</v>
      </c>
      <c r="G131" s="23" t="n">
        <v>-8358139.919153498</v>
      </c>
      <c r="H131" s="23" t="n">
        <v>13710483.54895329</v>
      </c>
      <c r="I131" s="23" t="n">
        <v>-14501213.42212788</v>
      </c>
      <c r="J131" s="23" t="n">
        <v>-673258.2182925012</v>
      </c>
      <c r="K131" s="23" t="n"/>
      <c r="L131" s="23" t="n"/>
      <c r="M131" s="23" t="n"/>
      <c r="N131" s="70">
        <f>SUM(B131:M131)</f>
        <v/>
      </c>
    </row>
    <row r="132">
      <c r="A132" s="61" t="inlineStr">
        <is>
          <t>Alüminyum / G.12.8.</t>
        </is>
      </c>
      <c r="B132" s="23" t="n">
        <v>-12922675.10150984</v>
      </c>
      <c r="C132" s="23" t="n">
        <v>-6459599.214984502</v>
      </c>
      <c r="D132" s="23" t="n">
        <v>-4566328.570914194</v>
      </c>
      <c r="E132" s="23" t="n">
        <v>-24045700.50152962</v>
      </c>
      <c r="F132" s="23" t="n">
        <v>-18924785.5355698</v>
      </c>
      <c r="G132" s="23" t="n">
        <v>-6851024.554881507</v>
      </c>
      <c r="H132" s="23" t="n">
        <v>18760849.47909652</v>
      </c>
      <c r="I132" s="23" t="n">
        <v>6832504.586788779</v>
      </c>
      <c r="J132" s="23" t="n">
        <v>8748792.397369498</v>
      </c>
      <c r="K132" s="23" t="n"/>
      <c r="L132" s="23" t="n"/>
      <c r="M132" s="23" t="n"/>
      <c r="N132" s="70">
        <f>SUM(B132:M132)</f>
        <v/>
      </c>
    </row>
    <row r="133">
      <c r="A133" s="61" t="inlineStr">
        <is>
          <t>x / G.12.9.</t>
        </is>
      </c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70" t="n"/>
    </row>
    <row r="134">
      <c r="A134" s="61" t="inlineStr">
        <is>
          <t>y / G.12.10.</t>
        </is>
      </c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70" t="n"/>
    </row>
    <row r="135">
      <c r="A135" s="61" t="inlineStr">
        <is>
          <t>Net Kar-TL / G.13.</t>
        </is>
      </c>
      <c r="B135" s="23">
        <f>SUM(B136:B138)+SUM(B139:B143)*0.4</f>
        <v/>
      </c>
      <c r="C135" s="23">
        <f>SUM(C136:C138)+SUM(C139:C143)*0.4</f>
        <v/>
      </c>
      <c r="D135" s="23">
        <f>SUM(D136:D138)+SUM(D139:D143)*0.4</f>
        <v/>
      </c>
      <c r="E135" s="23">
        <f>SUM(E136:E138)+SUM(E139:E143)*0.4</f>
        <v/>
      </c>
      <c r="F135" s="23">
        <f>SUM(F136:F138)+SUM(F139:F143)*0.4</f>
        <v/>
      </c>
      <c r="G135" s="23">
        <f>SUM(G136:G138)+SUM(G139:G143)*0.4</f>
        <v/>
      </c>
      <c r="H135" s="23">
        <f>SUM(H136:H138)+SUM(H139:H143)*0.4</f>
        <v/>
      </c>
      <c r="I135" s="23">
        <f>SUM(I136:I138)+SUM(I139:I143)*0.4</f>
        <v/>
      </c>
      <c r="J135" s="23">
        <f>SUM(J136:J138)+SUM(J139:J143)*0.4</f>
        <v/>
      </c>
      <c r="K135" s="23">
        <f>SUM(K136:K138)+SUM(K139:K143)*0.4</f>
        <v/>
      </c>
      <c r="L135" s="23">
        <f>SUM(L136:L138)+SUM(L139:L143)*0.4</f>
        <v/>
      </c>
      <c r="M135" s="23">
        <f>SUM(M136:M138)+SUM(M139:M143)*0.4</f>
        <v/>
      </c>
      <c r="N135" s="70">
        <f>SUM(B135:M135)</f>
        <v/>
      </c>
    </row>
    <row r="136">
      <c r="A136" s="61" t="inlineStr">
        <is>
          <t>İnci Holding / G.13.1.</t>
        </is>
      </c>
      <c r="B136" s="23" t="n">
        <v>5020196.58</v>
      </c>
      <c r="C136" s="23" t="n">
        <v>12982889.4975</v>
      </c>
      <c r="D136" s="23" t="n">
        <v>24695607.3825</v>
      </c>
      <c r="E136" s="23" t="n">
        <v>16087626.135</v>
      </c>
      <c r="F136" s="23" t="n">
        <v>10265708.647501</v>
      </c>
      <c r="G136" s="23" t="n">
        <v>8205635.459999</v>
      </c>
      <c r="H136" s="23" t="n">
        <v>8214452.632500008</v>
      </c>
      <c r="I136" s="23" t="n">
        <v>10339299.9675</v>
      </c>
      <c r="J136" s="23" t="n">
        <v>18331025.677501</v>
      </c>
      <c r="K136" s="23" t="n"/>
      <c r="L136" s="23" t="n"/>
      <c r="M136" s="23" t="n"/>
      <c r="N136" s="70">
        <f>SUM(B136:M136)</f>
        <v/>
      </c>
    </row>
    <row r="137">
      <c r="A137" s="61" t="inlineStr">
        <is>
          <t>ISM / G.13.2.</t>
        </is>
      </c>
      <c r="B137" s="23" t="n">
        <v>-2546874.544514</v>
      </c>
      <c r="C137" s="23" t="n">
        <v>-401547.227247</v>
      </c>
      <c r="D137" s="23" t="n">
        <v>-2431198.145434</v>
      </c>
      <c r="E137" s="23" t="n">
        <v>3375001.488145</v>
      </c>
      <c r="F137" s="23" t="n">
        <v>-4926776.214365</v>
      </c>
      <c r="G137" s="23" t="n">
        <v>-17991034.582656</v>
      </c>
      <c r="H137" s="23" t="n">
        <v>-2364234.330972</v>
      </c>
      <c r="I137" s="23" t="n">
        <v>-8842797.634881999</v>
      </c>
      <c r="J137" s="23" t="n">
        <v>-9907341.765786</v>
      </c>
      <c r="K137" s="23" t="n"/>
      <c r="L137" s="23" t="n"/>
      <c r="M137" s="23" t="n"/>
      <c r="N137" s="70">
        <f>SUM(B137:M137)</f>
        <v/>
      </c>
    </row>
    <row r="138">
      <c r="A138" s="61" t="inlineStr">
        <is>
          <t>İncitaş / G.13.3.</t>
        </is>
      </c>
      <c r="B138" s="23" t="n">
        <v>44197.31</v>
      </c>
      <c r="C138" s="23" t="n">
        <v>79826.75</v>
      </c>
      <c r="D138" s="23" t="n">
        <v>-1140211.45</v>
      </c>
      <c r="E138" s="23" t="n">
        <v>-699931.95</v>
      </c>
      <c r="F138" s="23" t="n">
        <v>457732.49</v>
      </c>
      <c r="G138" s="23" t="n">
        <v>-1329786</v>
      </c>
      <c r="H138" s="23" t="n">
        <v>-1710368.033864</v>
      </c>
      <c r="I138" s="23" t="n">
        <v>-1363526.562623</v>
      </c>
      <c r="J138" s="23" t="n">
        <v>1313956.475729</v>
      </c>
      <c r="K138" s="23" t="n"/>
      <c r="L138" s="23" t="n"/>
      <c r="M138" s="23" t="n"/>
      <c r="N138" s="70">
        <f>SUM(B138:M138)</f>
        <v/>
      </c>
    </row>
    <row r="139">
      <c r="A139" s="61" t="inlineStr">
        <is>
          <t>İnci GS Yuasa / G.13.4.</t>
        </is>
      </c>
      <c r="B139" s="23" t="n">
        <v>-59473752.741926</v>
      </c>
      <c r="C139" s="23" t="n">
        <v>-67352195.20480099</v>
      </c>
      <c r="D139" s="23" t="n">
        <v>-167999116.750836</v>
      </c>
      <c r="E139" s="23" t="n">
        <v>-207019120.327178</v>
      </c>
      <c r="F139" s="23" t="n">
        <v>-128699715.509693</v>
      </c>
      <c r="G139" s="23" t="n">
        <v>-138951546.307256</v>
      </c>
      <c r="H139" s="23" t="n">
        <v>-154785720.395317</v>
      </c>
      <c r="I139" s="23" t="n">
        <v>-91817329.554015</v>
      </c>
      <c r="J139" s="23" t="n">
        <v>-119530679.129558</v>
      </c>
      <c r="K139" s="23" t="n"/>
      <c r="L139" s="23" t="n"/>
      <c r="M139" s="23" t="n"/>
      <c r="N139" s="70">
        <f>SUM(B139:M139)</f>
        <v/>
      </c>
    </row>
    <row r="140">
      <c r="A140" s="61" t="inlineStr">
        <is>
          <t>Yusen İnci Loj. / G.13.5.</t>
        </is>
      </c>
      <c r="B140" s="23" t="n">
        <v>9264056.790368</v>
      </c>
      <c r="C140" s="23" t="n">
        <v>8320403.238534001</v>
      </c>
      <c r="D140" s="23" t="n">
        <v>20412722.278699</v>
      </c>
      <c r="E140" s="23" t="n">
        <v>-3658784.942281</v>
      </c>
      <c r="F140" s="23" t="n">
        <v>47453.113511</v>
      </c>
      <c r="G140" s="23" t="n">
        <v>-4178844.344588</v>
      </c>
      <c r="H140" s="23" t="n">
        <v>5286718.71489</v>
      </c>
      <c r="I140" s="23" t="n">
        <v>3342081.995304</v>
      </c>
      <c r="J140" s="23" t="n">
        <v>12902127.870725</v>
      </c>
      <c r="K140" s="23" t="n"/>
      <c r="L140" s="23" t="n"/>
      <c r="M140" s="23" t="n"/>
      <c r="N140" s="70">
        <f>SUM(B140:M140)</f>
        <v/>
      </c>
    </row>
    <row r="141">
      <c r="A141" s="61" t="inlineStr">
        <is>
          <t>Jantaş / G.13.6.</t>
        </is>
      </c>
      <c r="B141" s="23" t="n">
        <v>22466044.69990187</v>
      </c>
      <c r="C141" s="23" t="n">
        <v>37432065.7201753</v>
      </c>
      <c r="D141" s="23" t="n">
        <v>38118997.79973872</v>
      </c>
      <c r="E141" s="23" t="n">
        <v>53436686.63896611</v>
      </c>
      <c r="F141" s="23" t="n">
        <v>39667612.52979811</v>
      </c>
      <c r="G141" s="23" t="n">
        <v>57124605.23770352</v>
      </c>
      <c r="H141" s="23" t="n">
        <v>59512715.8741302</v>
      </c>
      <c r="I141" s="23" t="n">
        <v>14002548.50701468</v>
      </c>
      <c r="J141" s="23" t="n">
        <v>101289664.518636</v>
      </c>
      <c r="K141" s="23" t="n"/>
      <c r="L141" s="23" t="n"/>
      <c r="M141" s="23" t="n"/>
      <c r="N141" s="70">
        <f>SUM(B141:M141)</f>
        <v/>
      </c>
    </row>
    <row r="142">
      <c r="A142" s="61" t="inlineStr">
        <is>
          <t>Çelik / G.13.7.</t>
        </is>
      </c>
      <c r="B142" s="23" t="n">
        <v>34729347.36846168</v>
      </c>
      <c r="C142" s="23" t="n">
        <v>30184757.34718323</v>
      </c>
      <c r="D142" s="23" t="n">
        <v>61044774.81650711</v>
      </c>
      <c r="E142" s="23" t="n">
        <v>14989616.01860029</v>
      </c>
      <c r="F142" s="23" t="n">
        <v>64647055.68636745</v>
      </c>
      <c r="G142" s="23" t="n">
        <v>10009272.28822848</v>
      </c>
      <c r="H142" s="23" t="n">
        <v>117247408.1882737</v>
      </c>
      <c r="I142" s="23" t="n">
        <v>29827070.36022931</v>
      </c>
      <c r="J142" s="23" t="n">
        <v>124999065.492252</v>
      </c>
      <c r="K142" s="23" t="n"/>
      <c r="L142" s="23" t="n"/>
      <c r="M142" s="23" t="n"/>
      <c r="N142" s="70">
        <f>SUM(B142:M142)</f>
        <v/>
      </c>
    </row>
    <row r="143">
      <c r="A143" s="61" t="inlineStr">
        <is>
          <t>Alüminyum / G.13.8.</t>
        </is>
      </c>
      <c r="B143" s="23" t="n">
        <v>53974575.00170462</v>
      </c>
      <c r="C143" s="23" t="n">
        <v>11317243.11294664</v>
      </c>
      <c r="D143" s="23" t="n">
        <v>37599805.38736258</v>
      </c>
      <c r="E143" s="23" t="n">
        <v>23505086.40156086</v>
      </c>
      <c r="F143" s="23" t="n">
        <v>92780007.46545453</v>
      </c>
      <c r="G143" s="23" t="n">
        <v>59124997.95192201</v>
      </c>
      <c r="H143" s="23" t="n">
        <v>89173492.91811009</v>
      </c>
      <c r="I143" s="23" t="n">
        <v>41410931.02450798</v>
      </c>
      <c r="J143" s="23" t="n">
        <v>159560177.692392</v>
      </c>
      <c r="K143" s="23" t="n"/>
      <c r="L143" s="23" t="n"/>
      <c r="M143" s="23" t="n"/>
      <c r="N143" s="70">
        <f>SUM(B143:M143)</f>
        <v/>
      </c>
    </row>
    <row r="144">
      <c r="A144" s="61" t="inlineStr">
        <is>
          <t>x / G.13.9.</t>
        </is>
      </c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70" t="n"/>
    </row>
    <row r="145">
      <c r="A145" s="61" t="inlineStr">
        <is>
          <t>y / G.13.10.</t>
        </is>
      </c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70" t="n"/>
    </row>
    <row r="146">
      <c r="A146" s="61" t="inlineStr">
        <is>
          <t>Kredi-TL / G.16.</t>
        </is>
      </c>
      <c r="B146" s="23">
        <f>SUM(B147:B149)+SUM(B150:B154)*0.4</f>
        <v/>
      </c>
      <c r="C146" s="23">
        <f>SUM(C147:C149)+SUM(C150:C154)*0.4</f>
        <v/>
      </c>
      <c r="D146" s="23">
        <f>SUM(D147:D149)+SUM(D150:D154)*0.4</f>
        <v/>
      </c>
      <c r="E146" s="23">
        <f>SUM(E147:E149)+SUM(E150:E154)*0.4</f>
        <v/>
      </c>
      <c r="F146" s="23">
        <f>SUM(F147:F149)+SUM(F150:F154)*0.4</f>
        <v/>
      </c>
      <c r="G146" s="23">
        <f>SUM(G147:G149)+SUM(G150:G154)*0.4</f>
        <v/>
      </c>
      <c r="H146" s="23">
        <f>SUM(H147:H149)+SUM(H150:H154)*0.4</f>
        <v/>
      </c>
      <c r="I146" s="23">
        <f>SUM(I147:I149)+SUM(I150:I154)*0.4</f>
        <v/>
      </c>
      <c r="J146" s="23">
        <f>SUM(J147:J149)+SUM(J150:J154)*0.4</f>
        <v/>
      </c>
      <c r="K146" s="23">
        <f>SUM(K147:K149)+SUM(K150:K154)*0.4</f>
        <v/>
      </c>
      <c r="L146" s="23">
        <f>SUM(L147:L149)+SUM(L150:L154)*0.4</f>
        <v/>
      </c>
      <c r="M146" s="23">
        <f>SUM(M147:M149)+SUM(M150:M154)*0.4</f>
        <v/>
      </c>
      <c r="N146" s="70">
        <f>SUM(B146:M146)</f>
        <v/>
      </c>
    </row>
    <row r="147">
      <c r="A147" s="61" t="inlineStr">
        <is>
          <t>İnci Holding / G.16.1.</t>
        </is>
      </c>
      <c r="B147" s="23" t="n">
        <v>0</v>
      </c>
      <c r="C147" s="23" t="n">
        <v>0</v>
      </c>
      <c r="D147" s="23" t="n">
        <v>0</v>
      </c>
      <c r="E147" s="23" t="n">
        <v>0</v>
      </c>
      <c r="F147" s="23" t="n">
        <v>0</v>
      </c>
      <c r="G147" s="23" t="n">
        <v>0</v>
      </c>
      <c r="H147" s="23" t="n">
        <v>0</v>
      </c>
      <c r="I147" s="23" t="n">
        <v>0</v>
      </c>
      <c r="J147" s="23" t="n">
        <v>0</v>
      </c>
      <c r="K147" s="23" t="n"/>
      <c r="L147" s="23" t="n"/>
      <c r="M147" s="23" t="n"/>
      <c r="N147" s="70">
        <f>SUM(B147:M147)</f>
        <v/>
      </c>
    </row>
    <row r="148">
      <c r="A148" s="61" t="inlineStr">
        <is>
          <t>ISM / G.16.2.</t>
        </is>
      </c>
      <c r="B148" s="23" t="n">
        <v>65325403</v>
      </c>
      <c r="C148" s="23" t="n">
        <v>67852478</v>
      </c>
      <c r="D148" s="23" t="n">
        <v>71269964.73</v>
      </c>
      <c r="E148" s="23" t="n">
        <v>290407191.2</v>
      </c>
      <c r="F148" s="23" t="n">
        <v>289687738.89</v>
      </c>
      <c r="G148" s="23" t="n">
        <v>294966931.95</v>
      </c>
      <c r="H148" s="23" t="n">
        <v>293932116.8</v>
      </c>
      <c r="I148" s="23" t="n">
        <v>301217184.56</v>
      </c>
      <c r="J148" s="23" t="n">
        <v>313117561.39</v>
      </c>
      <c r="K148" s="23" t="n"/>
      <c r="L148" s="23" t="n"/>
      <c r="M148" s="23" t="n"/>
      <c r="N148" s="70">
        <f>SUM(B148:M148)</f>
        <v/>
      </c>
    </row>
    <row r="149">
      <c r="A149" s="61" t="inlineStr">
        <is>
          <t>İncitaş / G.16.3.</t>
        </is>
      </c>
      <c r="B149" s="23" t="n">
        <v>0</v>
      </c>
      <c r="C149" s="23" t="n">
        <v>8209951.711106</v>
      </c>
      <c r="D149" s="23" t="n">
        <v>0</v>
      </c>
      <c r="E149" s="23" t="n">
        <v>12786134.167166</v>
      </c>
      <c r="F149" s="23" t="n">
        <v>18406590.378265</v>
      </c>
      <c r="G149" s="23" t="n">
        <v>13279254.005147</v>
      </c>
      <c r="H149" s="23" t="n">
        <v>22470403.092687</v>
      </c>
      <c r="I149" s="23" t="n">
        <v>17355766.87643</v>
      </c>
      <c r="J149" s="23" t="n">
        <v>12000000</v>
      </c>
      <c r="K149" s="23" t="n"/>
      <c r="L149" s="23" t="n"/>
      <c r="M149" s="23" t="n"/>
      <c r="N149" s="70">
        <f>SUM(B149:M149)</f>
        <v/>
      </c>
    </row>
    <row r="150">
      <c r="A150" s="61" t="inlineStr">
        <is>
          <t>İnci GS Yuasa / G.16.4.</t>
        </is>
      </c>
      <c r="B150" s="23" t="n">
        <v>1699261520.78556</v>
      </c>
      <c r="C150" s="23" t="n">
        <v>1821719638.50954</v>
      </c>
      <c r="D150" s="23" t="n">
        <v>1768459530.90603</v>
      </c>
      <c r="E150" s="23" t="n">
        <v>1844591039.01</v>
      </c>
      <c r="F150" s="23" t="n">
        <v>2083198000</v>
      </c>
      <c r="G150" s="23" t="n">
        <v>2332124160</v>
      </c>
      <c r="H150" s="23" t="n">
        <v>2484697960</v>
      </c>
      <c r="I150" s="23" t="n">
        <v>2505209940</v>
      </c>
      <c r="J150" s="23" t="n">
        <v>2652094560</v>
      </c>
      <c r="K150" s="23" t="n"/>
      <c r="L150" s="23" t="n"/>
      <c r="M150" s="23" t="n"/>
      <c r="N150" s="70">
        <f>SUM(B150:M150)</f>
        <v/>
      </c>
    </row>
    <row r="151">
      <c r="A151" s="61" t="inlineStr">
        <is>
          <t>Yusen İnci Loj. / G.16.5.</t>
        </is>
      </c>
      <c r="B151" s="23" t="n">
        <v>0</v>
      </c>
      <c r="C151" s="23" t="n">
        <v>0</v>
      </c>
      <c r="D151" s="23" t="n">
        <v>0</v>
      </c>
      <c r="E151" s="23" t="n">
        <v>0</v>
      </c>
      <c r="F151" s="23" t="n">
        <v>0</v>
      </c>
      <c r="G151" s="23" t="n">
        <v>0</v>
      </c>
      <c r="H151" s="23" t="n">
        <v>0</v>
      </c>
      <c r="I151" s="23" t="n">
        <v>0</v>
      </c>
      <c r="J151" s="23" t="n">
        <v>0</v>
      </c>
      <c r="K151" s="23" t="n"/>
      <c r="L151" s="23" t="n"/>
      <c r="M151" s="23" t="n"/>
      <c r="N151" s="70">
        <f>SUM(B151:M151)</f>
        <v/>
      </c>
    </row>
    <row r="152">
      <c r="A152" s="61" t="inlineStr">
        <is>
          <t>Jantaş / G.16.6.</t>
        </is>
      </c>
      <c r="B152" s="23" t="n">
        <v>0</v>
      </c>
      <c r="C152" s="23" t="n">
        <v>0</v>
      </c>
      <c r="D152" s="23" t="n">
        <v>0</v>
      </c>
      <c r="E152" s="23" t="n">
        <v>0</v>
      </c>
      <c r="F152" s="23" t="n">
        <v>0</v>
      </c>
      <c r="G152" s="23" t="n">
        <v>0</v>
      </c>
      <c r="H152" s="23" t="n">
        <v>0</v>
      </c>
      <c r="I152" s="23" t="n">
        <v>0</v>
      </c>
      <c r="J152" s="23" t="n">
        <v>0</v>
      </c>
      <c r="K152" s="23" t="n"/>
      <c r="L152" s="23" t="n"/>
      <c r="M152" s="23" t="n"/>
      <c r="N152" s="70">
        <f>SUM(B152:M152)</f>
        <v/>
      </c>
    </row>
    <row r="153">
      <c r="A153" s="61" t="inlineStr">
        <is>
          <t>Çelik / G.16.7.</t>
        </is>
      </c>
      <c r="B153" s="23" t="n">
        <v>0</v>
      </c>
      <c r="C153" s="23" t="n">
        <v>0</v>
      </c>
      <c r="D153" s="23" t="n">
        <v>0</v>
      </c>
      <c r="E153" s="23" t="n">
        <v>0</v>
      </c>
      <c r="F153" s="23" t="n">
        <v>0</v>
      </c>
      <c r="G153" s="23" t="n">
        <v>0</v>
      </c>
      <c r="H153" s="23" t="n">
        <v>0</v>
      </c>
      <c r="I153" s="23" t="n">
        <v>0</v>
      </c>
      <c r="J153" s="23" t="n">
        <v>0</v>
      </c>
      <c r="K153" s="23" t="n"/>
      <c r="L153" s="23" t="n"/>
      <c r="M153" s="23" t="n"/>
      <c r="N153" s="70">
        <f>SUM(B153:M153)</f>
        <v/>
      </c>
    </row>
    <row r="154">
      <c r="A154" s="61" t="inlineStr">
        <is>
          <t>Alüminyum / G.16.8.</t>
        </is>
      </c>
      <c r="B154" s="23" t="n">
        <v>0</v>
      </c>
      <c r="C154" s="23" t="n">
        <v>0</v>
      </c>
      <c r="D154" s="23" t="n">
        <v>0</v>
      </c>
      <c r="E154" s="23" t="n">
        <v>0</v>
      </c>
      <c r="F154" s="23" t="n">
        <v>0</v>
      </c>
      <c r="G154" s="23" t="n">
        <v>0</v>
      </c>
      <c r="H154" s="23" t="n">
        <v>0</v>
      </c>
      <c r="I154" s="23" t="n">
        <v>0</v>
      </c>
      <c r="J154" s="23" t="n">
        <v>0</v>
      </c>
      <c r="K154" s="23" t="n"/>
      <c r="L154" s="23" t="n"/>
      <c r="M154" s="23" t="n"/>
      <c r="N154" s="70">
        <f>SUM(B154:M154)</f>
        <v/>
      </c>
    </row>
    <row r="155">
      <c r="A155" s="61" t="inlineStr">
        <is>
          <t>x / G.16.9.</t>
        </is>
      </c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70" t="n"/>
    </row>
    <row r="156">
      <c r="A156" s="61" t="inlineStr">
        <is>
          <t>y / G.16.10.</t>
        </is>
      </c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70" t="n"/>
    </row>
    <row r="157">
      <c r="A157" s="61" t="inlineStr">
        <is>
          <t>35 Venture / G.16.11.</t>
        </is>
      </c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70" t="n"/>
    </row>
    <row r="158">
      <c r="A158" s="61" t="inlineStr">
        <is>
          <t>Vinci / G.16.12.</t>
        </is>
      </c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70" t="n"/>
    </row>
    <row r="159">
      <c r="A159" s="61" t="inlineStr">
        <is>
          <t>Mevduat-TL / G.17.</t>
        </is>
      </c>
      <c r="B159" s="23">
        <f>SUM(B160:B162)+SUM(B163:B167)*0.4</f>
        <v/>
      </c>
      <c r="C159" s="23">
        <f>SUM(C160:C162)+SUM(C163:C167)*0.4</f>
        <v/>
      </c>
      <c r="D159" s="23">
        <f>SUM(D160:D162)+SUM(D163:D167)*0.4</f>
        <v/>
      </c>
      <c r="E159" s="23">
        <f>SUM(E160:E162)+SUM(E163:E167)*0.4</f>
        <v/>
      </c>
      <c r="F159" s="23">
        <f>SUM(F160:F162)+SUM(F163:F167)*0.4</f>
        <v/>
      </c>
      <c r="G159" s="23">
        <f>SUM(G160:G162)+SUM(G163:G167)*0.4</f>
        <v/>
      </c>
      <c r="H159" s="23">
        <f>SUM(H160:H162)+SUM(H163:H167)*0.4</f>
        <v/>
      </c>
      <c r="I159" s="23">
        <f>SUM(I160:I162)+SUM(I163:I167)*0.4</f>
        <v/>
      </c>
      <c r="J159" s="23">
        <f>SUM(J160:J162)+SUM(J163:J167)*0.4</f>
        <v/>
      </c>
      <c r="K159" s="23">
        <f>SUM(K160:K162)+SUM(K163:K167)*0.4</f>
        <v/>
      </c>
      <c r="L159" s="23">
        <f>SUM(L160:L162)+SUM(L163:L167)*0.4</f>
        <v/>
      </c>
      <c r="M159" s="23">
        <f>SUM(M160:M162)+SUM(M163:M167)*0.4</f>
        <v/>
      </c>
      <c r="N159" s="70">
        <f>SUM(B159:M159)</f>
        <v/>
      </c>
    </row>
    <row r="160">
      <c r="A160" s="61" t="inlineStr">
        <is>
          <t>İnci Holding / G.17.1.</t>
        </is>
      </c>
      <c r="B160" s="23" t="n">
        <v>930276247.775407</v>
      </c>
      <c r="C160" s="23" t="n">
        <v>972281280.5048881</v>
      </c>
      <c r="D160" s="23" t="n">
        <v>961848669.0499769</v>
      </c>
      <c r="E160" s="23" t="n">
        <v>659356234.622185</v>
      </c>
      <c r="F160" s="23" t="n">
        <v>702362911.498494</v>
      </c>
      <c r="G160" s="23" t="n">
        <v>721975936.349998</v>
      </c>
      <c r="H160" s="23" t="n">
        <v>870288240.3100049</v>
      </c>
      <c r="I160" s="23" t="n">
        <v>914372909.3286721</v>
      </c>
      <c r="J160" s="23" t="n">
        <v>831475506.564743</v>
      </c>
      <c r="K160" s="23" t="n"/>
      <c r="L160" s="23" t="n"/>
      <c r="M160" s="23" t="n"/>
      <c r="N160" s="70">
        <f>SUM(B160:M160)</f>
        <v/>
      </c>
    </row>
    <row r="161">
      <c r="A161" s="61" t="inlineStr">
        <is>
          <t>ISM / G.17.2.</t>
        </is>
      </c>
      <c r="B161" s="23" t="n">
        <v>6155399.15</v>
      </c>
      <c r="C161" s="23" t="n">
        <v>1490601.65</v>
      </c>
      <c r="D161" s="23" t="n">
        <v>963277.67</v>
      </c>
      <c r="E161" s="23" t="n">
        <v>41893278.9</v>
      </c>
      <c r="F161" s="23" t="n">
        <v>11187114.195</v>
      </c>
      <c r="G161" s="23" t="n">
        <v>2847616.62</v>
      </c>
      <c r="H161" s="23" t="n">
        <v>2788572.705</v>
      </c>
      <c r="I161" s="23" t="n">
        <v>1573009.2425</v>
      </c>
      <c r="J161" s="23" t="n">
        <v>2330485.29</v>
      </c>
      <c r="K161" s="23" t="n"/>
      <c r="L161" s="23" t="n"/>
      <c r="M161" s="23" t="n"/>
      <c r="N161" s="70">
        <f>SUM(B161:M161)</f>
        <v/>
      </c>
    </row>
    <row r="162">
      <c r="A162" s="61" t="inlineStr">
        <is>
          <t>İncitaş / G.17.3.</t>
        </is>
      </c>
      <c r="B162" s="23" t="n">
        <v>5464283</v>
      </c>
      <c r="C162" s="23" t="n">
        <v>3519558</v>
      </c>
      <c r="D162" s="23" t="n">
        <v>9147816</v>
      </c>
      <c r="E162" s="23" t="n">
        <v>3065732</v>
      </c>
      <c r="F162" s="23" t="n">
        <v>5196919</v>
      </c>
      <c r="G162" s="23" t="n">
        <v>3455835</v>
      </c>
      <c r="H162" s="23" t="n">
        <v>1388049</v>
      </c>
      <c r="I162" s="23" t="n">
        <v>7302043</v>
      </c>
      <c r="J162" s="23" t="n">
        <v>3325974</v>
      </c>
      <c r="K162" s="23" t="n"/>
      <c r="L162" s="23" t="n"/>
      <c r="M162" s="23" t="n"/>
      <c r="N162" s="70">
        <f>SUM(B162:M162)</f>
        <v/>
      </c>
    </row>
    <row r="163">
      <c r="A163" s="61" t="inlineStr">
        <is>
          <t>İnci GS Yuasa / G.17.4.</t>
        </is>
      </c>
      <c r="B163" s="23" t="n">
        <v>269237866.8222</v>
      </c>
      <c r="C163" s="23" t="n">
        <v>166163130.452</v>
      </c>
      <c r="D163" s="23" t="n">
        <v>117991774.49345</v>
      </c>
      <c r="E163" s="23" t="n">
        <v>135161956.00345</v>
      </c>
      <c r="F163" s="23" t="n">
        <v>164757980.8398</v>
      </c>
      <c r="G163" s="23" t="n">
        <v>72469117.9913</v>
      </c>
      <c r="H163" s="23" t="n">
        <v>104383720.7342</v>
      </c>
      <c r="I163" s="23" t="n">
        <v>190941166.4042</v>
      </c>
      <c r="J163" s="23" t="n">
        <v>168885408.336453</v>
      </c>
      <c r="K163" s="23" t="n"/>
      <c r="L163" s="23" t="n"/>
      <c r="M163" s="23" t="n"/>
      <c r="N163" s="70">
        <f>SUM(B163:M163)</f>
        <v/>
      </c>
    </row>
    <row r="164">
      <c r="A164" s="61" t="inlineStr">
        <is>
          <t>Yusen İnci Loj. / G.17.5.</t>
        </is>
      </c>
      <c r="B164" s="23" t="n">
        <v>29619763.89</v>
      </c>
      <c r="C164" s="23" t="n">
        <v>24606207.5</v>
      </c>
      <c r="D164" s="23" t="n">
        <v>96194091.91</v>
      </c>
      <c r="E164" s="23" t="n">
        <v>109486472.64</v>
      </c>
      <c r="F164" s="23" t="n">
        <v>86650288.60999998</v>
      </c>
      <c r="G164" s="23" t="n">
        <v>63252102.2</v>
      </c>
      <c r="H164" s="23" t="n">
        <v>111445836.24</v>
      </c>
      <c r="I164" s="23" t="n">
        <v>115142710.5</v>
      </c>
      <c r="J164" s="23" t="n">
        <v>77986436.73</v>
      </c>
      <c r="K164" s="23" t="n"/>
      <c r="L164" s="23" t="n"/>
      <c r="M164" s="23" t="n"/>
      <c r="N164" s="70">
        <f>SUM(B164:M164)</f>
        <v/>
      </c>
    </row>
    <row r="165">
      <c r="A165" s="61" t="inlineStr">
        <is>
          <t>Jantaş / G.17.6.</t>
        </is>
      </c>
      <c r="B165" s="23" t="n">
        <v>304031090.46222</v>
      </c>
      <c r="C165" s="23" t="n">
        <v>194547843.52432</v>
      </c>
      <c r="D165" s="23" t="n">
        <v>151282224.507474</v>
      </c>
      <c r="E165" s="23" t="n">
        <v>228532585.858442</v>
      </c>
      <c r="F165" s="23" t="n">
        <v>105647044.190622</v>
      </c>
      <c r="G165" s="23" t="n">
        <v>154748303.385202</v>
      </c>
      <c r="H165" s="23" t="n">
        <v>320371076.259976</v>
      </c>
      <c r="I165" s="23" t="n">
        <v>349158849.712582</v>
      </c>
      <c r="J165" s="23" t="n">
        <v>395743272.0192</v>
      </c>
      <c r="K165" s="23" t="n"/>
      <c r="L165" s="23" t="n"/>
      <c r="M165" s="23" t="n"/>
      <c r="N165" s="70">
        <f>SUM(B165:M165)</f>
        <v/>
      </c>
    </row>
    <row r="166">
      <c r="A166" s="61" t="inlineStr">
        <is>
          <t>Çelik / G.17.7.</t>
        </is>
      </c>
      <c r="B166" s="23" t="n">
        <v>579578982.9544439</v>
      </c>
      <c r="C166" s="23" t="n">
        <v>749169574.1419998</v>
      </c>
      <c r="D166" s="23" t="n">
        <v>668411117.675805</v>
      </c>
      <c r="E166" s="23" t="n">
        <v>603623727.761698</v>
      </c>
      <c r="F166" s="23" t="n">
        <v>660674622.8637941</v>
      </c>
      <c r="G166" s="23" t="n">
        <v>886026375.0912821</v>
      </c>
      <c r="H166" s="23" t="n">
        <v>595580822.311272</v>
      </c>
      <c r="I166" s="23" t="n">
        <v>541722449.92047</v>
      </c>
      <c r="J166" s="23" t="n">
        <v>694664872.7960271</v>
      </c>
      <c r="K166" s="23" t="n"/>
      <c r="L166" s="23" t="n"/>
      <c r="M166" s="23" t="n"/>
      <c r="N166" s="70">
        <f>SUM(B166:M166)</f>
        <v/>
      </c>
    </row>
    <row r="167">
      <c r="A167" s="61" t="inlineStr">
        <is>
          <t>Alüminyum / G.17.8.</t>
        </is>
      </c>
      <c r="B167" s="23" t="n">
        <v>303932561.4701639</v>
      </c>
      <c r="C167" s="23" t="n">
        <v>131377279.15928</v>
      </c>
      <c r="D167" s="23" t="n">
        <v>716797254.7386571</v>
      </c>
      <c r="E167" s="23" t="n">
        <v>518704061.8734041</v>
      </c>
      <c r="F167" s="23" t="n">
        <v>362613612.474762</v>
      </c>
      <c r="G167" s="23" t="n">
        <v>620878717.205198</v>
      </c>
      <c r="H167" s="23" t="n">
        <v>552148734.5175481</v>
      </c>
      <c r="I167" s="23" t="n">
        <v>538551062.20916</v>
      </c>
      <c r="J167" s="23" t="n">
        <v>582212616.6892841</v>
      </c>
      <c r="K167" s="23" t="n"/>
      <c r="L167" s="23" t="n"/>
      <c r="M167" s="23" t="n"/>
      <c r="N167" s="70">
        <f>SUM(B167:M167)</f>
        <v/>
      </c>
    </row>
    <row r="168">
      <c r="A168" s="61" t="inlineStr">
        <is>
          <t>x / G.17.9.</t>
        </is>
      </c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70" t="n"/>
    </row>
    <row r="169">
      <c r="A169" s="61" t="inlineStr">
        <is>
          <t>y / G.17.10.</t>
        </is>
      </c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70" t="n"/>
    </row>
    <row r="170">
      <c r="A170" s="61" t="inlineStr">
        <is>
          <t>35 Venture / G.17.11.</t>
        </is>
      </c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70" t="n"/>
    </row>
    <row r="171">
      <c r="A171" s="61" t="inlineStr">
        <is>
          <t>Vinci / G.17.12.</t>
        </is>
      </c>
      <c r="B171" s="23" t="n"/>
      <c r="C171" s="23" t="n"/>
      <c r="D171" s="23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70" t="n"/>
    </row>
    <row r="172">
      <c r="A172" s="61" t="inlineStr">
        <is>
          <t>Net Nakit-TL / G.18.</t>
        </is>
      </c>
      <c r="B172" s="23">
        <f>SUM(B173:B175)+SUM(B176:B180)*0.4</f>
        <v/>
      </c>
      <c r="C172" s="23">
        <f>SUM(C173:C175)+SUM(C176:C180)*0.4</f>
        <v/>
      </c>
      <c r="D172" s="23">
        <f>SUM(D173:D175)+SUM(D176:D180)*0.4</f>
        <v/>
      </c>
      <c r="E172" s="23">
        <f>SUM(E173:E175)+SUM(E176:E180)*0.4</f>
        <v/>
      </c>
      <c r="F172" s="23">
        <f>SUM(F173:F175)+SUM(F176:F180)*0.4</f>
        <v/>
      </c>
      <c r="G172" s="23">
        <f>SUM(G173:G175)+SUM(G176:G180)*0.4</f>
        <v/>
      </c>
      <c r="H172" s="23">
        <f>SUM(H173:H175)+SUM(H176:H180)*0.4</f>
        <v/>
      </c>
      <c r="I172" s="23">
        <f>SUM(I173:I175)+SUM(I176:I180)*0.4</f>
        <v/>
      </c>
      <c r="J172" s="23">
        <f>SUM(J173:J175)+SUM(J176:J180)*0.4</f>
        <v/>
      </c>
      <c r="K172" s="23">
        <f>SUM(K173:K175)+SUM(K176:K180)*0.4</f>
        <v/>
      </c>
      <c r="L172" s="23">
        <f>SUM(L173:L175)+SUM(L176:L180)*0.4</f>
        <v/>
      </c>
      <c r="M172" s="23">
        <f>SUM(M173:M175)+SUM(M176:M180)*0.4</f>
        <v/>
      </c>
      <c r="N172" s="70">
        <f>SUM(B172:M172)</f>
        <v/>
      </c>
    </row>
    <row r="173">
      <c r="A173" s="61" t="inlineStr">
        <is>
          <t>İnci Holding / G.18.1.</t>
        </is>
      </c>
      <c r="B173" s="23" t="n">
        <v>930276247.775407</v>
      </c>
      <c r="C173" s="23" t="n">
        <v>972281280.5048881</v>
      </c>
      <c r="D173" s="23" t="n">
        <v>961848669.0499769</v>
      </c>
      <c r="E173" s="23" t="n">
        <v>659356234.622185</v>
      </c>
      <c r="F173" s="23" t="n">
        <v>702362911.498494</v>
      </c>
      <c r="G173" s="23" t="n">
        <v>721975936.349998</v>
      </c>
      <c r="H173" s="23" t="n">
        <v>870288240.3100049</v>
      </c>
      <c r="I173" s="23" t="n">
        <v>914372909.3286721</v>
      </c>
      <c r="J173" s="23" t="n">
        <v>831475506.564743</v>
      </c>
      <c r="K173" s="23" t="n"/>
      <c r="L173" s="23" t="n"/>
      <c r="M173" s="23" t="n"/>
      <c r="N173" s="70">
        <f>SUM(B173:M173)</f>
        <v/>
      </c>
      <c r="P173" s="52">
        <f>I160-I147</f>
        <v/>
      </c>
    </row>
    <row r="174">
      <c r="A174" s="61" t="inlineStr">
        <is>
          <t>ISM / G.18.2.</t>
        </is>
      </c>
      <c r="B174" s="23" t="n">
        <v>-59170003.85</v>
      </c>
      <c r="C174" s="23" t="n">
        <v>-66361876.35</v>
      </c>
      <c r="D174" s="23" t="n">
        <v>-70306687.06</v>
      </c>
      <c r="E174" s="23" t="n">
        <v>-248513912.3</v>
      </c>
      <c r="F174" s="23" t="n">
        <v>-278500624.695</v>
      </c>
      <c r="G174" s="23" t="n">
        <v>-292119315.33</v>
      </c>
      <c r="H174" s="23" t="n">
        <v>-291143544.095</v>
      </c>
      <c r="I174" s="23" t="n">
        <v>-299644175.3175</v>
      </c>
      <c r="J174" s="23" t="n">
        <v>-310787076.1</v>
      </c>
      <c r="K174" s="23" t="n"/>
      <c r="L174" s="23" t="n"/>
      <c r="M174" s="23" t="n"/>
      <c r="N174" s="70">
        <f>SUM(B174:M174)</f>
        <v/>
      </c>
      <c r="P174" s="52">
        <f>I161-I148</f>
        <v/>
      </c>
    </row>
    <row r="175">
      <c r="A175" s="61" t="inlineStr">
        <is>
          <t>İncitaş / G.18.3.</t>
        </is>
      </c>
      <c r="B175" s="23" t="n">
        <v>5464283</v>
      </c>
      <c r="C175" s="23" t="n">
        <v>-4690393.711106</v>
      </c>
      <c r="D175" s="23" t="n">
        <v>9147816</v>
      </c>
      <c r="E175" s="23" t="n">
        <v>-9720402.167166</v>
      </c>
      <c r="F175" s="23" t="n">
        <v>-13209671.378265</v>
      </c>
      <c r="G175" s="23" t="n">
        <v>-9823419.005147001</v>
      </c>
      <c r="H175" s="23" t="n">
        <v>-21082354.092687</v>
      </c>
      <c r="I175" s="23" t="n">
        <v>-10053723.87643</v>
      </c>
      <c r="J175" s="23" t="n">
        <v>-8674026</v>
      </c>
      <c r="K175" s="23" t="n"/>
      <c r="L175" s="23" t="n"/>
      <c r="M175" s="23" t="n"/>
      <c r="N175" s="70">
        <f>SUM(B175:M175)</f>
        <v/>
      </c>
      <c r="P175" s="52">
        <f>I162-I149</f>
        <v/>
      </c>
    </row>
    <row r="176">
      <c r="A176" s="61" t="inlineStr">
        <is>
          <t>İnci GS Yuasa / G.18.4.</t>
        </is>
      </c>
      <c r="B176" s="23" t="n">
        <v>-1430023653.96336</v>
      </c>
      <c r="C176" s="23" t="n">
        <v>-1655556508.05754</v>
      </c>
      <c r="D176" s="23" t="n">
        <v>-1650467756.41258</v>
      </c>
      <c r="E176" s="23" t="n">
        <v>-1709429083.00655</v>
      </c>
      <c r="F176" s="23" t="n">
        <v>-1918440019.1602</v>
      </c>
      <c r="G176" s="23" t="n">
        <v>-2259655042.0087</v>
      </c>
      <c r="H176" s="23" t="n">
        <v>-2380314239.2658</v>
      </c>
      <c r="I176" s="23" t="n">
        <v>-2314268773.5958</v>
      </c>
      <c r="J176" s="23" t="n">
        <v>-2483209151.663547</v>
      </c>
      <c r="K176" s="23" t="n"/>
      <c r="L176" s="23" t="n"/>
      <c r="M176" s="23" t="n"/>
      <c r="N176" s="70">
        <f>SUM(B176:M176)</f>
        <v/>
      </c>
      <c r="P176" s="52">
        <f>I163-I150</f>
        <v/>
      </c>
    </row>
    <row r="177">
      <c r="A177" s="61" t="inlineStr">
        <is>
          <t>Yusen İnci Loj. / G.18.5.</t>
        </is>
      </c>
      <c r="B177" s="23" t="n">
        <v>29619763.89</v>
      </c>
      <c r="C177" s="23" t="n">
        <v>24606207.5</v>
      </c>
      <c r="D177" s="23" t="n">
        <v>96194091.91</v>
      </c>
      <c r="E177" s="23" t="n">
        <v>109486472.64</v>
      </c>
      <c r="F177" s="23" t="n">
        <v>86650288.60999998</v>
      </c>
      <c r="G177" s="23" t="n">
        <v>63252102.2</v>
      </c>
      <c r="H177" s="23" t="n">
        <v>111445836.24</v>
      </c>
      <c r="I177" s="23" t="n">
        <v>115142710.5</v>
      </c>
      <c r="J177" s="23" t="n">
        <v>77986436.73</v>
      </c>
      <c r="K177" s="23" t="n"/>
      <c r="L177" s="23" t="n"/>
      <c r="M177" s="23" t="n"/>
      <c r="N177" s="70">
        <f>SUM(B177:M177)</f>
        <v/>
      </c>
      <c r="P177" s="52">
        <f>I164-I151</f>
        <v/>
      </c>
    </row>
    <row r="178">
      <c r="A178" s="61" t="inlineStr">
        <is>
          <t>Jantaş / G.18.6.</t>
        </is>
      </c>
      <c r="B178" s="23" t="n">
        <v>304031090.46222</v>
      </c>
      <c r="C178" s="23" t="n">
        <v>194547843.52432</v>
      </c>
      <c r="D178" s="23" t="n">
        <v>151282224.507474</v>
      </c>
      <c r="E178" s="23" t="n">
        <v>228532585.858442</v>
      </c>
      <c r="F178" s="23" t="n">
        <v>105647044.190622</v>
      </c>
      <c r="G178" s="23" t="n">
        <v>154748303.385202</v>
      </c>
      <c r="H178" s="23" t="n">
        <v>320371076.259976</v>
      </c>
      <c r="I178" s="23" t="n">
        <v>349158849.712582</v>
      </c>
      <c r="J178" s="23" t="n">
        <v>395743272.0192</v>
      </c>
      <c r="K178" s="23" t="n"/>
      <c r="L178" s="23" t="n"/>
      <c r="M178" s="23" t="n"/>
      <c r="N178" s="70">
        <f>SUM(B178:M178)</f>
        <v/>
      </c>
      <c r="P178" s="52">
        <f>I165-I152</f>
        <v/>
      </c>
    </row>
    <row r="179">
      <c r="A179" s="61" t="inlineStr">
        <is>
          <t>Çelik / G.18.7.</t>
        </is>
      </c>
      <c r="B179" s="23" t="n">
        <v>579578982.9544439</v>
      </c>
      <c r="C179" s="23" t="n">
        <v>749169574.1419998</v>
      </c>
      <c r="D179" s="23" t="n">
        <v>668411117.675805</v>
      </c>
      <c r="E179" s="23" t="n">
        <v>603623727.761698</v>
      </c>
      <c r="F179" s="23" t="n">
        <v>660674622.8637941</v>
      </c>
      <c r="G179" s="23" t="n">
        <v>886026375.0912821</v>
      </c>
      <c r="H179" s="23" t="n">
        <v>595580822.311272</v>
      </c>
      <c r="I179" s="23" t="n">
        <v>541722449.92047</v>
      </c>
      <c r="J179" s="23" t="n">
        <v>694664872.7960271</v>
      </c>
      <c r="K179" s="23" t="n"/>
      <c r="L179" s="23" t="n"/>
      <c r="M179" s="23" t="n"/>
      <c r="N179" s="70">
        <f>SUM(B179:M179)</f>
        <v/>
      </c>
      <c r="P179" s="52">
        <f>I166-I153</f>
        <v/>
      </c>
    </row>
    <row r="180">
      <c r="A180" s="61" t="inlineStr">
        <is>
          <t>Alüminyum / G.18.8.</t>
        </is>
      </c>
      <c r="B180" s="23" t="n">
        <v>303932561.4701639</v>
      </c>
      <c r="C180" s="23" t="n">
        <v>131377279.15928</v>
      </c>
      <c r="D180" s="23" t="n">
        <v>716797254.7386571</v>
      </c>
      <c r="E180" s="23" t="n">
        <v>518704061.8734041</v>
      </c>
      <c r="F180" s="23" t="n">
        <v>362613612.474762</v>
      </c>
      <c r="G180" s="23" t="n">
        <v>620878717.205198</v>
      </c>
      <c r="H180" s="23" t="n">
        <v>552148734.5175481</v>
      </c>
      <c r="I180" s="23" t="n">
        <v>538551062.20916</v>
      </c>
      <c r="J180" s="23" t="n">
        <v>582212616.6892841</v>
      </c>
      <c r="K180" s="23" t="n"/>
      <c r="L180" s="23" t="n"/>
      <c r="M180" s="23" t="n"/>
      <c r="N180" s="70">
        <f>SUM(B180:M180)</f>
        <v/>
      </c>
      <c r="P180" s="52">
        <f>I167-I154</f>
        <v/>
      </c>
    </row>
    <row r="181">
      <c r="A181" s="61" t="inlineStr">
        <is>
          <t>x / G.18.9.</t>
        </is>
      </c>
      <c r="B181" s="23" t="n"/>
      <c r="C181" s="23" t="n"/>
      <c r="D181" s="23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70" t="n"/>
    </row>
    <row r="182">
      <c r="A182" s="61" t="inlineStr">
        <is>
          <t>y / G.18.10.</t>
        </is>
      </c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70" t="n"/>
    </row>
    <row r="183">
      <c r="A183" s="61" t="inlineStr">
        <is>
          <t>35 Venture / G.18.11.</t>
        </is>
      </c>
      <c r="B183" s="23" t="n"/>
      <c r="C183" s="23" t="n"/>
      <c r="D183" s="23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70" t="n"/>
    </row>
    <row r="184">
      <c r="A184" s="61" t="inlineStr">
        <is>
          <t>Vinci / G.18.12.</t>
        </is>
      </c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70" t="n"/>
    </row>
    <row r="185">
      <c r="A185" s="61" t="inlineStr">
        <is>
          <t>Yatırım-TL / G.19.</t>
        </is>
      </c>
      <c r="B185" s="23">
        <f>SUM(B186:B188)+SUM(B189:B193)*0.4</f>
        <v/>
      </c>
      <c r="C185" s="23">
        <f>SUM(C186:C188)+SUM(C189:C193)*0.4</f>
        <v/>
      </c>
      <c r="D185" s="23">
        <f>SUM(D186:D188)+SUM(D189:D193)*0.4</f>
        <v/>
      </c>
      <c r="E185" s="23">
        <f>SUM(E186:E188)+SUM(E189:E193)*0.4</f>
        <v/>
      </c>
      <c r="F185" s="23">
        <f>SUM(F186:F188)+SUM(F189:F193)*0.4</f>
        <v/>
      </c>
      <c r="G185" s="23">
        <f>SUM(G186:G188)+SUM(G189:G193)*0.4</f>
        <v/>
      </c>
      <c r="H185" s="23">
        <f>SUM(H186:H188)+SUM(H189:H193)*0.4</f>
        <v/>
      </c>
      <c r="I185" s="23">
        <f>SUM(I186:I188)+SUM(I189:I193)*0.4</f>
        <v/>
      </c>
      <c r="J185" s="23">
        <f>SUM(J186:J188)+SUM(J189:J193)*0.4</f>
        <v/>
      </c>
      <c r="K185" s="23">
        <f>SUM(K186:K188)+SUM(K189:K193)*0.4</f>
        <v/>
      </c>
      <c r="L185" s="23">
        <f>SUM(L186:L188)+SUM(L189:L193)*0.4</f>
        <v/>
      </c>
      <c r="M185" s="23">
        <f>SUM(M186:M188)+SUM(M189:M193)*0.4</f>
        <v/>
      </c>
      <c r="N185" s="70">
        <f>SUM(B185:M185)</f>
        <v/>
      </c>
    </row>
    <row r="186">
      <c r="A186" s="61" t="inlineStr">
        <is>
          <t>İnci Holding / G.19.1.</t>
        </is>
      </c>
      <c r="B186" s="23" t="n">
        <v>0</v>
      </c>
      <c r="C186" s="23" t="n">
        <v>15416.66</v>
      </c>
      <c r="D186" s="23" t="n">
        <v>0</v>
      </c>
      <c r="E186" s="23" t="n">
        <v>0</v>
      </c>
      <c r="F186" s="23" t="n">
        <v>0</v>
      </c>
      <c r="G186" s="23" t="n">
        <v>322686</v>
      </c>
      <c r="H186" s="23" t="n">
        <v>0</v>
      </c>
      <c r="I186" s="23" t="n">
        <v>0</v>
      </c>
      <c r="J186" s="23" t="n">
        <v>0</v>
      </c>
      <c r="K186" s="23" t="n"/>
      <c r="L186" s="23" t="n"/>
      <c r="M186" s="23" t="n"/>
      <c r="N186" s="70">
        <f>SUM(B186:M186)</f>
        <v/>
      </c>
    </row>
    <row r="187">
      <c r="A187" s="61" t="inlineStr">
        <is>
          <t>ISM / G.19.2.</t>
        </is>
      </c>
      <c r="B187" s="23" t="n">
        <v>1953778.61</v>
      </c>
      <c r="C187" s="23" t="n">
        <v>2466823.94</v>
      </c>
      <c r="D187" s="23" t="n">
        <v>3242317</v>
      </c>
      <c r="E187" s="23" t="n">
        <v>2535050</v>
      </c>
      <c r="F187" s="23" t="n">
        <v>2213108</v>
      </c>
      <c r="G187" s="23" t="n">
        <v>2940656.23</v>
      </c>
      <c r="H187" s="23" t="n">
        <v>2381556</v>
      </c>
      <c r="I187" s="23" t="n">
        <v>2486575</v>
      </c>
      <c r="J187" s="23" t="n">
        <v>2452957</v>
      </c>
      <c r="K187" s="23" t="n"/>
      <c r="L187" s="23" t="n"/>
      <c r="M187" s="23" t="n"/>
      <c r="N187" s="70">
        <f>SUM(B187:M187)</f>
        <v/>
      </c>
    </row>
    <row r="188">
      <c r="A188" s="61" t="inlineStr">
        <is>
          <t>İncitaş / G.19.3.</t>
        </is>
      </c>
      <c r="B188" s="23" t="n">
        <v>0</v>
      </c>
      <c r="C188" s="23" t="n">
        <v>0</v>
      </c>
      <c r="D188" s="23" t="n">
        <v>0</v>
      </c>
      <c r="E188" s="23" t="n">
        <v>0</v>
      </c>
      <c r="F188" s="23" t="n">
        <v>0</v>
      </c>
      <c r="G188" s="23" t="n">
        <v>0</v>
      </c>
      <c r="H188" s="23" t="n">
        <v>0</v>
      </c>
      <c r="I188" s="23" t="n">
        <v>0</v>
      </c>
      <c r="J188" s="23" t="n">
        <v>0</v>
      </c>
      <c r="K188" s="23" t="n"/>
      <c r="L188" s="23" t="n"/>
      <c r="M188" s="23" t="n"/>
      <c r="N188" s="70">
        <f>SUM(B188:M188)</f>
        <v/>
      </c>
    </row>
    <row r="189">
      <c r="A189" s="61" t="inlineStr">
        <is>
          <t>İnci GS Yuasa / G.19.4.</t>
        </is>
      </c>
      <c r="B189" s="23" t="n">
        <v>6583183.51</v>
      </c>
      <c r="C189" s="23" t="n">
        <v>3476445.34</v>
      </c>
      <c r="D189" s="23" t="n">
        <v>6652195.14</v>
      </c>
      <c r="E189" s="23" t="n">
        <v>0</v>
      </c>
      <c r="F189" s="23" t="n">
        <v>0</v>
      </c>
      <c r="G189" s="23" t="n">
        <v>0</v>
      </c>
      <c r="H189" s="23" t="n">
        <v>0</v>
      </c>
      <c r="I189" s="23" t="n">
        <v>34103383.19</v>
      </c>
      <c r="J189" s="23" t="n">
        <v>12928270.26</v>
      </c>
      <c r="K189" s="23" t="n"/>
      <c r="L189" s="23" t="n"/>
      <c r="M189" s="23" t="n"/>
      <c r="N189" s="70">
        <f>SUM(B189:M189)</f>
        <v/>
      </c>
    </row>
    <row r="190">
      <c r="A190" s="61" t="inlineStr">
        <is>
          <t>Yusen İnci Loj. / G.19.5.</t>
        </is>
      </c>
      <c r="B190" s="23" t="n">
        <v>4126656.09</v>
      </c>
      <c r="C190" s="23" t="n">
        <v>3984782.6</v>
      </c>
      <c r="D190" s="23" t="n">
        <v>13306981.79</v>
      </c>
      <c r="E190" s="23" t="n">
        <v>1351136.05</v>
      </c>
      <c r="F190" s="23" t="n">
        <v>1286956.06</v>
      </c>
      <c r="G190" s="23" t="n">
        <v>4808022.06</v>
      </c>
      <c r="H190" s="23" t="n">
        <v>17503956.46</v>
      </c>
      <c r="I190" s="23" t="n">
        <v>575795.3199999999</v>
      </c>
      <c r="J190" s="23" t="n">
        <v>2955012.17</v>
      </c>
      <c r="K190" s="23" t="n"/>
      <c r="L190" s="23" t="n"/>
      <c r="M190" s="23" t="n"/>
      <c r="N190" s="70">
        <f>SUM(B190:M190)</f>
        <v/>
      </c>
    </row>
    <row r="191">
      <c r="A191" s="61" t="inlineStr">
        <is>
          <t>Jantaş / G.19.6.</t>
        </is>
      </c>
      <c r="B191" s="23" t="n">
        <v>4658661.878774419</v>
      </c>
      <c r="C191" s="23" t="n">
        <v>1693712.49359416</v>
      </c>
      <c r="D191" s="23" t="n">
        <v>1013158.286304913</v>
      </c>
      <c r="E191" s="23" t="n">
        <v>10601005.12686939</v>
      </c>
      <c r="F191" s="23" t="n">
        <v>11719272.88201828</v>
      </c>
      <c r="G191" s="23" t="n">
        <v>8900086.221568795</v>
      </c>
      <c r="H191" s="23" t="n">
        <v>-4460509.615993506</v>
      </c>
      <c r="I191" s="23" t="n">
        <v>62011775.66224083</v>
      </c>
      <c r="J191" s="23" t="n">
        <v>14279360.09481899</v>
      </c>
      <c r="K191" s="23" t="n"/>
      <c r="L191" s="23" t="n"/>
      <c r="M191" s="23" t="n"/>
      <c r="N191" s="70">
        <f>SUM(B191:M191)</f>
        <v/>
      </c>
    </row>
    <row r="192">
      <c r="A192" s="61" t="inlineStr">
        <is>
          <t>Çelik / G.19.7.</t>
        </is>
      </c>
      <c r="B192" s="23" t="n">
        <v>346179.6904417743</v>
      </c>
      <c r="C192" s="23" t="n">
        <v>765531.1710289287</v>
      </c>
      <c r="D192" s="23" t="n">
        <v>216463.1255514218</v>
      </c>
      <c r="E192" s="23" t="n">
        <v>137073287.0512176</v>
      </c>
      <c r="F192" s="23" t="n">
        <v>65365626.06333157</v>
      </c>
      <c r="G192" s="23" t="n">
        <v>20789114.24749842</v>
      </c>
      <c r="H192" s="23" t="n">
        <v>-214312949.3878331</v>
      </c>
      <c r="I192" s="23" t="n">
        <v>7253048.24772018</v>
      </c>
      <c r="J192" s="23" t="n">
        <v>12084487.5</v>
      </c>
      <c r="K192" s="23" t="n"/>
      <c r="L192" s="23" t="n"/>
      <c r="M192" s="23" t="n"/>
      <c r="N192" s="70">
        <f>SUM(B192:M192)</f>
        <v/>
      </c>
    </row>
    <row r="193">
      <c r="A193" s="61" t="inlineStr">
        <is>
          <t>Alüminyum / G.19.8.</t>
        </is>
      </c>
      <c r="B193" s="23" t="n">
        <v>3736822.175298291</v>
      </c>
      <c r="C193" s="23" t="n">
        <v>2575254.758175357</v>
      </c>
      <c r="D193" s="23" t="n">
        <v>6196980.508929679</v>
      </c>
      <c r="E193" s="23" t="n">
        <v>35040431.24101153</v>
      </c>
      <c r="F193" s="23" t="n">
        <v>11199137.02580032</v>
      </c>
      <c r="G193" s="23" t="n">
        <v>4738292.426016096</v>
      </c>
      <c r="H193" s="23" t="n">
        <v>5873652.514976125</v>
      </c>
      <c r="I193" s="23" t="n">
        <v>13841395.25341975</v>
      </c>
      <c r="J193" s="23" t="n">
        <v>9439568.118544078</v>
      </c>
      <c r="K193" s="23" t="n"/>
      <c r="L193" s="23" t="n"/>
      <c r="M193" s="23" t="n"/>
      <c r="N193" s="70">
        <f>SUM(B193:M193)</f>
        <v/>
      </c>
    </row>
    <row r="194">
      <c r="A194" s="61" t="inlineStr">
        <is>
          <t>x / G.19.9.</t>
        </is>
      </c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70" t="n"/>
    </row>
    <row r="195">
      <c r="A195" s="61" t="inlineStr">
        <is>
          <t>y / G.19.10.</t>
        </is>
      </c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7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00B0F0"/>
    <outlinePr summaryBelow="1" summaryRight="1"/>
    <pageSetUpPr/>
  </sheetPr>
  <dimension ref="A1:AA37"/>
  <sheetViews>
    <sheetView zoomScale="85" zoomScaleNormal="85" workbookViewId="0">
      <selection activeCell="B16" sqref="B16"/>
    </sheetView>
  </sheetViews>
  <sheetFormatPr baseColWidth="8" defaultColWidth="8.81640625" defaultRowHeight="14.5"/>
  <cols>
    <col width="24.54296875" customWidth="1" min="1" max="1"/>
    <col width="12" bestFit="1" customWidth="1" style="94" min="2" max="3"/>
    <col width="12" bestFit="1" customWidth="1" min="4" max="6"/>
    <col width="12.1796875" bestFit="1" customWidth="1" min="7" max="7"/>
    <col width="12" bestFit="1" customWidth="1" min="8" max="11"/>
    <col width="11.1796875" bestFit="1" customWidth="1" min="12" max="12"/>
    <col width="12.1796875" bestFit="1" customWidth="1" min="13" max="13"/>
    <col width="10.54296875" bestFit="1" customWidth="1" min="14" max="14"/>
    <col width="13.453125" bestFit="1" customWidth="1" min="15" max="15"/>
    <col width="11.54296875" bestFit="1" customWidth="1" min="16" max="16"/>
    <col width="12.81640625" bestFit="1" customWidth="1" min="17" max="18"/>
    <col width="12.1796875" bestFit="1" customWidth="1" min="19" max="19"/>
    <col width="12.81640625" bestFit="1" customWidth="1" min="20" max="20"/>
    <col width="13.26953125" bestFit="1" customWidth="1" min="21" max="27"/>
  </cols>
  <sheetData>
    <row r="1">
      <c r="A1" s="60" t="inlineStr">
        <is>
          <t>Yapı</t>
        </is>
      </c>
      <c r="B1" s="106" t="inlineStr">
        <is>
          <t>Ocak</t>
        </is>
      </c>
      <c r="C1" s="106" t="inlineStr">
        <is>
          <t>Şubat</t>
        </is>
      </c>
      <c r="D1" s="61" t="inlineStr">
        <is>
          <t>Mart</t>
        </is>
      </c>
      <c r="E1" s="61" t="inlineStr">
        <is>
          <t>Nisan</t>
        </is>
      </c>
      <c r="F1" s="61" t="inlineStr">
        <is>
          <t>Mayıs</t>
        </is>
      </c>
      <c r="G1" s="61" t="inlineStr">
        <is>
          <t>Haziran</t>
        </is>
      </c>
      <c r="H1" s="61" t="inlineStr">
        <is>
          <t>Temmuz</t>
        </is>
      </c>
      <c r="I1" s="61" t="inlineStr">
        <is>
          <t>Ağustos</t>
        </is>
      </c>
      <c r="J1" s="61" t="inlineStr">
        <is>
          <t>Eylül</t>
        </is>
      </c>
      <c r="K1" s="61" t="inlineStr">
        <is>
          <t>Ekim</t>
        </is>
      </c>
      <c r="L1" s="61" t="inlineStr">
        <is>
          <t>Kasım</t>
        </is>
      </c>
      <c r="M1" s="61" t="inlineStr">
        <is>
          <t>Aralık</t>
        </is>
      </c>
    </row>
    <row r="2">
      <c r="A2" s="61" t="inlineStr">
        <is>
          <t>Operasyonel Nakit-EUR / G.14.</t>
        </is>
      </c>
      <c r="B2" s="107">
        <f>SUM(B3:B5)+SUM(B6:B10)*0.4</f>
        <v/>
      </c>
      <c r="C2" s="107">
        <f>SUM(C3:C5)+SUM(C6:C10)*0.4</f>
        <v/>
      </c>
      <c r="D2" s="107">
        <f>SUM(D3:D5)+SUM(D6:D10)*0.4</f>
        <v/>
      </c>
      <c r="E2" s="107">
        <f>SUM(E3:E5)+SUM(E6:E10)*0.4</f>
        <v/>
      </c>
      <c r="F2" s="107">
        <f>SUM(F3:F5)+SUM(F6:F10)*0.4</f>
        <v/>
      </c>
      <c r="G2" s="107">
        <f>SUM(G3:G5)+SUM(G6:G10)*0.4</f>
        <v/>
      </c>
      <c r="H2" s="64">
        <f>SUM(H3:H5)+SUM(H6:H10)*0.4</f>
        <v/>
      </c>
      <c r="I2" s="64">
        <f>SUM(I3:I5)+SUM(I6:I10)*0.4</f>
        <v/>
      </c>
      <c r="J2" s="64">
        <f>SUM(J3:J5)+SUM(J6:J10)*0.4</f>
        <v/>
      </c>
      <c r="K2" s="64">
        <f>SUM(K3:K5)+SUM(K6:K10)*0.4</f>
        <v/>
      </c>
      <c r="L2" s="64">
        <f>SUM(L3:L5)+SUM(L6:L10)*0.4</f>
        <v/>
      </c>
      <c r="M2" s="64">
        <f>SUM(M3:M5)+SUM(M6:M10)*0.4</f>
        <v/>
      </c>
      <c r="N2" s="91">
        <f>SUM(B2:M2)</f>
        <v/>
      </c>
      <c r="O2" s="94" t="n"/>
    </row>
    <row r="3">
      <c r="A3" s="61" t="inlineStr">
        <is>
          <t>İnci Holding / G.14.1.</t>
        </is>
      </c>
      <c r="B3" s="23" t="n">
        <v>342118.8994993882</v>
      </c>
      <c r="C3" s="23" t="n">
        <v>1070955.88445032</v>
      </c>
      <c r="D3" s="23" t="n">
        <v>-261949.876753998</v>
      </c>
      <c r="E3" s="23" t="n">
        <v>-8033285.264126154</v>
      </c>
      <c r="F3" s="23" t="n">
        <v>691097.663267618</v>
      </c>
      <c r="G3" s="23" t="n">
        <v>421756.9880139446</v>
      </c>
      <c r="H3" s="23" t="n">
        <v>7666788.751647556</v>
      </c>
      <c r="I3" s="23" t="n">
        <v>755966.107890245</v>
      </c>
      <c r="J3" s="23" t="n">
        <v>-322349.6638011308</v>
      </c>
      <c r="K3" s="23" t="n"/>
      <c r="L3" s="23" t="n"/>
      <c r="M3" s="23" t="n"/>
      <c r="N3" s="52">
        <f>SUM(B3:M3)</f>
        <v/>
      </c>
      <c r="O3" s="94" t="n">
        <v>1965725.734220156</v>
      </c>
      <c r="P3" s="550">
        <f>N3-O3</f>
        <v/>
      </c>
    </row>
    <row r="4">
      <c r="A4" s="61" t="inlineStr">
        <is>
          <t>ISM / G.14.2.</t>
        </is>
      </c>
      <c r="B4" s="23" t="n">
        <v>-276093.9527102007</v>
      </c>
      <c r="C4" s="23" t="n">
        <v>7219.325108254561</v>
      </c>
      <c r="D4" s="23" t="n">
        <v>193962.1815860011</v>
      </c>
      <c r="E4" s="23" t="n">
        <v>-71078.7592315349</v>
      </c>
      <c r="F4" s="23" t="n">
        <v>-144760.2274653067</v>
      </c>
      <c r="G4" s="23" t="n">
        <v>41437.23701629843</v>
      </c>
      <c r="H4" s="23" t="n">
        <v>228580.9279335418</v>
      </c>
      <c r="I4" s="23" t="n">
        <v>-67380.83149636508</v>
      </c>
      <c r="J4" s="23" t="n">
        <v>182563.563032671</v>
      </c>
      <c r="K4" s="23" t="n"/>
      <c r="L4" s="23" t="n"/>
      <c r="M4" s="23" t="n"/>
      <c r="N4" s="52">
        <f>SUM(B4:M4)</f>
        <v/>
      </c>
      <c r="O4" t="n">
        <v>852981.5924519271</v>
      </c>
      <c r="P4" s="550">
        <f>N4-O4</f>
        <v/>
      </c>
    </row>
    <row r="5">
      <c r="A5" s="61" t="inlineStr">
        <is>
          <t>İncitaş / G.14.3.</t>
        </is>
      </c>
      <c r="B5" s="23" t="n">
        <v>-17760.80919464046</v>
      </c>
      <c r="C5" s="23" t="n">
        <v>-118975.7855518607</v>
      </c>
      <c r="D5" s="23" t="n">
        <v>492519.4629855274</v>
      </c>
      <c r="E5" s="23" t="n">
        <v>-444223.826416339</v>
      </c>
      <c r="F5" s="23" t="n">
        <v>50891.62177361012</v>
      </c>
      <c r="G5" s="23" t="n">
        <v>65184.10873392172</v>
      </c>
      <c r="H5" s="23" t="n">
        <v>-280550.8985412144</v>
      </c>
      <c r="I5" s="23" t="n">
        <v>317624.421448305</v>
      </c>
      <c r="J5" s="23" t="n">
        <v>58366.54439628308</v>
      </c>
      <c r="K5" s="23" t="n"/>
      <c r="L5" s="23" t="n"/>
      <c r="M5" s="23" t="n"/>
      <c r="N5" s="52">
        <f>SUM(B5:M5)</f>
        <v/>
      </c>
      <c r="O5" t="n">
        <v>559626.5620764146</v>
      </c>
      <c r="P5" s="550">
        <f>N5-O5</f>
        <v/>
      </c>
    </row>
    <row r="6">
      <c r="A6" s="61" t="inlineStr">
        <is>
          <t>GS Yuasa / G.14.4.</t>
        </is>
      </c>
      <c r="B6" s="23" t="n">
        <v>-3437595.320968205</v>
      </c>
      <c r="C6" s="23" t="n">
        <v>-4567902.989437493</v>
      </c>
      <c r="D6" s="23" t="n">
        <v>3656377.757426076</v>
      </c>
      <c r="E6" s="23" t="n">
        <v>3813299.498636352</v>
      </c>
      <c r="F6" s="23" t="n">
        <v>-7900173.672086695</v>
      </c>
      <c r="G6" s="23" t="n">
        <v>8125622.912426434</v>
      </c>
      <c r="H6" s="23" t="n">
        <v>-1502286.810594224</v>
      </c>
      <c r="I6" s="23" t="n">
        <v>1252547.734159096</v>
      </c>
      <c r="J6" s="23" t="n">
        <v>3176511.246210613</v>
      </c>
      <c r="K6" s="23" t="n"/>
      <c r="L6" s="23" t="n"/>
      <c r="M6" s="23" t="n"/>
      <c r="N6" s="52">
        <f>SUM(B6:M6)</f>
        <v/>
      </c>
    </row>
    <row r="7">
      <c r="A7" s="61" t="inlineStr">
        <is>
          <t>Yusen / G.14.5.</t>
        </is>
      </c>
      <c r="B7" s="23" t="n">
        <v>334452.5180497903</v>
      </c>
      <c r="C7" s="23" t="n">
        <v>58516.36239288579</v>
      </c>
      <c r="D7" s="23" t="n">
        <v>2247776.485418807</v>
      </c>
      <c r="E7" s="23" t="n">
        <v>794247.7018269431</v>
      </c>
      <c r="F7" s="23" t="n">
        <v>-715001.1802718933</v>
      </c>
      <c r="G7" s="23" t="n">
        <v>898950.8913144693</v>
      </c>
      <c r="H7" s="23" t="n">
        <v>1334692.570872601</v>
      </c>
      <c r="I7" s="23" t="n">
        <v>309085.9309068685</v>
      </c>
      <c r="J7" s="23" t="n">
        <v>-182646.5701072318</v>
      </c>
      <c r="K7" s="23" t="n"/>
      <c r="L7" s="23" t="n"/>
      <c r="M7" s="23" t="n"/>
      <c r="N7" s="52">
        <f>SUM(B7:M7)</f>
        <v/>
      </c>
    </row>
    <row r="8">
      <c r="A8" s="61" t="inlineStr">
        <is>
          <t>Jantaş / G.14.6.</t>
        </is>
      </c>
      <c r="B8" s="23" t="n">
        <v>1559763.909999996</v>
      </c>
      <c r="C8" s="23" t="n">
        <v>-2443800.69</v>
      </c>
      <c r="D8" s="23" t="n">
        <v>-549028.3399999961</v>
      </c>
      <c r="E8" s="23" t="n">
        <v>44180.72999999439</v>
      </c>
      <c r="F8" s="23" t="n">
        <v>-687900.6399999897</v>
      </c>
      <c r="G8" s="23" t="n">
        <v>3450818.459999987</v>
      </c>
      <c r="H8" s="23" t="n">
        <v>4367757.119999997</v>
      </c>
      <c r="I8" s="23" t="n">
        <v>3355490.140000004</v>
      </c>
      <c r="J8" s="23" t="n">
        <v>-970021.5099999979</v>
      </c>
      <c r="K8" s="23" t="n"/>
      <c r="L8" s="23" t="n"/>
      <c r="M8" s="23" t="n"/>
      <c r="N8" s="52">
        <f>SUM(B8:M8)</f>
        <v/>
      </c>
      <c r="O8">
        <f>B8*0.4</f>
        <v/>
      </c>
      <c r="Q8" s="94">
        <f>B8</f>
        <v/>
      </c>
      <c r="R8" s="94">
        <f>Q8+C8</f>
        <v/>
      </c>
      <c r="S8" s="94">
        <f>R8+D8</f>
        <v/>
      </c>
      <c r="T8" s="94">
        <f>S8+E8</f>
        <v/>
      </c>
      <c r="U8" s="94">
        <f>T8+F8</f>
        <v/>
      </c>
      <c r="V8" s="94">
        <f>U8+G8</f>
        <v/>
      </c>
      <c r="W8" s="94">
        <f>V8+H8</f>
        <v/>
      </c>
      <c r="X8" s="94">
        <f>W8+I8</f>
        <v/>
      </c>
      <c r="Y8" s="94">
        <f>X8+J8</f>
        <v/>
      </c>
      <c r="Z8" s="94">
        <f>Y8+K8</f>
        <v/>
      </c>
      <c r="AA8" s="94">
        <f>Z8+L8</f>
        <v/>
      </c>
    </row>
    <row r="9">
      <c r="A9" s="61" t="inlineStr">
        <is>
          <t>Çelik / G.14.7.</t>
        </is>
      </c>
      <c r="B9" s="23" t="n">
        <v>275897.4500000017</v>
      </c>
      <c r="C9" s="23" t="n">
        <v>-1130999.520000003</v>
      </c>
      <c r="D9" s="23" t="n">
        <v>3831069.219999997</v>
      </c>
      <c r="E9" s="23" t="n">
        <v>1994219.780000007</v>
      </c>
      <c r="F9" s="23" t="n">
        <v>696446.3699999917</v>
      </c>
      <c r="G9" s="23" t="n">
        <v>5571952.808719001</v>
      </c>
      <c r="H9" s="23" t="n">
        <v>697757.6812809948</v>
      </c>
      <c r="I9" s="23" t="n">
        <v>-705888.2099999934</v>
      </c>
      <c r="J9" s="23" t="n">
        <v>4336146.430000007</v>
      </c>
      <c r="K9" s="23" t="n"/>
      <c r="L9" s="23" t="n"/>
      <c r="M9" s="23" t="n"/>
      <c r="N9" s="52">
        <f>SUM(B9:M9)</f>
        <v/>
      </c>
      <c r="Q9" s="94">
        <f>B9</f>
        <v/>
      </c>
      <c r="R9" s="94">
        <f>Q9+C9</f>
        <v/>
      </c>
      <c r="S9" s="94">
        <f>R9+D9</f>
        <v/>
      </c>
      <c r="T9" s="94">
        <f>S9+E9</f>
        <v/>
      </c>
      <c r="U9" s="94">
        <f>T9+F9</f>
        <v/>
      </c>
      <c r="V9" s="94">
        <f>U9+G9</f>
        <v/>
      </c>
      <c r="W9" s="94">
        <f>V9+H9</f>
        <v/>
      </c>
      <c r="X9" s="94">
        <f>W9+I9</f>
        <v/>
      </c>
      <c r="Y9" s="94">
        <f>X9+J9</f>
        <v/>
      </c>
      <c r="Z9" s="94">
        <f>Y9+K9</f>
        <v/>
      </c>
      <c r="AA9" s="94">
        <f>Z9+L9</f>
        <v/>
      </c>
    </row>
    <row r="10">
      <c r="A10" s="61" t="inlineStr">
        <is>
          <t>Alüminyum / G.14.8.</t>
        </is>
      </c>
      <c r="B10" s="23" t="n">
        <v>-4904927.105737987</v>
      </c>
      <c r="C10" s="23" t="n">
        <v>1218173.145737994</v>
      </c>
      <c r="D10" s="23" t="n">
        <v>7728919.129999989</v>
      </c>
      <c r="E10" s="23" t="n">
        <v>-3480376.690000001</v>
      </c>
      <c r="F10" s="23" t="n">
        <v>-840476.8999999855</v>
      </c>
      <c r="G10" s="23" t="n">
        <v>9668235.519999996</v>
      </c>
      <c r="H10" s="23" t="n">
        <v>-799131.4900000133</v>
      </c>
      <c r="I10" s="23" t="n">
        <v>959982.7700000238</v>
      </c>
      <c r="J10" s="23" t="n">
        <v>4033180.110000001</v>
      </c>
      <c r="K10" s="23" t="n"/>
      <c r="L10" s="23" t="n"/>
      <c r="M10" s="23" t="n"/>
      <c r="N10" s="52">
        <f>SUM(B10:M10)</f>
        <v/>
      </c>
      <c r="Q10" s="94">
        <f>B10</f>
        <v/>
      </c>
      <c r="R10" s="94">
        <f>Q10+C10</f>
        <v/>
      </c>
      <c r="S10" s="94">
        <f>R10+D10</f>
        <v/>
      </c>
      <c r="T10" s="94">
        <f>S10+E10</f>
        <v/>
      </c>
      <c r="U10" s="94">
        <f>T10+F10</f>
        <v/>
      </c>
      <c r="V10" s="94">
        <f>U10+G10</f>
        <v/>
      </c>
      <c r="W10" s="94">
        <f>V10+H10</f>
        <v/>
      </c>
      <c r="X10" s="94">
        <f>W10+I10</f>
        <v/>
      </c>
      <c r="Y10" s="94">
        <f>X10+J10</f>
        <v/>
      </c>
      <c r="Z10" s="94">
        <f>Y10+K10</f>
        <v/>
      </c>
      <c r="AA10" s="94">
        <f>Z10+L10</f>
        <v/>
      </c>
    </row>
    <row r="11">
      <c r="A11" s="61" t="inlineStr">
        <is>
          <t>Serbest Nakit-EUR / G.15.</t>
        </is>
      </c>
      <c r="B11" s="107">
        <f>SUM(B12:B14)+SUM(B15:B19)*0.4</f>
        <v/>
      </c>
      <c r="C11" s="107">
        <f>SUM(C12:C14)+SUM(C15:C19)*0.4</f>
        <v/>
      </c>
      <c r="D11" s="107">
        <f>SUM(D12:D14)+SUM(D15:D19)*0.4</f>
        <v/>
      </c>
      <c r="E11" s="107">
        <f>SUM(E12:E14)+SUM(E15:E19)*0.4</f>
        <v/>
      </c>
      <c r="F11" s="107">
        <f>SUM(F12:F14)+SUM(F15:F19)*0.4</f>
        <v/>
      </c>
      <c r="G11" s="107">
        <f>SUM(G12:G14)+SUM(G15:G19)*0.4</f>
        <v/>
      </c>
      <c r="H11" s="64">
        <f>SUM(H12:H14)+SUM(H15:H19)*0.4</f>
        <v/>
      </c>
      <c r="I11" s="64">
        <f>SUM(I12:I14)+SUM(I15:I19)*0.4</f>
        <v/>
      </c>
      <c r="J11" s="64">
        <f>SUM(J12:J14)+SUM(J15:J19)*0.4</f>
        <v/>
      </c>
      <c r="K11" s="64">
        <f>SUM(K12:K14)+SUM(K15:K19)*0.4</f>
        <v/>
      </c>
      <c r="L11" s="64">
        <f>SUM(L12:L14)+SUM(L15:L19)*0.4</f>
        <v/>
      </c>
      <c r="M11" s="64">
        <f>SUM(M12:M14)+SUM(M15:M19)*0.4</f>
        <v/>
      </c>
      <c r="N11" s="52">
        <f>SUM(B11:M11)</f>
        <v/>
      </c>
      <c r="Q11" s="94" t="n"/>
      <c r="R11" s="94" t="n"/>
      <c r="S11" s="94" t="n"/>
      <c r="T11" s="94" t="n"/>
      <c r="U11" s="94" t="n"/>
      <c r="V11" s="94" t="n"/>
      <c r="W11" s="94" t="n"/>
      <c r="X11" s="94" t="n"/>
    </row>
    <row r="12">
      <c r="A12" s="61" t="inlineStr">
        <is>
          <t>İnci Holding / G.15.1.</t>
        </is>
      </c>
      <c r="B12" s="23" t="n">
        <v>342118.8994993882</v>
      </c>
      <c r="C12" s="23" t="n">
        <v>1070545.623655499</v>
      </c>
      <c r="D12" s="23" t="n">
        <v>-261949.876753998</v>
      </c>
      <c r="E12" s="23" t="n">
        <v>-8033285.264126154</v>
      </c>
      <c r="F12" s="23" t="n">
        <v>691097.663267618</v>
      </c>
      <c r="G12" s="23" t="n">
        <v>414622.2122893305</v>
      </c>
      <c r="H12" s="23" t="n">
        <v>7666788.751647556</v>
      </c>
      <c r="I12" s="23" t="n">
        <v>755966.107890245</v>
      </c>
      <c r="J12" s="23" t="n">
        <v>-322349.6638011308</v>
      </c>
      <c r="K12" s="23" t="n"/>
      <c r="L12" s="23" t="n"/>
      <c r="M12" s="23" t="n"/>
      <c r="N12" s="52">
        <f>SUM(B12:M12)</f>
        <v/>
      </c>
      <c r="Q12" s="94" t="n"/>
      <c r="R12" s="94" t="n"/>
      <c r="S12" s="94" t="n"/>
      <c r="T12" s="94" t="n"/>
      <c r="U12" s="94" t="n"/>
      <c r="V12" s="94" t="n"/>
      <c r="W12" s="94" t="n"/>
      <c r="X12" s="94" t="n"/>
    </row>
    <row r="13">
      <c r="A13" s="61" t="inlineStr">
        <is>
          <t>ISM / G.15.2.</t>
        </is>
      </c>
      <c r="B13" s="23" t="n">
        <v>-329346.0090691371</v>
      </c>
      <c r="C13" s="23" t="n">
        <v>-58426.61573166971</v>
      </c>
      <c r="D13" s="23" t="n">
        <v>112598.8817493562</v>
      </c>
      <c r="E13" s="23" t="n">
        <v>-130484.9295244582</v>
      </c>
      <c r="F13" s="23" t="n">
        <v>-195485.4294434657</v>
      </c>
      <c r="G13" s="23" t="n">
        <v>-23582.3878953422</v>
      </c>
      <c r="H13" s="23" t="n">
        <v>177816.8592189547</v>
      </c>
      <c r="I13" s="23" t="n">
        <v>-119948.3418997216</v>
      </c>
      <c r="J13" s="23" t="n">
        <v>131817.5756666367</v>
      </c>
      <c r="K13" s="23" t="n"/>
      <c r="L13" s="23" t="n"/>
      <c r="M13" s="23" t="n"/>
      <c r="N13" s="52">
        <f>SUM(B13:M13)</f>
        <v/>
      </c>
    </row>
    <row r="14">
      <c r="A14" s="61" t="inlineStr">
        <is>
          <t>İncitaş / G.15.3.</t>
        </is>
      </c>
      <c r="B14" s="23" t="n">
        <v>-17760.80919464046</v>
      </c>
      <c r="C14" s="23" t="n">
        <v>-118975.7855518607</v>
      </c>
      <c r="D14" s="23" t="n">
        <v>492519.4629855274</v>
      </c>
      <c r="E14" s="23" t="n">
        <v>-444223.826416339</v>
      </c>
      <c r="F14" s="23" t="n">
        <v>50891.62177361012</v>
      </c>
      <c r="G14" s="23" t="n">
        <v>65184.10873392172</v>
      </c>
      <c r="H14" s="23" t="n">
        <v>-280550.8985412144</v>
      </c>
      <c r="I14" s="23" t="n">
        <v>317624.421448305</v>
      </c>
      <c r="J14" s="23" t="n">
        <v>58366.54439628308</v>
      </c>
      <c r="K14" s="23" t="n"/>
      <c r="L14" s="23" t="n"/>
      <c r="M14" s="23" t="n"/>
      <c r="N14" s="52">
        <f>SUM(B14:M14)</f>
        <v/>
      </c>
    </row>
    <row r="15">
      <c r="A15" s="61" t="inlineStr">
        <is>
          <t>GS Yuasa / G.15.4.</t>
        </is>
      </c>
      <c r="B15" s="23" t="n">
        <v>-3617026.1211118</v>
      </c>
      <c r="C15" s="23" t="n">
        <v>-4660416.492903359</v>
      </c>
      <c r="D15" s="23" t="n">
        <v>3489446.347651001</v>
      </c>
      <c r="E15" s="23" t="n">
        <v>3813299.498636353</v>
      </c>
      <c r="F15" s="23" t="n">
        <v>-7900173.672086695</v>
      </c>
      <c r="G15" s="23" t="n">
        <v>8125622.912426434</v>
      </c>
      <c r="H15" s="23" t="n">
        <v>-1502286.810594224</v>
      </c>
      <c r="I15" s="23" t="n">
        <v>531584.1796192259</v>
      </c>
      <c r="J15" s="23" t="n">
        <v>2909055.339205869</v>
      </c>
      <c r="K15" s="23" t="n"/>
      <c r="L15" s="23" t="n"/>
      <c r="M15" s="23" t="n"/>
      <c r="N15" s="52">
        <f>SUM(B15:M15)</f>
        <v/>
      </c>
    </row>
    <row r="16">
      <c r="A16" s="61" t="inlineStr">
        <is>
          <t>Yusen / G.15.5.</t>
        </is>
      </c>
      <c r="B16" s="23" t="n">
        <v>221976.6614947696</v>
      </c>
      <c r="C16" s="23" t="n">
        <v>-47524.7695168198</v>
      </c>
      <c r="D16" s="23" t="n">
        <v>1913848.634039518</v>
      </c>
      <c r="E16" s="23" t="n">
        <v>762585.2816477718</v>
      </c>
      <c r="F16" s="23" t="n">
        <v>-744498.6589672463</v>
      </c>
      <c r="G16" s="23" t="n">
        <v>792642.7184247416</v>
      </c>
      <c r="H16" s="23" t="n">
        <v>961586.900246935</v>
      </c>
      <c r="I16" s="23" t="n">
        <v>296913.3133609248</v>
      </c>
      <c r="J16" s="23" t="n">
        <v>-243778.9137419951</v>
      </c>
      <c r="K16" s="23" t="n"/>
      <c r="L16" s="23" t="n"/>
      <c r="M16" s="23" t="n"/>
      <c r="N16" s="52">
        <f>SUM(B16:M16)</f>
        <v/>
      </c>
    </row>
    <row r="17">
      <c r="A17" s="61" t="inlineStr">
        <is>
          <t>Jantaş / G.15.6.</t>
        </is>
      </c>
      <c r="B17" s="23" t="n">
        <v>1432787.739999996</v>
      </c>
      <c r="C17" s="23" t="n">
        <v>-2488872.958171001</v>
      </c>
      <c r="D17" s="23" t="n">
        <v>-574452.7205989962</v>
      </c>
      <c r="E17" s="23" t="n">
        <v>-204242.4237220054</v>
      </c>
      <c r="F17" s="23" t="n">
        <v>-956510.4339989894</v>
      </c>
      <c r="G17" s="23" t="n">
        <v>3254032.361065987</v>
      </c>
      <c r="H17" s="23" t="n">
        <v>4272679.105185999</v>
      </c>
      <c r="I17" s="23" t="n">
        <v>2044528.410611004</v>
      </c>
      <c r="J17" s="23" t="n">
        <v>-1265428.329999998</v>
      </c>
      <c r="K17" s="23" t="n"/>
      <c r="L17" s="23" t="n"/>
      <c r="M17" s="23" t="n"/>
      <c r="N17" s="52">
        <f>SUM(B17:M17)</f>
        <v/>
      </c>
      <c r="Q17" s="94">
        <f>B17</f>
        <v/>
      </c>
      <c r="R17" s="94">
        <f>Q17+C17</f>
        <v/>
      </c>
      <c r="S17" s="94">
        <f>R17+D17</f>
        <v/>
      </c>
      <c r="T17" s="94">
        <f>S17+E17</f>
        <v/>
      </c>
      <c r="U17" s="94">
        <f>T17+F17</f>
        <v/>
      </c>
      <c r="V17" s="94">
        <f>U17+G17</f>
        <v/>
      </c>
      <c r="W17" s="94">
        <f>V17+H17</f>
        <v/>
      </c>
      <c r="X17" s="94">
        <f>W17+I17</f>
        <v/>
      </c>
      <c r="Y17" s="94">
        <f>X17+J17</f>
        <v/>
      </c>
      <c r="Z17" s="94">
        <f>Y17+K17</f>
        <v/>
      </c>
      <c r="AA17" s="94">
        <f>Z17+L17</f>
        <v/>
      </c>
    </row>
    <row r="18">
      <c r="A18" s="61" t="inlineStr">
        <is>
          <t>Çelik / G.15.7.</t>
        </is>
      </c>
      <c r="B18" s="23" t="n">
        <v>266462.0000000017</v>
      </c>
      <c r="C18" s="23" t="n">
        <v>-1151371.470000003</v>
      </c>
      <c r="D18" s="23" t="n">
        <v>3825637.254467997</v>
      </c>
      <c r="E18" s="23" t="n">
        <v>-1217945.279140992</v>
      </c>
      <c r="F18" s="23" t="n">
        <v>-801756.421952009</v>
      </c>
      <c r="G18" s="23" t="n">
        <v>5112293.363719003</v>
      </c>
      <c r="H18" s="23" t="n">
        <v>-3870431.052954006</v>
      </c>
      <c r="I18" s="23" t="n">
        <v>-859221.4853759925</v>
      </c>
      <c r="J18" s="23" t="n">
        <v>4086146.430000006</v>
      </c>
      <c r="K18" s="23" t="n"/>
      <c r="L18" s="23" t="n"/>
      <c r="M18" s="23" t="n"/>
      <c r="N18" s="52">
        <f>SUM(B18:M18)</f>
        <v/>
      </c>
      <c r="Q18" s="94">
        <f>B18</f>
        <v/>
      </c>
      <c r="R18" s="94">
        <f>Q18+C18</f>
        <v/>
      </c>
      <c r="S18" s="94">
        <f>R18+D18</f>
        <v/>
      </c>
      <c r="T18" s="94">
        <f>S18+E18</f>
        <v/>
      </c>
      <c r="U18" s="94">
        <f>T18+F18</f>
        <v/>
      </c>
      <c r="V18" s="94">
        <f>U18+G18</f>
        <v/>
      </c>
      <c r="W18" s="94">
        <f>V18+H18</f>
        <v/>
      </c>
      <c r="X18" s="94">
        <f>W18+I18</f>
        <v/>
      </c>
      <c r="Y18" s="94">
        <f>X18+J18</f>
        <v/>
      </c>
      <c r="Z18" s="94">
        <f>Y18+K18</f>
        <v/>
      </c>
      <c r="AA18" s="94">
        <f>Z18+L18</f>
        <v/>
      </c>
    </row>
    <row r="19">
      <c r="A19" s="61" t="inlineStr">
        <is>
          <t>Alüminyum / G.15.8.</t>
        </is>
      </c>
      <c r="B19" s="23" t="n">
        <v>-5006777.675737987</v>
      </c>
      <c r="C19" s="23" t="n">
        <v>1149641.695737995</v>
      </c>
      <c r="D19" s="23" t="n">
        <v>7573410.959999989</v>
      </c>
      <c r="E19" s="23" t="n">
        <v>-4301511.510000002</v>
      </c>
      <c r="F19" s="23" t="n">
        <v>-1097164.999999986</v>
      </c>
      <c r="G19" s="23" t="n">
        <v>9563469.109999996</v>
      </c>
      <c r="H19" s="23" t="n">
        <v>-924331.3592770137</v>
      </c>
      <c r="I19" s="23" t="n">
        <v>667368.3549990226</v>
      </c>
      <c r="J19" s="23" t="n">
        <v>3837897.353521001</v>
      </c>
      <c r="K19" s="23" t="n"/>
      <c r="L19" s="23" t="n"/>
      <c r="M19" s="23" t="n"/>
      <c r="N19" s="52">
        <f>SUM(B19:M19)</f>
        <v/>
      </c>
      <c r="Q19" s="94">
        <f>B19</f>
        <v/>
      </c>
      <c r="R19" s="94">
        <f>Q19+C19</f>
        <v/>
      </c>
      <c r="S19" s="94">
        <f>R19+D19</f>
        <v/>
      </c>
      <c r="T19" s="94">
        <f>S19+E19</f>
        <v/>
      </c>
      <c r="U19" s="94">
        <f>T19+F19</f>
        <v/>
      </c>
      <c r="V19" s="94">
        <f>U19+G19</f>
        <v/>
      </c>
      <c r="W19" s="94">
        <f>V19+H19</f>
        <v/>
      </c>
      <c r="X19" s="94">
        <f>W19+I19</f>
        <v/>
      </c>
      <c r="Y19" s="94">
        <f>X19+J19</f>
        <v/>
      </c>
      <c r="Z19" s="94">
        <f>Y19+K19</f>
        <v/>
      </c>
      <c r="AA19" s="94">
        <f>Z19+L19</f>
        <v/>
      </c>
    </row>
    <row r="25">
      <c r="H25" s="94" t="n"/>
    </row>
    <row r="26">
      <c r="G26" s="94" t="n"/>
      <c r="H26" s="123" t="n"/>
    </row>
    <row r="27">
      <c r="H27" s="94" t="n"/>
    </row>
    <row r="28">
      <c r="H28" s="94" t="n"/>
    </row>
    <row r="30">
      <c r="D30" s="94" t="n"/>
      <c r="E30" s="94" t="n"/>
      <c r="F30" s="94" t="n"/>
      <c r="G30" s="94" t="n"/>
      <c r="H30" s="94" t="n"/>
      <c r="I30" s="94" t="n"/>
      <c r="J30" s="94" t="n"/>
      <c r="K30" s="94" t="n"/>
    </row>
    <row r="31">
      <c r="D31" s="94" t="n"/>
      <c r="E31" s="94" t="n"/>
      <c r="F31" s="94" t="n"/>
      <c r="G31" s="94" t="n"/>
      <c r="H31" s="94" t="n"/>
      <c r="I31" s="94" t="n"/>
      <c r="J31" s="94" t="n"/>
      <c r="K31" s="94" t="n"/>
    </row>
    <row r="32">
      <c r="D32" s="94" t="n"/>
      <c r="E32" s="94" t="n"/>
      <c r="F32" s="94" t="n"/>
      <c r="G32" s="94" t="n"/>
      <c r="H32" s="94" t="n"/>
      <c r="I32" s="94" t="n"/>
      <c r="J32" s="94" t="n"/>
      <c r="K32" s="94" t="n"/>
    </row>
    <row r="33">
      <c r="D33" s="94" t="n"/>
      <c r="E33" s="94" t="n"/>
      <c r="F33" s="94" t="n"/>
      <c r="G33" s="94" t="n"/>
      <c r="H33" s="94" t="n"/>
      <c r="I33" s="94" t="n"/>
      <c r="J33" s="94" t="n"/>
      <c r="K33" s="94" t="n"/>
    </row>
    <row r="34">
      <c r="D34" s="94" t="n"/>
      <c r="E34" s="94" t="n"/>
      <c r="F34" s="94" t="n"/>
      <c r="G34" s="94" t="n"/>
      <c r="H34" s="94" t="n"/>
      <c r="I34" s="94" t="n"/>
      <c r="J34" s="94" t="n"/>
      <c r="K34" s="94" t="n"/>
    </row>
    <row r="35">
      <c r="D35" s="94" t="n"/>
      <c r="E35" s="94" t="n"/>
      <c r="F35" s="94" t="n"/>
      <c r="G35" s="94" t="n"/>
      <c r="H35" s="94" t="n"/>
      <c r="I35" s="94" t="n"/>
      <c r="J35" s="94" t="n"/>
      <c r="K35" s="94" t="n"/>
    </row>
    <row r="36">
      <c r="D36" s="94" t="n"/>
      <c r="E36" s="94" t="n"/>
      <c r="F36" s="94" t="n"/>
      <c r="G36" s="94" t="n"/>
      <c r="H36" s="94" t="n"/>
      <c r="I36" s="94" t="n"/>
      <c r="J36" s="94" t="n"/>
      <c r="K36" s="94" t="n"/>
    </row>
    <row r="37">
      <c r="D37" s="94" t="n"/>
      <c r="E37" s="94" t="n"/>
      <c r="F37" s="94" t="n"/>
      <c r="G37" s="94" t="n"/>
      <c r="H37" s="94" t="n"/>
      <c r="I37" s="94" t="n"/>
      <c r="J37" s="94" t="n"/>
      <c r="K37" s="94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0070C0"/>
    <outlinePr summaryBelow="1" summaryRight="1"/>
    <pageSetUpPr/>
  </sheetPr>
  <dimension ref="A1:AD63"/>
  <sheetViews>
    <sheetView zoomScale="70" zoomScaleNormal="70" workbookViewId="0">
      <selection activeCell="J16" sqref="J16"/>
    </sheetView>
  </sheetViews>
  <sheetFormatPr baseColWidth="8" defaultColWidth="8.81640625" defaultRowHeight="14.5"/>
  <cols>
    <col width="23.54296875" bestFit="1" customWidth="1" min="1" max="1"/>
    <col width="13.1796875" customWidth="1" min="2" max="2"/>
    <col width="13.26953125" bestFit="1" customWidth="1" min="3" max="4"/>
    <col width="13.1796875" bestFit="1" customWidth="1" min="5" max="5"/>
    <col width="12.54296875" bestFit="1" customWidth="1" min="6" max="7"/>
    <col width="13.26953125" bestFit="1" customWidth="1" min="8" max="10"/>
    <col width="12.54296875" bestFit="1" customWidth="1" min="11" max="12"/>
    <col width="14" bestFit="1" customWidth="1" min="13" max="13"/>
    <col width="11.54296875" bestFit="1" customWidth="1" min="14" max="14"/>
    <col width="13.453125" bestFit="1" customWidth="1" min="15" max="16"/>
    <col width="13.1796875" bestFit="1" customWidth="1" min="17" max="17"/>
    <col width="13.453125" bestFit="1" customWidth="1" min="18" max="18"/>
    <col width="13.1796875" bestFit="1" customWidth="1" min="19" max="19"/>
    <col width="14.1796875" bestFit="1" customWidth="1" min="20" max="20"/>
    <col width="13.453125" bestFit="1" customWidth="1" min="21" max="27"/>
    <col width="13.1796875" bestFit="1" customWidth="1" min="29" max="30"/>
  </cols>
  <sheetData>
    <row r="1">
      <c r="A1" s="60" t="inlineStr">
        <is>
          <t>Yapı</t>
        </is>
      </c>
      <c r="B1" s="61" t="inlineStr">
        <is>
          <t>Ocak</t>
        </is>
      </c>
      <c r="C1" s="61" t="inlineStr">
        <is>
          <t>Şubat</t>
        </is>
      </c>
      <c r="D1" s="61" t="inlineStr">
        <is>
          <t>Mart</t>
        </is>
      </c>
      <c r="E1" s="61" t="inlineStr">
        <is>
          <t>Nisan</t>
        </is>
      </c>
      <c r="F1" s="61" t="inlineStr">
        <is>
          <t>Mayıs</t>
        </is>
      </c>
      <c r="G1" s="61" t="inlineStr">
        <is>
          <t>Haziran</t>
        </is>
      </c>
      <c r="H1" s="61" t="inlineStr">
        <is>
          <t>Temmuz</t>
        </is>
      </c>
      <c r="I1" s="61" t="inlineStr">
        <is>
          <t>Ağustos</t>
        </is>
      </c>
      <c r="J1" s="61" t="inlineStr">
        <is>
          <t>Eylül</t>
        </is>
      </c>
      <c r="K1" s="61" t="inlineStr">
        <is>
          <t>Ekim</t>
        </is>
      </c>
      <c r="L1" s="61" t="inlineStr">
        <is>
          <t>Kasım</t>
        </is>
      </c>
      <c r="M1" s="61" t="inlineStr">
        <is>
          <t>Aralık</t>
        </is>
      </c>
    </row>
    <row r="2">
      <c r="A2" s="61" t="inlineStr">
        <is>
          <t>Operasyonel Nakit-TL / G.14.</t>
        </is>
      </c>
      <c r="B2" s="64">
        <f>SUM(B3:B5)+SUM(B6:B10)*0.4</f>
        <v/>
      </c>
      <c r="C2" s="64">
        <f>SUM(C3:C5)+SUM(C6:C10)*0.4</f>
        <v/>
      </c>
      <c r="D2" s="64">
        <f>SUM(D3:D5)+SUM(D6:D10)*0.4</f>
        <v/>
      </c>
      <c r="E2" s="64">
        <f>SUM(E3:E5)+SUM(E6:E10)*0.4</f>
        <v/>
      </c>
      <c r="F2" s="64">
        <f>SUM(F3:F5)+SUM(F6:F10)*0.4</f>
        <v/>
      </c>
      <c r="G2" s="64">
        <f>SUM(G3:G5)+SUM(G6:G10)*0.4</f>
        <v/>
      </c>
      <c r="H2" s="64">
        <f>SUM(H3:H5)+SUM(H6:H10)*0.4</f>
        <v/>
      </c>
      <c r="I2" s="64">
        <f>SUM(I3:I5)+SUM(I6:I10)*0.4</f>
        <v/>
      </c>
      <c r="J2" s="64">
        <f>SUM(J3:J5)+SUM(J6:J10)*0.4</f>
        <v/>
      </c>
      <c r="K2" s="64">
        <f>SUM(K3:K5)+SUM(K6:K10)*0.4</f>
        <v/>
      </c>
      <c r="L2" s="64">
        <f>SUM(L3:L5)+SUM(L6:L10)*0.4</f>
        <v/>
      </c>
      <c r="M2" s="64">
        <f>SUM(M3:M5)+SUM(M6:M10)*0.4</f>
        <v/>
      </c>
      <c r="N2" s="91">
        <f>SUM(B2:M2)</f>
        <v/>
      </c>
      <c r="O2" s="94" t="n"/>
      <c r="P2" s="94" t="n"/>
    </row>
    <row r="3">
      <c r="A3" s="61" t="inlineStr">
        <is>
          <t>İnci Holding / G.14.1.</t>
        </is>
      </c>
      <c r="B3" s="107" t="n">
        <v>11764788.871667</v>
      </c>
      <c r="C3" s="107" t="n">
        <v>39061794.44750001</v>
      </c>
      <c r="D3" s="107" t="n">
        <v>-13150954.10750001</v>
      </c>
      <c r="E3" s="107" t="n">
        <v>-354868970.314999</v>
      </c>
      <c r="F3" s="107" t="n">
        <v>24898723.94749898</v>
      </c>
      <c r="G3" s="107" t="n">
        <v>-1263665.809998989</v>
      </c>
      <c r="H3" s="107" t="n">
        <v>356699031.3225</v>
      </c>
      <c r="I3" s="107" t="n">
        <v>34528405.39750101</v>
      </c>
      <c r="J3" s="107" t="n">
        <v>-16596551.69249998</v>
      </c>
      <c r="K3" s="107" t="n"/>
      <c r="L3" s="23" t="n"/>
      <c r="M3" s="23" t="n"/>
      <c r="N3" s="91">
        <f>SUM(B3:M3)</f>
        <v/>
      </c>
      <c r="O3" s="94" t="n">
        <v>28595743.62749994</v>
      </c>
      <c r="P3" s="94">
        <f>O3-N3</f>
        <v/>
      </c>
      <c r="Q3" s="94">
        <f>B3</f>
        <v/>
      </c>
      <c r="R3" s="94">
        <f>Q3+C3</f>
        <v/>
      </c>
      <c r="S3" s="94">
        <f>R3+D3</f>
        <v/>
      </c>
      <c r="T3" s="94">
        <f>S3+E3</f>
        <v/>
      </c>
      <c r="U3" s="94">
        <f>T3+F3</f>
        <v/>
      </c>
      <c r="V3" s="94">
        <f>U3+G3</f>
        <v/>
      </c>
      <c r="W3" s="94">
        <f>V3+H3</f>
        <v/>
      </c>
      <c r="X3" s="94">
        <f>W3+I3</f>
        <v/>
      </c>
      <c r="Y3" s="94">
        <f>X3+J3</f>
        <v/>
      </c>
      <c r="Z3" s="94">
        <f>Y3+K3</f>
        <v/>
      </c>
      <c r="AA3" s="94">
        <f>Z3+L3</f>
        <v/>
      </c>
    </row>
    <row r="4">
      <c r="A4" s="61" t="inlineStr">
        <is>
          <t>ISM / G.14.2.</t>
        </is>
      </c>
      <c r="B4" s="107" t="n">
        <v>-10731909.89173399</v>
      </c>
      <c r="C4" s="107" t="n">
        <v>-977255.6898670178</v>
      </c>
      <c r="D4" s="107" t="n">
        <v>4284882.123626003</v>
      </c>
      <c r="E4" s="107" t="n">
        <v>-6747507.343747979</v>
      </c>
      <c r="F4" s="107" t="n">
        <v>-7191750.680025017</v>
      </c>
      <c r="G4" s="107" t="n">
        <v>-1484485.594454985</v>
      </c>
      <c r="H4" s="107" t="n">
        <v>10382245.26704899</v>
      </c>
      <c r="I4" s="107" t="n">
        <v>-4538493.226099996</v>
      </c>
      <c r="J4" s="107" t="n">
        <v>7710529.400926998</v>
      </c>
      <c r="K4" s="107" t="n"/>
      <c r="L4" s="23" t="n"/>
      <c r="M4" s="23" t="n"/>
      <c r="N4" s="91">
        <f>SUM(B4:M4)</f>
        <v/>
      </c>
      <c r="O4" s="94" t="n">
        <v>833528.509453016</v>
      </c>
      <c r="P4" s="94">
        <f>O4-N4</f>
        <v/>
      </c>
      <c r="Q4" s="94">
        <f>B4</f>
        <v/>
      </c>
      <c r="R4" s="94">
        <f>Q4+C4</f>
        <v/>
      </c>
      <c r="S4" s="94">
        <f>R4+D4</f>
        <v/>
      </c>
      <c r="T4" s="94">
        <f>S4+E4</f>
        <v/>
      </c>
      <c r="U4" s="94">
        <f>T4+F4</f>
        <v/>
      </c>
      <c r="V4" s="94">
        <f>U4+G4</f>
        <v/>
      </c>
      <c r="W4" s="94">
        <f>V4+H4</f>
        <v/>
      </c>
      <c r="X4" s="94">
        <f>W4+I4</f>
        <v/>
      </c>
      <c r="Y4" s="94">
        <f>X4+J4</f>
        <v/>
      </c>
      <c r="Z4" s="94">
        <f>Y4+K4</f>
        <v/>
      </c>
      <c r="AA4" s="94">
        <f>Z4+L4</f>
        <v/>
      </c>
    </row>
    <row r="5">
      <c r="A5" s="61" t="inlineStr">
        <is>
          <t>İncitaş / G.14.3.</t>
        </is>
      </c>
      <c r="B5" s="107" t="n">
        <v>-1118153.842471974</v>
      </c>
      <c r="C5" s="107" t="n">
        <v>-5516093.886552021</v>
      </c>
      <c r="D5" s="107" t="n">
        <v>16917389.02712401</v>
      </c>
      <c r="E5" s="107" t="n">
        <v>-21574235.20924399</v>
      </c>
      <c r="F5" s="107" t="n">
        <v>1538015.610859012</v>
      </c>
      <c r="G5" s="107" t="n">
        <v>346240.0192439854</v>
      </c>
      <c r="H5" s="107" t="n">
        <v>-13358329.11259599</v>
      </c>
      <c r="I5" s="107" t="n">
        <v>13714880.290465</v>
      </c>
      <c r="J5" s="107" t="n">
        <v>1842638.547529003</v>
      </c>
      <c r="K5" s="107" t="n"/>
      <c r="L5" s="23" t="n"/>
      <c r="M5" s="23" t="n"/>
      <c r="N5" s="91">
        <f>SUM(B5:M5)</f>
        <v/>
      </c>
      <c r="O5" s="94" t="n">
        <v>7766985.801953036</v>
      </c>
      <c r="P5" s="94">
        <f>O5-N5</f>
        <v/>
      </c>
      <c r="Q5" s="94">
        <f>B5</f>
        <v/>
      </c>
      <c r="R5" s="94">
        <f>Q5+C5</f>
        <v/>
      </c>
      <c r="S5" s="94">
        <f>R5+D5</f>
        <v/>
      </c>
      <c r="T5" s="94">
        <f>S5+E5</f>
        <v/>
      </c>
      <c r="U5" s="94">
        <f>T5+F5</f>
        <v/>
      </c>
      <c r="V5" s="94">
        <f>U5+G5</f>
        <v/>
      </c>
      <c r="W5" s="94">
        <f>V5+H5</f>
        <v/>
      </c>
      <c r="X5" s="94">
        <f>W5+I5</f>
        <v/>
      </c>
      <c r="Y5" s="94">
        <f>X5+J5</f>
        <v/>
      </c>
      <c r="Z5" s="94">
        <f>Y5+K5</f>
        <v/>
      </c>
      <c r="AA5" s="94">
        <f>Z5+L5</f>
        <v/>
      </c>
    </row>
    <row r="6">
      <c r="A6" s="61" t="inlineStr">
        <is>
          <t>GS Yuasa / G.14.4.</t>
        </is>
      </c>
      <c r="B6" s="107" t="n">
        <v>-138737083.2882504</v>
      </c>
      <c r="C6" s="107" t="n">
        <v>-200244483.738034</v>
      </c>
      <c r="D6" s="107" t="n">
        <v>62318762.89772916</v>
      </c>
      <c r="E6" s="107" t="n">
        <v>79277646.15468904</v>
      </c>
      <c r="F6" s="107" t="n">
        <v>-364454825.2820187</v>
      </c>
      <c r="G6" s="107" t="n">
        <v>303764683.3012637</v>
      </c>
      <c r="H6" s="107" t="n">
        <v>-75523434.88779104</v>
      </c>
      <c r="I6" s="107" t="n">
        <v>33533402.82025504</v>
      </c>
      <c r="J6" s="107" t="n">
        <v>132746608.7664162</v>
      </c>
      <c r="K6" s="107" t="n"/>
      <c r="L6" s="23" t="n"/>
      <c r="M6" s="23" t="n"/>
      <c r="N6" s="91">
        <f>SUM(B6:M6)</f>
        <v/>
      </c>
      <c r="O6" s="94" t="n">
        <v>702677369.681482</v>
      </c>
      <c r="P6" s="94">
        <f>O6-N6</f>
        <v/>
      </c>
      <c r="Q6" s="94">
        <f>B6</f>
        <v/>
      </c>
      <c r="R6" s="94">
        <f>Q6+C6</f>
        <v/>
      </c>
      <c r="S6" s="94">
        <f>R6+D6</f>
        <v/>
      </c>
      <c r="T6" s="94">
        <f>S6+E6</f>
        <v/>
      </c>
      <c r="U6" s="94">
        <f>T6+F6</f>
        <v/>
      </c>
      <c r="V6" s="94">
        <f>U6+G6</f>
        <v/>
      </c>
      <c r="W6" s="94">
        <f>V6+H6</f>
        <v/>
      </c>
      <c r="X6" s="94">
        <f>W6+I6</f>
        <v/>
      </c>
      <c r="Y6" s="94">
        <f>X6+J6</f>
        <v/>
      </c>
      <c r="Z6" s="94">
        <f>Y6+K6</f>
        <v/>
      </c>
      <c r="AA6" s="94">
        <f>Z6+L6</f>
        <v/>
      </c>
    </row>
    <row r="7">
      <c r="A7" s="61" t="inlineStr">
        <is>
          <t>Yusen / G.14.5.</t>
        </is>
      </c>
      <c r="B7" s="107" t="n">
        <v>9715952.309914902</v>
      </c>
      <c r="C7" s="107" t="n">
        <v>-3301056.204319955</v>
      </c>
      <c r="D7" s="107" t="n">
        <v>74987276.77957004</v>
      </c>
      <c r="E7" s="107" t="n">
        <v>21086596.21076104</v>
      </c>
      <c r="F7" s="107" t="n">
        <v>-34031209.4189371</v>
      </c>
      <c r="G7" s="107" t="n">
        <v>30710940.98486209</v>
      </c>
      <c r="H7" s="107" t="n">
        <v>61609818.11170402</v>
      </c>
      <c r="I7" s="107" t="n">
        <v>11311510.41156504</v>
      </c>
      <c r="J7" s="107" t="n">
        <v>-11955080.13552505</v>
      </c>
      <c r="K7" s="107" t="n"/>
      <c r="L7" s="23" t="n"/>
      <c r="M7" s="23" t="n"/>
      <c r="N7" s="91">
        <f>SUM(B7:M7)</f>
        <v/>
      </c>
      <c r="Q7" s="94">
        <f>B7</f>
        <v/>
      </c>
      <c r="R7" s="94">
        <f>Q7+C7</f>
        <v/>
      </c>
      <c r="S7" s="94">
        <f>R7+D7</f>
        <v/>
      </c>
      <c r="T7" s="94">
        <f>S7+E7</f>
        <v/>
      </c>
      <c r="U7" s="94">
        <f>T7+F7</f>
        <v/>
      </c>
      <c r="V7" s="94">
        <f>U7+G7</f>
        <v/>
      </c>
      <c r="W7" s="94">
        <f>V7+H7</f>
        <v/>
      </c>
      <c r="X7" s="94">
        <f>W7+I7</f>
        <v/>
      </c>
      <c r="Y7" s="94">
        <f>X7+J7</f>
        <v/>
      </c>
      <c r="Z7" s="94">
        <f>Y7+K7</f>
        <v/>
      </c>
      <c r="AA7" s="94">
        <f>Z7+L7</f>
        <v/>
      </c>
      <c r="AC7" s="94" t="n">
        <v>-37833543</v>
      </c>
      <c r="AD7" s="94">
        <f>AC7/0.4</f>
        <v/>
      </c>
    </row>
    <row r="8">
      <c r="A8" s="61" t="inlineStr">
        <is>
          <t>Jantaş / G.14.6.</t>
        </is>
      </c>
      <c r="B8" s="107" t="n">
        <v>50521899.70745874</v>
      </c>
      <c r="C8" s="107" t="n">
        <v>-107800359.2882326</v>
      </c>
      <c r="D8" s="107" t="n">
        <v>-72801244.99653181</v>
      </c>
      <c r="E8" s="107" t="n">
        <v>-62025625.881038</v>
      </c>
      <c r="F8" s="107" t="n">
        <v>-44360056.73701885</v>
      </c>
      <c r="G8" s="107" t="n">
        <v>102649339.4378566</v>
      </c>
      <c r="H8" s="107" t="n">
        <v>199672088.4652665</v>
      </c>
      <c r="I8" s="107" t="n">
        <v>138962924.7707122</v>
      </c>
      <c r="J8" s="107" t="n">
        <v>-63783837.68712729</v>
      </c>
      <c r="K8" s="107" t="n"/>
      <c r="L8" s="23" t="n"/>
      <c r="M8" s="23" t="n"/>
      <c r="N8" s="91">
        <f>SUM(B8:M8)</f>
        <v/>
      </c>
      <c r="Q8" s="94">
        <f>B8*0.4</f>
        <v/>
      </c>
      <c r="R8" s="94">
        <f>Q8+C8</f>
        <v/>
      </c>
      <c r="S8" s="94">
        <f>R8+D8</f>
        <v/>
      </c>
      <c r="T8" s="94">
        <f>S8+E8</f>
        <v/>
      </c>
      <c r="U8" s="94">
        <f>T8+F8</f>
        <v/>
      </c>
      <c r="V8" s="94">
        <f>U8+G8</f>
        <v/>
      </c>
      <c r="W8" s="94">
        <f>V8+H8</f>
        <v/>
      </c>
      <c r="X8" s="94">
        <f>W8+I8</f>
        <v/>
      </c>
      <c r="Y8" s="94">
        <f>X8+J8</f>
        <v/>
      </c>
      <c r="Z8" s="94">
        <f>Y8+K8</f>
        <v/>
      </c>
      <c r="AA8" s="94">
        <f>Z8+L8</f>
        <v/>
      </c>
    </row>
    <row r="9">
      <c r="A9" s="61" t="inlineStr">
        <is>
          <t>Çelik / G.14.7.</t>
        </is>
      </c>
      <c r="B9" s="107" t="n">
        <v>3022198.19726388</v>
      </c>
      <c r="C9" s="107" t="n">
        <v>-58423470.29745746</v>
      </c>
      <c r="D9" s="107" t="n">
        <v>106158408.7409442</v>
      </c>
      <c r="E9" s="107" t="n">
        <v>33847347.95009486</v>
      </c>
      <c r="F9" s="107" t="n">
        <v>19317335.41293807</v>
      </c>
      <c r="G9" s="107" t="n">
        <v>214283331.5760547</v>
      </c>
      <c r="H9" s="107" t="n">
        <v>29811972.66341603</v>
      </c>
      <c r="I9" s="107" t="n">
        <v>-51547838.82277131</v>
      </c>
      <c r="J9" s="107" t="n">
        <v>193583545.2101426</v>
      </c>
      <c r="K9" s="107" t="n"/>
      <c r="L9" s="23" t="n"/>
      <c r="M9" s="23" t="n"/>
      <c r="N9" s="91">
        <f>SUM(B9:M9)</f>
        <v/>
      </c>
    </row>
    <row r="10">
      <c r="A10" s="61" t="inlineStr">
        <is>
          <t>Alüminyum / G.14.8.</t>
        </is>
      </c>
      <c r="B10" s="107" t="n">
        <v>-190199820.3325995</v>
      </c>
      <c r="C10" s="107" t="n">
        <v>25263364.89725521</v>
      </c>
      <c r="D10" s="107" t="n">
        <v>255050095.6718899</v>
      </c>
      <c r="E10" s="107" t="n">
        <v>-202365516.7066382</v>
      </c>
      <c r="F10" s="107" t="n">
        <v>-51568797.49093868</v>
      </c>
      <c r="G10" s="107" t="n">
        <v>390114301.821943</v>
      </c>
      <c r="H10" s="107" t="n">
        <v>-40724860.39554551</v>
      </c>
      <c r="I10" s="107" t="n">
        <v>23746692.76626796</v>
      </c>
      <c r="J10" s="107" t="n">
        <v>176400373.939479</v>
      </c>
      <c r="K10" s="107" t="n"/>
      <c r="L10" s="23" t="n"/>
      <c r="M10" s="23" t="n"/>
      <c r="N10" s="91">
        <f>SUM(B10:M10)</f>
        <v/>
      </c>
    </row>
    <row r="11">
      <c r="A11" s="61" t="inlineStr">
        <is>
          <t>Serbest Nakit-TL / G.15.</t>
        </is>
      </c>
      <c r="B11" s="64">
        <f>SUM(B12:B14)+SUM(B15:B19)*0.4</f>
        <v/>
      </c>
      <c r="C11" s="64">
        <f>SUM(C12:C14)+SUM(C15:C19)*0.4</f>
        <v/>
      </c>
      <c r="D11" s="64">
        <f>SUM(D12:D14)+SUM(D15:D19)*0.4</f>
        <v/>
      </c>
      <c r="E11" s="64">
        <f>SUM(E12:E14)+SUM(E15:E19)*0.4</f>
        <v/>
      </c>
      <c r="F11" s="64">
        <f>SUM(F12:F14)+SUM(F15:F19)*0.4</f>
        <v/>
      </c>
      <c r="G11" s="64">
        <f>SUM(G12:G14)+SUM(G15:G19)*0.4</f>
        <v/>
      </c>
      <c r="H11" s="64">
        <f>SUM(H12:H14)+SUM(H15:H19)*0.4</f>
        <v/>
      </c>
      <c r="I11" s="64">
        <f>SUM(I12:I14)+SUM(I15:I19)*0.4</f>
        <v/>
      </c>
      <c r="J11" s="64">
        <f>SUM(J12:J14)+SUM(J15:J19)*0.4</f>
        <v/>
      </c>
      <c r="K11" s="64">
        <f>SUM(K12:K14)+SUM(K15:K19)*0.4</f>
        <v/>
      </c>
      <c r="L11" s="64">
        <f>SUM(L12:L14)+SUM(L15:L19)*0.4</f>
        <v/>
      </c>
      <c r="M11" s="64">
        <f>SUM(M12:M14)+SUM(M15:M19)*0.4</f>
        <v/>
      </c>
      <c r="N11" s="91">
        <f>SUM(B11:M11)</f>
        <v/>
      </c>
      <c r="O11" s="52">
        <f>N2-N11</f>
        <v/>
      </c>
    </row>
    <row r="12">
      <c r="A12" s="61" t="inlineStr">
        <is>
          <t>İnci Holding / G.15.1.</t>
        </is>
      </c>
      <c r="B12" s="107" t="n">
        <v>11764788.871667</v>
      </c>
      <c r="C12" s="107" t="n">
        <v>39046377.78750001</v>
      </c>
      <c r="D12" s="107" t="n">
        <v>-13150954.10750001</v>
      </c>
      <c r="E12" s="107" t="n">
        <v>-354868970.314999</v>
      </c>
      <c r="F12" s="107" t="n">
        <v>24898723.94749898</v>
      </c>
      <c r="G12" s="107" t="n">
        <v>-1586351.809998989</v>
      </c>
      <c r="H12" s="107" t="n">
        <v>356699031.3225</v>
      </c>
      <c r="I12" s="107" t="n">
        <v>34528405.39750101</v>
      </c>
      <c r="J12" s="107" t="n">
        <v>-16596551.69249998</v>
      </c>
      <c r="K12" s="107" t="n"/>
      <c r="L12" s="23" t="n"/>
      <c r="M12" s="23" t="n"/>
      <c r="N12" s="91">
        <f>SUM(B12:M12)</f>
        <v/>
      </c>
      <c r="O12" s="52">
        <f>N3-N12</f>
        <v/>
      </c>
      <c r="Q12" s="94">
        <f>B12</f>
        <v/>
      </c>
      <c r="R12" s="94">
        <f>Q12+C12</f>
        <v/>
      </c>
      <c r="S12" s="94">
        <f>R12+D12</f>
        <v/>
      </c>
      <c r="T12" s="94">
        <f>S12+E12</f>
        <v/>
      </c>
      <c r="U12" s="94">
        <f>T12+F12</f>
        <v/>
      </c>
      <c r="V12" s="94">
        <f>U12+G12</f>
        <v/>
      </c>
      <c r="W12" s="94">
        <f>V12+H12</f>
        <v/>
      </c>
      <c r="X12" s="94">
        <f>W12+I12</f>
        <v/>
      </c>
      <c r="Y12" s="94">
        <f>X12+J12</f>
        <v/>
      </c>
      <c r="Z12" s="94">
        <f>Y12+K12</f>
        <v/>
      </c>
      <c r="AA12" s="94">
        <f>Z12+L12</f>
        <v/>
      </c>
    </row>
    <row r="13">
      <c r="A13" s="61" t="inlineStr">
        <is>
          <t>ISM / G.15.2.</t>
        </is>
      </c>
      <c r="B13" s="107" t="n">
        <v>-12685688.50173399</v>
      </c>
      <c r="C13" s="107" t="n">
        <v>-3444079.629867017</v>
      </c>
      <c r="D13" s="107" t="n">
        <v>1042565.123626001</v>
      </c>
      <c r="E13" s="107" t="n">
        <v>-9282557.343747981</v>
      </c>
      <c r="F13" s="107" t="n">
        <v>-9404858.680025011</v>
      </c>
      <c r="G13" s="107" t="n">
        <v>-4425141.824454993</v>
      </c>
      <c r="H13" s="107" t="n">
        <v>8000689.267048992</v>
      </c>
      <c r="I13" s="107" t="n">
        <v>-7025068.226099998</v>
      </c>
      <c r="J13" s="107" t="n">
        <v>5257572.400927</v>
      </c>
      <c r="K13" s="107" t="n"/>
      <c r="L13" s="23" t="n"/>
      <c r="M13" s="23" t="n"/>
      <c r="N13" s="91">
        <f>SUM(B13:M13)</f>
        <v/>
      </c>
      <c r="O13" s="52">
        <f>N4-N13</f>
        <v/>
      </c>
      <c r="Q13" s="94">
        <f>B13</f>
        <v/>
      </c>
      <c r="R13" s="94">
        <f>Q13+C13</f>
        <v/>
      </c>
      <c r="S13" s="94">
        <f>R13+D13</f>
        <v/>
      </c>
      <c r="T13" s="94">
        <f>S13+E13</f>
        <v/>
      </c>
      <c r="U13" s="94">
        <f>T13+F13</f>
        <v/>
      </c>
      <c r="V13" s="94">
        <f>U13+G13</f>
        <v/>
      </c>
      <c r="W13" s="94">
        <f>V13+H13</f>
        <v/>
      </c>
      <c r="X13" s="94">
        <f>W13+I13</f>
        <v/>
      </c>
      <c r="Y13" s="94">
        <f>X13+J13</f>
        <v/>
      </c>
      <c r="Z13" s="94">
        <f>Y13+K13</f>
        <v/>
      </c>
      <c r="AA13" s="94">
        <f>Z13+L13</f>
        <v/>
      </c>
    </row>
    <row r="14">
      <c r="A14" s="61" t="inlineStr">
        <is>
          <t>İncitaş / G.15.3.</t>
        </is>
      </c>
      <c r="B14" s="107" t="n">
        <v>-1118153.842471974</v>
      </c>
      <c r="C14" s="107" t="n">
        <v>-5516093.886552021</v>
      </c>
      <c r="D14" s="107" t="n">
        <v>16917389.02712401</v>
      </c>
      <c r="E14" s="107" t="n">
        <v>-21574235.20924399</v>
      </c>
      <c r="F14" s="107" t="n">
        <v>1538015.610859012</v>
      </c>
      <c r="G14" s="107" t="n">
        <v>346240.0192439854</v>
      </c>
      <c r="H14" s="107" t="n">
        <v>-13358329.11259599</v>
      </c>
      <c r="I14" s="107" t="n">
        <v>13714880.290465</v>
      </c>
      <c r="J14" s="107" t="n">
        <v>1842638.547529003</v>
      </c>
      <c r="K14" s="107" t="n"/>
      <c r="L14" s="23" t="n"/>
      <c r="M14" s="23" t="n"/>
      <c r="N14" s="91">
        <f>SUM(B14:M14)</f>
        <v/>
      </c>
      <c r="O14" s="52">
        <f>N5-N14</f>
        <v/>
      </c>
      <c r="Q14" s="94">
        <f>B14</f>
        <v/>
      </c>
      <c r="R14" s="94">
        <f>Q14+C14</f>
        <v/>
      </c>
      <c r="S14" s="94">
        <f>R14+D14</f>
        <v/>
      </c>
      <c r="T14" s="94">
        <f>S14+E14</f>
        <v/>
      </c>
      <c r="U14" s="94">
        <f>T14+F14</f>
        <v/>
      </c>
      <c r="V14" s="94">
        <f>U14+G14</f>
        <v/>
      </c>
      <c r="W14" s="94">
        <f>V14+H14</f>
        <v/>
      </c>
      <c r="X14" s="94">
        <f>W14+I14</f>
        <v/>
      </c>
      <c r="Y14" s="94">
        <f>X14+J14</f>
        <v/>
      </c>
      <c r="Z14" s="94">
        <f>Y14+K14</f>
        <v/>
      </c>
      <c r="AA14" s="94">
        <f>Z14+L14</f>
        <v/>
      </c>
    </row>
    <row r="15">
      <c r="A15" s="61" t="inlineStr">
        <is>
          <t>GS Yuasa / G.15.4.</t>
        </is>
      </c>
      <c r="B15" s="107" t="n">
        <v>-145320266.7982504</v>
      </c>
      <c r="C15" s="107" t="n">
        <v>-203720929.078034</v>
      </c>
      <c r="D15" s="107" t="n">
        <v>55666567.75772911</v>
      </c>
      <c r="E15" s="107" t="n">
        <v>79277646.15468904</v>
      </c>
      <c r="F15" s="107" t="n">
        <v>-364454825.2820187</v>
      </c>
      <c r="G15" s="107" t="n">
        <v>303764683.3012637</v>
      </c>
      <c r="H15" s="107" t="n">
        <v>-75523434.88779098</v>
      </c>
      <c r="I15" s="107" t="n">
        <v>-569980.3697449565</v>
      </c>
      <c r="J15" s="107" t="n">
        <v>119818338.5064161</v>
      </c>
      <c r="K15" s="107" t="n"/>
      <c r="L15" s="23" t="n"/>
      <c r="M15" s="23" t="n"/>
      <c r="N15" s="91">
        <f>SUM(B15:M15)</f>
        <v/>
      </c>
      <c r="O15" s="52">
        <f>N6-N15</f>
        <v/>
      </c>
      <c r="Q15" s="94">
        <f>B15</f>
        <v/>
      </c>
      <c r="R15" s="94">
        <f>Q15+C15</f>
        <v/>
      </c>
      <c r="S15" s="94">
        <f>R15+D15</f>
        <v/>
      </c>
      <c r="T15" s="94">
        <f>S15+E15</f>
        <v/>
      </c>
      <c r="U15" s="94">
        <f>T15+F15</f>
        <v/>
      </c>
      <c r="V15" s="94">
        <f>U15+G15</f>
        <v/>
      </c>
      <c r="W15" s="94">
        <f>V15+H15</f>
        <v/>
      </c>
      <c r="X15" s="94">
        <f>W15+I15</f>
        <v/>
      </c>
      <c r="Y15" s="94">
        <f>X15+J15</f>
        <v/>
      </c>
      <c r="Z15" s="94">
        <f>Y15+K15</f>
        <v/>
      </c>
      <c r="AA15" s="94">
        <f>Z15+L15</f>
        <v/>
      </c>
    </row>
    <row r="16">
      <c r="A16" s="61" t="inlineStr">
        <is>
          <t>Yusen / G.15.5.</t>
        </is>
      </c>
      <c r="B16" s="107" t="n">
        <v>5589296.219914902</v>
      </c>
      <c r="C16" s="107" t="n">
        <v>-7285838.804319954</v>
      </c>
      <c r="D16" s="107" t="n">
        <v>61680294.98957004</v>
      </c>
      <c r="E16" s="107" t="n">
        <v>19735460.16076106</v>
      </c>
      <c r="F16" s="107" t="n">
        <v>-35318165.47893712</v>
      </c>
      <c r="G16" s="107" t="n">
        <v>25902918.92486209</v>
      </c>
      <c r="H16" s="107" t="n">
        <v>44105861.65170403</v>
      </c>
      <c r="I16" s="107" t="n">
        <v>10735715.09156506</v>
      </c>
      <c r="J16" s="107" t="n">
        <v>-14910092.30552506</v>
      </c>
      <c r="K16" s="107" t="n"/>
      <c r="L16" s="23" t="n"/>
      <c r="M16" s="23" t="n"/>
      <c r="N16" s="91">
        <f>SUM(B16:M16)</f>
        <v/>
      </c>
      <c r="O16" s="52">
        <f>N7-N16</f>
        <v/>
      </c>
      <c r="Q16" s="94">
        <f>B16</f>
        <v/>
      </c>
      <c r="R16" s="94">
        <f>Q16+C16</f>
        <v/>
      </c>
      <c r="S16" s="94">
        <f>R16+D16</f>
        <v/>
      </c>
      <c r="T16" s="94">
        <f>S16+E16</f>
        <v/>
      </c>
      <c r="U16" s="94">
        <f>T16+F16</f>
        <v/>
      </c>
      <c r="V16" s="94">
        <f>U16+G16</f>
        <v/>
      </c>
      <c r="W16" s="94">
        <f>V16+H16</f>
        <v/>
      </c>
      <c r="X16" s="94">
        <f>W16+I16</f>
        <v/>
      </c>
      <c r="Y16" s="94">
        <f>X16+J16</f>
        <v/>
      </c>
      <c r="Z16" s="94">
        <f>Y16+K16</f>
        <v/>
      </c>
      <c r="AA16" s="94">
        <f>Z16+L16</f>
        <v/>
      </c>
    </row>
    <row r="17">
      <c r="A17" s="61" t="inlineStr">
        <is>
          <t>Jantaş / G.15.6.</t>
        </is>
      </c>
      <c r="B17" s="107" t="n">
        <v>45863237.82868432</v>
      </c>
      <c r="C17" s="107" t="n">
        <v>-109494071.7818268</v>
      </c>
      <c r="D17" s="107" t="n">
        <v>-73814403.28283671</v>
      </c>
      <c r="E17" s="107" t="n">
        <v>-72626631.00790739</v>
      </c>
      <c r="F17" s="107" t="n">
        <v>-56079329.61903718</v>
      </c>
      <c r="G17" s="107" t="n">
        <v>93749253.21628788</v>
      </c>
      <c r="H17" s="107" t="n">
        <v>195211578.849273</v>
      </c>
      <c r="I17" s="107" t="n">
        <v>76951149.10847133</v>
      </c>
      <c r="J17" s="107" t="n">
        <v>-78063197.78194627</v>
      </c>
      <c r="K17" s="107" t="n"/>
      <c r="L17" s="23" t="n"/>
      <c r="M17" s="23" t="n"/>
      <c r="N17" s="91">
        <f>SUM(B17:M17)</f>
        <v/>
      </c>
      <c r="O17" s="52">
        <f>N8-N17</f>
        <v/>
      </c>
    </row>
    <row r="18">
      <c r="A18" s="61" t="inlineStr">
        <is>
          <t>Çelik / G.15.7.</t>
        </is>
      </c>
      <c r="B18" s="107" t="n">
        <v>2676018.506822105</v>
      </c>
      <c r="C18" s="107" t="n">
        <v>-59189001.46848638</v>
      </c>
      <c r="D18" s="107" t="n">
        <v>105941945.6153928</v>
      </c>
      <c r="E18" s="107" t="n">
        <v>-103225939.1011228</v>
      </c>
      <c r="F18" s="107" t="n">
        <v>-46048290.6503935</v>
      </c>
      <c r="G18" s="107" t="n">
        <v>193494217.3285562</v>
      </c>
      <c r="H18" s="107" t="n">
        <v>-184500976.724417</v>
      </c>
      <c r="I18" s="107" t="n">
        <v>-58800887.07049145</v>
      </c>
      <c r="J18" s="107" t="n">
        <v>181499057.7101425</v>
      </c>
      <c r="K18" s="107" t="n"/>
      <c r="L18" s="23" t="n"/>
      <c r="M18" s="23" t="n"/>
      <c r="N18" s="91">
        <f>SUM(B18:M18)</f>
        <v/>
      </c>
      <c r="O18" s="52">
        <f>N9-N18</f>
        <v/>
      </c>
    </row>
    <row r="19">
      <c r="A19" s="61" t="inlineStr">
        <is>
          <t>Alüminyum / G.15.8.</t>
        </is>
      </c>
      <c r="B19" s="107" t="n">
        <v>-193936642.5078978</v>
      </c>
      <c r="C19" s="107" t="n">
        <v>22688110.13907987</v>
      </c>
      <c r="D19" s="107" t="n">
        <v>248853115.1629602</v>
      </c>
      <c r="E19" s="107" t="n">
        <v>-237405947.9476497</v>
      </c>
      <c r="F19" s="107" t="n">
        <v>-62767934.51673898</v>
      </c>
      <c r="G19" s="107" t="n">
        <v>385376009.395927</v>
      </c>
      <c r="H19" s="107" t="n">
        <v>-46598512.91052163</v>
      </c>
      <c r="I19" s="107" t="n">
        <v>9905297.512848198</v>
      </c>
      <c r="J19" s="107" t="n">
        <v>166960805.8209349</v>
      </c>
      <c r="K19" s="107" t="n"/>
      <c r="L19" s="23" t="n"/>
      <c r="M19" s="23" t="n"/>
      <c r="N19" s="91">
        <f>SUM(B19:M19)</f>
        <v/>
      </c>
      <c r="O19" s="52">
        <f>N10-N19</f>
        <v/>
      </c>
    </row>
    <row r="20">
      <c r="A20" s="61" t="inlineStr">
        <is>
          <t>Alacak Tahsilat Süresi / G.20.</t>
        </is>
      </c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64" t="n"/>
      <c r="L20" s="64" t="n"/>
      <c r="M20" s="65" t="n"/>
    </row>
    <row r="21">
      <c r="A21" s="61" t="inlineStr">
        <is>
          <t>İnci Holding / G.20.1.</t>
        </is>
      </c>
      <c r="B21" s="107" t="n">
        <v>0</v>
      </c>
      <c r="C21" s="107" t="n">
        <v>0</v>
      </c>
      <c r="D21" s="107" t="n">
        <v>0</v>
      </c>
      <c r="E21" s="107" t="n">
        <v>0</v>
      </c>
      <c r="F21" s="107" t="n">
        <v>0</v>
      </c>
      <c r="G21" s="107" t="n"/>
      <c r="H21" s="107" t="n"/>
      <c r="I21" s="107" t="n"/>
      <c r="J21" s="107" t="n"/>
      <c r="K21" s="107" t="n"/>
      <c r="L21" s="23" t="n"/>
      <c r="M21" s="23" t="n"/>
    </row>
    <row r="22">
      <c r="A22" s="61" t="inlineStr">
        <is>
          <t>ISM / G.20.2.</t>
        </is>
      </c>
      <c r="B22" s="107" t="n">
        <v>28.272314</v>
      </c>
      <c r="C22" s="107" t="n">
        <v>44.374291</v>
      </c>
      <c r="D22" s="107" t="n">
        <v>58.540574</v>
      </c>
      <c r="E22" s="107" t="n">
        <v>67.762063</v>
      </c>
      <c r="F22" s="107" t="n">
        <v>67</v>
      </c>
      <c r="G22" s="107" t="n">
        <v>64</v>
      </c>
      <c r="H22" s="107" t="n"/>
      <c r="I22" s="107" t="n"/>
      <c r="J22" s="107" t="n"/>
      <c r="K22" s="107" t="n"/>
      <c r="L22" s="23" t="n"/>
      <c r="M22" s="23" t="n"/>
    </row>
    <row r="23">
      <c r="A23" s="61" t="inlineStr">
        <is>
          <t>İncitaş / G.20.3.</t>
        </is>
      </c>
      <c r="B23" s="107" t="n">
        <v>77.84258800000001</v>
      </c>
      <c r="C23" s="107" t="n">
        <v>63.355106</v>
      </c>
      <c r="D23" s="107" t="n">
        <v>78.73</v>
      </c>
      <c r="E23" s="107" t="n">
        <v>81.548992</v>
      </c>
      <c r="F23" s="107" t="n">
        <v>86.180746</v>
      </c>
      <c r="G23" s="107" t="n">
        <v>89.23</v>
      </c>
      <c r="H23" s="107" t="n"/>
      <c r="I23" s="107" t="n"/>
      <c r="J23" s="107" t="n"/>
      <c r="K23" s="107" t="n"/>
      <c r="L23" s="23" t="n"/>
      <c r="M23" s="23" t="n"/>
    </row>
    <row r="24">
      <c r="A24" s="61" t="inlineStr">
        <is>
          <t>İnci GS Yuasa / G.20.4.</t>
        </is>
      </c>
      <c r="B24" s="107" t="n">
        <v>80</v>
      </c>
      <c r="C24" s="107" t="n">
        <v>81</v>
      </c>
      <c r="D24" s="107" t="n">
        <v>81</v>
      </c>
      <c r="E24" s="107" t="n">
        <v>82</v>
      </c>
      <c r="F24" s="107" t="n">
        <v>77</v>
      </c>
      <c r="G24" s="107" t="n">
        <v>75</v>
      </c>
      <c r="H24" s="107" t="n"/>
      <c r="I24" s="107" t="n"/>
      <c r="J24" s="107" t="n"/>
      <c r="K24" s="107" t="n"/>
      <c r="L24" s="23" t="n"/>
      <c r="M24" s="23" t="n"/>
    </row>
    <row r="25">
      <c r="A25" s="61" t="inlineStr">
        <is>
          <t>Yusen İnci Loj. / G.20.5.</t>
        </is>
      </c>
      <c r="B25" s="107" t="n">
        <v>66.06940899999999</v>
      </c>
      <c r="C25" s="107" t="n">
        <v>66.727981</v>
      </c>
      <c r="D25" s="107" t="n">
        <v>66.433627</v>
      </c>
      <c r="E25" s="107" t="n">
        <v>66.571958</v>
      </c>
      <c r="F25" s="107" t="n">
        <v>66.245062</v>
      </c>
      <c r="G25" s="107" t="n">
        <v>0</v>
      </c>
      <c r="H25" s="107" t="n"/>
      <c r="I25" s="107" t="n"/>
      <c r="J25" s="107" t="n"/>
      <c r="K25" s="107" t="n"/>
      <c r="L25" s="23" t="n"/>
      <c r="M25" s="23" t="n"/>
    </row>
    <row r="26">
      <c r="A26" s="61" t="inlineStr">
        <is>
          <t>Jantaş / G.20.6.</t>
        </is>
      </c>
      <c r="B26" s="107" t="n">
        <v>51.573478</v>
      </c>
      <c r="C26" s="107" t="n">
        <v>52.637941</v>
      </c>
      <c r="D26" s="107" t="n">
        <v>58.485923</v>
      </c>
      <c r="E26" s="107" t="n">
        <v>57.171603</v>
      </c>
      <c r="F26" s="107" t="n">
        <v>61.477538</v>
      </c>
      <c r="G26" s="107" t="n">
        <v>59.202795</v>
      </c>
      <c r="H26" s="107" t="n"/>
      <c r="I26" s="107" t="n"/>
      <c r="J26" s="107" t="n"/>
      <c r="K26" s="107" t="n"/>
      <c r="L26" s="23" t="n"/>
      <c r="M26" s="23" t="n"/>
    </row>
    <row r="27">
      <c r="A27" s="61" t="inlineStr">
        <is>
          <t>Çelik / G.20.7.</t>
        </is>
      </c>
      <c r="B27" s="107" t="n">
        <v>60.567251</v>
      </c>
      <c r="C27" s="107" t="n">
        <v>62.918464</v>
      </c>
      <c r="D27" s="107" t="n">
        <v>62.491199</v>
      </c>
      <c r="E27" s="107" t="n">
        <v>58.679108</v>
      </c>
      <c r="F27" s="107" t="n">
        <v>61.975668</v>
      </c>
      <c r="G27" s="107" t="n">
        <v>60.801253</v>
      </c>
      <c r="H27" s="107" t="n"/>
      <c r="I27" s="107" t="n"/>
      <c r="J27" s="107" t="n"/>
      <c r="K27" s="107" t="n"/>
      <c r="L27" s="23" t="n"/>
      <c r="M27" s="23" t="n"/>
    </row>
    <row r="28">
      <c r="A28" s="61" t="inlineStr">
        <is>
          <t>Alüminyum / G.20.8</t>
        </is>
      </c>
      <c r="B28" s="107" t="n">
        <v>44.710925</v>
      </c>
      <c r="C28" s="107" t="n">
        <v>46.473025</v>
      </c>
      <c r="D28" s="107" t="n">
        <v>46.924119</v>
      </c>
      <c r="E28" s="107" t="n">
        <v>44.357483</v>
      </c>
      <c r="F28" s="107" t="n">
        <v>44.22483</v>
      </c>
      <c r="G28" s="107" t="n">
        <v>45.744959</v>
      </c>
      <c r="H28" s="107" t="n"/>
      <c r="I28" s="107" t="n"/>
      <c r="J28" s="107" t="n"/>
      <c r="K28" s="107" t="n"/>
      <c r="L28" s="23" t="n"/>
      <c r="M28" s="23" t="n"/>
    </row>
    <row r="29">
      <c r="A29" s="61" t="inlineStr">
        <is>
          <t>X / G.20.9.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</row>
    <row r="30">
      <c r="A30" s="61" t="inlineStr">
        <is>
          <t>Y / G.20.10.</t>
        </is>
      </c>
      <c r="B30" s="64" t="n"/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5" t="n"/>
    </row>
    <row r="31">
      <c r="A31" s="61" t="inlineStr">
        <is>
          <t>Stok Çevrim Süresi / G.21.</t>
        </is>
      </c>
      <c r="B31" s="64" t="n"/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5" t="n"/>
    </row>
    <row r="32">
      <c r="A32" s="61" t="inlineStr">
        <is>
          <t>İnci Holding / G.21.1.</t>
        </is>
      </c>
      <c r="B32" s="107" t="n">
        <v>0</v>
      </c>
      <c r="C32" s="107" t="n">
        <v>0</v>
      </c>
      <c r="D32" s="107" t="n">
        <v>0</v>
      </c>
      <c r="E32" s="107" t="n">
        <v>0</v>
      </c>
      <c r="F32" s="107" t="n">
        <v>0</v>
      </c>
      <c r="G32" s="107" t="n"/>
      <c r="H32" s="107" t="n"/>
      <c r="I32" s="107" t="n"/>
      <c r="J32" s="107" t="n"/>
      <c r="K32" s="107" t="n"/>
      <c r="L32" s="23" t="n"/>
      <c r="M32" s="23" t="n"/>
    </row>
    <row r="33">
      <c r="A33" s="61" t="inlineStr">
        <is>
          <t>ISM / G.21.2.</t>
        </is>
      </c>
      <c r="B33" s="107" t="n">
        <v>150.777405</v>
      </c>
      <c r="C33" s="107" t="n">
        <v>95.603939</v>
      </c>
      <c r="D33" s="107" t="n">
        <v>82.943076</v>
      </c>
      <c r="E33" s="107" t="n">
        <v>106.342638</v>
      </c>
      <c r="F33" s="107" t="n">
        <v>113</v>
      </c>
      <c r="G33" s="107" t="n">
        <v>118</v>
      </c>
      <c r="H33" s="107" t="n"/>
      <c r="I33" s="107" t="n"/>
      <c r="J33" s="107" t="n"/>
      <c r="K33" s="107" t="n"/>
      <c r="L33" s="23" t="n"/>
      <c r="M33" s="23" t="n"/>
    </row>
    <row r="34">
      <c r="A34" s="61" t="inlineStr">
        <is>
          <t>İncitaş / G.21.3.</t>
        </is>
      </c>
      <c r="B34" s="107" t="n">
        <v>34.588625</v>
      </c>
      <c r="C34" s="107" t="n">
        <v>32.729349</v>
      </c>
      <c r="D34" s="107" t="n">
        <v>35.1</v>
      </c>
      <c r="E34" s="107" t="n">
        <v>37.733459</v>
      </c>
      <c r="F34" s="107" t="n">
        <v>55.053735</v>
      </c>
      <c r="G34" s="107" t="n">
        <v>48.67</v>
      </c>
      <c r="H34" s="107" t="n"/>
      <c r="I34" s="107" t="n"/>
      <c r="J34" s="107" t="n"/>
      <c r="K34" s="107" t="n"/>
      <c r="L34" s="23" t="n"/>
      <c r="M34" s="23" t="n"/>
    </row>
    <row r="35">
      <c r="A35" s="61" t="inlineStr">
        <is>
          <t>İnci GS Yuasa / G.21.4.</t>
        </is>
      </c>
      <c r="B35" s="107" t="n">
        <v>22</v>
      </c>
      <c r="C35" s="107" t="n">
        <v>22.4</v>
      </c>
      <c r="D35" s="107" t="n">
        <v>22.4</v>
      </c>
      <c r="E35" s="107" t="n">
        <v>22.8</v>
      </c>
      <c r="F35" s="107" t="n">
        <v>23.2</v>
      </c>
      <c r="G35" s="107" t="n">
        <v>23.2</v>
      </c>
      <c r="H35" s="107" t="n"/>
      <c r="I35" s="107" t="n"/>
      <c r="J35" s="107" t="n"/>
      <c r="K35" s="107" t="n"/>
      <c r="L35" s="23" t="n"/>
      <c r="M35" s="23" t="n"/>
    </row>
    <row r="36">
      <c r="A36" s="61" t="inlineStr">
        <is>
          <t>Yusen İnci Loj. / G.21.5.</t>
        </is>
      </c>
      <c r="B36" s="107" t="n">
        <v>3.8170436</v>
      </c>
      <c r="C36" s="107" t="n">
        <v>3.9050816</v>
      </c>
      <c r="D36" s="107" t="n">
        <v>3.8553632</v>
      </c>
      <c r="E36" s="107" t="n">
        <v>3.7835924</v>
      </c>
      <c r="F36" s="107" t="n">
        <v>3.6675848</v>
      </c>
      <c r="G36" s="107" t="n">
        <v>0</v>
      </c>
      <c r="H36" s="107" t="n"/>
      <c r="I36" s="107" t="n"/>
      <c r="J36" s="107" t="n"/>
      <c r="K36" s="107" t="n"/>
      <c r="L36" s="23" t="n"/>
      <c r="M36" s="23" t="n"/>
    </row>
    <row r="37">
      <c r="A37" s="61" t="inlineStr">
        <is>
          <t>Jantaş / G.21.6.</t>
        </is>
      </c>
      <c r="B37" s="107" t="n">
        <v>23.2209392</v>
      </c>
      <c r="C37" s="107" t="n">
        <v>23.4759348</v>
      </c>
      <c r="D37" s="107" t="n">
        <v>24.1120976</v>
      </c>
      <c r="E37" s="107" t="n">
        <v>23.7467092</v>
      </c>
      <c r="F37" s="107" t="n">
        <v>26.2109588</v>
      </c>
      <c r="G37" s="107" t="n">
        <v>25.8147884</v>
      </c>
      <c r="H37" s="107" t="n"/>
      <c r="I37" s="107" t="n"/>
      <c r="J37" s="107" t="n"/>
      <c r="K37" s="107" t="n"/>
      <c r="L37" s="23" t="n"/>
      <c r="M37" s="23" t="n"/>
    </row>
    <row r="38">
      <c r="A38" s="61" t="inlineStr">
        <is>
          <t>Çelik / G.21.7.</t>
        </is>
      </c>
      <c r="B38" s="107" t="n">
        <v>48</v>
      </c>
      <c r="C38" s="107" t="n">
        <v>22.3361184</v>
      </c>
      <c r="D38" s="107" t="n">
        <v>22.966288</v>
      </c>
      <c r="E38" s="107" t="n">
        <v>26.9157156</v>
      </c>
      <c r="F38" s="107" t="n">
        <v>30.638352</v>
      </c>
      <c r="G38" s="107" t="n">
        <v>29.1490588</v>
      </c>
      <c r="H38" s="107" t="n"/>
      <c r="I38" s="107" t="n"/>
      <c r="J38" s="107" t="n"/>
      <c r="K38" s="107" t="n"/>
      <c r="L38" s="23" t="n"/>
      <c r="M38" s="23" t="n"/>
    </row>
    <row r="39">
      <c r="A39" s="61" t="inlineStr">
        <is>
          <t>Alüminyum / G.21.8</t>
        </is>
      </c>
      <c r="B39" s="107" t="n">
        <v>48</v>
      </c>
      <c r="C39" s="107" t="n">
        <v>19.4961316</v>
      </c>
      <c r="D39" s="107" t="n">
        <v>18.311192</v>
      </c>
      <c r="E39" s="107" t="n">
        <v>18.6142972</v>
      </c>
      <c r="F39" s="107" t="n">
        <v>22.077904</v>
      </c>
      <c r="G39" s="107" t="n">
        <v>23.6435044</v>
      </c>
      <c r="H39" s="107" t="n"/>
      <c r="I39" s="107" t="n"/>
      <c r="J39" s="107" t="n"/>
      <c r="K39" s="107" t="n"/>
      <c r="L39" s="23" t="n"/>
      <c r="M39" s="23" t="n"/>
    </row>
    <row r="40">
      <c r="A40" s="61" t="inlineStr">
        <is>
          <t>X / G.21.9.</t>
        </is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</row>
    <row r="41">
      <c r="A41" s="61" t="inlineStr">
        <is>
          <t>Y / G.21.10.</t>
        </is>
      </c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5" t="n"/>
    </row>
    <row r="42">
      <c r="A42" s="61" t="inlineStr">
        <is>
          <t>Borç Ödeme Süresi / G.22.</t>
        </is>
      </c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5" t="n"/>
    </row>
    <row r="43">
      <c r="A43" s="61" t="inlineStr">
        <is>
          <t>İnci Holding / G.22.1.</t>
        </is>
      </c>
      <c r="B43" s="107" t="n">
        <v>0</v>
      </c>
      <c r="C43" s="107" t="n">
        <v>0</v>
      </c>
      <c r="D43" s="107" t="n">
        <v>0</v>
      </c>
      <c r="E43" s="107" t="n">
        <v>0</v>
      </c>
      <c r="F43" s="107" t="n">
        <v>0</v>
      </c>
      <c r="G43" s="107" t="n"/>
      <c r="H43" s="107" t="n"/>
      <c r="I43" s="107" t="n"/>
      <c r="J43" s="107" t="n"/>
      <c r="K43" s="107" t="n"/>
      <c r="L43" s="23" t="n"/>
      <c r="M43" s="23" t="n"/>
    </row>
    <row r="44">
      <c r="A44" s="61" t="inlineStr">
        <is>
          <t>ISM / G.22.2.</t>
        </is>
      </c>
      <c r="B44" s="107" t="n">
        <v>141.651432</v>
      </c>
      <c r="C44" s="107" t="n">
        <v>114.865244</v>
      </c>
      <c r="D44" s="107" t="n">
        <v>156.523506</v>
      </c>
      <c r="E44" s="107" t="n">
        <v>114.245327</v>
      </c>
      <c r="F44" s="107" t="n">
        <v>109</v>
      </c>
      <c r="G44" s="107" t="n">
        <v>114</v>
      </c>
      <c r="H44" s="107" t="n"/>
      <c r="I44" s="107" t="n"/>
      <c r="J44" s="107" t="n"/>
      <c r="K44" s="107" t="n"/>
      <c r="L44" s="23" t="n"/>
      <c r="M44" s="23" t="n"/>
    </row>
    <row r="45">
      <c r="A45" s="61" t="inlineStr">
        <is>
          <t>İncitaş / G.22.3.</t>
        </is>
      </c>
      <c r="B45" s="107" t="n">
        <v>90.557384</v>
      </c>
      <c r="C45" s="107" t="n">
        <v>66.213842</v>
      </c>
      <c r="D45" s="107" t="n">
        <v>112.19</v>
      </c>
      <c r="E45" s="107" t="n">
        <v>107.162784</v>
      </c>
      <c r="F45" s="107" t="n">
        <v>112.527223</v>
      </c>
      <c r="G45" s="107" t="n">
        <v>99.95999999999999</v>
      </c>
      <c r="H45" s="107" t="n"/>
      <c r="I45" s="107" t="n"/>
      <c r="J45" s="107" t="n"/>
      <c r="K45" s="107" t="n"/>
      <c r="L45" s="23" t="n"/>
      <c r="M45" s="23" t="n"/>
    </row>
    <row r="46">
      <c r="A46" s="61" t="inlineStr">
        <is>
          <t>İnci GS Yuasa / G.22.4.</t>
        </is>
      </c>
      <c r="B46" s="107" t="n">
        <v>108</v>
      </c>
      <c r="C46" s="107" t="n">
        <v>107</v>
      </c>
      <c r="D46" s="107" t="n">
        <v>105</v>
      </c>
      <c r="E46" s="107" t="n">
        <v>104</v>
      </c>
      <c r="F46" s="107" t="n">
        <v>102</v>
      </c>
      <c r="G46" s="107" t="n">
        <v>99</v>
      </c>
      <c r="H46" s="107" t="n"/>
      <c r="I46" s="107" t="n"/>
      <c r="J46" s="107" t="n"/>
      <c r="K46" s="107" t="n"/>
      <c r="L46" s="23" t="n"/>
      <c r="M46" s="23" t="n"/>
    </row>
    <row r="47">
      <c r="A47" s="61" t="inlineStr">
        <is>
          <t>Yusen İnci Loj. / G.22.5.</t>
        </is>
      </c>
      <c r="B47" s="107" t="n">
        <v>59.034586</v>
      </c>
      <c r="C47" s="107" t="n">
        <v>58.901944</v>
      </c>
      <c r="D47" s="107" t="n">
        <v>58.609115</v>
      </c>
      <c r="E47" s="107" t="n">
        <v>59.250409</v>
      </c>
      <c r="F47" s="107" t="n">
        <v>58.655268</v>
      </c>
      <c r="G47" s="107" t="n">
        <v>0</v>
      </c>
      <c r="H47" s="107" t="n"/>
      <c r="I47" s="107" t="n"/>
      <c r="J47" s="107" t="n"/>
      <c r="K47" s="107" t="n"/>
      <c r="L47" s="23" t="n"/>
      <c r="M47" s="23" t="n"/>
    </row>
    <row r="48">
      <c r="A48" s="61" t="inlineStr">
        <is>
          <t>Jantaş / G.22.6.</t>
        </is>
      </c>
      <c r="B48" s="107" t="n">
        <v>99.134922</v>
      </c>
      <c r="C48" s="107" t="n">
        <v>100.91145</v>
      </c>
      <c r="D48" s="107" t="n">
        <v>92.140023</v>
      </c>
      <c r="E48" s="107" t="n">
        <v>86.324426</v>
      </c>
      <c r="F48" s="107" t="n">
        <v>84.942204</v>
      </c>
      <c r="G48" s="107" t="n">
        <v>81.969689</v>
      </c>
      <c r="H48" s="107" t="n"/>
      <c r="I48" s="107" t="n"/>
      <c r="J48" s="107" t="n"/>
      <c r="K48" s="107" t="n"/>
      <c r="L48" s="23" t="n"/>
      <c r="M48" s="23" t="n"/>
    </row>
    <row r="49">
      <c r="A49" s="61" t="inlineStr">
        <is>
          <t>Çelik / G.22.7.</t>
        </is>
      </c>
      <c r="B49" s="107" t="n">
        <v>81.85482</v>
      </c>
      <c r="C49" s="107" t="n">
        <v>70.29280799999999</v>
      </c>
      <c r="D49" s="107" t="n">
        <v>77.836674</v>
      </c>
      <c r="E49" s="107" t="n">
        <v>72.221762</v>
      </c>
      <c r="F49" s="107" t="n">
        <v>67.90267799999999</v>
      </c>
      <c r="G49" s="107" t="n">
        <v>69.825208</v>
      </c>
      <c r="H49" s="107" t="n"/>
      <c r="I49" s="107" t="n"/>
      <c r="J49" s="107" t="n"/>
      <c r="K49" s="107" t="n"/>
      <c r="L49" s="23" t="n"/>
      <c r="M49" s="23" t="n"/>
    </row>
    <row r="50">
      <c r="A50" s="61" t="inlineStr">
        <is>
          <t>Alüminyum / G.22.8</t>
        </is>
      </c>
      <c r="B50" s="107" t="n">
        <v>80.777023</v>
      </c>
      <c r="C50" s="107" t="n">
        <v>82.964856</v>
      </c>
      <c r="D50" s="107" t="n">
        <v>93.454888</v>
      </c>
      <c r="E50" s="107" t="n">
        <v>81.754711</v>
      </c>
      <c r="F50" s="107" t="n">
        <v>78.027586</v>
      </c>
      <c r="G50" s="107" t="n">
        <v>86.27938</v>
      </c>
      <c r="H50" s="107" t="n"/>
      <c r="I50" s="107" t="n"/>
      <c r="J50" s="107" t="n"/>
      <c r="K50" s="107" t="n"/>
      <c r="L50" s="23" t="n"/>
      <c r="M50" s="23" t="n"/>
    </row>
    <row r="51">
      <c r="A51" s="61" t="inlineStr">
        <is>
          <t>X / G.22.9.</t>
        </is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</row>
    <row r="52">
      <c r="A52" s="61" t="inlineStr">
        <is>
          <t>Y / G.22.10.</t>
        </is>
      </c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5" t="n"/>
    </row>
    <row r="53">
      <c r="A53" s="61" t="inlineStr">
        <is>
          <t>Nakit Dönüşüm Süresi / G.23.</t>
        </is>
      </c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5" t="n"/>
    </row>
    <row r="54">
      <c r="A54" s="61" t="inlineStr">
        <is>
          <t>İnci Holding / G.23.1.</t>
        </is>
      </c>
      <c r="B54" s="107" t="n">
        <v>0</v>
      </c>
      <c r="C54" s="107" t="n">
        <v>0</v>
      </c>
      <c r="D54" s="107" t="n">
        <v>0</v>
      </c>
      <c r="E54" s="107" t="n">
        <v>0</v>
      </c>
      <c r="F54" s="107" t="n">
        <v>0</v>
      </c>
      <c r="G54" s="107" t="n"/>
      <c r="H54" s="107" t="n"/>
      <c r="I54" s="107" t="n"/>
      <c r="J54" s="107" t="n"/>
      <c r="K54" s="107" t="n"/>
      <c r="L54" s="23" t="n"/>
      <c r="M54" s="23" t="n"/>
    </row>
    <row r="55">
      <c r="A55" s="61" t="inlineStr">
        <is>
          <t>ISM / G.23.2.</t>
        </is>
      </c>
      <c r="B55" s="107" t="n">
        <v>37.39828699999998</v>
      </c>
      <c r="C55" s="107" t="n">
        <v>25.11298599999999</v>
      </c>
      <c r="D55" s="107" t="n">
        <v>-15.03985599999999</v>
      </c>
      <c r="E55" s="107" t="n">
        <v>59.85937399999997</v>
      </c>
      <c r="F55" s="107" t="n">
        <v>71</v>
      </c>
      <c r="G55" s="107" t="n">
        <v>68</v>
      </c>
      <c r="H55" s="107" t="n"/>
      <c r="I55" s="107" t="n"/>
      <c r="J55" s="107" t="n"/>
      <c r="K55" s="107" t="n"/>
      <c r="L55" s="23" t="n"/>
      <c r="M55" s="23" t="n"/>
    </row>
    <row r="56">
      <c r="A56" s="61" t="inlineStr">
        <is>
          <t>İncitaş / G.23.3.</t>
        </is>
      </c>
      <c r="B56" s="107" t="n">
        <v>21.87382900000001</v>
      </c>
      <c r="C56" s="107" t="n">
        <v>29.87061299999999</v>
      </c>
      <c r="D56" s="107" t="n">
        <v>1.640000000000015</v>
      </c>
      <c r="E56" s="107" t="n">
        <v>12.11966700000001</v>
      </c>
      <c r="F56" s="107" t="n">
        <v>28.70725800000001</v>
      </c>
      <c r="G56" s="107" t="n">
        <v>37.94000000000001</v>
      </c>
      <c r="H56" s="107" t="n"/>
      <c r="I56" s="107" t="n"/>
      <c r="J56" s="107" t="n"/>
      <c r="K56" s="107" t="n"/>
      <c r="L56" s="23" t="n"/>
      <c r="M56" s="23" t="n"/>
    </row>
    <row r="57">
      <c r="A57" s="61" t="inlineStr">
        <is>
          <t>İnci GS Yuasa / G.23.4.</t>
        </is>
      </c>
      <c r="B57" s="107" t="n">
        <v>-6</v>
      </c>
      <c r="C57" s="107" t="n">
        <v>-3.599999999999994</v>
      </c>
      <c r="D57" s="107" t="n">
        <v>-1.599999999999994</v>
      </c>
      <c r="E57" s="107" t="n">
        <v>0.7999999999999972</v>
      </c>
      <c r="F57" s="107" t="n">
        <v>-1.799999999999997</v>
      </c>
      <c r="G57" s="107" t="n">
        <v>-0.7999999999999972</v>
      </c>
      <c r="H57" s="107" t="n"/>
      <c r="I57" s="107" t="n"/>
      <c r="J57" s="107" t="n"/>
      <c r="K57" s="107" t="n"/>
      <c r="L57" s="23" t="n"/>
      <c r="M57" s="23" t="n"/>
    </row>
    <row r="58">
      <c r="A58" s="61" t="inlineStr">
        <is>
          <t>Yusen İnci Loj. / G.23.5.</t>
        </is>
      </c>
      <c r="B58" s="107" t="n">
        <v>10.8518666</v>
      </c>
      <c r="C58" s="107" t="n">
        <v>11.7311186</v>
      </c>
      <c r="D58" s="107" t="n">
        <v>11.6798752</v>
      </c>
      <c r="E58" s="107" t="n">
        <v>11.1051414</v>
      </c>
      <c r="F58" s="107" t="n">
        <v>11.25737880000001</v>
      </c>
      <c r="G58" s="107" t="n">
        <v>0</v>
      </c>
      <c r="H58" s="107" t="n"/>
      <c r="I58" s="107" t="n"/>
      <c r="J58" s="107" t="n"/>
      <c r="K58" s="107" t="n"/>
      <c r="L58" s="23" t="n"/>
      <c r="M58" s="23" t="n"/>
    </row>
    <row r="59">
      <c r="A59" s="61" t="inlineStr">
        <is>
          <t>Jantaş / G.23.6.</t>
        </is>
      </c>
      <c r="B59" s="107" t="n">
        <v>-24.34050480000001</v>
      </c>
      <c r="C59" s="107" t="n">
        <v>-24.7975742</v>
      </c>
      <c r="D59" s="107" t="n">
        <v>-9.542002400000001</v>
      </c>
      <c r="E59" s="107" t="n">
        <v>-5.4061138</v>
      </c>
      <c r="F59" s="107" t="n">
        <v>2.746292799999992</v>
      </c>
      <c r="G59" s="107" t="n">
        <v>3.047894400000004</v>
      </c>
      <c r="H59" s="107" t="n"/>
      <c r="I59" s="107" t="n"/>
      <c r="J59" s="107" t="n"/>
      <c r="K59" s="107" t="n"/>
      <c r="L59" s="23" t="n"/>
      <c r="M59" s="23" t="n"/>
    </row>
    <row r="60">
      <c r="A60" s="61" t="inlineStr">
        <is>
          <t>Çelik / G.23.7.</t>
        </is>
      </c>
      <c r="B60" s="107" t="n">
        <v>26.712431</v>
      </c>
      <c r="C60" s="107" t="n">
        <v>14.96177440000001</v>
      </c>
      <c r="D60" s="107" t="n">
        <v>7.620812999999998</v>
      </c>
      <c r="E60" s="107" t="n">
        <v>13.3730616</v>
      </c>
      <c r="F60" s="107" t="n">
        <v>24.711342</v>
      </c>
      <c r="G60" s="107" t="n">
        <v>20.12510380000001</v>
      </c>
      <c r="H60" s="107" t="n"/>
      <c r="I60" s="107" t="n"/>
      <c r="J60" s="107" t="n"/>
      <c r="K60" s="107" t="n"/>
      <c r="L60" s="23" t="n"/>
      <c r="M60" s="23" t="n"/>
    </row>
    <row r="61">
      <c r="A61" s="61" t="inlineStr">
        <is>
          <t>Alüminyum / G.23.8.</t>
        </is>
      </c>
      <c r="B61" s="107" t="n">
        <v>11.933902</v>
      </c>
      <c r="C61" s="107" t="n">
        <v>-16.99569939999999</v>
      </c>
      <c r="D61" s="107" t="n">
        <v>-28.219577</v>
      </c>
      <c r="E61" s="107" t="n">
        <v>-18.7829308</v>
      </c>
      <c r="F61" s="107" t="n">
        <v>-11.724852</v>
      </c>
      <c r="G61" s="107" t="n">
        <v>-16.8909166</v>
      </c>
      <c r="H61" s="107" t="n"/>
      <c r="I61" s="107" t="n"/>
      <c r="J61" s="107" t="n"/>
      <c r="K61" s="107" t="n"/>
      <c r="L61" s="23" t="n"/>
      <c r="M61" s="23" t="n"/>
    </row>
    <row r="62">
      <c r="A62" s="61" t="inlineStr">
        <is>
          <t>X / G.23.9.</t>
        </is>
      </c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</row>
    <row r="63">
      <c r="A63" s="61" t="inlineStr">
        <is>
          <t>Y / G.23.10.</t>
        </is>
      </c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7" t="n"/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tabColor rgb="FF00B050"/>
    <outlinePr summaryBelow="1" summaryRight="1"/>
    <pageSetUpPr/>
  </sheetPr>
  <dimension ref="A1:AC196"/>
  <sheetViews>
    <sheetView zoomScale="85" zoomScaleNormal="85" workbookViewId="0">
      <selection activeCell="I191" sqref="I191"/>
    </sheetView>
  </sheetViews>
  <sheetFormatPr baseColWidth="8" defaultColWidth="8.81640625" defaultRowHeight="14.5"/>
  <cols>
    <col width="29.7265625" bestFit="1" customWidth="1" min="1" max="1"/>
    <col width="11.453125" bestFit="1" customWidth="1" min="2" max="13"/>
    <col width="12.453125" bestFit="1" customWidth="1" min="14" max="14"/>
    <col width="11.54296875" bestFit="1" customWidth="1" min="15" max="15"/>
    <col width="12.1796875" bestFit="1" customWidth="1" min="16" max="16"/>
  </cols>
  <sheetData>
    <row r="1">
      <c r="A1" s="60" t="inlineStr">
        <is>
          <t>Takvim yılı / takvim ayı</t>
        </is>
      </c>
      <c r="B1" s="61" t="inlineStr">
        <is>
          <t>OCK 2025</t>
        </is>
      </c>
      <c r="C1" s="61" t="inlineStr">
        <is>
          <t>ŞBT 2025</t>
        </is>
      </c>
      <c r="D1" s="61" t="inlineStr">
        <is>
          <t>MAR 2025</t>
        </is>
      </c>
      <c r="E1" s="61" t="inlineStr">
        <is>
          <t>NİS 2025</t>
        </is>
      </c>
      <c r="F1" s="61" t="inlineStr">
        <is>
          <t>MAY 2025</t>
        </is>
      </c>
      <c r="G1" s="61" t="inlineStr">
        <is>
          <t>HAZ 2025</t>
        </is>
      </c>
      <c r="H1" s="61" t="inlineStr">
        <is>
          <t>TEM 2025</t>
        </is>
      </c>
      <c r="I1" s="61" t="inlineStr">
        <is>
          <t>AGU 2025</t>
        </is>
      </c>
      <c r="J1" s="61" t="inlineStr">
        <is>
          <t>EYL 2025</t>
        </is>
      </c>
      <c r="K1" s="61" t="inlineStr">
        <is>
          <t>EKM 2025</t>
        </is>
      </c>
      <c r="L1" s="61" t="inlineStr">
        <is>
          <t>KSM 2025</t>
        </is>
      </c>
      <c r="M1" s="61" t="inlineStr">
        <is>
          <t>ARL 2025</t>
        </is>
      </c>
      <c r="N1" s="68" t="inlineStr">
        <is>
          <t>Toplam sonuç</t>
        </is>
      </c>
    </row>
    <row r="2">
      <c r="A2" s="61" t="inlineStr">
        <is>
          <t>Eur Kuru-kapanış / G.1.1.</t>
        </is>
      </c>
      <c r="B2" s="509" t="n"/>
      <c r="C2" s="509" t="n"/>
      <c r="D2" s="509" t="n"/>
      <c r="E2" s="509" t="n"/>
      <c r="F2" s="509" t="n"/>
      <c r="G2" s="509" t="n"/>
      <c r="H2" s="509" t="n"/>
      <c r="I2" s="509" t="n"/>
      <c r="J2" s="509" t="n"/>
      <c r="K2" s="509" t="n"/>
      <c r="L2" s="509" t="n"/>
      <c r="M2" s="509" t="n"/>
      <c r="N2" s="547" t="n"/>
    </row>
    <row r="3">
      <c r="A3" s="61" t="inlineStr">
        <is>
          <t>Eur Kuru-ortalama / G.1.2.</t>
        </is>
      </c>
      <c r="B3" s="509" t="n"/>
      <c r="C3" s="509" t="n"/>
      <c r="D3" s="509" t="n"/>
      <c r="E3" s="509" t="n"/>
      <c r="F3" s="509" t="n"/>
      <c r="G3" s="509" t="n"/>
      <c r="H3" s="509" t="n"/>
      <c r="I3" s="509" t="n"/>
      <c r="J3" s="509" t="n"/>
      <c r="K3" s="509" t="n"/>
      <c r="L3" s="509" t="n"/>
      <c r="M3" s="509" t="n"/>
      <c r="N3" s="547" t="n"/>
    </row>
    <row r="4">
      <c r="A4" s="61" t="inlineStr">
        <is>
          <t>Net Satışlar-EUR / G.1.</t>
        </is>
      </c>
      <c r="B4" s="103">
        <f>SUM(B5:B7)+SUM(B8:B12)*0.4</f>
        <v/>
      </c>
      <c r="C4" s="103">
        <f>SUM(C5:C7)+SUM(C8:C12)*0.4</f>
        <v/>
      </c>
      <c r="D4" s="103">
        <f>SUM(D5:D7)+SUM(D8:D12)*0.4</f>
        <v/>
      </c>
      <c r="E4" s="103">
        <f>SUM(E5:E7)+SUM(E8:E12)*0.4</f>
        <v/>
      </c>
      <c r="F4" s="103">
        <f>SUM(F5:F7)+SUM(F8:F12)*0.4</f>
        <v/>
      </c>
      <c r="G4" s="103">
        <f>SUM(G5:G7)+SUM(G8:G12)*0.4</f>
        <v/>
      </c>
      <c r="H4" s="103">
        <f>SUM(H5:H7)+SUM(H8:H12)*0.4</f>
        <v/>
      </c>
      <c r="I4" s="103">
        <f>SUM(I5:I7)+SUM(I8:I12)*0.4</f>
        <v/>
      </c>
      <c r="J4" s="103">
        <f>SUM(J5:J7)+SUM(J8:J12)*0.4</f>
        <v/>
      </c>
      <c r="K4" s="103">
        <f>SUM(K5:K7)+SUM(K8:K12)*0.4</f>
        <v/>
      </c>
      <c r="L4" s="103">
        <f>SUM(L5:L7)+SUM(L8:L12)*0.4</f>
        <v/>
      </c>
      <c r="M4" s="103">
        <f>SUM(M5:M7)+SUM(M8:M12)*0.4</f>
        <v/>
      </c>
      <c r="N4" s="103">
        <f>SUM(N5:N7)+SUM(N8:N12)*0.4</f>
        <v/>
      </c>
    </row>
    <row r="5">
      <c r="A5" s="61" t="inlineStr">
        <is>
          <t>İnci Holding / G.1.1.</t>
        </is>
      </c>
      <c r="B5" s="100" t="n">
        <v>714880.863527555</v>
      </c>
      <c r="C5" s="100" t="n">
        <v>723499.0092478837</v>
      </c>
      <c r="D5" s="100" t="n">
        <v>810291.9176680177</v>
      </c>
      <c r="E5" s="100" t="n">
        <v>742627.9494814569</v>
      </c>
      <c r="F5" s="100" t="n">
        <v>779760.1958190883</v>
      </c>
      <c r="G5" s="100" t="n">
        <v>762531.4828638531</v>
      </c>
      <c r="H5" s="100" t="n">
        <v>756667.042596617</v>
      </c>
      <c r="I5" s="100" t="n">
        <v>671190.3057492434</v>
      </c>
      <c r="J5" s="100" t="n">
        <v>875959.1133276541</v>
      </c>
      <c r="K5" s="100" t="n">
        <v>851941.1056035653</v>
      </c>
      <c r="L5" s="100" t="n">
        <v>816659.5743137058</v>
      </c>
      <c r="M5" s="100" t="n">
        <v>727242.3244099292</v>
      </c>
      <c r="N5" s="101">
        <f>SUM(B5:M5)</f>
        <v/>
      </c>
      <c r="O5" s="9">
        <f>SUM(N5:N12)</f>
        <v/>
      </c>
      <c r="Q5">
        <f>'Bütçe aylık-TL'!C5/'Bütçe aylık-Eur'!C5</f>
        <v/>
      </c>
      <c r="R5">
        <f>'Bütçe aylık-TL'!D5/'Bütçe aylık-Eur'!D5</f>
        <v/>
      </c>
      <c r="S5">
        <f>'Bütçe aylık-TL'!E5/'Bütçe aylık-Eur'!E5</f>
        <v/>
      </c>
    </row>
    <row r="6">
      <c r="A6" s="61" t="inlineStr">
        <is>
          <t>ISM / G.1.2.</t>
        </is>
      </c>
      <c r="B6" s="100" t="n">
        <v>834190.4827860543</v>
      </c>
      <c r="C6" s="100" t="n">
        <v>967501.2499086241</v>
      </c>
      <c r="D6" s="100" t="n">
        <v>986615.9304157345</v>
      </c>
      <c r="E6" s="100" t="n">
        <v>1060816.079868576</v>
      </c>
      <c r="F6" s="100" t="n">
        <v>996710.5753537852</v>
      </c>
      <c r="G6" s="100" t="n">
        <v>1017075.997009831</v>
      </c>
      <c r="H6" s="100" t="n">
        <v>854222.8443133158</v>
      </c>
      <c r="I6" s="100" t="n">
        <v>596499.2737679386</v>
      </c>
      <c r="J6" s="100" t="n">
        <v>630604.0996798034</v>
      </c>
      <c r="K6" s="100" t="n">
        <v>538427.9260758824</v>
      </c>
      <c r="L6" s="100" t="n">
        <v>484665.8829661235</v>
      </c>
      <c r="M6" s="100" t="n">
        <v>432357.9018574373</v>
      </c>
      <c r="N6" s="101">
        <f>SUM(B6:M6)</f>
        <v/>
      </c>
      <c r="Q6">
        <f>'Bütçe aylık-TL'!C6/'Bütçe aylık-Eur'!C6</f>
        <v/>
      </c>
      <c r="R6">
        <f>'Bütçe aylık-TL'!D6/'Bütçe aylık-Eur'!D6</f>
        <v/>
      </c>
      <c r="S6">
        <f>'Bütçe aylık-TL'!E6/'Bütçe aylık-Eur'!E6</f>
        <v/>
      </c>
    </row>
    <row r="7">
      <c r="A7" s="61" t="inlineStr">
        <is>
          <t>İncitaş / G.1.3.</t>
        </is>
      </c>
      <c r="B7" s="100" t="n">
        <v>994090.6188167604</v>
      </c>
      <c r="C7" s="100" t="n">
        <v>987408.1650347507</v>
      </c>
      <c r="D7" s="100" t="n">
        <v>1292386.703535786</v>
      </c>
      <c r="E7" s="100" t="n">
        <v>1340897.48899383</v>
      </c>
      <c r="F7" s="100" t="n">
        <v>1451102.262013096</v>
      </c>
      <c r="G7" s="100" t="n">
        <v>1453352.015325176</v>
      </c>
      <c r="H7" s="100" t="n">
        <v>1783426.603819794</v>
      </c>
      <c r="I7" s="100" t="n">
        <v>1437121.107448143</v>
      </c>
      <c r="J7" s="100" t="n">
        <v>1414781.249026511</v>
      </c>
      <c r="K7" s="100" t="n">
        <v>1455398.672583944</v>
      </c>
      <c r="L7" s="100" t="n">
        <v>1730074.260231329</v>
      </c>
      <c r="M7" s="100" t="n">
        <v>1482003.323472463</v>
      </c>
      <c r="N7" s="101">
        <f>SUM(B7:M7)</f>
        <v/>
      </c>
      <c r="Q7">
        <f>'Bütçe aylık-TL'!C7/'Bütçe aylık-Eur'!C7</f>
        <v/>
      </c>
      <c r="R7">
        <f>'Bütçe aylık-TL'!D7/'Bütçe aylık-Eur'!D7</f>
        <v/>
      </c>
      <c r="S7">
        <f>'Bütçe aylık-TL'!E7/'Bütçe aylık-Eur'!E7</f>
        <v/>
      </c>
    </row>
    <row r="8">
      <c r="A8" s="61" t="inlineStr">
        <is>
          <t>İnci GS Yuasa / G.1.4.</t>
        </is>
      </c>
      <c r="B8" s="100" t="n">
        <v>19103567.88019907</v>
      </c>
      <c r="C8" s="100" t="n">
        <v>19444514.47701663</v>
      </c>
      <c r="D8" s="100" t="n">
        <v>20350915.04866455</v>
      </c>
      <c r="E8" s="100" t="n">
        <v>19394470.71420432</v>
      </c>
      <c r="F8" s="100" t="n">
        <v>18642731.55608442</v>
      </c>
      <c r="G8" s="100" t="n">
        <v>18744066.98836502</v>
      </c>
      <c r="H8" s="100" t="n">
        <v>21889006.51868784</v>
      </c>
      <c r="I8" s="100" t="n">
        <v>21093772.1657439</v>
      </c>
      <c r="J8" s="100" t="n">
        <v>22542985.7359696</v>
      </c>
      <c r="K8" s="100" t="n">
        <v>25704924.84450406</v>
      </c>
      <c r="L8" s="100" t="n">
        <v>25549148.28632569</v>
      </c>
      <c r="M8" s="100" t="n">
        <v>26031884.9264583</v>
      </c>
      <c r="N8" s="101">
        <f>SUM(B8:M8)</f>
        <v/>
      </c>
      <c r="Q8">
        <f>'Bütçe aylık-TL'!C8/'Bütçe aylık-Eur'!C8</f>
        <v/>
      </c>
      <c r="R8">
        <f>'Bütçe aylık-TL'!D8/'Bütçe aylık-Eur'!D8</f>
        <v/>
      </c>
      <c r="S8">
        <f>'Bütçe aylık-TL'!E8/'Bütçe aylık-Eur'!E8</f>
        <v/>
      </c>
    </row>
    <row r="9">
      <c r="A9" s="61" t="inlineStr">
        <is>
          <t>Yusen İnci Loj. / G.1.5.</t>
        </is>
      </c>
      <c r="B9" s="100" t="n">
        <v>6610337.033566011</v>
      </c>
      <c r="C9" s="100" t="n">
        <v>6831152.053912566</v>
      </c>
      <c r="D9" s="100" t="n">
        <v>6764140.119645873</v>
      </c>
      <c r="E9" s="100" t="n">
        <v>6725265.753100202</v>
      </c>
      <c r="F9" s="100" t="n">
        <v>6899932.288171926</v>
      </c>
      <c r="G9" s="100" t="n">
        <v>5650391.00512496</v>
      </c>
      <c r="H9" s="100" t="n">
        <v>6884689.962147</v>
      </c>
      <c r="I9" s="100" t="n">
        <v>6053244.077436236</v>
      </c>
      <c r="J9" s="100" t="n">
        <v>5958226.593710613</v>
      </c>
      <c r="K9" s="100" t="n">
        <v>7616376.813675976</v>
      </c>
      <c r="L9" s="100" t="n">
        <v>6378504.443214309</v>
      </c>
      <c r="M9" s="100" t="n">
        <v>6294908.203606236</v>
      </c>
      <c r="N9" s="101">
        <f>SUM(B9:M9)</f>
        <v/>
      </c>
    </row>
    <row r="10">
      <c r="A10" s="61" t="inlineStr">
        <is>
          <t>Jantaş / G.1.6.</t>
        </is>
      </c>
      <c r="B10" s="100" t="n">
        <v>10048793.329626</v>
      </c>
      <c r="C10" s="100" t="n">
        <v>10827279.550259</v>
      </c>
      <c r="D10" s="100" t="n">
        <v>12591060.708298</v>
      </c>
      <c r="E10" s="100" t="n">
        <v>10932455.197367</v>
      </c>
      <c r="F10" s="100" t="n">
        <v>11676964.859473</v>
      </c>
      <c r="G10" s="100" t="n">
        <v>11838097.752993</v>
      </c>
      <c r="H10" s="100" t="n">
        <v>9412291.108716995</v>
      </c>
      <c r="I10" s="100" t="n">
        <v>9404847.848176003</v>
      </c>
      <c r="J10" s="100" t="n">
        <v>13855810.83518399</v>
      </c>
      <c r="K10" s="100" t="n">
        <v>11997698.85578801</v>
      </c>
      <c r="L10" s="100" t="n">
        <v>11428204.91293199</v>
      </c>
      <c r="M10" s="100" t="n">
        <v>9986231.352446005</v>
      </c>
      <c r="N10" s="101">
        <f>SUM(B10:M10)</f>
        <v/>
      </c>
    </row>
    <row r="11">
      <c r="A11" s="61" t="inlineStr">
        <is>
          <t>Çelik / G.1.7.</t>
        </is>
      </c>
      <c r="B11" s="100" t="n">
        <v>7577608.274752</v>
      </c>
      <c r="C11" s="100" t="n">
        <v>6103066.939920999</v>
      </c>
      <c r="D11" s="100" t="n">
        <v>7983071.542508001</v>
      </c>
      <c r="E11" s="100" t="n">
        <v>7994757.480243002</v>
      </c>
      <c r="F11" s="100" t="n">
        <v>7875525.175737999</v>
      </c>
      <c r="G11" s="100" t="n">
        <v>6939893.478541002</v>
      </c>
      <c r="H11" s="100" t="n">
        <v>6547612.142881998</v>
      </c>
      <c r="I11" s="100" t="n">
        <v>5870756.480260997</v>
      </c>
      <c r="J11" s="100" t="n">
        <v>8293869.255996004</v>
      </c>
      <c r="K11" s="100" t="n">
        <v>7857375.096568004</v>
      </c>
      <c r="L11" s="100" t="n">
        <v>7288061.424572989</v>
      </c>
      <c r="M11" s="100" t="n">
        <v>5516264.026397004</v>
      </c>
      <c r="N11" s="101">
        <f>SUM(B11:M11)</f>
        <v/>
      </c>
    </row>
    <row r="12">
      <c r="A12" s="61" t="inlineStr">
        <is>
          <t>Alüminyum / G.1.8.</t>
        </is>
      </c>
      <c r="B12" s="100" t="n">
        <v>19304354.307695</v>
      </c>
      <c r="C12" s="100" t="n">
        <v>20348124.163479</v>
      </c>
      <c r="D12" s="100" t="n">
        <v>22345892.203336</v>
      </c>
      <c r="E12" s="100" t="n">
        <v>19346841.12156799</v>
      </c>
      <c r="F12" s="100" t="n">
        <v>21831855.71360101</v>
      </c>
      <c r="G12" s="100" t="n">
        <v>21545270.043071</v>
      </c>
      <c r="H12" s="100" t="n">
        <v>21412431.714242</v>
      </c>
      <c r="I12" s="100" t="n">
        <v>16639194.832405</v>
      </c>
      <c r="J12" s="100" t="n">
        <v>24230899.96524501</v>
      </c>
      <c r="K12" s="100" t="n">
        <v>22279862.18875399</v>
      </c>
      <c r="L12" s="100" t="n">
        <v>21007179.35142499</v>
      </c>
      <c r="M12" s="100" t="n">
        <v>17391070.757355</v>
      </c>
      <c r="N12" s="101">
        <f>SUM(B12:M12)</f>
        <v/>
      </c>
    </row>
    <row r="13">
      <c r="A13" s="61" t="inlineStr">
        <is>
          <t>x / G.1.9.</t>
        </is>
      </c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70" t="n"/>
    </row>
    <row r="14">
      <c r="A14" s="61" t="inlineStr">
        <is>
          <t>y / G.1.10.</t>
        </is>
      </c>
      <c r="B14" s="64" t="n"/>
      <c r="C14" s="64" t="n"/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70" t="n"/>
    </row>
    <row r="15">
      <c r="A15" s="61" t="inlineStr">
        <is>
          <t>SMM-EUR / G.2.</t>
        </is>
      </c>
      <c r="B15" s="103">
        <f>SUM(B16:B18)+SUM(B19:B23)*0.4</f>
        <v/>
      </c>
      <c r="C15" s="103">
        <f>SUM(C16:C18)+SUM(C19:C23)*0.4</f>
        <v/>
      </c>
      <c r="D15" s="103">
        <f>SUM(D16:D18)+SUM(D19:D23)*0.4</f>
        <v/>
      </c>
      <c r="E15" s="103">
        <f>SUM(E16:E18)+SUM(E19:E23)*0.4</f>
        <v/>
      </c>
      <c r="F15" s="103">
        <f>SUM(F16:F18)+SUM(F19:F23)*0.4</f>
        <v/>
      </c>
      <c r="G15" s="103">
        <f>SUM(G16:G18)+SUM(G19:G23)*0.4</f>
        <v/>
      </c>
      <c r="H15" s="103">
        <f>SUM(H16:H18)+SUM(H19:H23)*0.4</f>
        <v/>
      </c>
      <c r="I15" s="103">
        <f>SUM(I16:I18)+SUM(I19:I23)*0.4</f>
        <v/>
      </c>
      <c r="J15" s="103">
        <f>SUM(J16:J18)+SUM(J19:J23)*0.4</f>
        <v/>
      </c>
      <c r="K15" s="103">
        <f>SUM(K16:K18)+SUM(K19:K23)*0.4</f>
        <v/>
      </c>
      <c r="L15" s="103">
        <f>SUM(L16:L18)+SUM(L19:L23)*0.4</f>
        <v/>
      </c>
      <c r="M15" s="103">
        <f>SUM(M16:M18)+SUM(M19:M23)*0.4</f>
        <v/>
      </c>
      <c r="N15" s="103">
        <f>SUM(N16:N18)+SUM(N19:N23)*0.4</f>
        <v/>
      </c>
    </row>
    <row r="16">
      <c r="A16" s="61" t="inlineStr">
        <is>
          <t>İnci Holding / G.2.1.</t>
        </is>
      </c>
      <c r="B16" s="100" t="n">
        <v>0</v>
      </c>
      <c r="C16" s="100" t="n">
        <v>0</v>
      </c>
      <c r="D16" s="100" t="n">
        <v>0</v>
      </c>
      <c r="E16" s="100" t="n">
        <v>0</v>
      </c>
      <c r="F16" s="100" t="n">
        <v>0</v>
      </c>
      <c r="G16" s="100" t="n">
        <v>0</v>
      </c>
      <c r="H16" s="100" t="n">
        <v>0</v>
      </c>
      <c r="I16" s="100" t="n">
        <v>0</v>
      </c>
      <c r="J16" s="100" t="n">
        <v>0</v>
      </c>
      <c r="K16" s="100" t="n">
        <v>0</v>
      </c>
      <c r="L16" s="100" t="n">
        <v>0</v>
      </c>
      <c r="M16" s="100" t="n">
        <v>0</v>
      </c>
      <c r="N16" s="101">
        <f>SUM(B16:M16)</f>
        <v/>
      </c>
    </row>
    <row r="17">
      <c r="A17" s="61" t="inlineStr">
        <is>
          <t>ISM / G.2.2.</t>
        </is>
      </c>
      <c r="B17" s="100" t="n">
        <v>-691396.7941032995</v>
      </c>
      <c r="C17" s="100" t="n">
        <v>-719544.3154702045</v>
      </c>
      <c r="D17" s="100" t="n">
        <v>-715620.0713345972</v>
      </c>
      <c r="E17" s="100" t="n">
        <v>-717544.9619365099</v>
      </c>
      <c r="F17" s="100" t="n">
        <v>-626121.9495981371</v>
      </c>
      <c r="G17" s="100" t="n">
        <v>-662541.432902817</v>
      </c>
      <c r="H17" s="100" t="n">
        <v>-559987.8450954307</v>
      </c>
      <c r="I17" s="100" t="n">
        <v>-429890.0252076617</v>
      </c>
      <c r="J17" s="100" t="n">
        <v>-428574.8442383801</v>
      </c>
      <c r="K17" s="100" t="n">
        <v>-392197.7174176688</v>
      </c>
      <c r="L17" s="100" t="n">
        <v>-363808.5620598539</v>
      </c>
      <c r="M17" s="100" t="n">
        <v>-352864.8864719776</v>
      </c>
      <c r="N17" s="101">
        <f>SUM(B17:M17)</f>
        <v/>
      </c>
    </row>
    <row r="18">
      <c r="A18" s="61" t="inlineStr">
        <is>
          <t>İncitaş / G.2.3.</t>
        </is>
      </c>
      <c r="B18" s="100" t="n">
        <v>-828017.0012225849</v>
      </c>
      <c r="C18" s="100" t="n">
        <v>-819697.1561767515</v>
      </c>
      <c r="D18" s="100" t="n">
        <v>-1047686.18485815</v>
      </c>
      <c r="E18" s="100" t="n">
        <v>-1079913.737326432</v>
      </c>
      <c r="F18" s="100" t="n">
        <v>-1164551.355619687</v>
      </c>
      <c r="G18" s="100" t="n">
        <v>-1161286.835519581</v>
      </c>
      <c r="H18" s="100" t="n">
        <v>-1459272.953477374</v>
      </c>
      <c r="I18" s="100" t="n">
        <v>-1146019.918753018</v>
      </c>
      <c r="J18" s="100" t="n">
        <v>-1126660.763991141</v>
      </c>
      <c r="K18" s="100" t="n">
        <v>-1173706.272124325</v>
      </c>
      <c r="L18" s="100" t="n">
        <v>-1434496.648998931</v>
      </c>
      <c r="M18" s="100" t="n">
        <v>-1209294.273226517</v>
      </c>
      <c r="N18" s="101">
        <f>SUM(B18:M18)</f>
        <v/>
      </c>
    </row>
    <row r="19">
      <c r="A19" s="61" t="inlineStr">
        <is>
          <t>İnci GS Yuasa / G.2.4.</t>
        </is>
      </c>
      <c r="B19" s="100" t="n">
        <v>-15629429.54954682</v>
      </c>
      <c r="C19" s="100" t="n">
        <v>-16019638.73320676</v>
      </c>
      <c r="D19" s="100" t="n">
        <v>-16670374.92195905</v>
      </c>
      <c r="E19" s="100" t="n">
        <v>-16027030.80014096</v>
      </c>
      <c r="F19" s="100" t="n">
        <v>-15254980.66506671</v>
      </c>
      <c r="G19" s="100" t="n">
        <v>-15047852.33816039</v>
      </c>
      <c r="H19" s="100" t="n">
        <v>-17695154.06452704</v>
      </c>
      <c r="I19" s="100" t="n">
        <v>-16714963.14158006</v>
      </c>
      <c r="J19" s="100" t="n">
        <v>-17661821.41534914</v>
      </c>
      <c r="K19" s="100" t="n">
        <v>-20098603.02238578</v>
      </c>
      <c r="L19" s="100" t="n">
        <v>-19868989.46693888</v>
      </c>
      <c r="M19" s="100" t="n">
        <v>-19529986.36801895</v>
      </c>
      <c r="N19" s="101">
        <f>SUM(B19:M19)</f>
        <v/>
      </c>
    </row>
    <row r="20">
      <c r="A20" s="61" t="inlineStr">
        <is>
          <t>Yusen İnci Loj. / G.2.5.</t>
        </is>
      </c>
      <c r="B20" s="100" t="n">
        <v>-5305142.757885211</v>
      </c>
      <c r="C20" s="100" t="n">
        <v>-5497212.415299854</v>
      </c>
      <c r="D20" s="100" t="n">
        <v>-5477483.660553331</v>
      </c>
      <c r="E20" s="100">
        <f>'Bütçe aylık-TL'!E20/'Bütçe aylık-TL'!E$3</f>
        <v/>
      </c>
      <c r="F20" s="100">
        <f>'Bütçe aylık-TL'!F20/'Bütçe aylık-TL'!F$3</f>
        <v/>
      </c>
      <c r="G20" s="100">
        <f>'Bütçe aylık-TL'!G20/'Bütçe aylık-TL'!G$3</f>
        <v/>
      </c>
      <c r="H20" s="100">
        <f>'Bütçe aylık-TL'!H20/'Bütçe aylık-TL'!H$3</f>
        <v/>
      </c>
      <c r="I20" s="100">
        <f>'Bütçe aylık-TL'!I20/'Bütçe aylık-TL'!I$3</f>
        <v/>
      </c>
      <c r="J20" s="100">
        <f>'Bütçe aylık-TL'!J20/'Bütçe aylık-TL'!J$3</f>
        <v/>
      </c>
      <c r="K20" s="100">
        <f>'Bütçe aylık-TL'!K20/'Bütçe aylık-TL'!K$3</f>
        <v/>
      </c>
      <c r="L20" s="100">
        <f>'Bütçe aylık-TL'!L20/'Bütçe aylık-TL'!L$3</f>
        <v/>
      </c>
      <c r="M20" s="100">
        <f>'Bütçe aylık-TL'!M20/'Bütçe aylık-TL'!M$3</f>
        <v/>
      </c>
      <c r="N20" s="101">
        <f>SUM(B20:M20)</f>
        <v/>
      </c>
    </row>
    <row r="21">
      <c r="A21" s="61" t="inlineStr">
        <is>
          <t>Jantaş / G.2.6.</t>
        </is>
      </c>
      <c r="B21" s="100" t="n">
        <v>-8758516.423444999</v>
      </c>
      <c r="C21" s="100" t="n">
        <v>-9077477.137550002</v>
      </c>
      <c r="D21" s="100" t="n">
        <v>-9804906.574858997</v>
      </c>
      <c r="E21" s="100" t="n">
        <v>-9552949.631469004</v>
      </c>
      <c r="F21" s="100" t="n">
        <v>-9797796.983596995</v>
      </c>
      <c r="G21" s="100" t="n">
        <v>-9707228.710808001</v>
      </c>
      <c r="H21" s="100" t="n">
        <v>-8244262.983050004</v>
      </c>
      <c r="I21" s="100" t="n">
        <v>-8726269.937103994</v>
      </c>
      <c r="J21" s="100" t="n">
        <v>-10633256.360815</v>
      </c>
      <c r="K21" s="100" t="n">
        <v>-9852144.697716996</v>
      </c>
      <c r="L21" s="100" t="n">
        <v>-9291654.607036009</v>
      </c>
      <c r="M21" s="100" t="n">
        <v>-8314811.608567998</v>
      </c>
      <c r="N21" s="101">
        <f>SUM(B21:M21)</f>
        <v/>
      </c>
    </row>
    <row r="22">
      <c r="A22" s="61" t="inlineStr">
        <is>
          <t>Çelik / G.2.7.</t>
        </is>
      </c>
      <c r="B22" s="100" t="n">
        <v>-5888787.708898</v>
      </c>
      <c r="C22" s="100" t="n">
        <v>-4612226.201002</v>
      </c>
      <c r="D22" s="100" t="n">
        <v>-5870339.329289999</v>
      </c>
      <c r="E22" s="100" t="n">
        <v>-5907035.858313</v>
      </c>
      <c r="F22" s="100" t="n">
        <v>-5720523.437763002</v>
      </c>
      <c r="G22" s="100" t="n">
        <v>-5182497.441640001</v>
      </c>
      <c r="H22" s="100" t="n">
        <v>-5015675.799566999</v>
      </c>
      <c r="I22" s="100" t="n">
        <v>-4862644.026235998</v>
      </c>
      <c r="J22" s="100" t="n">
        <v>-5882641.902297005</v>
      </c>
      <c r="K22" s="100" t="n">
        <v>-5665268.944092996</v>
      </c>
      <c r="L22" s="100" t="n">
        <v>-5241179.126796</v>
      </c>
      <c r="M22" s="100" t="n">
        <v>-4236646.462655999</v>
      </c>
      <c r="N22" s="101">
        <f>SUM(B22:M22)</f>
        <v/>
      </c>
    </row>
    <row r="23">
      <c r="A23" s="61" t="inlineStr">
        <is>
          <t>Alüminyum / G.2.8.</t>
        </is>
      </c>
      <c r="B23" s="100" t="n">
        <v>-16391446.710257</v>
      </c>
      <c r="C23" s="100" t="n">
        <v>-17217141.068793</v>
      </c>
      <c r="D23" s="100" t="n">
        <v>-19505779.212975</v>
      </c>
      <c r="E23" s="100" t="n">
        <v>-16783216.278152</v>
      </c>
      <c r="F23" s="100" t="n">
        <v>-18269370.62250599</v>
      </c>
      <c r="G23" s="100" t="n">
        <v>-19006836.318947</v>
      </c>
      <c r="H23" s="100" t="n">
        <v>-17759037.27039699</v>
      </c>
      <c r="I23" s="100" t="n">
        <v>-15133395.207241</v>
      </c>
      <c r="J23" s="100" t="n">
        <v>-19713514.425062</v>
      </c>
      <c r="K23" s="100" t="n">
        <v>-18505499.66498601</v>
      </c>
      <c r="L23" s="100" t="n">
        <v>-17310935.05852899</v>
      </c>
      <c r="M23" s="100" t="n">
        <v>-14642097.16567501</v>
      </c>
      <c r="N23" s="101">
        <f>SUM(B23:M23)</f>
        <v/>
      </c>
    </row>
    <row r="24">
      <c r="A24" s="61" t="inlineStr">
        <is>
          <t>x / G.2.9.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70" t="n"/>
    </row>
    <row r="25">
      <c r="A25" s="61" t="inlineStr">
        <is>
          <t>y / G.2.10.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70" t="n"/>
    </row>
    <row r="26">
      <c r="A26" s="61" t="inlineStr">
        <is>
          <t>BRÜT KAR-EUR / G.3.</t>
        </is>
      </c>
      <c r="B26" s="103">
        <f>SUM(B27:B29)+SUM(B30:B34)*0.4</f>
        <v/>
      </c>
      <c r="C26" s="103">
        <f>SUM(C27:C29)+SUM(C30:C34)*0.4</f>
        <v/>
      </c>
      <c r="D26" s="103">
        <f>SUM(D27:D29)+SUM(D30:D34)*0.4</f>
        <v/>
      </c>
      <c r="E26" s="103">
        <f>SUM(E27:E29)+SUM(E30:E34)*0.4</f>
        <v/>
      </c>
      <c r="F26" s="103">
        <f>SUM(F27:F29)+SUM(F30:F34)*0.4</f>
        <v/>
      </c>
      <c r="G26" s="103">
        <f>SUM(G27:G29)+SUM(G30:G34)*0.4</f>
        <v/>
      </c>
      <c r="H26" s="103">
        <f>SUM(H27:H29)+SUM(H30:H34)*0.4</f>
        <v/>
      </c>
      <c r="I26" s="103">
        <f>SUM(I27:I29)+SUM(I30:I34)*0.4</f>
        <v/>
      </c>
      <c r="J26" s="103">
        <f>SUM(J27:J29)+SUM(J30:J34)*0.4</f>
        <v/>
      </c>
      <c r="K26" s="103">
        <f>SUM(K27:K29)+SUM(K30:K34)*0.4</f>
        <v/>
      </c>
      <c r="L26" s="103">
        <f>SUM(L27:L29)+SUM(L30:L34)*0.4</f>
        <v/>
      </c>
      <c r="M26" s="103">
        <f>SUM(M27:M29)+SUM(M30:M34)*0.4</f>
        <v/>
      </c>
      <c r="N26" s="103">
        <f>SUM(N27:N29)+SUM(N30:N34)*0.4</f>
        <v/>
      </c>
    </row>
    <row r="27">
      <c r="A27" s="61" t="inlineStr">
        <is>
          <t>İnci Holding / G.3.1.</t>
        </is>
      </c>
      <c r="B27" s="100" t="n">
        <v>714880.863527555</v>
      </c>
      <c r="C27" s="100" t="n">
        <v>723499.0092478837</v>
      </c>
      <c r="D27" s="100" t="n">
        <v>810291.9176680177</v>
      </c>
      <c r="E27" s="100" t="n">
        <v>742627.9494814569</v>
      </c>
      <c r="F27" s="100" t="n">
        <v>779760.1958190883</v>
      </c>
      <c r="G27" s="100" t="n">
        <v>762531.4828638531</v>
      </c>
      <c r="H27" s="100" t="n">
        <v>756667.042596617</v>
      </c>
      <c r="I27" s="100" t="n">
        <v>671190.3057492434</v>
      </c>
      <c r="J27" s="100" t="n">
        <v>875959.1133276541</v>
      </c>
      <c r="K27" s="100" t="n">
        <v>851941.1056035653</v>
      </c>
      <c r="L27" s="100" t="n">
        <v>816659.5743137058</v>
      </c>
      <c r="M27" s="100" t="n">
        <v>727242.3244099292</v>
      </c>
      <c r="N27" s="101">
        <f>SUM(B27:M27)</f>
        <v/>
      </c>
    </row>
    <row r="28">
      <c r="A28" s="61" t="inlineStr">
        <is>
          <t>ISM / G.3.2.</t>
        </is>
      </c>
      <c r="B28" s="100" t="n">
        <v>142793.6886827548</v>
      </c>
      <c r="C28" s="100" t="n">
        <v>247956.9344384196</v>
      </c>
      <c r="D28" s="100" t="n">
        <v>270995.8590811373</v>
      </c>
      <c r="E28" s="100" t="n">
        <v>343271.1179320666</v>
      </c>
      <c r="F28" s="100" t="n">
        <v>370588.6257556481</v>
      </c>
      <c r="G28" s="100" t="n">
        <v>354534.5641070143</v>
      </c>
      <c r="H28" s="100" t="n">
        <v>294234.9992178851</v>
      </c>
      <c r="I28" s="100" t="n">
        <v>166609.2485602769</v>
      </c>
      <c r="J28" s="100" t="n">
        <v>202029.2554414233</v>
      </c>
      <c r="K28" s="100" t="n">
        <v>146230.2086582136</v>
      </c>
      <c r="L28" s="100" t="n">
        <v>120857.3209062696</v>
      </c>
      <c r="M28" s="100" t="n">
        <v>79493.0153854597</v>
      </c>
      <c r="N28" s="101">
        <f>SUM(B28:M28)</f>
        <v/>
      </c>
    </row>
    <row r="29">
      <c r="A29" s="61" t="inlineStr">
        <is>
          <t>İncitaş / G.3.3.</t>
        </is>
      </c>
      <c r="B29" s="100" t="n">
        <v>166073.6175941755</v>
      </c>
      <c r="C29" s="100" t="n">
        <v>167711.0088579992</v>
      </c>
      <c r="D29" s="100" t="n">
        <v>244700.5186776363</v>
      </c>
      <c r="E29" s="100" t="n">
        <v>260983.7516673978</v>
      </c>
      <c r="F29" s="100" t="n">
        <v>286550.9063934092</v>
      </c>
      <c r="G29" s="100" t="n">
        <v>292065.1798055952</v>
      </c>
      <c r="H29" s="100" t="n">
        <v>324153.6503424195</v>
      </c>
      <c r="I29" s="100" t="n">
        <v>291101.188695125</v>
      </c>
      <c r="J29" s="100" t="n">
        <v>288120.4850353694</v>
      </c>
      <c r="K29" s="100" t="n">
        <v>281692.4004596192</v>
      </c>
      <c r="L29" s="100" t="n">
        <v>295577.6112323981</v>
      </c>
      <c r="M29" s="100" t="n">
        <v>272709.050245946</v>
      </c>
      <c r="N29" s="101">
        <f>SUM(B29:M29)</f>
        <v/>
      </c>
    </row>
    <row r="30">
      <c r="A30" s="61" t="inlineStr">
        <is>
          <t>İnci GS Yuasa / G.3.4.</t>
        </is>
      </c>
      <c r="B30" s="100" t="n">
        <v>3474138.33065225</v>
      </c>
      <c r="C30" s="100" t="n">
        <v>3424875.743809869</v>
      </c>
      <c r="D30" s="100" t="n">
        <v>3680540.126705498</v>
      </c>
      <c r="E30" s="100" t="n">
        <v>3367439.91406336</v>
      </c>
      <c r="F30" s="100" t="n">
        <v>3387750.891017707</v>
      </c>
      <c r="G30" s="100" t="n">
        <v>3696214.650204636</v>
      </c>
      <c r="H30" s="100" t="n">
        <v>4193852.454160801</v>
      </c>
      <c r="I30" s="100" t="n">
        <v>4378809.024163848</v>
      </c>
      <c r="J30" s="100" t="n">
        <v>4881164.320620466</v>
      </c>
      <c r="K30" s="100" t="n">
        <v>5606321.822118281</v>
      </c>
      <c r="L30" s="100" t="n">
        <v>5680158.819386817</v>
      </c>
      <c r="M30" s="100" t="n">
        <v>6501898.558439347</v>
      </c>
      <c r="N30" s="101">
        <f>SUM(B30:M30)</f>
        <v/>
      </c>
    </row>
    <row r="31">
      <c r="A31" s="61" t="inlineStr">
        <is>
          <t>Yusen İnci Loj. / G.3.5.</t>
        </is>
      </c>
      <c r="B31" s="100" t="n">
        <v>1305194.2756808</v>
      </c>
      <c r="C31" s="100" t="n">
        <v>1333939.638612712</v>
      </c>
      <c r="D31" s="100" t="n">
        <v>1286656.459092543</v>
      </c>
      <c r="E31" s="100">
        <f>'Bütçe aylık-TL'!E31/'Bütçe aylık-TL'!E$3</f>
        <v/>
      </c>
      <c r="F31" s="100">
        <f>'Bütçe aylık-TL'!F31/'Bütçe aylık-TL'!F$3</f>
        <v/>
      </c>
      <c r="G31" s="100">
        <f>'Bütçe aylık-TL'!G31/'Bütçe aylık-TL'!G$3</f>
        <v/>
      </c>
      <c r="H31" s="100">
        <f>'Bütçe aylık-TL'!H31/'Bütçe aylık-TL'!H$3</f>
        <v/>
      </c>
      <c r="I31" s="100">
        <f>'Bütçe aylık-TL'!I31/'Bütçe aylık-TL'!I$3</f>
        <v/>
      </c>
      <c r="J31" s="100">
        <f>'Bütçe aylık-TL'!J31/'Bütçe aylık-TL'!J$3</f>
        <v/>
      </c>
      <c r="K31" s="100">
        <f>'Bütçe aylık-TL'!K31/'Bütçe aylık-TL'!K$3</f>
        <v/>
      </c>
      <c r="L31" s="100">
        <f>'Bütçe aylık-TL'!L31/'Bütçe aylık-TL'!L$3</f>
        <v/>
      </c>
      <c r="M31" s="100">
        <f>'Bütçe aylık-TL'!M31/'Bütçe aylık-TL'!M$3</f>
        <v/>
      </c>
      <c r="N31" s="101">
        <f>SUM(B31:M31)</f>
        <v/>
      </c>
    </row>
    <row r="32">
      <c r="A32" s="61" t="inlineStr">
        <is>
          <t>Jantaş / G.3.6.</t>
        </is>
      </c>
      <c r="B32" s="100" t="n">
        <v>1290276.906181001</v>
      </c>
      <c r="C32" s="100" t="n">
        <v>1749802.412708997</v>
      </c>
      <c r="D32" s="100" t="n">
        <v>2786154.133439006</v>
      </c>
      <c r="E32" s="100" t="n">
        <v>1379505.565897994</v>
      </c>
      <c r="F32" s="100" t="n">
        <v>1879167.875876009</v>
      </c>
      <c r="G32" s="100" t="n">
        <v>2130869.042185</v>
      </c>
      <c r="H32" s="100" t="n">
        <v>1168028.125666991</v>
      </c>
      <c r="I32" s="100" t="n">
        <v>678577.9110720078</v>
      </c>
      <c r="J32" s="100" t="n">
        <v>3222554.474368989</v>
      </c>
      <c r="K32" s="100" t="n">
        <v>2145554.15807101</v>
      </c>
      <c r="L32" s="100" t="n">
        <v>2136550.305895983</v>
      </c>
      <c r="M32" s="100" t="n">
        <v>1671419.743878007</v>
      </c>
      <c r="N32" s="101">
        <f>SUM(B32:M32)</f>
        <v/>
      </c>
    </row>
    <row r="33">
      <c r="A33" s="61" t="inlineStr">
        <is>
          <t>Çelik / G.3.7.</t>
        </is>
      </c>
      <c r="B33" s="100" t="n">
        <v>1688820.565854</v>
      </c>
      <c r="C33" s="100" t="n">
        <v>1490840.738918999</v>
      </c>
      <c r="D33" s="100" t="n">
        <v>2112732.213218003</v>
      </c>
      <c r="E33" s="100" t="n">
        <v>2087721.621930002</v>
      </c>
      <c r="F33" s="100" t="n">
        <v>2155001.737974997</v>
      </c>
      <c r="G33" s="100" t="n">
        <v>1757396.036901001</v>
      </c>
      <c r="H33" s="100" t="n">
        <v>1531936.343314999</v>
      </c>
      <c r="I33" s="100" t="n">
        <v>1008112.454025</v>
      </c>
      <c r="J33" s="100" t="n">
        <v>2411227.353698999</v>
      </c>
      <c r="K33" s="100" t="n">
        <v>2192106.152475007</v>
      </c>
      <c r="L33" s="100" t="n">
        <v>2046882.297776989</v>
      </c>
      <c r="M33" s="100" t="n">
        <v>1279617.563741006</v>
      </c>
      <c r="N33" s="101">
        <f>SUM(B33:M33)</f>
        <v/>
      </c>
    </row>
    <row r="34">
      <c r="A34" s="61" t="inlineStr">
        <is>
          <t>Alüminyum / G.3.8.</t>
        </is>
      </c>
      <c r="B34" s="100" t="n">
        <v>2912907.597438004</v>
      </c>
      <c r="C34" s="100" t="n">
        <v>3130983.094686002</v>
      </c>
      <c r="D34" s="100" t="n">
        <v>2840112.990360996</v>
      </c>
      <c r="E34" s="100" t="n">
        <v>2563624.84341599</v>
      </c>
      <c r="F34" s="100" t="n">
        <v>3562485.091095017</v>
      </c>
      <c r="G34" s="100" t="n">
        <v>2538433.724123999</v>
      </c>
      <c r="H34" s="100" t="n">
        <v>3653394.443845004</v>
      </c>
      <c r="I34" s="100" t="n">
        <v>1505799.625164</v>
      </c>
      <c r="J34" s="100" t="n">
        <v>4517385.54018301</v>
      </c>
      <c r="K34" s="100" t="n">
        <v>3774362.523767978</v>
      </c>
      <c r="L34" s="100" t="n">
        <v>3696244.292896003</v>
      </c>
      <c r="M34" s="100" t="n">
        <v>2748973.591679991</v>
      </c>
      <c r="N34" s="101">
        <f>SUM(B34:M34)</f>
        <v/>
      </c>
    </row>
    <row r="35">
      <c r="A35" s="61" t="inlineStr">
        <is>
          <t>x / G.3.9.</t>
        </is>
      </c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70" t="n"/>
    </row>
    <row r="36">
      <c r="A36" s="61" t="inlineStr">
        <is>
          <t>y / G.3.10.</t>
        </is>
      </c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70" t="n"/>
    </row>
    <row r="37">
      <c r="A37" s="61" t="inlineStr">
        <is>
          <t>Toplam Faaliyet Giderleri-EUR / G.4.</t>
        </is>
      </c>
      <c r="B37" s="103">
        <f>SUM(B38:B40)+SUM(B41:B45)*0.4</f>
        <v/>
      </c>
      <c r="C37" s="103">
        <f>SUM(C38:C40)+SUM(C41:C45)*0.4</f>
        <v/>
      </c>
      <c r="D37" s="103">
        <f>SUM(D38:D40)+SUM(D41:D45)*0.4</f>
        <v/>
      </c>
      <c r="E37" s="103">
        <f>SUM(E38:E40)+SUM(E41:E45)*0.4</f>
        <v/>
      </c>
      <c r="F37" s="103">
        <f>SUM(F38:F40)+SUM(F41:F45)*0.4</f>
        <v/>
      </c>
      <c r="G37" s="103">
        <f>SUM(G38:G40)+SUM(G41:G45)*0.4</f>
        <v/>
      </c>
      <c r="H37" s="103">
        <f>SUM(H38:H40)+SUM(H41:H45)*0.4</f>
        <v/>
      </c>
      <c r="I37" s="103">
        <f>SUM(I38:I40)+SUM(I41:I45)*0.4</f>
        <v/>
      </c>
      <c r="J37" s="103">
        <f>SUM(J38:J40)+SUM(J41:J45)*0.4</f>
        <v/>
      </c>
      <c r="K37" s="103">
        <f>SUM(K38:K40)+SUM(K41:K45)*0.4</f>
        <v/>
      </c>
      <c r="L37" s="103">
        <f>SUM(L38:L40)+SUM(L41:L45)*0.4</f>
        <v/>
      </c>
      <c r="M37" s="103">
        <f>SUM(M38:M40)+SUM(M41:M45)*0.4</f>
        <v/>
      </c>
      <c r="N37" s="103">
        <f>SUM(N38:N40)+SUM(N41:N45)*0.4</f>
        <v/>
      </c>
    </row>
    <row r="38">
      <c r="A38" s="61" t="inlineStr">
        <is>
          <t>İnci Holding / G.4.1.</t>
        </is>
      </c>
      <c r="B38" s="100" t="n">
        <v>378639.3301026047</v>
      </c>
      <c r="C38" s="100" t="n">
        <v>359570.5766503599</v>
      </c>
      <c r="D38" s="100" t="n">
        <v>474077.0376633105</v>
      </c>
      <c r="E38" s="100" t="n">
        <v>405575.7823834826</v>
      </c>
      <c r="F38" s="100" t="n">
        <v>428934.416334447</v>
      </c>
      <c r="G38" s="100" t="n">
        <v>404623.8085720773</v>
      </c>
      <c r="H38" s="100" t="n">
        <v>366093.523531704</v>
      </c>
      <c r="I38" s="100" t="n">
        <v>347719.9949805376</v>
      </c>
      <c r="J38" s="100" t="n">
        <v>393617.6905690996</v>
      </c>
      <c r="K38" s="100" t="n">
        <v>415050.0720359854</v>
      </c>
      <c r="L38" s="100" t="n">
        <v>430356.469747126</v>
      </c>
      <c r="M38" s="100" t="n">
        <v>942526.1781557117</v>
      </c>
      <c r="N38" s="101">
        <f>SUM(B38:M38)</f>
        <v/>
      </c>
    </row>
    <row r="39">
      <c r="A39" s="61" t="inlineStr">
        <is>
          <t>ISM / G.4.2.</t>
        </is>
      </c>
      <c r="B39" s="100" t="n">
        <v>172335.8396848608</v>
      </c>
      <c r="C39" s="100" t="n">
        <v>164499.2229953243</v>
      </c>
      <c r="D39" s="100" t="n">
        <v>167922.4030083463</v>
      </c>
      <c r="E39" s="100" t="n">
        <v>172489.168439628</v>
      </c>
      <c r="F39" s="100" t="n">
        <v>158009.629748478</v>
      </c>
      <c r="G39" s="100" t="n">
        <v>161726.8606894135</v>
      </c>
      <c r="H39" s="100" t="n">
        <v>148516.6536839331</v>
      </c>
      <c r="I39" s="100" t="n">
        <v>132296.3381074645</v>
      </c>
      <c r="J39" s="100" t="n">
        <v>138705.3284138352</v>
      </c>
      <c r="K39" s="100" t="n">
        <v>125051.4497019312</v>
      </c>
      <c r="L39" s="100" t="n">
        <v>127136.0292086914</v>
      </c>
      <c r="M39" s="100" t="n">
        <v>125114.2340326684</v>
      </c>
      <c r="N39" s="101">
        <f>SUM(B39:M39)</f>
        <v/>
      </c>
    </row>
    <row r="40">
      <c r="A40" s="61" t="inlineStr">
        <is>
          <t>İncitaş / G.4.3.</t>
        </is>
      </c>
      <c r="B40" s="100" t="n">
        <v>210929.6133829121</v>
      </c>
      <c r="C40" s="100" t="n">
        <v>165953.1666425496</v>
      </c>
      <c r="D40" s="100" t="n">
        <v>192322.0774075952</v>
      </c>
      <c r="E40" s="100" t="n">
        <v>212051.9847211366</v>
      </c>
      <c r="F40" s="100" t="n">
        <v>182815.6195794782</v>
      </c>
      <c r="G40" s="100" t="n">
        <v>188693.7926223057</v>
      </c>
      <c r="H40" s="100" t="n">
        <v>198353.2483319513</v>
      </c>
      <c r="I40" s="100" t="n">
        <v>193303.5178245655</v>
      </c>
      <c r="J40" s="100" t="n">
        <v>213272.7880268992</v>
      </c>
      <c r="K40" s="100" t="n">
        <v>187449.8064584743</v>
      </c>
      <c r="L40" s="100" t="n">
        <v>182925.4854775604</v>
      </c>
      <c r="M40" s="100" t="n">
        <v>225571.0919203068</v>
      </c>
      <c r="N40" s="101">
        <f>SUM(B40:M40)</f>
        <v/>
      </c>
    </row>
    <row r="41">
      <c r="A41" s="61" t="inlineStr">
        <is>
          <t>İnci GS Yuasa / G.4.4.</t>
        </is>
      </c>
      <c r="B41" s="100" t="n">
        <v>2063199.317616043</v>
      </c>
      <c r="C41" s="100" t="n">
        <v>2274407.751922509</v>
      </c>
      <c r="D41" s="100" t="n">
        <v>2391404.874283793</v>
      </c>
      <c r="E41" s="100" t="n">
        <v>2255190.915214191</v>
      </c>
      <c r="F41" s="100" t="n">
        <v>2096565.55745816</v>
      </c>
      <c r="G41" s="100" t="n">
        <v>2141279.554234721</v>
      </c>
      <c r="H41" s="100" t="n">
        <v>2192367.884448385</v>
      </c>
      <c r="I41" s="100" t="n">
        <v>2195837.693397683</v>
      </c>
      <c r="J41" s="100" t="n">
        <v>2191321.219661078</v>
      </c>
      <c r="K41" s="100" t="n">
        <v>2273082.956871209</v>
      </c>
      <c r="L41" s="100" t="n">
        <v>2210193.787230085</v>
      </c>
      <c r="M41" s="100" t="n">
        <v>2337449.552220891</v>
      </c>
      <c r="N41" s="101">
        <f>SUM(B41:M41)</f>
        <v/>
      </c>
    </row>
    <row r="42">
      <c r="A42" s="61" t="inlineStr">
        <is>
          <t>Yusen İnci Loj. / G.4.5.</t>
        </is>
      </c>
      <c r="B42" s="100" t="n">
        <v>871043.9288176491</v>
      </c>
      <c r="C42" s="100" t="n">
        <v>858268.8978954256</v>
      </c>
      <c r="D42" s="100" t="n">
        <v>844035.0609480112</v>
      </c>
      <c r="E42" s="100">
        <f>'Bütçe aylık-TL'!E42/'Bütçe aylık-TL'!E$3</f>
        <v/>
      </c>
      <c r="F42" s="100">
        <f>'Bütçe aylık-TL'!F42/'Bütçe aylık-TL'!F$3</f>
        <v/>
      </c>
      <c r="G42" s="100">
        <f>'Bütçe aylık-TL'!G42/'Bütçe aylık-TL'!G$3</f>
        <v/>
      </c>
      <c r="H42" s="100">
        <f>'Bütçe aylık-TL'!H42/'Bütçe aylık-TL'!H$3</f>
        <v/>
      </c>
      <c r="I42" s="100">
        <f>'Bütçe aylık-TL'!I42/'Bütçe aylık-TL'!I$3</f>
        <v/>
      </c>
      <c r="J42" s="100">
        <f>'Bütçe aylık-TL'!J42/'Bütçe aylık-TL'!J$3</f>
        <v/>
      </c>
      <c r="K42" s="100">
        <f>'Bütçe aylık-TL'!K42/'Bütçe aylık-TL'!K$3</f>
        <v/>
      </c>
      <c r="L42" s="100">
        <f>'Bütçe aylık-TL'!L42/'Bütçe aylık-TL'!L$3</f>
        <v/>
      </c>
      <c r="M42" s="100">
        <f>'Bütçe aylık-TL'!M42/'Bütçe aylık-TL'!M$3</f>
        <v/>
      </c>
      <c r="N42" s="101">
        <f>SUM(B42:M42)</f>
        <v/>
      </c>
    </row>
    <row r="43">
      <c r="A43" s="61" t="inlineStr">
        <is>
          <t>Jantaş / G.4.6.</t>
        </is>
      </c>
      <c r="B43" s="100" t="n">
        <v>706181.5396819999</v>
      </c>
      <c r="C43" s="100" t="n">
        <v>676130.1251340001</v>
      </c>
      <c r="D43" s="100" t="n">
        <v>721036.064915</v>
      </c>
      <c r="E43" s="100" t="n">
        <v>933968.8153869999</v>
      </c>
      <c r="F43" s="100" t="n">
        <v>739044.16328</v>
      </c>
      <c r="G43" s="100" t="n">
        <v>706378.9185240003</v>
      </c>
      <c r="H43" s="100" t="n">
        <v>673702.8296259996</v>
      </c>
      <c r="I43" s="100" t="n">
        <v>571597.6429620003</v>
      </c>
      <c r="J43" s="100" t="n">
        <v>767792.3695309999</v>
      </c>
      <c r="K43" s="100" t="n">
        <v>700722.5869089997</v>
      </c>
      <c r="L43" s="100" t="n">
        <v>675360.3989439997</v>
      </c>
      <c r="M43" s="100" t="n">
        <v>586387.7375309998</v>
      </c>
      <c r="N43" s="101">
        <f>SUM(B43:M43)</f>
        <v/>
      </c>
    </row>
    <row r="44">
      <c r="A44" s="61" t="inlineStr">
        <is>
          <t>Çelik / G.4.7.</t>
        </is>
      </c>
      <c r="B44" s="100" t="n">
        <v>400769.224877</v>
      </c>
      <c r="C44" s="100" t="n">
        <v>366134.155358</v>
      </c>
      <c r="D44" s="100" t="n">
        <v>438537.8948299999</v>
      </c>
      <c r="E44" s="100" t="n">
        <v>457953.4643650001</v>
      </c>
      <c r="F44" s="100" t="n">
        <v>430483.7440479998</v>
      </c>
      <c r="G44" s="100" t="n">
        <v>393969.1989460001</v>
      </c>
      <c r="H44" s="100" t="n">
        <v>369606.683958</v>
      </c>
      <c r="I44" s="100" t="n">
        <v>351328.8941389997</v>
      </c>
      <c r="J44" s="100" t="n">
        <v>433904.4503440001</v>
      </c>
      <c r="K44" s="100" t="n">
        <v>411866.1360590002</v>
      </c>
      <c r="L44" s="100" t="n">
        <v>385059.2521730005</v>
      </c>
      <c r="M44" s="100" t="n">
        <v>334862.3676109994</v>
      </c>
      <c r="N44" s="101">
        <f>SUM(B44:M44)</f>
        <v/>
      </c>
    </row>
    <row r="45">
      <c r="A45" s="61" t="inlineStr">
        <is>
          <t>Alüminyum / G.4.8.</t>
        </is>
      </c>
      <c r="B45" s="100" t="n">
        <v>913898.94491</v>
      </c>
      <c r="C45" s="100" t="n">
        <v>1044214.585901</v>
      </c>
      <c r="D45" s="100" t="n">
        <v>1045869.760548</v>
      </c>
      <c r="E45" s="100" t="n">
        <v>985200.2091910001</v>
      </c>
      <c r="F45" s="100" t="n">
        <v>1047680.755256</v>
      </c>
      <c r="G45" s="100" t="n">
        <v>1037231.173314</v>
      </c>
      <c r="H45" s="100" t="n">
        <v>1019589.147823</v>
      </c>
      <c r="I45" s="100" t="n">
        <v>846842.5760840002</v>
      </c>
      <c r="J45" s="100" t="n">
        <v>1112254.957179001</v>
      </c>
      <c r="K45" s="100" t="n">
        <v>1025923.282173</v>
      </c>
      <c r="L45" s="100" t="n">
        <v>979128.5553629994</v>
      </c>
      <c r="M45" s="100" t="n">
        <v>865812.6887219995</v>
      </c>
      <c r="N45" s="101">
        <f>SUM(B45:M45)</f>
        <v/>
      </c>
    </row>
    <row r="46">
      <c r="A46" s="61" t="inlineStr">
        <is>
          <t>x / G.4.9.</t>
        </is>
      </c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70" t="n"/>
    </row>
    <row r="47">
      <c r="A47" s="61" t="inlineStr">
        <is>
          <t>y / G.4.10.</t>
        </is>
      </c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70" t="n"/>
    </row>
    <row r="48">
      <c r="A48" s="61" t="inlineStr">
        <is>
          <t>Diğer Faaliyet Gelir(Gideri)-EUR / G.5.</t>
        </is>
      </c>
      <c r="B48" s="103">
        <f>SUM(B49:B51)+SUM(B52:B56)*0.4</f>
        <v/>
      </c>
      <c r="C48" s="103">
        <f>SUM(C49:C51)+SUM(C52:C56)*0.4</f>
        <v/>
      </c>
      <c r="D48" s="103">
        <f>SUM(D49:D51)+SUM(D52:D56)*0.4</f>
        <v/>
      </c>
      <c r="E48" s="103">
        <f>SUM(E49:E51)+SUM(E52:E56)*0.4</f>
        <v/>
      </c>
      <c r="F48" s="103">
        <f>SUM(F49:F51)+SUM(F52:F56)*0.4</f>
        <v/>
      </c>
      <c r="G48" s="103">
        <f>SUM(G49:G51)+SUM(G52:G56)*0.4</f>
        <v/>
      </c>
      <c r="H48" s="103">
        <f>SUM(H49:H51)+SUM(H52:H56)*0.4</f>
        <v/>
      </c>
      <c r="I48" s="103">
        <f>SUM(I49:I51)+SUM(I52:I56)*0.4</f>
        <v/>
      </c>
      <c r="J48" s="103">
        <f>SUM(J49:J51)+SUM(J52:J56)*0.4</f>
        <v/>
      </c>
      <c r="K48" s="103">
        <f>SUM(K49:K51)+SUM(K52:K56)*0.4</f>
        <v/>
      </c>
      <c r="L48" s="103">
        <f>SUM(L49:L51)+SUM(L52:L56)*0.4</f>
        <v/>
      </c>
      <c r="M48" s="103">
        <f>SUM(M49:M51)+SUM(M52:M56)*0.4</f>
        <v/>
      </c>
      <c r="N48" s="103">
        <f>SUM(N49:N51)+SUM(N52:N56)*0.4</f>
        <v/>
      </c>
    </row>
    <row r="49">
      <c r="A49" s="61" t="inlineStr">
        <is>
          <t>İnci Holding / G.5.1.</t>
        </is>
      </c>
      <c r="B49" s="100" t="n">
        <v>0</v>
      </c>
      <c r="C49" s="100" t="n">
        <v>0</v>
      </c>
      <c r="D49" s="100" t="n">
        <v>0</v>
      </c>
      <c r="E49" s="100" t="n">
        <v>0</v>
      </c>
      <c r="F49" s="100" t="n">
        <v>0</v>
      </c>
      <c r="G49" s="100" t="n">
        <v>0</v>
      </c>
      <c r="H49" s="100" t="n">
        <v>0</v>
      </c>
      <c r="I49" s="100" t="n">
        <v>0</v>
      </c>
      <c r="J49" s="100" t="n">
        <v>0</v>
      </c>
      <c r="K49" s="100" t="n">
        <v>0</v>
      </c>
      <c r="L49" s="100" t="n">
        <v>0</v>
      </c>
      <c r="M49" s="100" t="n">
        <v>0</v>
      </c>
      <c r="N49" s="101">
        <f>SUM(B49:M49)</f>
        <v/>
      </c>
    </row>
    <row r="50">
      <c r="A50" s="61" t="inlineStr">
        <is>
          <t>ISM / G.5.2.</t>
        </is>
      </c>
      <c r="B50" s="100" t="n">
        <v>0</v>
      </c>
      <c r="C50" s="100" t="n">
        <v>0</v>
      </c>
      <c r="D50" s="100" t="n">
        <v>0</v>
      </c>
      <c r="E50" s="100" t="n">
        <v>0</v>
      </c>
      <c r="F50" s="100" t="n">
        <v>0</v>
      </c>
      <c r="G50" s="100" t="n">
        <v>0</v>
      </c>
      <c r="H50" s="100" t="n">
        <v>0</v>
      </c>
      <c r="I50" s="100" t="n">
        <v>0</v>
      </c>
      <c r="J50" s="100" t="n">
        <v>0</v>
      </c>
      <c r="K50" s="100" t="n">
        <v>0</v>
      </c>
      <c r="L50" s="100" t="n">
        <v>0</v>
      </c>
      <c r="M50" s="100" t="n">
        <v>0</v>
      </c>
      <c r="N50" s="101">
        <f>SUM(B50:M50)</f>
        <v/>
      </c>
    </row>
    <row r="51">
      <c r="A51" s="61" t="inlineStr">
        <is>
          <t>İncitaş / G.5.3.</t>
        </is>
      </c>
      <c r="B51" s="100" t="n">
        <v>0</v>
      </c>
      <c r="C51" s="100" t="n">
        <v>0</v>
      </c>
      <c r="D51" s="100" t="n">
        <v>0</v>
      </c>
      <c r="E51" s="100" t="n">
        <v>0</v>
      </c>
      <c r="F51" s="100" t="n">
        <v>0</v>
      </c>
      <c r="G51" s="100" t="n">
        <v>0</v>
      </c>
      <c r="H51" s="100" t="n">
        <v>0</v>
      </c>
      <c r="I51" s="100" t="n">
        <v>0</v>
      </c>
      <c r="J51" s="100" t="n">
        <v>0</v>
      </c>
      <c r="K51" s="100" t="n">
        <v>0</v>
      </c>
      <c r="L51" s="100" t="n">
        <v>0</v>
      </c>
      <c r="M51" s="100" t="n">
        <v>0</v>
      </c>
      <c r="N51" s="101">
        <f>SUM(B51:M51)</f>
        <v/>
      </c>
    </row>
    <row r="52">
      <c r="A52" s="61" t="inlineStr">
        <is>
          <t>İnci GS Yuasa / G.5.4.</t>
        </is>
      </c>
      <c r="B52" s="100" t="n">
        <v>0</v>
      </c>
      <c r="C52" s="100" t="n">
        <v>0</v>
      </c>
      <c r="D52" s="100" t="n">
        <v>0</v>
      </c>
      <c r="E52" s="100" t="n">
        <v>0</v>
      </c>
      <c r="F52" s="100" t="n">
        <v>0</v>
      </c>
      <c r="G52" s="100" t="n">
        <v>0</v>
      </c>
      <c r="H52" s="100" t="n">
        <v>0</v>
      </c>
      <c r="I52" s="100" t="n">
        <v>0</v>
      </c>
      <c r="J52" s="100" t="n">
        <v>0</v>
      </c>
      <c r="K52" s="100" t="n">
        <v>0</v>
      </c>
      <c r="L52" s="100" t="n">
        <v>0</v>
      </c>
      <c r="M52" s="100" t="n">
        <v>0</v>
      </c>
      <c r="N52" s="101">
        <f>SUM(B52:M52)</f>
        <v/>
      </c>
    </row>
    <row r="53">
      <c r="A53" s="61" t="inlineStr">
        <is>
          <t>Yusen İnci Loj. / G.5.5.</t>
        </is>
      </c>
      <c r="B53" s="100" t="n">
        <v>0</v>
      </c>
      <c r="C53" s="100" t="n">
        <v>0</v>
      </c>
      <c r="D53" s="100" t="n">
        <v>0</v>
      </c>
      <c r="E53" s="100" t="n">
        <v>0</v>
      </c>
      <c r="F53" s="100" t="n">
        <v>0</v>
      </c>
      <c r="G53" s="100" t="n">
        <v>0</v>
      </c>
      <c r="H53" s="100" t="n">
        <v>0</v>
      </c>
      <c r="I53" s="100" t="n">
        <v>0</v>
      </c>
      <c r="J53" s="100" t="n">
        <v>0</v>
      </c>
      <c r="K53" s="100" t="n">
        <v>0</v>
      </c>
      <c r="L53" s="100" t="n">
        <v>0</v>
      </c>
      <c r="M53" s="100" t="n">
        <v>0</v>
      </c>
      <c r="N53" s="101">
        <f>SUM(B53:M53)</f>
        <v/>
      </c>
    </row>
    <row r="54">
      <c r="A54" s="61" t="inlineStr">
        <is>
          <t>Jantaş / G.5.6.</t>
        </is>
      </c>
      <c r="B54" s="100" t="n">
        <v>0</v>
      </c>
      <c r="C54" s="100" t="n">
        <v>0</v>
      </c>
      <c r="D54" s="100" t="n">
        <v>0</v>
      </c>
      <c r="E54" s="100" t="n">
        <v>0</v>
      </c>
      <c r="F54" s="100" t="n">
        <v>0</v>
      </c>
      <c r="G54" s="100" t="n">
        <v>0</v>
      </c>
      <c r="H54" s="100" t="n">
        <v>0</v>
      </c>
      <c r="I54" s="100" t="n">
        <v>0</v>
      </c>
      <c r="J54" s="100" t="n">
        <v>0</v>
      </c>
      <c r="K54" s="100" t="n">
        <v>0</v>
      </c>
      <c r="L54" s="100" t="n">
        <v>0</v>
      </c>
      <c r="M54" s="100" t="n">
        <v>0</v>
      </c>
      <c r="N54" s="101">
        <f>SUM(B54:M54)</f>
        <v/>
      </c>
    </row>
    <row r="55">
      <c r="A55" s="61" t="inlineStr">
        <is>
          <t>Çelik / G.5.7.</t>
        </is>
      </c>
      <c r="B55" s="100" t="n">
        <v>0</v>
      </c>
      <c r="C55" s="100" t="n">
        <v>0</v>
      </c>
      <c r="D55" s="100" t="n">
        <v>0</v>
      </c>
      <c r="E55" s="100" t="n">
        <v>0</v>
      </c>
      <c r="F55" s="100" t="n">
        <v>0</v>
      </c>
      <c r="G55" s="100" t="n">
        <v>0</v>
      </c>
      <c r="H55" s="100" t="n">
        <v>0</v>
      </c>
      <c r="I55" s="100" t="n">
        <v>0</v>
      </c>
      <c r="J55" s="100" t="n">
        <v>0</v>
      </c>
      <c r="K55" s="100" t="n">
        <v>0</v>
      </c>
      <c r="L55" s="100" t="n">
        <v>0</v>
      </c>
      <c r="M55" s="100" t="n">
        <v>0</v>
      </c>
      <c r="N55" s="101">
        <f>SUM(B55:M55)</f>
        <v/>
      </c>
    </row>
    <row r="56">
      <c r="A56" s="61" t="inlineStr">
        <is>
          <t>Alüminyum / G.5.8.</t>
        </is>
      </c>
      <c r="B56" s="100" t="n">
        <v>0</v>
      </c>
      <c r="C56" s="100" t="n">
        <v>0</v>
      </c>
      <c r="D56" s="100" t="n">
        <v>0</v>
      </c>
      <c r="E56" s="100" t="n">
        <v>0</v>
      </c>
      <c r="F56" s="100" t="n">
        <v>0</v>
      </c>
      <c r="G56" s="100" t="n">
        <v>0</v>
      </c>
      <c r="H56" s="100" t="n">
        <v>0</v>
      </c>
      <c r="I56" s="100" t="n">
        <v>0</v>
      </c>
      <c r="J56" s="100" t="n">
        <v>0</v>
      </c>
      <c r="K56" s="100" t="n">
        <v>0</v>
      </c>
      <c r="L56" s="100" t="n">
        <v>0</v>
      </c>
      <c r="M56" s="100" t="n">
        <v>0</v>
      </c>
      <c r="N56" s="101">
        <f>SUM(B56:M56)</f>
        <v/>
      </c>
    </row>
    <row r="57">
      <c r="A57" s="61" t="inlineStr">
        <is>
          <t>x / G.5.9.</t>
        </is>
      </c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70" t="n"/>
    </row>
    <row r="58">
      <c r="A58" s="61" t="inlineStr">
        <is>
          <t>y / G.5.10.</t>
        </is>
      </c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70" t="n"/>
    </row>
    <row r="59">
      <c r="A59" s="61" t="inlineStr">
        <is>
          <t>EBİT-EUR / G.6.</t>
        </is>
      </c>
      <c r="B59" s="103">
        <f>SUM(B60:B62)+SUM(B63:B67)*0.4</f>
        <v/>
      </c>
      <c r="C59" s="103">
        <f>SUM(C60:C62)+SUM(C63:C67)*0.4</f>
        <v/>
      </c>
      <c r="D59" s="103">
        <f>SUM(D60:D62)+SUM(D63:D67)*0.4</f>
        <v/>
      </c>
      <c r="E59" s="103">
        <f>SUM(E60:E62)+SUM(E63:E67)*0.4</f>
        <v/>
      </c>
      <c r="F59" s="103">
        <f>SUM(F60:F62)+SUM(F63:F67)*0.4</f>
        <v/>
      </c>
      <c r="G59" s="103">
        <f>SUM(G60:G62)+SUM(G63:G67)*0.4</f>
        <v/>
      </c>
      <c r="H59" s="103">
        <f>SUM(H60:H62)+SUM(H63:H67)*0.4</f>
        <v/>
      </c>
      <c r="I59" s="103">
        <f>SUM(I60:I62)+SUM(I63:I67)*0.4</f>
        <v/>
      </c>
      <c r="J59" s="103">
        <f>SUM(J60:J62)+SUM(J63:J67)*0.4</f>
        <v/>
      </c>
      <c r="K59" s="103">
        <f>SUM(K60:K62)+SUM(K63:K67)*0.4</f>
        <v/>
      </c>
      <c r="L59" s="103">
        <f>SUM(L60:L62)+SUM(L63:L67)*0.4</f>
        <v/>
      </c>
      <c r="M59" s="103">
        <f>SUM(M60:M62)+SUM(M63:M67)*0.4</f>
        <v/>
      </c>
      <c r="N59" s="103">
        <f>SUM(N60:N62)+SUM(N63:N67)*0.4</f>
        <v/>
      </c>
    </row>
    <row r="60">
      <c r="A60" s="61" t="inlineStr">
        <is>
          <t>İnci Holding / G.6.1.</t>
        </is>
      </c>
      <c r="B60" s="100" t="n">
        <v>336241.5334249504</v>
      </c>
      <c r="C60" s="100" t="n">
        <v>363928.4325975239</v>
      </c>
      <c r="D60" s="100" t="n">
        <v>336214.8800047073</v>
      </c>
      <c r="E60" s="100" t="n">
        <v>337052.1670979744</v>
      </c>
      <c r="F60" s="100" t="n">
        <v>350825.7794846164</v>
      </c>
      <c r="G60" s="100" t="n">
        <v>357907.6742917758</v>
      </c>
      <c r="H60" s="100" t="n">
        <v>390573.519064913</v>
      </c>
      <c r="I60" s="100" t="n">
        <v>323470.3107687294</v>
      </c>
      <c r="J60" s="100" t="n">
        <v>482341.4227585545</v>
      </c>
      <c r="K60" s="100" t="n">
        <v>436891.03356758</v>
      </c>
      <c r="L60" s="100" t="n">
        <v>386303.1045665799</v>
      </c>
      <c r="M60" s="100" t="n">
        <v>-215283.8537457825</v>
      </c>
      <c r="N60" s="101">
        <f>SUM(B60:M60)</f>
        <v/>
      </c>
    </row>
    <row r="61">
      <c r="A61" s="61" t="inlineStr">
        <is>
          <t>ISM / G.6.2.</t>
        </is>
      </c>
      <c r="B61" s="100" t="n">
        <v>-29542.15100210595</v>
      </c>
      <c r="C61" s="100" t="n">
        <v>83457.7114431216</v>
      </c>
      <c r="D61" s="100" t="n">
        <v>103073.4560727652</v>
      </c>
      <c r="E61" s="100" t="n">
        <v>170781.9494924384</v>
      </c>
      <c r="F61" s="100" t="n">
        <v>212578.9960071451</v>
      </c>
      <c r="G61" s="100" t="n">
        <v>192807.7034176007</v>
      </c>
      <c r="H61" s="100" t="n">
        <v>145718.345533928</v>
      </c>
      <c r="I61" s="100" t="n">
        <v>34312.91045283605</v>
      </c>
      <c r="J61" s="100" t="n">
        <v>63323.92702758809</v>
      </c>
      <c r="K61" s="100" t="n">
        <v>21178.75895630505</v>
      </c>
      <c r="L61" s="100" t="n">
        <v>-6278.708302421795</v>
      </c>
      <c r="M61" s="100" t="n">
        <v>-45621.21864720874</v>
      </c>
      <c r="N61" s="101">
        <f>SUM(B61:M61)</f>
        <v/>
      </c>
    </row>
    <row r="62">
      <c r="A62" s="61" t="inlineStr">
        <is>
          <t>İncitaş / G.6.3.</t>
        </is>
      </c>
      <c r="B62" s="100" t="n">
        <v>-44855.99578873664</v>
      </c>
      <c r="C62" s="100" t="n">
        <v>1757.842215476115</v>
      </c>
      <c r="D62" s="100" t="n">
        <v>52378.44127004121</v>
      </c>
      <c r="E62" s="100" t="n">
        <v>48931.76694626132</v>
      </c>
      <c r="F62" s="100" t="n">
        <v>103735.2868139061</v>
      </c>
      <c r="G62" s="100" t="n">
        <v>103371.3871833138</v>
      </c>
      <c r="H62" s="100" t="n">
        <v>125800.4020104682</v>
      </c>
      <c r="I62" s="100" t="n">
        <v>97797.67087055977</v>
      </c>
      <c r="J62" s="100" t="n">
        <v>74847.69700847015</v>
      </c>
      <c r="K62" s="100" t="n">
        <v>94242.59400112212</v>
      </c>
      <c r="L62" s="100" t="n">
        <v>112652.1257548154</v>
      </c>
      <c r="M62" s="100" t="n">
        <v>47137.95832563929</v>
      </c>
      <c r="N62" s="101">
        <f>SUM(B62:M62)</f>
        <v/>
      </c>
    </row>
    <row r="63">
      <c r="A63" s="61" t="inlineStr">
        <is>
          <t>İnci GS Yuasa / G.6.4.</t>
        </is>
      </c>
      <c r="B63" s="100" t="n">
        <v>1410939.013036237</v>
      </c>
      <c r="C63" s="100" t="n">
        <v>1150467.991887362</v>
      </c>
      <c r="D63" s="100" t="n">
        <v>1289135.252421704</v>
      </c>
      <c r="E63" s="100" t="n">
        <v>1112248.998849142</v>
      </c>
      <c r="F63" s="100" t="n">
        <v>1291185.333559545</v>
      </c>
      <c r="G63" s="100" t="n">
        <v>1554935.095969913</v>
      </c>
      <c r="H63" s="100" t="n">
        <v>2001484.569712414</v>
      </c>
      <c r="I63" s="100" t="n">
        <v>2182971.330766188</v>
      </c>
      <c r="J63" s="100" t="n">
        <v>2689843.100959388</v>
      </c>
      <c r="K63" s="100" t="n">
        <v>3333238.865247073</v>
      </c>
      <c r="L63" s="100" t="n">
        <v>3469965.032156663</v>
      </c>
      <c r="M63" s="100" t="n">
        <v>4164449.006218414</v>
      </c>
      <c r="N63" s="101">
        <f>SUM(B63:M63)</f>
        <v/>
      </c>
    </row>
    <row r="64">
      <c r="A64" s="61" t="inlineStr">
        <is>
          <t>Yusen İnci Loj. / G.6.5.</t>
        </is>
      </c>
      <c r="B64" s="100" t="n">
        <v>434150.3468631506</v>
      </c>
      <c r="C64" s="100" t="n">
        <v>475670.7407172862</v>
      </c>
      <c r="D64" s="100" t="n">
        <v>442621.3981445321</v>
      </c>
      <c r="E64" s="100">
        <f>'Bütçe aylık-TL'!E64/'Bütçe aylık-TL'!E$3</f>
        <v/>
      </c>
      <c r="F64" s="100">
        <f>'Bütçe aylık-TL'!F64/'Bütçe aylık-TL'!F$3</f>
        <v/>
      </c>
      <c r="G64" s="100">
        <f>'Bütçe aylık-TL'!G64/'Bütçe aylık-TL'!G$3</f>
        <v/>
      </c>
      <c r="H64" s="100">
        <f>'Bütçe aylık-TL'!H64/'Bütçe aylık-TL'!H$3</f>
        <v/>
      </c>
      <c r="I64" s="100">
        <f>'Bütçe aylık-TL'!I64/'Bütçe aylık-TL'!I$3</f>
        <v/>
      </c>
      <c r="J64" s="100">
        <f>'Bütçe aylık-TL'!J64/'Bütçe aylık-TL'!J$3</f>
        <v/>
      </c>
      <c r="K64" s="100">
        <f>'Bütçe aylık-TL'!K64/'Bütçe aylık-TL'!K$3</f>
        <v/>
      </c>
      <c r="L64" s="100">
        <f>'Bütçe aylık-TL'!L64/'Bütçe aylık-TL'!L$3</f>
        <v/>
      </c>
      <c r="M64" s="100">
        <f>'Bütçe aylık-TL'!M64/'Bütçe aylık-TL'!M$3</f>
        <v/>
      </c>
      <c r="N64" s="101">
        <f>SUM(B64:M64)</f>
        <v/>
      </c>
    </row>
    <row r="65">
      <c r="A65" s="61" t="inlineStr">
        <is>
          <t>Jantaş / G.6.6.</t>
        </is>
      </c>
      <c r="B65" s="100" t="n">
        <v>584095.366499</v>
      </c>
      <c r="C65" s="100" t="n">
        <v>1073672.287575</v>
      </c>
      <c r="D65" s="100" t="n">
        <v>2065118.068524</v>
      </c>
      <c r="E65" s="100" t="n">
        <v>445536.750511</v>
      </c>
      <c r="F65" s="100" t="n">
        <v>1140123.712597</v>
      </c>
      <c r="G65" s="100" t="n">
        <v>1424490.12366</v>
      </c>
      <c r="H65" s="100" t="n">
        <v>494325.2960400004</v>
      </c>
      <c r="I65" s="100" t="n">
        <v>106980.2681109998</v>
      </c>
      <c r="J65" s="100" t="n">
        <v>2454762.104838</v>
      </c>
      <c r="K65" s="100" t="n">
        <v>1444831.571163</v>
      </c>
      <c r="L65" s="100" t="n">
        <v>1461189.906951999</v>
      </c>
      <c r="M65" s="100" t="n">
        <v>1085032.006347001</v>
      </c>
      <c r="N65" s="101">
        <f>SUM(B65:M65)</f>
        <v/>
      </c>
    </row>
    <row r="66">
      <c r="A66" s="61" t="inlineStr">
        <is>
          <t>Çelik / G.6.7.</t>
        </is>
      </c>
      <c r="B66" s="100" t="n">
        <v>1288051.340977</v>
      </c>
      <c r="C66" s="100" t="n">
        <v>1124706.583561</v>
      </c>
      <c r="D66" s="100" t="n">
        <v>1674194.318388</v>
      </c>
      <c r="E66" s="100" t="n">
        <v>1629768.157565</v>
      </c>
      <c r="F66" s="100" t="n">
        <v>1724517.993927</v>
      </c>
      <c r="G66" s="100" t="n">
        <v>1363426.837955999</v>
      </c>
      <c r="H66" s="100" t="n">
        <v>1162329.659356</v>
      </c>
      <c r="I66" s="100" t="n">
        <v>656783.5598850008</v>
      </c>
      <c r="J66" s="100" t="n">
        <v>1977322.903355001</v>
      </c>
      <c r="K66" s="100" t="n">
        <v>1780240.016416999</v>
      </c>
      <c r="L66" s="100" t="n">
        <v>1661823.045605</v>
      </c>
      <c r="M66" s="100" t="n">
        <v>944755.1961280016</v>
      </c>
      <c r="N66" s="101">
        <f>SUM(B66:M66)</f>
        <v/>
      </c>
    </row>
    <row r="67">
      <c r="A67" s="61" t="inlineStr">
        <is>
          <t>Alüminyum / G.6.8.</t>
        </is>
      </c>
      <c r="B67" s="100" t="n">
        <v>1999008.652528</v>
      </c>
      <c r="C67" s="100" t="n">
        <v>2086768.508785</v>
      </c>
      <c r="D67" s="100" t="n">
        <v>1794243.229813</v>
      </c>
      <c r="E67" s="100" t="n">
        <v>1578424.634225</v>
      </c>
      <c r="F67" s="100" t="n">
        <v>2514804.335838</v>
      </c>
      <c r="G67" s="100" t="n">
        <v>1501202.550812</v>
      </c>
      <c r="H67" s="100" t="n">
        <v>2633805.296019999</v>
      </c>
      <c r="I67" s="100" t="n">
        <v>658957.0490809996</v>
      </c>
      <c r="J67" s="100" t="n">
        <v>3405130.583005002</v>
      </c>
      <c r="K67" s="100" t="n">
        <v>2748439.241595</v>
      </c>
      <c r="L67" s="100" t="n">
        <v>2717115.737531997</v>
      </c>
      <c r="M67" s="100" t="n">
        <v>1883160.902958002</v>
      </c>
      <c r="N67" s="101">
        <f>SUM(B67:M67)</f>
        <v/>
      </c>
    </row>
    <row r="68">
      <c r="A68" s="61" t="inlineStr">
        <is>
          <t>x / G.6.9.</t>
        </is>
      </c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70" t="n"/>
    </row>
    <row r="69">
      <c r="A69" s="61" t="inlineStr">
        <is>
          <t>y / G.6.10.</t>
        </is>
      </c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70" t="n"/>
    </row>
    <row r="70">
      <c r="A70" s="61" t="inlineStr">
        <is>
          <t>Amortisman-EUR / G.7.</t>
        </is>
      </c>
      <c r="B70" s="103">
        <f>SUM(B71:B73)+SUM(B74:B78)*0.4</f>
        <v/>
      </c>
      <c r="C70" s="103">
        <f>SUM(C71:C73)+SUM(C74:C78)*0.4</f>
        <v/>
      </c>
      <c r="D70" s="103">
        <f>SUM(D71:D73)+SUM(D74:D78)*0.4</f>
        <v/>
      </c>
      <c r="E70" s="103">
        <f>SUM(E71:E73)+SUM(E74:E78)*0.4</f>
        <v/>
      </c>
      <c r="F70" s="103">
        <f>SUM(F71:F73)+SUM(F74:F78)*0.4</f>
        <v/>
      </c>
      <c r="G70" s="103">
        <f>SUM(G71:G73)+SUM(G74:G78)*0.4</f>
        <v/>
      </c>
      <c r="H70" s="103">
        <f>SUM(H71:H73)+SUM(H74:H78)*0.4</f>
        <v/>
      </c>
      <c r="I70" s="103">
        <f>SUM(I71:I73)+SUM(I74:I78)*0.4</f>
        <v/>
      </c>
      <c r="J70" s="103">
        <f>SUM(J71:J73)+SUM(J74:J78)*0.4</f>
        <v/>
      </c>
      <c r="K70" s="103">
        <f>SUM(K71:K73)+SUM(K74:K78)*0.4</f>
        <v/>
      </c>
      <c r="L70" s="103">
        <f>SUM(L71:L73)+SUM(L74:L78)*0.4</f>
        <v/>
      </c>
      <c r="M70" s="103">
        <f>SUM(M71:M73)+SUM(M74:M78)*0.4</f>
        <v/>
      </c>
      <c r="N70" s="103">
        <f>SUM(N71:N73)+SUM(N74:N78)*0.4</f>
        <v/>
      </c>
    </row>
    <row r="71">
      <c r="A71" s="61" t="inlineStr">
        <is>
          <t>İnci Holding / G.7.1.</t>
        </is>
      </c>
      <c r="B71" s="100" t="n">
        <v>4923.829074591736</v>
      </c>
      <c r="C71" s="100" t="n">
        <v>4824.360929775399</v>
      </c>
      <c r="D71" s="100" t="n">
        <v>4728.819764613686</v>
      </c>
      <c r="E71" s="100" t="n">
        <v>4637.001048980845</v>
      </c>
      <c r="F71" s="100" t="n">
        <v>4548.680076053668</v>
      </c>
      <c r="G71" s="100" t="n">
        <v>4463.66071695202</v>
      </c>
      <c r="H71" s="100" t="n">
        <v>4381.750736005331</v>
      </c>
      <c r="I71" s="100" t="n">
        <v>4302.802873492076</v>
      </c>
      <c r="J71" s="100" t="n">
        <v>4226.64953513586</v>
      </c>
      <c r="K71" s="100" t="n">
        <v>4153.144924312979</v>
      </c>
      <c r="L71" s="100" t="n">
        <v>4082.14409892139</v>
      </c>
      <c r="M71" s="100" t="n">
        <v>4013.538894142646</v>
      </c>
      <c r="N71" s="101">
        <f>SUM(B71:M71)</f>
        <v/>
      </c>
    </row>
    <row r="72">
      <c r="A72" s="61" t="inlineStr">
        <is>
          <t>ISM / G.7.2.</t>
        </is>
      </c>
      <c r="B72" s="100" t="n">
        <v>10924.98046382174</v>
      </c>
      <c r="C72" s="100" t="n">
        <v>14507.13879797036</v>
      </c>
      <c r="D72" s="100" t="n">
        <v>13044.66176101345</v>
      </c>
      <c r="E72" s="100" t="n">
        <v>25502.10743046485</v>
      </c>
      <c r="F72" s="100" t="n">
        <v>19070.37429654711</v>
      </c>
      <c r="G72" s="100" t="n">
        <v>16725.0878104485</v>
      </c>
      <c r="H72" s="100" t="n">
        <v>20516.16632943973</v>
      </c>
      <c r="I72" s="100" t="n">
        <v>16993.23560469922</v>
      </c>
      <c r="J72" s="100" t="n">
        <v>19908.80872263499</v>
      </c>
      <c r="K72" s="100" t="n">
        <v>16133.00349273341</v>
      </c>
      <c r="L72" s="100" t="n">
        <v>15857.19887119857</v>
      </c>
      <c r="M72" s="100" t="n">
        <v>16086.80150594779</v>
      </c>
      <c r="N72" s="101">
        <f>SUM(B72:M72)</f>
        <v/>
      </c>
    </row>
    <row r="73">
      <c r="A73" s="61" t="inlineStr">
        <is>
          <t>İncitaş / G.7.3.</t>
        </is>
      </c>
      <c r="B73" s="100" t="n">
        <v>1299.504117922699</v>
      </c>
      <c r="C73" s="100" t="n">
        <v>1273.252340732063</v>
      </c>
      <c r="D73" s="100" t="n">
        <v>1248.036977713176</v>
      </c>
      <c r="E73" s="100" t="n">
        <v>1223.804048978308</v>
      </c>
      <c r="F73" s="100" t="n">
        <v>1200.494249576443</v>
      </c>
      <c r="G73" s="100" t="n">
        <v>1178.055816888789</v>
      </c>
      <c r="H73" s="100" t="n">
        <v>1156.438015798076</v>
      </c>
      <c r="I73" s="100" t="n">
        <v>1135.601981304804</v>
      </c>
      <c r="J73" s="100" t="n">
        <v>1115.503481684228</v>
      </c>
      <c r="K73" s="100" t="n">
        <v>1096.104038079749</v>
      </c>
      <c r="L73" s="100" t="n">
        <v>1077.365397161363</v>
      </c>
      <c r="M73" s="100" t="n">
        <v>1059.259011913151</v>
      </c>
      <c r="N73" s="101">
        <f>SUM(B73:M73)</f>
        <v/>
      </c>
    </row>
    <row r="74">
      <c r="A74" s="61" t="inlineStr">
        <is>
          <t>İnci GS Yuasa / G.7.4.</t>
        </is>
      </c>
      <c r="B74" s="100" t="n">
        <v>235515.6000694265</v>
      </c>
      <c r="C74" s="100" t="n">
        <v>236674.9486388871</v>
      </c>
      <c r="D74" s="100" t="n">
        <v>244999.2898802765</v>
      </c>
      <c r="E74" s="100" t="n">
        <v>238938.903896327</v>
      </c>
      <c r="F74" s="100" t="n">
        <v>211473.8666248044</v>
      </c>
      <c r="G74" s="100" t="n">
        <v>222198.6401309053</v>
      </c>
      <c r="H74" s="100" t="n">
        <v>238801.8779104217</v>
      </c>
      <c r="I74" s="100" t="n">
        <v>209121.7827125214</v>
      </c>
      <c r="J74" s="100" t="n">
        <v>211295.9093776614</v>
      </c>
      <c r="K74" s="100" t="n">
        <v>233224.1387609771</v>
      </c>
      <c r="L74" s="100" t="n">
        <v>223550.6887406758</v>
      </c>
      <c r="M74" s="100" t="n">
        <v>217341.5786700604</v>
      </c>
      <c r="N74" s="101">
        <f>SUM(B74:M74)</f>
        <v/>
      </c>
    </row>
    <row r="75">
      <c r="A75" s="61" t="inlineStr">
        <is>
          <t>Yusen İnci Loj. / G.7.5.</t>
        </is>
      </c>
      <c r="B75" s="100" t="n">
        <v>100030.5390382627</v>
      </c>
      <c r="C75" s="100" t="n">
        <v>98075.79585204124</v>
      </c>
      <c r="D75" s="100" t="n">
        <v>96197.79071541819</v>
      </c>
      <c r="E75" s="100">
        <f>'Bütçe aylık-TL'!E75/'Bütçe aylık-TL'!E$3</f>
        <v/>
      </c>
      <c r="F75" s="100">
        <f>'Bütçe aylık-TL'!F75/'Bütçe aylık-TL'!F$3</f>
        <v/>
      </c>
      <c r="G75" s="100">
        <f>'Bütçe aylık-TL'!G75/'Bütçe aylık-TL'!G$3</f>
        <v/>
      </c>
      <c r="H75" s="100">
        <f>'Bütçe aylık-TL'!H75/'Bütçe aylık-TL'!H$3</f>
        <v/>
      </c>
      <c r="I75" s="100">
        <f>'Bütçe aylık-TL'!I75/'Bütçe aylık-TL'!I$3</f>
        <v/>
      </c>
      <c r="J75" s="100">
        <f>'Bütçe aylık-TL'!J75/'Bütçe aylık-TL'!J$3</f>
        <v/>
      </c>
      <c r="K75" s="100">
        <f>'Bütçe aylık-TL'!K75/'Bütçe aylık-TL'!K$3</f>
        <v/>
      </c>
      <c r="L75" s="100">
        <f>'Bütçe aylık-TL'!L75/'Bütçe aylık-TL'!L$3</f>
        <v/>
      </c>
      <c r="M75" s="100">
        <f>'Bütçe aylık-TL'!M75/'Bütçe aylık-TL'!M$3</f>
        <v/>
      </c>
      <c r="N75" s="101">
        <f>SUM(B75:M75)</f>
        <v/>
      </c>
    </row>
    <row r="76">
      <c r="A76" s="61" t="inlineStr">
        <is>
          <t>Jantaş / G.7.6.</t>
        </is>
      </c>
      <c r="B76" s="100" t="n">
        <v>391097.550671</v>
      </c>
      <c r="C76" s="100" t="n">
        <v>356834.1392940001</v>
      </c>
      <c r="D76" s="100" t="n">
        <v>922656.969107</v>
      </c>
      <c r="E76" s="100" t="n">
        <v>402764.1013719998</v>
      </c>
      <c r="F76" s="100" t="n">
        <v>414753.336195</v>
      </c>
      <c r="G76" s="100" t="n">
        <v>924391.7784020002</v>
      </c>
      <c r="H76" s="100" t="n">
        <v>404516.5996809998</v>
      </c>
      <c r="I76" s="100" t="n">
        <v>411271.1823129999</v>
      </c>
      <c r="J76" s="100" t="n">
        <v>926839.7653490008</v>
      </c>
      <c r="K76" s="100" t="n">
        <v>422263.8964069998</v>
      </c>
      <c r="L76" s="100" t="n">
        <v>396149.4086189996</v>
      </c>
      <c r="M76" s="100" t="n">
        <v>940185.2009359999</v>
      </c>
      <c r="N76" s="101">
        <f>SUM(B76:M76)</f>
        <v/>
      </c>
    </row>
    <row r="77">
      <c r="A77" s="61" t="inlineStr">
        <is>
          <t>Çelik / G.7.7.</t>
        </is>
      </c>
      <c r="B77" s="100" t="n">
        <v>259449.86533</v>
      </c>
      <c r="C77" s="100" t="n">
        <v>238739.917119</v>
      </c>
      <c r="D77" s="100" t="n">
        <v>265653.689306</v>
      </c>
      <c r="E77" s="100" t="n">
        <v>258471.4781500001</v>
      </c>
      <c r="F77" s="100" t="n">
        <v>264828.79818</v>
      </c>
      <c r="G77" s="100" t="n">
        <v>262006.2275319998</v>
      </c>
      <c r="H77" s="100" t="n">
        <v>268942.901479</v>
      </c>
      <c r="I77" s="100" t="n">
        <v>268667.0506860001</v>
      </c>
      <c r="J77" s="100" t="n">
        <v>263768.985287</v>
      </c>
      <c r="K77" s="100" t="n">
        <v>267532.0638839998</v>
      </c>
      <c r="L77" s="100" t="n">
        <v>261046.6689890004</v>
      </c>
      <c r="M77" s="100" t="n">
        <v>273224.024549</v>
      </c>
      <c r="N77" s="101">
        <f>SUM(B77:M77)</f>
        <v/>
      </c>
    </row>
    <row r="78">
      <c r="A78" s="61" t="inlineStr">
        <is>
          <t>Alüminyum / G.7.8.</t>
        </is>
      </c>
      <c r="B78" s="100" t="n">
        <v>670784.8935830001</v>
      </c>
      <c r="C78" s="100" t="n">
        <v>667517.7135819998</v>
      </c>
      <c r="D78" s="100" t="n">
        <v>652501.814425</v>
      </c>
      <c r="E78" s="100" t="n">
        <v>649419.5708170002</v>
      </c>
      <c r="F78" s="100" t="n">
        <v>648312.942264</v>
      </c>
      <c r="G78" s="100" t="n">
        <v>625206.0940899998</v>
      </c>
      <c r="H78" s="100" t="n">
        <v>622557.9471100005</v>
      </c>
      <c r="I78" s="100" t="n">
        <v>616773.498168</v>
      </c>
      <c r="J78" s="100" t="n">
        <v>594579.171166</v>
      </c>
      <c r="K78" s="100" t="n">
        <v>594516.9914079998</v>
      </c>
      <c r="L78" s="100" t="n">
        <v>590187.5725999996</v>
      </c>
      <c r="M78" s="100" t="n">
        <v>598671.9492340004</v>
      </c>
      <c r="N78" s="101">
        <f>SUM(B78:M78)</f>
        <v/>
      </c>
    </row>
    <row r="79">
      <c r="A79" s="61" t="inlineStr">
        <is>
          <t>x / G.7.9.</t>
        </is>
      </c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70" t="n"/>
    </row>
    <row r="80">
      <c r="A80" s="61" t="inlineStr">
        <is>
          <t>y / G.7.10.</t>
        </is>
      </c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70" t="n"/>
    </row>
    <row r="81">
      <c r="A81" s="61" t="inlineStr">
        <is>
          <t>EBİTDA-EUR / G.8.</t>
        </is>
      </c>
      <c r="B81" s="103">
        <f>SUM(B82:B84)+SUM(B85:B89)*0.4</f>
        <v/>
      </c>
      <c r="C81" s="103">
        <f>SUM(C82:C84)+SUM(C85:C89)*0.4</f>
        <v/>
      </c>
      <c r="D81" s="103">
        <f>SUM(D82:D84)+SUM(D85:D89)*0.4</f>
        <v/>
      </c>
      <c r="E81" s="103">
        <f>SUM(E82:E84)+SUM(E85:E89)*0.4</f>
        <v/>
      </c>
      <c r="F81" s="103">
        <f>SUM(F82:F84)+SUM(F85:F89)*0.4</f>
        <v/>
      </c>
      <c r="G81" s="103">
        <f>SUM(G82:G84)+SUM(G85:G89)*0.4</f>
        <v/>
      </c>
      <c r="H81" s="103">
        <f>SUM(H82:H84)+SUM(H85:H89)*0.4</f>
        <v/>
      </c>
      <c r="I81" s="103">
        <f>SUM(I82:I84)+SUM(I85:I89)*0.4</f>
        <v/>
      </c>
      <c r="J81" s="103">
        <f>SUM(J82:J84)+SUM(J85:J89)*0.4</f>
        <v/>
      </c>
      <c r="K81" s="103">
        <f>SUM(K82:K84)+SUM(K85:K89)*0.4</f>
        <v/>
      </c>
      <c r="L81" s="103">
        <f>SUM(L82:L84)+SUM(L85:L89)*0.4</f>
        <v/>
      </c>
      <c r="M81" s="103">
        <f>SUM(M82:M84)+SUM(M85:M89)*0.4</f>
        <v/>
      </c>
      <c r="N81" s="103">
        <f>SUM(N82:N84)+SUM(N85:N89)*0.4</f>
        <v/>
      </c>
    </row>
    <row r="82">
      <c r="A82" s="61" t="inlineStr">
        <is>
          <t>İnci Holding / G.8.1.</t>
        </is>
      </c>
      <c r="B82" s="100" t="n">
        <v>341165.3624995421</v>
      </c>
      <c r="C82" s="100" t="n">
        <v>368752.7935272993</v>
      </c>
      <c r="D82" s="100" t="n">
        <v>340943.6997693209</v>
      </c>
      <c r="E82" s="100" t="n">
        <v>341689.1681469553</v>
      </c>
      <c r="F82" s="100" t="n">
        <v>355374.4595606949</v>
      </c>
      <c r="G82" s="100" t="n">
        <v>362371.3350087278</v>
      </c>
      <c r="H82" s="100" t="n">
        <v>394955.2698009184</v>
      </c>
      <c r="I82" s="100" t="n">
        <v>327773.1136422214</v>
      </c>
      <c r="J82" s="100" t="n">
        <v>486568.0722936903</v>
      </c>
      <c r="K82" s="100" t="n">
        <v>441044.1784918929</v>
      </c>
      <c r="L82" s="100" t="n">
        <v>390385.2486655012</v>
      </c>
      <c r="M82" s="100" t="n">
        <v>-211270.3148516179</v>
      </c>
      <c r="N82" s="101">
        <f>SUM(B82:M82)</f>
        <v/>
      </c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</row>
    <row r="83">
      <c r="A83" s="61" t="inlineStr">
        <is>
          <t>ISM / G.8.2.</t>
        </is>
      </c>
      <c r="B83" s="100" t="n">
        <v>-18617.17053831114</v>
      </c>
      <c r="C83" s="100" t="n">
        <v>97964.85024109196</v>
      </c>
      <c r="D83" s="100" t="n">
        <v>116118.1178337786</v>
      </c>
      <c r="E83" s="100" t="n">
        <v>196284.0569229033</v>
      </c>
      <c r="F83" s="100" t="n">
        <v>231649.3703036922</v>
      </c>
      <c r="G83" s="100" t="n">
        <v>209532.7912280492</v>
      </c>
      <c r="H83" s="100" t="n">
        <v>166234.5118633677</v>
      </c>
      <c r="I83" s="100" t="n">
        <v>51306.14605751174</v>
      </c>
      <c r="J83" s="100" t="n">
        <v>83232.73575019995</v>
      </c>
      <c r="K83" s="100" t="n">
        <v>37311.76244901575</v>
      </c>
      <c r="L83" s="100" t="n">
        <v>9578.490568776779</v>
      </c>
      <c r="M83" s="100" t="n">
        <v>-29534.41714126095</v>
      </c>
      <c r="N83" s="101">
        <f>SUM(B83:M83)</f>
        <v/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</row>
    <row r="84">
      <c r="A84" s="61" t="inlineStr">
        <is>
          <t>İncitaş / G.8.3.</t>
        </is>
      </c>
      <c r="B84" s="100" t="n">
        <v>-43556.49167081394</v>
      </c>
      <c r="C84" s="100" t="n">
        <v>3031.094556208177</v>
      </c>
      <c r="D84" s="100" t="n">
        <v>53626.47824778024</v>
      </c>
      <c r="E84" s="100" t="n">
        <v>50155.57099523964</v>
      </c>
      <c r="F84" s="100" t="n">
        <v>104935.7810635074</v>
      </c>
      <c r="G84" s="100" t="n">
        <v>104549.4430002026</v>
      </c>
      <c r="H84" s="100" t="n">
        <v>126956.8400262662</v>
      </c>
      <c r="I84" s="100" t="n">
        <v>98933.27285186457</v>
      </c>
      <c r="J84" s="100" t="n">
        <v>75963.20049017749</v>
      </c>
      <c r="K84" s="100" t="n">
        <v>95338.69803922458</v>
      </c>
      <c r="L84" s="100" t="n">
        <v>113729.4911519991</v>
      </c>
      <c r="M84" s="100" t="n">
        <v>48197.21733755244</v>
      </c>
      <c r="N84" s="101">
        <f>SUM(B84:M84)</f>
        <v/>
      </c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</row>
    <row r="85">
      <c r="A85" s="61" t="inlineStr">
        <is>
          <t>İnci GS Yuasa / G.8.4.</t>
        </is>
      </c>
      <c r="B85" s="100" t="n">
        <v>1646454.613105664</v>
      </c>
      <c r="C85" s="100" t="n">
        <v>1387142.940526249</v>
      </c>
      <c r="D85" s="100" t="n">
        <v>1534134.542301981</v>
      </c>
      <c r="E85" s="100" t="n">
        <v>1351187.902745494</v>
      </c>
      <c r="F85" s="100" t="n">
        <v>1502659.200184349</v>
      </c>
      <c r="G85" s="100" t="n">
        <v>1777133.736100793</v>
      </c>
      <c r="H85" s="100" t="n">
        <v>2240286.447622835</v>
      </c>
      <c r="I85" s="100" t="n">
        <v>2392093.113478709</v>
      </c>
      <c r="J85" s="100" t="n">
        <v>2901139.010337049</v>
      </c>
      <c r="K85" s="100" t="n">
        <v>3566463.00400805</v>
      </c>
      <c r="L85" s="100" t="n">
        <v>3693515.720897339</v>
      </c>
      <c r="M85" s="100" t="n">
        <v>4381790.584888475</v>
      </c>
      <c r="N85" s="101">
        <f>SUM(B85:M85)</f>
        <v/>
      </c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</row>
    <row r="86">
      <c r="A86" s="61" t="inlineStr">
        <is>
          <t>Yusen İnci Loj. / G.8.5.</t>
        </is>
      </c>
      <c r="B86" s="100" t="n">
        <v>534180.8859014133</v>
      </c>
      <c r="C86" s="100" t="n">
        <v>573746.5270409832</v>
      </c>
      <c r="D86" s="100" t="n">
        <v>538819.1888599502</v>
      </c>
      <c r="E86" s="100">
        <f>'Bütçe aylık-TL'!E86/'Bütçe aylık-TL'!E$3</f>
        <v/>
      </c>
      <c r="F86" s="100">
        <f>'Bütçe aylık-TL'!F86/'Bütçe aylık-TL'!F$3</f>
        <v/>
      </c>
      <c r="G86" s="100">
        <f>'Bütçe aylık-TL'!G86/'Bütçe aylık-TL'!G$3</f>
        <v/>
      </c>
      <c r="H86" s="100">
        <f>'Bütçe aylık-TL'!H86/'Bütçe aylık-TL'!H$3</f>
        <v/>
      </c>
      <c r="I86" s="100">
        <f>'Bütçe aylık-TL'!I86/'Bütçe aylık-TL'!I$3</f>
        <v/>
      </c>
      <c r="J86" s="100">
        <f>'Bütçe aylık-TL'!J86/'Bütçe aylık-TL'!J$3</f>
        <v/>
      </c>
      <c r="K86" s="100">
        <f>'Bütçe aylık-TL'!K86/'Bütçe aylık-TL'!K$3</f>
        <v/>
      </c>
      <c r="L86" s="100">
        <f>'Bütçe aylık-TL'!L86/'Bütçe aylık-TL'!L$3</f>
        <v/>
      </c>
      <c r="M86" s="100">
        <f>'Bütçe aylık-TL'!M86/'Bütçe aylık-TL'!M$3</f>
        <v/>
      </c>
      <c r="N86" s="101">
        <f>SUM(B86:M86)</f>
        <v/>
      </c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</row>
    <row r="87">
      <c r="A87" s="61" t="inlineStr">
        <is>
          <t>Jantaş / G.8.6.</t>
        </is>
      </c>
      <c r="B87" s="100" t="n">
        <v>1012467.278173</v>
      </c>
      <c r="C87" s="100" t="n">
        <v>1467648.653841</v>
      </c>
      <c r="D87" s="100" t="n">
        <v>3024901.49335</v>
      </c>
      <c r="E87" s="100" t="n">
        <v>885044.6327980002</v>
      </c>
      <c r="F87" s="100" t="n">
        <v>1593694.008424</v>
      </c>
      <c r="G87" s="100" t="n">
        <v>2387687.958865999</v>
      </c>
      <c r="H87" s="100" t="n">
        <v>938704.7425240017</v>
      </c>
      <c r="I87" s="100" t="n">
        <v>558804.2572269998</v>
      </c>
      <c r="J87" s="100" t="n">
        <v>3422154.676989999</v>
      </c>
      <c r="K87" s="100" t="n">
        <v>1907648.274374001</v>
      </c>
      <c r="L87" s="100" t="n">
        <v>1897892.122373</v>
      </c>
      <c r="M87" s="100" t="n">
        <v>2065770.014088001</v>
      </c>
      <c r="N87" s="101">
        <f>SUM(B87:M87)</f>
        <v/>
      </c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</row>
    <row r="88">
      <c r="A88" s="61" t="inlineStr">
        <is>
          <t>Çelik / G.8.7.</t>
        </is>
      </c>
      <c r="B88" s="100" t="n">
        <v>1547501.206307</v>
      </c>
      <c r="C88" s="100" t="n">
        <v>1363446.50068</v>
      </c>
      <c r="D88" s="100" t="n">
        <v>1939848.007694</v>
      </c>
      <c r="E88" s="100" t="n">
        <v>1888239.635714999</v>
      </c>
      <c r="F88" s="100" t="n">
        <v>1989346.792107001</v>
      </c>
      <c r="G88" s="100" t="n">
        <v>1625433.065488</v>
      </c>
      <c r="H88" s="100" t="n">
        <v>1431272.560835</v>
      </c>
      <c r="I88" s="100" t="n">
        <v>925450.610570999</v>
      </c>
      <c r="J88" s="100" t="n">
        <v>2241091.888642</v>
      </c>
      <c r="K88" s="100" t="n">
        <v>2047772.080301002</v>
      </c>
      <c r="L88" s="100" t="n">
        <v>1922869.714593999</v>
      </c>
      <c r="M88" s="100" t="n">
        <v>1217979.220677</v>
      </c>
      <c r="N88" s="101">
        <f>SUM(B88:M88)</f>
        <v/>
      </c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</row>
    <row r="89">
      <c r="A89" s="61" t="inlineStr">
        <is>
          <t>Alüminyum / G.8.8.</t>
        </is>
      </c>
      <c r="B89" s="100" t="n">
        <v>2576618.37414</v>
      </c>
      <c r="C89" s="100" t="n">
        <v>2657163.200118999</v>
      </c>
      <c r="D89" s="100" t="n">
        <v>2351870.143737</v>
      </c>
      <c r="E89" s="100" t="n">
        <v>2128944.981104</v>
      </c>
      <c r="F89" s="100" t="n">
        <v>3065861.513519999</v>
      </c>
      <c r="G89" s="100" t="n">
        <v>2035083.111184001</v>
      </c>
      <c r="H89" s="100" t="n">
        <v>3160833.424092999</v>
      </c>
      <c r="I89" s="100" t="n">
        <v>1183456.737153001</v>
      </c>
      <c r="J89" s="100" t="n">
        <v>3907395.522626001</v>
      </c>
      <c r="K89" s="100" t="n">
        <v>3250990.747824997</v>
      </c>
      <c r="L89" s="100" t="n">
        <v>3216991.747440003</v>
      </c>
      <c r="M89" s="100" t="n">
        <v>2394741.600357</v>
      </c>
      <c r="N89" s="101">
        <f>SUM(B89:M89)</f>
        <v/>
      </c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</row>
    <row r="90">
      <c r="A90" s="61" t="inlineStr">
        <is>
          <t>x / G.8.9.</t>
        </is>
      </c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70" t="n"/>
    </row>
    <row r="91">
      <c r="A91" s="61" t="inlineStr">
        <is>
          <t>y / G.8.10.</t>
        </is>
      </c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70" t="n"/>
    </row>
    <row r="92">
      <c r="A92" s="61" t="inlineStr">
        <is>
          <t>Finansman Gelir-Gideri-EUR / G.9.</t>
        </is>
      </c>
      <c r="B92" s="103">
        <f>SUM(B93:B95)+SUM(B96:B100)*0.4</f>
        <v/>
      </c>
      <c r="C92" s="103">
        <f>SUM(C93:C95)+SUM(C96:C100)*0.4</f>
        <v/>
      </c>
      <c r="D92" s="103">
        <f>SUM(D93:D95)+SUM(D96:D100)*0.4</f>
        <v/>
      </c>
      <c r="E92" s="103">
        <f>SUM(E93:E95)+SUM(E96:E100)*0.4</f>
        <v/>
      </c>
      <c r="F92" s="103">
        <f>SUM(F93:F95)+SUM(F96:F100)*0.4</f>
        <v/>
      </c>
      <c r="G92" s="103">
        <f>SUM(G93:G95)+SUM(G96:G100)*0.4</f>
        <v/>
      </c>
      <c r="H92" s="103">
        <f>SUM(H93:H95)+SUM(H96:H100)*0.4</f>
        <v/>
      </c>
      <c r="I92" s="103">
        <f>SUM(I93:I95)+SUM(I96:I100)*0.4</f>
        <v/>
      </c>
      <c r="J92" s="103">
        <f>SUM(J93:J95)+SUM(J96:J100)*0.4</f>
        <v/>
      </c>
      <c r="K92" s="103">
        <f>SUM(K93:K95)+SUM(K96:K100)*0.4</f>
        <v/>
      </c>
      <c r="L92" s="103">
        <f>SUM(L93:L95)+SUM(L96:L100)*0.4</f>
        <v/>
      </c>
      <c r="M92" s="103">
        <f>SUM(M93:M95)+SUM(M96:M100)*0.4</f>
        <v/>
      </c>
      <c r="N92" s="103">
        <f>SUM(N93:N95)+SUM(N96:N100)*0.4</f>
        <v/>
      </c>
    </row>
    <row r="93">
      <c r="A93" s="61" t="inlineStr">
        <is>
          <t>İnci Holding / G.9.1.</t>
        </is>
      </c>
      <c r="B93" s="100" t="n">
        <v>-192358.1077916559</v>
      </c>
      <c r="C93" s="100" t="n">
        <v>-185585.3437577048</v>
      </c>
      <c r="D93" s="100" t="n">
        <v>-81187.13791739625</v>
      </c>
      <c r="E93" s="100" t="n">
        <v>-83076.0863763356</v>
      </c>
      <c r="F93" s="100" t="n">
        <v>-73601.79276768677</v>
      </c>
      <c r="G93" s="100" t="n">
        <v>-69886.46713871033</v>
      </c>
      <c r="H93" s="100" t="n">
        <v>-73063.40619094296</v>
      </c>
      <c r="I93" s="100" t="n">
        <v>-70035.85390255153</v>
      </c>
      <c r="J93" s="100" t="n">
        <v>-62777.07752345242</v>
      </c>
      <c r="K93" s="100" t="n">
        <v>-64273.65583510133</v>
      </c>
      <c r="L93" s="100" t="n">
        <v>-59199.28484693822</v>
      </c>
      <c r="M93" s="100" t="n">
        <v>4174.941253460127</v>
      </c>
      <c r="N93" s="101">
        <f>SUM(B93:M93)</f>
        <v/>
      </c>
    </row>
    <row r="94">
      <c r="A94" s="61" t="inlineStr">
        <is>
          <t>ISM / G.9.2.</t>
        </is>
      </c>
      <c r="B94" s="100" t="n">
        <v>-8742.998104102033</v>
      </c>
      <c r="C94" s="100" t="n">
        <v>-6783.901167331602</v>
      </c>
      <c r="D94" s="100" t="n">
        <v>-6733.455582827482</v>
      </c>
      <c r="E94" s="100" t="n">
        <v>-6679.78706406592</v>
      </c>
      <c r="F94" s="100" t="n">
        <v>-6911.380186240679</v>
      </c>
      <c r="G94" s="100" t="n">
        <v>-6402.666933587885</v>
      </c>
      <c r="H94" s="100" t="n">
        <v>-5192.083706796145</v>
      </c>
      <c r="I94" s="100" t="n">
        <v>-6589.044577593065</v>
      </c>
      <c r="J94" s="100" t="n">
        <v>-6661.480704057996</v>
      </c>
      <c r="K94" s="100" t="n">
        <v>-6805.130907653656</v>
      </c>
      <c r="L94" s="100" t="n">
        <v>-6705.403770113711</v>
      </c>
      <c r="M94" s="100" t="n">
        <v>-5781.664680043991</v>
      </c>
      <c r="N94" s="101">
        <f>SUM(B94:M94)</f>
        <v/>
      </c>
    </row>
    <row r="95">
      <c r="A95" s="61" t="inlineStr">
        <is>
          <t>İncitaş / G.9.3.</t>
        </is>
      </c>
      <c r="B95" s="100" t="n">
        <v>-54921.72712456372</v>
      </c>
      <c r="C95" s="100" t="n">
        <v>-61003.5890161326</v>
      </c>
      <c r="D95" s="100" t="n">
        <v>-55911.12592415186</v>
      </c>
      <c r="E95" s="100" t="n">
        <v>-57602.18579641743</v>
      </c>
      <c r="F95" s="100" t="n">
        <v>-52237.65412202421</v>
      </c>
      <c r="G95" s="100" t="n">
        <v>-52262.7686809616</v>
      </c>
      <c r="H95" s="100" t="n">
        <v>-50360.82544822728</v>
      </c>
      <c r="I95" s="100" t="n">
        <v>-54827.16078548534</v>
      </c>
      <c r="J95" s="100" t="n">
        <v>-50311.90561672114</v>
      </c>
      <c r="K95" s="100" t="n">
        <v>-49242.62890287892</v>
      </c>
      <c r="L95" s="100" t="n">
        <v>-48749.96714075523</v>
      </c>
      <c r="M95" s="100" t="n">
        <v>-51808.95643288179</v>
      </c>
      <c r="N95" s="101">
        <f>SUM(B95:M95)</f>
        <v/>
      </c>
    </row>
    <row r="96">
      <c r="A96" s="61" t="inlineStr">
        <is>
          <t>İnci GS Yuasa / G.9.4.</t>
        </is>
      </c>
      <c r="B96" s="100" t="n">
        <v>-2054274.620666176</v>
      </c>
      <c r="C96" s="100" t="n">
        <v>-2052908.796626031</v>
      </c>
      <c r="D96" s="100" t="n">
        <v>-2046784.521252506</v>
      </c>
      <c r="E96" s="100" t="n">
        <v>-1952563.11298993</v>
      </c>
      <c r="F96" s="100" t="n">
        <v>-1599132.074843775</v>
      </c>
      <c r="G96" s="100" t="n">
        <v>-1607288.820694541</v>
      </c>
      <c r="H96" s="100" t="n">
        <v>-1941631.123538534</v>
      </c>
      <c r="I96" s="100" t="n">
        <v>-2000167.22670869</v>
      </c>
      <c r="J96" s="100" t="n">
        <v>-2073998.557764542</v>
      </c>
      <c r="K96" s="100" t="n">
        <v>-1895221.57772739</v>
      </c>
      <c r="L96" s="100" t="n">
        <v>-1840380.063277896</v>
      </c>
      <c r="M96" s="100" t="n">
        <v>-1902428.864843255</v>
      </c>
      <c r="N96" s="101">
        <f>SUM(B96:M96)</f>
        <v/>
      </c>
    </row>
    <row r="97">
      <c r="A97" s="61" t="inlineStr">
        <is>
          <t>Yusen İnci Loj. / G.9.5.</t>
        </is>
      </c>
      <c r="B97" s="100" t="n">
        <v>-128113.9854791451</v>
      </c>
      <c r="C97" s="100" t="n">
        <v>-124311.1476884512</v>
      </c>
      <c r="D97" s="100" t="n">
        <v>-120615.2218724864</v>
      </c>
      <c r="E97" s="100">
        <f>'Bütçe aylık-TL'!E97/'Bütçe aylık-TL'!E$3</f>
        <v/>
      </c>
      <c r="F97" s="100">
        <f>'Bütçe aylık-TL'!F97/'Bütçe aylık-TL'!F$3</f>
        <v/>
      </c>
      <c r="G97" s="100">
        <f>'Bütçe aylık-TL'!G97/'Bütçe aylık-TL'!G$3</f>
        <v/>
      </c>
      <c r="H97" s="100">
        <f>'Bütçe aylık-TL'!H97/'Bütçe aylık-TL'!H$3</f>
        <v/>
      </c>
      <c r="I97" s="100">
        <f>'Bütçe aylık-TL'!I97/'Bütçe aylık-TL'!I$3</f>
        <v/>
      </c>
      <c r="J97" s="100">
        <f>'Bütçe aylık-TL'!J97/'Bütçe aylık-TL'!J$3</f>
        <v/>
      </c>
      <c r="K97" s="100">
        <f>'Bütçe aylık-TL'!K97/'Bütçe aylık-TL'!K$3</f>
        <v/>
      </c>
      <c r="L97" s="100">
        <f>'Bütçe aylık-TL'!L97/'Bütçe aylık-TL'!L$3</f>
        <v/>
      </c>
      <c r="M97" s="100">
        <f>'Bütçe aylık-TL'!M97/'Bütçe aylık-TL'!M$3</f>
        <v/>
      </c>
      <c r="N97" s="101">
        <f>SUM(B97:M97)</f>
        <v/>
      </c>
    </row>
    <row r="98">
      <c r="A98" s="61" t="inlineStr">
        <is>
          <t>Jantaş / G.9.6.</t>
        </is>
      </c>
      <c r="B98" s="100" t="n">
        <v>-39037.112422</v>
      </c>
      <c r="C98" s="100" t="n">
        <v>-37883.30614399999</v>
      </c>
      <c r="D98" s="100" t="n">
        <v>-36755.07685200001</v>
      </c>
      <c r="E98" s="100" t="n">
        <v>-33477.24945999999</v>
      </c>
      <c r="F98" s="100" t="n">
        <v>-31430.683372</v>
      </c>
      <c r="G98" s="100" t="n">
        <v>-30489.853603</v>
      </c>
      <c r="H98" s="100" t="n">
        <v>-28896.307248</v>
      </c>
      <c r="I98" s="100" t="n">
        <v>-27362.35693499999</v>
      </c>
      <c r="J98" s="100" t="n">
        <v>-26455.38464900001</v>
      </c>
      <c r="K98" s="100" t="n">
        <v>-25286.64995599998</v>
      </c>
      <c r="L98" s="100" t="n">
        <v>-24868.54750100005</v>
      </c>
      <c r="M98" s="100" t="n">
        <v>-23771.4057</v>
      </c>
      <c r="N98" s="101">
        <f>SUM(B98:M98)</f>
        <v/>
      </c>
    </row>
    <row r="99">
      <c r="A99" s="61" t="inlineStr">
        <is>
          <t>Çelik / G.9.7.</t>
        </is>
      </c>
      <c r="B99" s="100" t="n">
        <v>-32514.232259</v>
      </c>
      <c r="C99" s="100" t="n">
        <v>-31571.908798</v>
      </c>
      <c r="D99" s="100" t="n">
        <v>-30651.035837</v>
      </c>
      <c r="E99" s="100" t="n">
        <v>-28001.524211</v>
      </c>
      <c r="F99" s="100" t="n">
        <v>-26343.03470100002</v>
      </c>
      <c r="G99" s="100" t="n">
        <v>-25575.30745999999</v>
      </c>
      <c r="H99" s="100" t="n">
        <v>-24322.88396900002</v>
      </c>
      <c r="I99" s="100" t="n">
        <v>-23076.35504999998</v>
      </c>
      <c r="J99" s="100" t="n">
        <v>-22336.49215900002</v>
      </c>
      <c r="K99" s="100" t="n">
        <v>-21386.259743</v>
      </c>
      <c r="L99" s="100" t="n">
        <v>-21041.99979199999</v>
      </c>
      <c r="M99" s="100" t="n">
        <v>-20151.87596400001</v>
      </c>
      <c r="N99" s="101">
        <f>SUM(B99:M99)</f>
        <v/>
      </c>
    </row>
    <row r="100">
      <c r="A100" s="61" t="inlineStr">
        <is>
          <t>Alüminyum / G.9.8.</t>
        </is>
      </c>
      <c r="B100" s="100" t="n">
        <v>-45211.37</v>
      </c>
      <c r="C100" s="100" t="n">
        <v>-45211.37</v>
      </c>
      <c r="D100" s="100" t="n">
        <v>-45211.36999999997</v>
      </c>
      <c r="E100" s="100" t="n">
        <v>-45211.37000000002</v>
      </c>
      <c r="F100" s="100" t="n">
        <v>-45211.37</v>
      </c>
      <c r="G100" s="100" t="n">
        <v>-45211.36999999997</v>
      </c>
      <c r="H100" s="100" t="n">
        <v>-45211.37000000005</v>
      </c>
      <c r="I100" s="100" t="n">
        <v>-45211.37</v>
      </c>
      <c r="J100" s="100" t="n">
        <v>-45211.37</v>
      </c>
      <c r="K100" s="100" t="n">
        <v>-45211.37</v>
      </c>
      <c r="L100" s="100" t="n">
        <v>-45211.37</v>
      </c>
      <c r="M100" s="100" t="n">
        <v>-45211.36999999994</v>
      </c>
      <c r="N100" s="101">
        <f>SUM(B100:M100)</f>
        <v/>
      </c>
    </row>
    <row r="101">
      <c r="A101" s="61" t="inlineStr">
        <is>
          <t>x / G.9.9.</t>
        </is>
      </c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70" t="n"/>
    </row>
    <row r="102">
      <c r="A102" s="61" t="inlineStr">
        <is>
          <t>y / G.9.10.</t>
        </is>
      </c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70" t="n"/>
    </row>
    <row r="103">
      <c r="A103" s="61" t="inlineStr">
        <is>
          <t>Diğer Gelir-Gideri-EUR / G.10.</t>
        </is>
      </c>
      <c r="B103" s="103">
        <f>SUM(B104:B106)+SUM(B107:B111)*0.4</f>
        <v/>
      </c>
      <c r="C103" s="103">
        <f>SUM(C104:C106)+SUM(C107:C111)*0.4</f>
        <v/>
      </c>
      <c r="D103" s="103">
        <f>SUM(D104:D106)+SUM(D107:D111)*0.4</f>
        <v/>
      </c>
      <c r="E103" s="103">
        <f>SUM(E104:E106)+SUM(E107:E111)*0.4</f>
        <v/>
      </c>
      <c r="F103" s="103">
        <f>SUM(F104:F106)+SUM(F107:F111)*0.4</f>
        <v/>
      </c>
      <c r="G103" s="103">
        <f>SUM(G104:G106)+SUM(G107:G111)*0.4</f>
        <v/>
      </c>
      <c r="H103" s="103">
        <f>SUM(H104:H106)+SUM(H107:H111)*0.4</f>
        <v/>
      </c>
      <c r="I103" s="103">
        <f>SUM(I104:I106)+SUM(I107:I111)*0.4</f>
        <v/>
      </c>
      <c r="J103" s="103">
        <f>SUM(J104:J106)+SUM(J107:J111)*0.4</f>
        <v/>
      </c>
      <c r="K103" s="103">
        <f>SUM(K104:K106)+SUM(K107:K111)*0.4</f>
        <v/>
      </c>
      <c r="L103" s="103">
        <f>SUM(L104:L106)+SUM(L107:L111)*0.4</f>
        <v/>
      </c>
      <c r="M103" s="103">
        <f>SUM(M104:M106)+SUM(M107:M111)*0.4</f>
        <v/>
      </c>
      <c r="N103" s="103">
        <f>SUM(N104:N106)+SUM(N107:N111)*0.4</f>
        <v/>
      </c>
    </row>
    <row r="104">
      <c r="A104" s="61" t="inlineStr">
        <is>
          <t>İnci Holding / G.10.1.</t>
        </is>
      </c>
      <c r="B104" s="100" t="n">
        <v>201940.4290966208</v>
      </c>
      <c r="C104" s="100" t="n">
        <v>108675.4102367646</v>
      </c>
      <c r="D104" s="100" t="n">
        <v>20098.56474913421</v>
      </c>
      <c r="E104" s="100" t="n">
        <v>27324.99170630261</v>
      </c>
      <c r="F104" s="100" t="n">
        <v>20056.08100929711</v>
      </c>
      <c r="G104" s="100" t="n">
        <v>32316.33862800866</v>
      </c>
      <c r="H104" s="100" t="n">
        <v>15190.12155919725</v>
      </c>
      <c r="I104" s="100" t="n">
        <v>11343.17778879418</v>
      </c>
      <c r="J104" s="100" t="n">
        <v>21187.66410700498</v>
      </c>
      <c r="K104" s="100" t="n">
        <v>20064.58688095422</v>
      </c>
      <c r="L104" s="100" t="n">
        <v>22775.66671500432</v>
      </c>
      <c r="M104" s="100" t="n">
        <v>18277.60286991244</v>
      </c>
      <c r="N104" s="101">
        <f>SUM(B104:M104)</f>
        <v/>
      </c>
    </row>
    <row r="105">
      <c r="A105" s="61" t="inlineStr">
        <is>
          <t>ISM / G.10.2.</t>
        </is>
      </c>
      <c r="B105" s="100" t="n">
        <v>1372.102292312995</v>
      </c>
      <c r="C105" s="100" t="n">
        <v>1344.383931775484</v>
      </c>
      <c r="D105" s="100" t="n">
        <v>1317.759885785522</v>
      </c>
      <c r="E105" s="100" t="n">
        <v>1292.173158811759</v>
      </c>
      <c r="F105" s="100" t="n">
        <v>1267.561132769254</v>
      </c>
      <c r="G105" s="100" t="n">
        <v>1243.869153265675</v>
      </c>
      <c r="H105" s="100" t="n">
        <v>1221.043650812671</v>
      </c>
      <c r="I105" s="100" t="n">
        <v>1199.043589176367</v>
      </c>
      <c r="J105" s="100" t="n">
        <v>1177.822265579849</v>
      </c>
      <c r="K105" s="100" t="n">
        <v>1157.339051504427</v>
      </c>
      <c r="L105" s="100" t="n">
        <v>1137.553556557287</v>
      </c>
      <c r="M105" s="100" t="n">
        <v>1118.435638913219</v>
      </c>
      <c r="N105" s="101">
        <f>SUM(B105:M105)</f>
        <v/>
      </c>
    </row>
    <row r="106">
      <c r="A106" s="61" t="inlineStr">
        <is>
          <t>İncitaş / G.10.3.</t>
        </is>
      </c>
      <c r="B106" s="100" t="n">
        <v>6150.118533560625</v>
      </c>
      <c r="C106" s="100" t="n">
        <v>6025.877579370105</v>
      </c>
      <c r="D106" s="100" t="n">
        <v>5906.541743167435</v>
      </c>
      <c r="E106" s="100" t="n">
        <v>5791.855325858427</v>
      </c>
      <c r="F106" s="100" t="n">
        <v>5681.537839448891</v>
      </c>
      <c r="G106" s="100" t="n">
        <v>5575.344261649524</v>
      </c>
      <c r="H106" s="100" t="n">
        <v>5473.034414785773</v>
      </c>
      <c r="I106" s="100" t="n">
        <v>8365.919363318446</v>
      </c>
      <c r="J106" s="100" t="n">
        <v>8217.854761360955</v>
      </c>
      <c r="K106" s="100" t="n">
        <v>8074.940100060421</v>
      </c>
      <c r="L106" s="100" t="n">
        <v>7936.893518891874</v>
      </c>
      <c r="M106" s="100" t="n">
        <v>7803.504771143263</v>
      </c>
      <c r="N106" s="101">
        <f>SUM(B106:M106)</f>
        <v/>
      </c>
    </row>
    <row r="107">
      <c r="A107" s="61" t="inlineStr">
        <is>
          <t>İnci GS Yuasa / G.10.4.</t>
        </is>
      </c>
      <c r="B107" s="100" t="n">
        <v>116253.9003691615</v>
      </c>
      <c r="C107" s="100" t="n">
        <v>-228605.3710606516</v>
      </c>
      <c r="D107" s="100" t="n">
        <v>-185194.1857239403</v>
      </c>
      <c r="E107" s="100" t="n">
        <v>-623773.1059929444</v>
      </c>
      <c r="F107" s="100" t="n">
        <v>-138714.3333354895</v>
      </c>
      <c r="G107" s="100" t="n">
        <v>14485.91709352089</v>
      </c>
      <c r="H107" s="100" t="n">
        <v>-218151.9356878346</v>
      </c>
      <c r="I107" s="100" t="n">
        <v>-199434.5797215489</v>
      </c>
      <c r="J107" s="100" t="n">
        <v>-209743.4613694409</v>
      </c>
      <c r="K107" s="100" t="n">
        <v>-207041.1959665087</v>
      </c>
      <c r="L107" s="100" t="n">
        <v>-187736.6828785129</v>
      </c>
      <c r="M107" s="100" t="n">
        <v>-170607.8145424073</v>
      </c>
      <c r="N107" s="101">
        <f>SUM(B107:M107)</f>
        <v/>
      </c>
    </row>
    <row r="108">
      <c r="A108" s="61" t="inlineStr">
        <is>
          <t>Yusen İnci Loj. / G.10.5.</t>
        </is>
      </c>
      <c r="B108" s="100" t="n">
        <v>0</v>
      </c>
      <c r="C108" s="100" t="n">
        <v>0</v>
      </c>
      <c r="D108" s="100" t="n">
        <v>0</v>
      </c>
      <c r="E108" s="100">
        <f>'Bütçe aylık-TL'!E108/'Bütçe aylık-TL'!E$3</f>
        <v/>
      </c>
      <c r="F108" s="100">
        <f>'Bütçe aylık-TL'!F108/'Bütçe aylık-TL'!F$3</f>
        <v/>
      </c>
      <c r="G108" s="100">
        <f>'Bütçe aylık-TL'!G108/'Bütçe aylık-TL'!G$3</f>
        <v/>
      </c>
      <c r="H108" s="100">
        <f>'Bütçe aylık-TL'!H108/'Bütçe aylık-TL'!H$3</f>
        <v/>
      </c>
      <c r="I108" s="100">
        <f>'Bütçe aylık-TL'!I108/'Bütçe aylık-TL'!I$3</f>
        <v/>
      </c>
      <c r="J108" s="100">
        <f>'Bütçe aylık-TL'!J108/'Bütçe aylık-TL'!J$3</f>
        <v/>
      </c>
      <c r="K108" s="100">
        <f>'Bütçe aylık-TL'!K108/'Bütçe aylık-TL'!K$3</f>
        <v/>
      </c>
      <c r="L108" s="100">
        <f>'Bütçe aylık-TL'!L108/'Bütçe aylık-TL'!L$3</f>
        <v/>
      </c>
      <c r="M108" s="100">
        <f>'Bütçe aylık-TL'!M108/'Bütçe aylık-TL'!M$3</f>
        <v/>
      </c>
      <c r="N108" s="101">
        <f>SUM(B108:M108)</f>
        <v/>
      </c>
    </row>
    <row r="109">
      <c r="A109" s="61" t="inlineStr">
        <is>
          <t>Jantaş / G.10.6.</t>
        </is>
      </c>
      <c r="B109" s="100" t="n">
        <v>-149636.275969</v>
      </c>
      <c r="C109" s="100" t="n">
        <v>19654.65004300002</v>
      </c>
      <c r="D109" s="100" t="n">
        <v>18702.62825499999</v>
      </c>
      <c r="E109" s="100" t="n">
        <v>46753.247644</v>
      </c>
      <c r="F109" s="100" t="n">
        <v>44338.637235</v>
      </c>
      <c r="G109" s="100" t="n">
        <v>34787.411583</v>
      </c>
      <c r="H109" s="100" t="n">
        <v>33635.872698</v>
      </c>
      <c r="I109" s="100" t="n">
        <v>32849.048732</v>
      </c>
      <c r="J109" s="100" t="n">
        <v>29248.266539</v>
      </c>
      <c r="K109" s="100" t="n">
        <v>27820.76223699999</v>
      </c>
      <c r="L109" s="100" t="n">
        <v>23801.806549</v>
      </c>
      <c r="M109" s="100" t="n">
        <v>23459.83171100001</v>
      </c>
      <c r="N109" s="101">
        <f>SUM(B109:M109)</f>
        <v/>
      </c>
    </row>
    <row r="110">
      <c r="A110" s="61" t="inlineStr">
        <is>
          <t>Çelik / G.10.7.</t>
        </is>
      </c>
      <c r="B110" s="100" t="n">
        <v>-27437.96276</v>
      </c>
      <c r="C110" s="100" t="n">
        <v>3230.499896999998</v>
      </c>
      <c r="D110" s="100" t="n">
        <v>2775.829761000001</v>
      </c>
      <c r="E110" s="100" t="n">
        <v>2172.536942999999</v>
      </c>
      <c r="F110" s="100" t="n">
        <v>1893.669232</v>
      </c>
      <c r="G110" s="100" t="n">
        <v>1215.448801</v>
      </c>
      <c r="H110" s="100" t="n">
        <v>953.2931769999996</v>
      </c>
      <c r="I110" s="100" t="n">
        <v>842.7935749999997</v>
      </c>
      <c r="J110" s="100" t="n">
        <v>1714.095261</v>
      </c>
      <c r="K110" s="100" t="n">
        <v>1901.093756</v>
      </c>
      <c r="L110" s="100" t="n">
        <v>1741.535895999999</v>
      </c>
      <c r="M110" s="100" t="n">
        <v>1514.142808000001</v>
      </c>
      <c r="N110" s="101">
        <f>SUM(B110:M110)</f>
        <v/>
      </c>
    </row>
    <row r="111">
      <c r="A111" s="61" t="inlineStr">
        <is>
          <t>Alüminyum / G.10.8.</t>
        </is>
      </c>
      <c r="B111" s="100" t="n">
        <v>0</v>
      </c>
      <c r="C111" s="100" t="n">
        <v>0</v>
      </c>
      <c r="D111" s="100" t="n">
        <v>0</v>
      </c>
      <c r="E111" s="100" t="n">
        <v>0</v>
      </c>
      <c r="F111" s="100" t="n">
        <v>0</v>
      </c>
      <c r="G111" s="100" t="n">
        <v>0</v>
      </c>
      <c r="H111" s="100" t="n">
        <v>0</v>
      </c>
      <c r="I111" s="100" t="n">
        <v>0</v>
      </c>
      <c r="J111" s="100" t="n">
        <v>0</v>
      </c>
      <c r="K111" s="100" t="n">
        <v>0</v>
      </c>
      <c r="L111" s="100" t="n">
        <v>0</v>
      </c>
      <c r="M111" s="100" t="n">
        <v>0</v>
      </c>
      <c r="N111" s="101">
        <f>SUM(B111:M111)</f>
        <v/>
      </c>
    </row>
    <row r="112">
      <c r="A112" s="61" t="inlineStr">
        <is>
          <t>x / G.10.9.</t>
        </is>
      </c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70" t="n"/>
    </row>
    <row r="113">
      <c r="A113" s="61" t="inlineStr">
        <is>
          <t>y / G.10.10.</t>
        </is>
      </c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70" t="n"/>
    </row>
    <row r="114">
      <c r="A114" s="61" t="inlineStr">
        <is>
          <t>VÖK-EUR / G.11.</t>
        </is>
      </c>
      <c r="B114" s="103">
        <f>SUM(B115:B117)+SUM(B118:B122)*0.4</f>
        <v/>
      </c>
      <c r="C114" s="103">
        <f>SUM(C115:C117)+SUM(C118:C122)*0.4</f>
        <v/>
      </c>
      <c r="D114" s="103">
        <f>SUM(D115:D117)+SUM(D118:D122)*0.4</f>
        <v/>
      </c>
      <c r="E114" s="103">
        <f>SUM(E115:E117)+SUM(E118:E122)*0.4</f>
        <v/>
      </c>
      <c r="F114" s="103">
        <f>SUM(F115:F117)+SUM(F118:F122)*0.4</f>
        <v/>
      </c>
      <c r="G114" s="103">
        <f>SUM(G115:G117)+SUM(G118:G122)*0.4</f>
        <v/>
      </c>
      <c r="H114" s="103">
        <f>SUM(H115:H117)+SUM(H118:H122)*0.4</f>
        <v/>
      </c>
      <c r="I114" s="103">
        <f>SUM(I115:I117)+SUM(I118:I122)*0.4</f>
        <v/>
      </c>
      <c r="J114" s="103">
        <f>SUM(J115:J117)+SUM(J118:J122)*0.4</f>
        <v/>
      </c>
      <c r="K114" s="103">
        <f>SUM(K115:K117)+SUM(K118:K122)*0.4</f>
        <v/>
      </c>
      <c r="L114" s="103">
        <f>SUM(L115:L117)+SUM(L118:L122)*0.4</f>
        <v/>
      </c>
      <c r="M114" s="103">
        <f>SUM(M115:M117)+SUM(M118:M122)*0.4</f>
        <v/>
      </c>
      <c r="N114" s="103">
        <f>SUM(N115:N117)+SUM(N118:N122)*0.4</f>
        <v/>
      </c>
    </row>
    <row r="115">
      <c r="A115" s="61" t="inlineStr">
        <is>
          <t>İnci Holding / G.11.1.</t>
        </is>
      </c>
      <c r="B115" s="100" t="n">
        <v>345823.8547299153</v>
      </c>
      <c r="C115" s="100" t="n">
        <v>287018.4990766101</v>
      </c>
      <c r="D115" s="100" t="n">
        <v>275126.3068364194</v>
      </c>
      <c r="E115" s="100" t="n">
        <v>281301.0724279414</v>
      </c>
      <c r="F115" s="100" t="n">
        <v>297280.0677262516</v>
      </c>
      <c r="G115" s="100" t="n">
        <v>320337.5457810498</v>
      </c>
      <c r="H115" s="100" t="n">
        <v>332700.2344331673</v>
      </c>
      <c r="I115" s="100" t="n">
        <v>264777.634654972</v>
      </c>
      <c r="J115" s="100" t="n">
        <v>440752.0093420839</v>
      </c>
      <c r="K115" s="100" t="n">
        <v>392681.9646134101</v>
      </c>
      <c r="L115" s="100" t="n">
        <v>349879.4864346464</v>
      </c>
      <c r="M115" s="100" t="n">
        <v>-192831.30962241</v>
      </c>
      <c r="N115" s="101">
        <f>SUM(B115:M115)</f>
        <v/>
      </c>
    </row>
    <row r="116">
      <c r="A116" s="61" t="inlineStr">
        <is>
          <t>ISM / G.11.2.</t>
        </is>
      </c>
      <c r="B116" s="100" t="n">
        <v>-36913.04681389499</v>
      </c>
      <c r="C116" s="100" t="n">
        <v>78018.19420756548</v>
      </c>
      <c r="D116" s="100" t="n">
        <v>97657.76037572323</v>
      </c>
      <c r="E116" s="100" t="n">
        <v>165394.3355871843</v>
      </c>
      <c r="F116" s="100" t="n">
        <v>206935.1769536737</v>
      </c>
      <c r="G116" s="100" t="n">
        <v>187648.9056372785</v>
      </c>
      <c r="H116" s="100" t="n">
        <v>141747.3054779445</v>
      </c>
      <c r="I116" s="100" t="n">
        <v>28922.90946441935</v>
      </c>
      <c r="J116" s="100" t="n">
        <v>57840.26858910994</v>
      </c>
      <c r="K116" s="100" t="n">
        <v>15530.96710015583</v>
      </c>
      <c r="L116" s="100" t="n">
        <v>-11846.55851597822</v>
      </c>
      <c r="M116" s="100" t="n">
        <v>-50284.44768833951</v>
      </c>
      <c r="N116" s="101">
        <f>SUM(B116:M116)</f>
        <v/>
      </c>
    </row>
    <row r="117">
      <c r="A117" s="61" t="inlineStr">
        <is>
          <t>İncitaş / G.11.3.</t>
        </is>
      </c>
      <c r="B117" s="100" t="n">
        <v>-93627.60437973973</v>
      </c>
      <c r="C117" s="100" t="n">
        <v>-53219.86922128638</v>
      </c>
      <c r="D117" s="100" t="n">
        <v>2373.857089056774</v>
      </c>
      <c r="E117" s="100" t="n">
        <v>-2878.563524297674</v>
      </c>
      <c r="F117" s="100" t="n">
        <v>57179.17053133077</v>
      </c>
      <c r="G117" s="100" t="n">
        <v>56683.96276397735</v>
      </c>
      <c r="H117" s="100" t="n">
        <v>80912.61097700268</v>
      </c>
      <c r="I117" s="100" t="n">
        <v>51336.42944839289</v>
      </c>
      <c r="J117" s="100" t="n">
        <v>32753.64615313308</v>
      </c>
      <c r="K117" s="100" t="n">
        <v>53074.90519830363</v>
      </c>
      <c r="L117" s="100" t="n">
        <v>71839.05213295198</v>
      </c>
      <c r="M117" s="100" t="n">
        <v>3132.506663900761</v>
      </c>
      <c r="N117" s="101">
        <f>SUM(B117:M117)</f>
        <v/>
      </c>
    </row>
    <row r="118">
      <c r="A118" s="61" t="inlineStr">
        <is>
          <t>İnci GS Yuasa / G.11.4.</t>
        </is>
      </c>
      <c r="B118" s="100" t="n">
        <v>-527081.7072608044</v>
      </c>
      <c r="C118" s="100" t="n">
        <v>-1131046.175799321</v>
      </c>
      <c r="D118" s="100" t="n">
        <v>-942843.4545547678</v>
      </c>
      <c r="E118" s="100" t="n">
        <v>-1464087.220133706</v>
      </c>
      <c r="F118" s="100" t="n">
        <v>-446661.074619744</v>
      </c>
      <c r="G118" s="100" t="n">
        <v>-37867.80763113115</v>
      </c>
      <c r="H118" s="100" t="n">
        <v>-158298.4895139551</v>
      </c>
      <c r="I118" s="100" t="n">
        <v>-16630.47566405129</v>
      </c>
      <c r="J118" s="100" t="n">
        <v>406101.0818254048</v>
      </c>
      <c r="K118" s="100" t="n">
        <v>1230976.091553174</v>
      </c>
      <c r="L118" s="100" t="n">
        <v>1441848.286000255</v>
      </c>
      <c r="M118" s="100" t="n">
        <v>2091412.326832753</v>
      </c>
      <c r="N118" s="101">
        <f>SUM(B118:M118)</f>
        <v/>
      </c>
    </row>
    <row r="119">
      <c r="A119" s="61" t="inlineStr">
        <is>
          <t>Yusen İnci Loj. / G.11.5.</t>
        </is>
      </c>
      <c r="B119" s="100" t="n">
        <v>306036.3613840055</v>
      </c>
      <c r="C119" s="100" t="n">
        <v>351359.5835004908</v>
      </c>
      <c r="D119" s="100" t="n">
        <v>322006.2021358315</v>
      </c>
      <c r="E119" s="100">
        <f>'Bütçe aylık-TL'!E119/'Bütçe aylık-TL'!E$3</f>
        <v/>
      </c>
      <c r="F119" s="100">
        <f>'Bütçe aylık-TL'!F119/'Bütçe aylık-TL'!F$3</f>
        <v/>
      </c>
      <c r="G119" s="100">
        <f>'Bütçe aylık-TL'!G119/'Bütçe aylık-TL'!G$3</f>
        <v/>
      </c>
      <c r="H119" s="100">
        <f>'Bütçe aylık-TL'!H119/'Bütçe aylık-TL'!H$3</f>
        <v/>
      </c>
      <c r="I119" s="100">
        <f>'Bütçe aylık-TL'!I119/'Bütçe aylık-TL'!I$3</f>
        <v/>
      </c>
      <c r="J119" s="100">
        <f>'Bütçe aylık-TL'!J119/'Bütçe aylık-TL'!J$3</f>
        <v/>
      </c>
      <c r="K119" s="100">
        <f>'Bütçe aylık-TL'!K119/'Bütçe aylık-TL'!K$3</f>
        <v/>
      </c>
      <c r="L119" s="100">
        <f>'Bütçe aylık-TL'!L119/'Bütçe aylık-TL'!L$3</f>
        <v/>
      </c>
      <c r="M119" s="100">
        <f>'Bütçe aylık-TL'!M119/'Bütçe aylık-TL'!M$3</f>
        <v/>
      </c>
      <c r="N119" s="101">
        <f>SUM(B119:M119)</f>
        <v/>
      </c>
    </row>
    <row r="120">
      <c r="A120" s="61" t="inlineStr">
        <is>
          <t>Jantaş / G.11.6.</t>
        </is>
      </c>
      <c r="B120" s="100" t="n">
        <v>395421.978108</v>
      </c>
      <c r="C120" s="100" t="n">
        <v>1055443.631474</v>
      </c>
      <c r="D120" s="100" t="n">
        <v>2047065.619927</v>
      </c>
      <c r="E120" s="100" t="n">
        <v>458812.7486949996</v>
      </c>
      <c r="F120" s="100" t="n">
        <v>1153031.66646</v>
      </c>
      <c r="G120" s="100" t="n">
        <v>1428787.681641</v>
      </c>
      <c r="H120" s="100" t="n">
        <v>499064.8614879996</v>
      </c>
      <c r="I120" s="100" t="n">
        <v>112466.9599090004</v>
      </c>
      <c r="J120" s="100" t="n">
        <v>2457554.986728</v>
      </c>
      <c r="K120" s="100" t="n">
        <v>1447365.683443999</v>
      </c>
      <c r="L120" s="100" t="n">
        <v>1460123.165999001</v>
      </c>
      <c r="M120" s="100" t="n">
        <v>1084720.432358999</v>
      </c>
      <c r="N120" s="101">
        <f>SUM(B120:M120)</f>
        <v/>
      </c>
    </row>
    <row r="121">
      <c r="A121" s="61" t="inlineStr">
        <is>
          <t>Çelik / G.11.7.</t>
        </is>
      </c>
      <c r="B121" s="100" t="n">
        <v>1228099.145958</v>
      </c>
      <c r="C121" s="100" t="n">
        <v>1096365.17466</v>
      </c>
      <c r="D121" s="100" t="n">
        <v>1646319.112312</v>
      </c>
      <c r="E121" s="100" t="n">
        <v>1603939.170297</v>
      </c>
      <c r="F121" s="100" t="n">
        <v>1700068.628458</v>
      </c>
      <c r="G121" s="100" t="n">
        <v>1339066.979297001</v>
      </c>
      <c r="H121" s="100" t="n">
        <v>1138960.068564</v>
      </c>
      <c r="I121" s="100" t="n">
        <v>634549.9984109998</v>
      </c>
      <c r="J121" s="100" t="n">
        <v>1956700.506457001</v>
      </c>
      <c r="K121" s="100" t="n">
        <v>1760754.850429999</v>
      </c>
      <c r="L121" s="100" t="n">
        <v>1642522.581708001</v>
      </c>
      <c r="M121" s="100" t="n">
        <v>926117.4629720004</v>
      </c>
      <c r="N121" s="101">
        <f>SUM(B121:M121)</f>
        <v/>
      </c>
    </row>
    <row r="122">
      <c r="A122" s="61" t="inlineStr">
        <is>
          <t>Alüminyum / G.11.8.</t>
        </is>
      </c>
      <c r="B122" s="100" t="n">
        <v>1953797.282528</v>
      </c>
      <c r="C122" s="100" t="n">
        <v>2041557.138785</v>
      </c>
      <c r="D122" s="100" t="n">
        <v>1749031.859813</v>
      </c>
      <c r="E122" s="100" t="n">
        <v>1533213.264225</v>
      </c>
      <c r="F122" s="100" t="n">
        <v>2469592.965838001</v>
      </c>
      <c r="G122" s="100" t="n">
        <v>1455991.180811999</v>
      </c>
      <c r="H122" s="100" t="n">
        <v>2588593.92602</v>
      </c>
      <c r="I122" s="100" t="n">
        <v>613745.6790810004</v>
      </c>
      <c r="J122" s="100" t="n">
        <v>3359919.213004999</v>
      </c>
      <c r="K122" s="100" t="n">
        <v>2703227.871594999</v>
      </c>
      <c r="L122" s="100" t="n">
        <v>2671904.367532</v>
      </c>
      <c r="M122" s="100" t="n">
        <v>1837949.532958001</v>
      </c>
      <c r="N122" s="101">
        <f>SUM(B122:M122)</f>
        <v/>
      </c>
    </row>
    <row r="123">
      <c r="A123" s="61" t="inlineStr">
        <is>
          <t>x / G.11.9.</t>
        </is>
      </c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70" t="n"/>
    </row>
    <row r="124">
      <c r="A124" s="61" t="inlineStr">
        <is>
          <t>y / G.11.10.</t>
        </is>
      </c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70" t="n"/>
    </row>
    <row r="125">
      <c r="A125" s="61" t="inlineStr">
        <is>
          <t>Vergi-EUR / G.12.</t>
        </is>
      </c>
      <c r="B125" s="103">
        <f>SUM(B126:B128)+SUM(B129:B133)*0.4</f>
        <v/>
      </c>
      <c r="C125" s="103">
        <f>SUM(C126:C128)+SUM(C129:C133)*0.4</f>
        <v/>
      </c>
      <c r="D125" s="103">
        <f>SUM(D126:D128)+SUM(D129:D133)*0.4</f>
        <v/>
      </c>
      <c r="E125" s="103">
        <f>SUM(E126:E128)+SUM(E129:E133)*0.4</f>
        <v/>
      </c>
      <c r="F125" s="103">
        <f>SUM(F126:F128)+SUM(F129:F133)*0.4</f>
        <v/>
      </c>
      <c r="G125" s="103">
        <f>SUM(G126:G128)+SUM(G129:G133)*0.4</f>
        <v/>
      </c>
      <c r="H125" s="103">
        <f>SUM(H126:H128)+SUM(H129:H133)*0.4</f>
        <v/>
      </c>
      <c r="I125" s="103">
        <f>SUM(I126:I128)+SUM(I129:I133)*0.4</f>
        <v/>
      </c>
      <c r="J125" s="103">
        <f>SUM(J126:J128)+SUM(J129:J133)*0.4</f>
        <v/>
      </c>
      <c r="K125" s="103">
        <f>SUM(K126:K128)+SUM(K129:K133)*0.4</f>
        <v/>
      </c>
      <c r="L125" s="103">
        <f>SUM(L126:L128)+SUM(L129:L133)*0.4</f>
        <v/>
      </c>
      <c r="M125" s="103">
        <f>SUM(M126:M128)+SUM(M129:M133)*0.4</f>
        <v/>
      </c>
      <c r="N125" s="103">
        <f>SUM(N126:N128)+SUM(N129:N133)*0.4</f>
        <v/>
      </c>
    </row>
    <row r="126">
      <c r="A126" s="61" t="inlineStr">
        <is>
          <t>İnci Holding / G.12.1.</t>
        </is>
      </c>
      <c r="B126" s="100" t="n">
        <v>-86455.96368248556</v>
      </c>
      <c r="C126" s="100" t="n">
        <v>-71754.62476914593</v>
      </c>
      <c r="D126" s="100" t="n">
        <v>-68781.57670911775</v>
      </c>
      <c r="E126" s="100" t="n">
        <v>-70325.26810698534</v>
      </c>
      <c r="F126" s="100" t="n">
        <v>-74320.01693155667</v>
      </c>
      <c r="G126" s="100" t="n">
        <v>-80084.38644526852</v>
      </c>
      <c r="H126" s="100" t="n">
        <v>-83175.05860829783</v>
      </c>
      <c r="I126" s="100" t="n">
        <v>-66194.40866373123</v>
      </c>
      <c r="J126" s="100" t="n">
        <v>-110188.0023355325</v>
      </c>
      <c r="K126" s="100" t="n">
        <v>-98170.49115334117</v>
      </c>
      <c r="L126" s="100" t="n">
        <v>-87469.87160867265</v>
      </c>
      <c r="M126" s="100" t="n">
        <v>48207.8274056025</v>
      </c>
      <c r="N126" s="101">
        <f>SUM(B126:M126)</f>
        <v/>
      </c>
    </row>
    <row r="127">
      <c r="A127" s="61" t="inlineStr">
        <is>
          <t>ISM / G.12.2.</t>
        </is>
      </c>
      <c r="B127" s="100" t="n">
        <v>7382.609362773612</v>
      </c>
      <c r="C127" s="100" t="n">
        <v>-15603.63884150782</v>
      </c>
      <c r="D127" s="100" t="n">
        <v>-19531.55207515499</v>
      </c>
      <c r="E127" s="100" t="n">
        <v>-33078.86711742671</v>
      </c>
      <c r="F127" s="100" t="n">
        <v>-41387.03539072976</v>
      </c>
      <c r="G127" s="100" t="n">
        <v>-37529.78112746546</v>
      </c>
      <c r="H127" s="100" t="n">
        <v>-28349.46109558411</v>
      </c>
      <c r="I127" s="100" t="n">
        <v>-5784.581892888577</v>
      </c>
      <c r="J127" s="100" t="n">
        <v>-11568.05371782661</v>
      </c>
      <c r="K127" s="100" t="n">
        <v>-3106.193420022079</v>
      </c>
      <c r="L127" s="100" t="n">
        <v>2369.311703204574</v>
      </c>
      <c r="M127" s="100" t="n">
        <v>10056.88953767668</v>
      </c>
      <c r="N127" s="101">
        <f>SUM(B127:M127)</f>
        <v/>
      </c>
    </row>
    <row r="128">
      <c r="A128" s="61" t="inlineStr">
        <is>
          <t>İncitaş / G.12.3.</t>
        </is>
      </c>
      <c r="B128" s="100" t="n">
        <v>0</v>
      </c>
      <c r="C128" s="100" t="n">
        <v>0</v>
      </c>
      <c r="D128" s="100" t="n">
        <v>-593.464264110635</v>
      </c>
      <c r="E128" s="100" t="n">
        <v>0</v>
      </c>
      <c r="F128" s="100" t="n">
        <v>-14294.79265366846</v>
      </c>
      <c r="G128" s="100" t="n">
        <v>-14170.9906993987</v>
      </c>
      <c r="H128" s="100" t="n">
        <v>-20228.15274757589</v>
      </c>
      <c r="I128" s="100" t="n">
        <v>-12834.10736657551</v>
      </c>
      <c r="J128" s="100" t="n">
        <v>-8188.411564434621</v>
      </c>
      <c r="K128" s="100" t="n">
        <v>-13268.72630489694</v>
      </c>
      <c r="L128" s="100" t="n">
        <v>-17959.76303319334</v>
      </c>
      <c r="M128" s="100" t="n">
        <v>-783.1266704423473</v>
      </c>
      <c r="N128" s="101">
        <f>SUM(B128:M128)</f>
        <v/>
      </c>
    </row>
    <row r="129">
      <c r="A129" s="61" t="inlineStr">
        <is>
          <t>İnci GS Yuasa / G.12.4.</t>
        </is>
      </c>
      <c r="B129" s="100" t="n">
        <v>0</v>
      </c>
      <c r="C129" s="100" t="n">
        <v>0</v>
      </c>
      <c r="D129" s="100" t="n">
        <v>0</v>
      </c>
      <c r="E129" s="100" t="n">
        <v>0</v>
      </c>
      <c r="F129" s="100" t="n">
        <v>0</v>
      </c>
      <c r="G129" s="100" t="n">
        <v>0</v>
      </c>
      <c r="H129" s="100" t="n">
        <v>0</v>
      </c>
      <c r="I129" s="100" t="n">
        <v>0</v>
      </c>
      <c r="J129" s="100" t="n">
        <v>0</v>
      </c>
      <c r="K129" s="100" t="n">
        <v>0</v>
      </c>
      <c r="L129" s="100" t="n">
        <v>0</v>
      </c>
      <c r="M129" s="100" t="n">
        <v>0</v>
      </c>
      <c r="N129" s="101">
        <f>SUM(B129:M129)</f>
        <v/>
      </c>
    </row>
    <row r="130">
      <c r="A130" s="61" t="inlineStr">
        <is>
          <t>Yusen İnci Loj. / G.12.5.</t>
        </is>
      </c>
      <c r="B130" s="100" t="n">
        <v>-76509.09707859358</v>
      </c>
      <c r="C130" s="100" t="n">
        <v>-87839.89587512927</v>
      </c>
      <c r="D130" s="100" t="n">
        <v>-80501.55053395787</v>
      </c>
      <c r="E130" s="100">
        <f>'Bütçe aylık-TL'!E130/'Bütçe aylık-TL'!E$3</f>
        <v/>
      </c>
      <c r="F130" s="100">
        <f>'Bütçe aylık-TL'!F130/'Bütçe aylık-TL'!F$3</f>
        <v/>
      </c>
      <c r="G130" s="100">
        <f>'Bütçe aylık-TL'!G130/'Bütçe aylık-TL'!G$3</f>
        <v/>
      </c>
      <c r="H130" s="100">
        <f>'Bütçe aylık-TL'!H130/'Bütçe aylık-TL'!H$3</f>
        <v/>
      </c>
      <c r="I130" s="100">
        <f>'Bütçe aylık-TL'!I130/'Bütçe aylık-TL'!I$3</f>
        <v/>
      </c>
      <c r="J130" s="100">
        <f>'Bütçe aylık-TL'!J130/'Bütçe aylık-TL'!J$3</f>
        <v/>
      </c>
      <c r="K130" s="100">
        <f>'Bütçe aylık-TL'!K130/'Bütçe aylık-TL'!K$3</f>
        <v/>
      </c>
      <c r="L130" s="100">
        <f>'Bütçe aylık-TL'!L130/'Bütçe aylık-TL'!L$3</f>
        <v/>
      </c>
      <c r="M130" s="100">
        <f>'Bütçe aylık-TL'!M130/'Bütçe aylık-TL'!M$3</f>
        <v/>
      </c>
      <c r="N130" s="101">
        <f>SUM(B130:M130)</f>
        <v/>
      </c>
    </row>
    <row r="131">
      <c r="A131" s="61" t="inlineStr">
        <is>
          <t>Jantaş / G.12.6.</t>
        </is>
      </c>
      <c r="B131" s="100" t="n">
        <v>-138011.984758</v>
      </c>
      <c r="C131" s="100" t="n">
        <v>-283917.906647</v>
      </c>
      <c r="D131" s="100" t="n">
        <v>-337013.959894</v>
      </c>
      <c r="E131" s="100" t="n">
        <v>-203849.692668</v>
      </c>
      <c r="F131" s="100" t="n">
        <v>-352037.2230470001</v>
      </c>
      <c r="G131" s="100" t="n">
        <v>-114211.8565339998</v>
      </c>
      <c r="H131" s="100" t="n">
        <v>-190248.6184480001</v>
      </c>
      <c r="I131" s="100" t="n">
        <v>-89370.82637199991</v>
      </c>
      <c r="J131" s="100" t="n">
        <v>-393192.4728430002</v>
      </c>
      <c r="K131" s="100" t="n">
        <v>-391640.8152089999</v>
      </c>
      <c r="L131" s="100" t="n">
        <v>-383612.3907280001</v>
      </c>
      <c r="M131" s="100" t="n">
        <v>-115793.0961400001</v>
      </c>
      <c r="N131" s="101">
        <f>SUM(B131:M131)</f>
        <v/>
      </c>
    </row>
    <row r="132">
      <c r="A132" s="61" t="inlineStr">
        <is>
          <t>Çelik / G.12.7.</t>
        </is>
      </c>
      <c r="B132" s="100" t="n">
        <v>91802.45486</v>
      </c>
      <c r="C132" s="100" t="n">
        <v>-113078.576817</v>
      </c>
      <c r="D132" s="100" t="n">
        <v>-255437.714359</v>
      </c>
      <c r="E132" s="100" t="n">
        <v>-223284.176648</v>
      </c>
      <c r="F132" s="100" t="n">
        <v>-176614.931787</v>
      </c>
      <c r="G132" s="100" t="n">
        <v>-296754.655892</v>
      </c>
      <c r="H132" s="100" t="n">
        <v>-126241.1958140001</v>
      </c>
      <c r="I132" s="100" t="n">
        <v>-95359.40905199992</v>
      </c>
      <c r="J132" s="100" t="n">
        <v>-232022.5796749999</v>
      </c>
      <c r="K132" s="100" t="n">
        <v>-167920.0561210001</v>
      </c>
      <c r="L132" s="100" t="n">
        <v>-162010.3884610001</v>
      </c>
      <c r="M132" s="100" t="n">
        <v>-3580971.790396001</v>
      </c>
      <c r="N132" s="101">
        <f>SUM(B132:M132)</f>
        <v/>
      </c>
    </row>
    <row r="133">
      <c r="A133" s="61" t="inlineStr">
        <is>
          <t>Alüminyum / G.12.8.</t>
        </is>
      </c>
      <c r="B133" s="100" t="n">
        <v>211338.865361</v>
      </c>
      <c r="C133" s="100" t="n">
        <v>-213648.408986</v>
      </c>
      <c r="D133" s="100" t="n">
        <v>825561.916648</v>
      </c>
      <c r="E133" s="100" t="n">
        <v>-409871.8280859999</v>
      </c>
      <c r="F133" s="100" t="n">
        <v>-314650.315421</v>
      </c>
      <c r="G133" s="100" t="n">
        <v>687998.566492</v>
      </c>
      <c r="H133" s="100" t="n">
        <v>-291013.881515</v>
      </c>
      <c r="I133" s="100" t="n">
        <v>-117878.240561</v>
      </c>
      <c r="J133" s="100" t="n">
        <v>493078.665108</v>
      </c>
      <c r="K133" s="100" t="n">
        <v>-319865.97884</v>
      </c>
      <c r="L133" s="100" t="n">
        <v>-245567.553132</v>
      </c>
      <c r="M133" s="100" t="n">
        <v>424079.604393</v>
      </c>
      <c r="N133" s="101">
        <f>SUM(B133:M133)</f>
        <v/>
      </c>
    </row>
    <row r="134">
      <c r="A134" s="61" t="inlineStr">
        <is>
          <t>x / G.12.9.</t>
        </is>
      </c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70" t="n"/>
    </row>
    <row r="135">
      <c r="A135" s="61" t="inlineStr">
        <is>
          <t>y / G.12.10.</t>
        </is>
      </c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70" t="n"/>
    </row>
    <row r="136">
      <c r="A136" s="61" t="inlineStr">
        <is>
          <t>Net Kar-EUR / G.13.</t>
        </is>
      </c>
      <c r="B136" s="103">
        <f>SUM(B137:B139)+SUM(B140:B144)*0.4</f>
        <v/>
      </c>
      <c r="C136" s="103">
        <f>SUM(C137:C139)+SUM(C140:C144)*0.4</f>
        <v/>
      </c>
      <c r="D136" s="103">
        <f>SUM(D137:D139)+SUM(D140:D144)*0.4</f>
        <v/>
      </c>
      <c r="E136" s="103">
        <f>SUM(E137:E139)+SUM(E140:E144)*0.4</f>
        <v/>
      </c>
      <c r="F136" s="103">
        <f>SUM(F137:F139)+SUM(F140:F144)*0.4</f>
        <v/>
      </c>
      <c r="G136" s="103">
        <f>SUM(G137:G139)+SUM(G140:G144)*0.4</f>
        <v/>
      </c>
      <c r="H136" s="103">
        <f>SUM(H137:H139)+SUM(H140:H144)*0.4</f>
        <v/>
      </c>
      <c r="I136" s="103">
        <f>SUM(I137:I139)+SUM(I140:I144)*0.4</f>
        <v/>
      </c>
      <c r="J136" s="103">
        <f>SUM(J137:J139)+SUM(J140:J144)*0.4</f>
        <v/>
      </c>
      <c r="K136" s="103">
        <f>SUM(K137:K139)+SUM(K140:K144)*0.4</f>
        <v/>
      </c>
      <c r="L136" s="103">
        <f>SUM(L137:L139)+SUM(L140:L144)*0.4</f>
        <v/>
      </c>
      <c r="M136" s="103">
        <f>SUM(M137:M139)+SUM(M140:M144)*0.4</f>
        <v/>
      </c>
      <c r="N136" s="103">
        <f>SUM(N137:N139)+SUM(N140:N144)*0.4</f>
        <v/>
      </c>
    </row>
    <row r="137">
      <c r="A137" s="61" t="inlineStr">
        <is>
          <t>İnci Holding / G.13.1.</t>
        </is>
      </c>
      <c r="B137" s="100" t="n">
        <v>259367.8910474297</v>
      </c>
      <c r="C137" s="100" t="n">
        <v>215263.8743074378</v>
      </c>
      <c r="D137" s="100" t="n">
        <v>206344.7301273274</v>
      </c>
      <c r="E137" s="100" t="n">
        <v>210975.8043209561</v>
      </c>
      <c r="F137" s="100" t="n">
        <v>222960.0507946949</v>
      </c>
      <c r="G137" s="100" t="n">
        <v>240253.1593357812</v>
      </c>
      <c r="H137" s="100" t="n">
        <v>249525.1758248695</v>
      </c>
      <c r="I137" s="100" t="n">
        <v>198583.2259912172</v>
      </c>
      <c r="J137" s="100" t="n">
        <v>330564.0070065745</v>
      </c>
      <c r="K137" s="100" t="n">
        <v>294511.4734600462</v>
      </c>
      <c r="L137" s="100" t="n">
        <v>262409.6148259733</v>
      </c>
      <c r="M137" s="100" t="n">
        <v>-144623.4822168075</v>
      </c>
      <c r="N137" s="101">
        <f>SUM(B137:M137)</f>
        <v/>
      </c>
    </row>
    <row r="138">
      <c r="A138" s="61" t="inlineStr">
        <is>
          <t>ISM / G.13.2.</t>
        </is>
      </c>
      <c r="B138" s="100" t="n">
        <v>-29530.43745112138</v>
      </c>
      <c r="C138" s="100" t="n">
        <v>62414.55536605767</v>
      </c>
      <c r="D138" s="100" t="n">
        <v>78126.20830059409</v>
      </c>
      <c r="E138" s="100" t="n">
        <v>132315.4684697576</v>
      </c>
      <c r="F138" s="100" t="n">
        <v>165548.1415629439</v>
      </c>
      <c r="G138" s="100" t="n">
        <v>150119.1245098374</v>
      </c>
      <c r="H138" s="100" t="n">
        <v>113397.8443823604</v>
      </c>
      <c r="I138" s="100" t="n">
        <v>23138.32757153078</v>
      </c>
      <c r="J138" s="100" t="n">
        <v>46272.21487128333</v>
      </c>
      <c r="K138" s="100" t="n">
        <v>12424.77368013375</v>
      </c>
      <c r="L138" s="100" t="n">
        <v>-9477.246812773643</v>
      </c>
      <c r="M138" s="100" t="n">
        <v>-40227.55815068478</v>
      </c>
      <c r="N138" s="101">
        <f>SUM(B138:M138)</f>
        <v/>
      </c>
    </row>
    <row r="139">
      <c r="A139" s="61" t="inlineStr">
        <is>
          <t>İncitaş / G.13.3.</t>
        </is>
      </c>
      <c r="B139" s="100" t="n">
        <v>-93627.60437973973</v>
      </c>
      <c r="C139" s="100" t="n">
        <v>-53219.86922128638</v>
      </c>
      <c r="D139" s="100" t="n">
        <v>1780.392824946139</v>
      </c>
      <c r="E139" s="100" t="n">
        <v>-2878.563524297674</v>
      </c>
      <c r="F139" s="100" t="n">
        <v>42884.37787766231</v>
      </c>
      <c r="G139" s="100" t="n">
        <v>42512.97206460307</v>
      </c>
      <c r="H139" s="100" t="n">
        <v>60684.4582294268</v>
      </c>
      <c r="I139" s="100" t="n">
        <v>38502.32208184091</v>
      </c>
      <c r="J139" s="100" t="n">
        <v>24565.23458869845</v>
      </c>
      <c r="K139" s="100" t="n">
        <v>39806.17889340669</v>
      </c>
      <c r="L139" s="100" t="n">
        <v>53879.28909973631</v>
      </c>
      <c r="M139" s="100" t="n">
        <v>2349.379993458414</v>
      </c>
      <c r="N139" s="101">
        <f>SUM(B139:M139)</f>
        <v/>
      </c>
    </row>
    <row r="140">
      <c r="A140" s="61" t="inlineStr">
        <is>
          <t>İnci GS Yuasa / G.13.4.</t>
        </is>
      </c>
      <c r="B140" s="100" t="n">
        <v>-527081.7072608044</v>
      </c>
      <c r="C140" s="100" t="n">
        <v>-1131046.175799321</v>
      </c>
      <c r="D140" s="100" t="n">
        <v>-942843.4545547678</v>
      </c>
      <c r="E140" s="100" t="n">
        <v>-1464087.220133706</v>
      </c>
      <c r="F140" s="100" t="n">
        <v>-446661.074619744</v>
      </c>
      <c r="G140" s="100" t="n">
        <v>-37867.80763113115</v>
      </c>
      <c r="H140" s="100" t="n">
        <v>-158298.4895139551</v>
      </c>
      <c r="I140" s="100" t="n">
        <v>-16630.47566405129</v>
      </c>
      <c r="J140" s="100" t="n">
        <v>406101.0818254048</v>
      </c>
      <c r="K140" s="100" t="n">
        <v>1230976.091553174</v>
      </c>
      <c r="L140" s="100" t="n">
        <v>1441848.286000255</v>
      </c>
      <c r="M140" s="100" t="n">
        <v>2091412.326832753</v>
      </c>
      <c r="N140" s="101">
        <f>SUM(B140:M140)</f>
        <v/>
      </c>
    </row>
    <row r="141">
      <c r="A141" s="61" t="inlineStr">
        <is>
          <t>Yusen İnci Loj. / G.13.5.</t>
        </is>
      </c>
      <c r="B141" s="100" t="n">
        <v>229527.2643054119</v>
      </c>
      <c r="C141" s="100" t="n">
        <v>263519.6876253615</v>
      </c>
      <c r="D141" s="100" t="n">
        <v>241504.6516018736</v>
      </c>
      <c r="E141" s="100">
        <f>'Bütçe aylık-TL'!E141/'Bütçe aylık-TL'!E$3</f>
        <v/>
      </c>
      <c r="F141" s="100">
        <f>'Bütçe aylık-TL'!F141/'Bütçe aylık-TL'!F$3</f>
        <v/>
      </c>
      <c r="G141" s="100">
        <f>'Bütçe aylık-TL'!G141/'Bütçe aylık-TL'!G$3</f>
        <v/>
      </c>
      <c r="H141" s="100">
        <f>'Bütçe aylık-TL'!H141/'Bütçe aylık-TL'!H$3</f>
        <v/>
      </c>
      <c r="I141" s="100">
        <f>'Bütçe aylık-TL'!I141/'Bütçe aylık-TL'!I$3</f>
        <v/>
      </c>
      <c r="J141" s="100">
        <f>'Bütçe aylık-TL'!J141/'Bütçe aylık-TL'!J$3</f>
        <v/>
      </c>
      <c r="K141" s="100">
        <f>'Bütçe aylık-TL'!K141/'Bütçe aylık-TL'!K$3</f>
        <v/>
      </c>
      <c r="L141" s="100">
        <f>'Bütçe aylık-TL'!L141/'Bütçe aylık-TL'!L$3</f>
        <v/>
      </c>
      <c r="M141" s="100">
        <f>'Bütçe aylık-TL'!M141/'Bütçe aylık-TL'!M$3</f>
        <v/>
      </c>
      <c r="N141" s="101">
        <f>SUM(B141:M141)</f>
        <v/>
      </c>
    </row>
    <row r="142">
      <c r="A142" s="61" t="inlineStr">
        <is>
          <t>Jantaş / G.13.6.</t>
        </is>
      </c>
      <c r="B142" s="100" t="n">
        <v>257409.99335</v>
      </c>
      <c r="C142" s="100" t="n">
        <v>771525.724826</v>
      </c>
      <c r="D142" s="100" t="n">
        <v>1710051.660034</v>
      </c>
      <c r="E142" s="100" t="n">
        <v>254963.0560269998</v>
      </c>
      <c r="F142" s="100" t="n">
        <v>800994.4434130001</v>
      </c>
      <c r="G142" s="100" t="n">
        <v>1314575.825105999</v>
      </c>
      <c r="H142" s="100" t="n">
        <v>308816.2430410003</v>
      </c>
      <c r="I142" s="100" t="n">
        <v>23096.13353800029</v>
      </c>
      <c r="J142" s="100" t="n">
        <v>2064362.513884</v>
      </c>
      <c r="K142" s="100" t="n">
        <v>1055724.868234</v>
      </c>
      <c r="L142" s="100" t="n">
        <v>1076510.775272001</v>
      </c>
      <c r="M142" s="100" t="n">
        <v>968927.3362189997</v>
      </c>
      <c r="N142" s="101">
        <f>SUM(B142:M142)</f>
        <v/>
      </c>
    </row>
    <row r="143">
      <c r="A143" s="61" t="inlineStr">
        <is>
          <t>Çelik / G.13.7.</t>
        </is>
      </c>
      <c r="B143" s="100" t="n">
        <v>1319901.600818</v>
      </c>
      <c r="C143" s="100" t="n">
        <v>983286.597843</v>
      </c>
      <c r="D143" s="100" t="n">
        <v>1390881.397953</v>
      </c>
      <c r="E143" s="100" t="n">
        <v>1380654.993649</v>
      </c>
      <c r="F143" s="100" t="n">
        <v>1523453.696671001</v>
      </c>
      <c r="G143" s="100" t="n">
        <v>1042312.323403999</v>
      </c>
      <c r="H143" s="100" t="n">
        <v>1012718.872752001</v>
      </c>
      <c r="I143" s="100" t="n">
        <v>539190.5893569998</v>
      </c>
      <c r="J143" s="100" t="n">
        <v>1724677.926782999</v>
      </c>
      <c r="K143" s="100" t="n">
        <v>1592834.794309001</v>
      </c>
      <c r="L143" s="100" t="n">
        <v>1480512.193247</v>
      </c>
      <c r="M143" s="100" t="n">
        <v>-2654854.327424001</v>
      </c>
      <c r="N143" s="101">
        <f>SUM(B143:M143)</f>
        <v/>
      </c>
    </row>
    <row r="144">
      <c r="A144" s="61" t="inlineStr">
        <is>
          <t>Alüminyum / G.13.8.</t>
        </is>
      </c>
      <c r="B144" s="100" t="n">
        <v>2165136.147889</v>
      </c>
      <c r="C144" s="100" t="n">
        <v>1827908.729799</v>
      </c>
      <c r="D144" s="100" t="n">
        <v>2574593.776461</v>
      </c>
      <c r="E144" s="100" t="n">
        <v>1123341.436139001</v>
      </c>
      <c r="F144" s="100" t="n">
        <v>2154942.650417</v>
      </c>
      <c r="G144" s="100" t="n">
        <v>2143989.747304</v>
      </c>
      <c r="H144" s="100" t="n">
        <v>2297580.044506</v>
      </c>
      <c r="I144" s="100" t="n">
        <v>495867.4385189991</v>
      </c>
      <c r="J144" s="100" t="n">
        <v>3852997.878113</v>
      </c>
      <c r="K144" s="100" t="n">
        <v>2383361.892755002</v>
      </c>
      <c r="L144" s="100" t="n">
        <v>2426336.814399999</v>
      </c>
      <c r="M144" s="100" t="n">
        <v>2262029.137350999</v>
      </c>
      <c r="N144" s="101">
        <f>SUM(B144:M144)</f>
        <v/>
      </c>
    </row>
    <row r="145">
      <c r="A145" s="61" t="inlineStr">
        <is>
          <t>x / G.13.9.</t>
        </is>
      </c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70" t="n"/>
    </row>
    <row r="146">
      <c r="A146" s="61" t="inlineStr">
        <is>
          <t>y / G.13.10.</t>
        </is>
      </c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70" t="n"/>
    </row>
    <row r="147">
      <c r="A147" s="61" t="inlineStr">
        <is>
          <t>Kredi-EUR / G.16.</t>
        </is>
      </c>
      <c r="B147" s="103">
        <f>SUM(B148:B150)+SUM(B151:B155)*0.4</f>
        <v/>
      </c>
      <c r="C147" s="103">
        <f>SUM(C148:C150)+SUM(C151:C155)*0.4</f>
        <v/>
      </c>
      <c r="D147" s="103">
        <f>SUM(D148:D150)+SUM(D151:D155)*0.4</f>
        <v/>
      </c>
      <c r="E147" s="103">
        <f>SUM(E148:E150)+SUM(E151:E155)*0.4</f>
        <v/>
      </c>
      <c r="F147" s="103">
        <f>SUM(F148:F150)+SUM(F151:F155)*0.4</f>
        <v/>
      </c>
      <c r="G147" s="103">
        <f>SUM(G148:G150)+SUM(G151:G155)*0.4</f>
        <v/>
      </c>
      <c r="H147" s="103">
        <f>SUM(H148:H150)+SUM(H151:H155)*0.4</f>
        <v/>
      </c>
      <c r="I147" s="103">
        <f>SUM(I148:I150)+SUM(I151:I155)*0.4</f>
        <v/>
      </c>
      <c r="J147" s="103">
        <f>SUM(J148:J150)+SUM(J151:J155)*0.4</f>
        <v/>
      </c>
      <c r="K147" s="103">
        <f>SUM(K148:K150)+SUM(K151:K155)*0.4</f>
        <v/>
      </c>
      <c r="L147" s="103">
        <f>SUM(L148:L150)+SUM(L151:L155)*0.4</f>
        <v/>
      </c>
      <c r="M147" s="103">
        <f>SUM(M148:M150)+SUM(M151:M155)*0.4</f>
        <v/>
      </c>
      <c r="N147" s="103">
        <f>SUM(N148:N150)+SUM(N151:N155)*0.4</f>
        <v/>
      </c>
    </row>
    <row r="148">
      <c r="A148" s="61" t="inlineStr">
        <is>
          <t>İnci Holding / G.16.1.</t>
        </is>
      </c>
      <c r="B148" s="100" t="n">
        <v>0</v>
      </c>
      <c r="C148" s="100" t="n">
        <v>0</v>
      </c>
      <c r="D148" s="100" t="n">
        <v>0</v>
      </c>
      <c r="E148" s="100" t="n">
        <v>0</v>
      </c>
      <c r="F148" s="100" t="n">
        <v>0</v>
      </c>
      <c r="G148" s="100" t="n">
        <v>0</v>
      </c>
      <c r="H148" s="100" t="n">
        <v>0</v>
      </c>
      <c r="I148" s="100" t="n">
        <v>0</v>
      </c>
      <c r="J148" s="100" t="n">
        <v>0</v>
      </c>
      <c r="K148" s="100" t="n">
        <v>0</v>
      </c>
      <c r="L148" s="100" t="n">
        <v>0</v>
      </c>
      <c r="M148" s="100" t="n">
        <v>0</v>
      </c>
      <c r="N148" s="101">
        <f>M148</f>
        <v/>
      </c>
    </row>
    <row r="149">
      <c r="A149" s="61" t="inlineStr">
        <is>
          <t>ISM / G.16.2.</t>
        </is>
      </c>
      <c r="B149" s="100" t="n">
        <v>1968092.501785924</v>
      </c>
      <c r="C149" s="100" t="n">
        <v>2077149.631543338</v>
      </c>
      <c r="D149" s="100" t="n">
        <v>2014206.676074157</v>
      </c>
      <c r="E149" s="100" t="n">
        <v>1953690.446467818</v>
      </c>
      <c r="F149" s="100" t="n">
        <v>1771511.556233535</v>
      </c>
      <c r="G149" s="100" t="n">
        <v>1497584.462482887</v>
      </c>
      <c r="H149" s="100" t="n">
        <v>1304054.725785692</v>
      </c>
      <c r="I149" s="100" t="n">
        <v>976748.5725947521</v>
      </c>
      <c r="J149" s="100" t="n">
        <v>842866.9809764303</v>
      </c>
      <c r="K149" s="100" t="n">
        <v>735161.1239846598</v>
      </c>
      <c r="L149" s="100" t="n">
        <v>785886.8010865162</v>
      </c>
      <c r="M149" s="100" t="n">
        <v>707482.9929795918</v>
      </c>
      <c r="N149" s="101">
        <f>M149</f>
        <v/>
      </c>
    </row>
    <row r="150">
      <c r="A150" s="61" t="inlineStr">
        <is>
          <t>İncitaş / G.16.3.</t>
        </is>
      </c>
      <c r="B150" s="100" t="n">
        <v>345969.3034364371</v>
      </c>
      <c r="C150" s="100" t="n">
        <v>685934.1767390345</v>
      </c>
      <c r="D150" s="100" t="n">
        <v>527820.5440124568</v>
      </c>
      <c r="E150" s="100" t="n">
        <v>597336.8665620094</v>
      </c>
      <c r="F150" s="100" t="n">
        <v>450955.9343586811</v>
      </c>
      <c r="G150" s="100" t="n">
        <v>349733.7690294554</v>
      </c>
      <c r="H150" s="100" t="n">
        <v>299578.9301201157</v>
      </c>
      <c r="I150" s="100" t="n">
        <v>425077.8075801749</v>
      </c>
      <c r="J150" s="100" t="n">
        <v>275715.6638543008</v>
      </c>
      <c r="K150" s="100" t="n">
        <v>309108.2121230546</v>
      </c>
      <c r="L150" s="100" t="n">
        <v>306851.0954819257</v>
      </c>
      <c r="M150" s="100" t="n">
        <v>400648.6204081633</v>
      </c>
      <c r="N150" s="101">
        <f>M150</f>
        <v/>
      </c>
    </row>
    <row r="151">
      <c r="A151" s="61" t="inlineStr">
        <is>
          <t>İnci GS Yuasa / G.16.4.</t>
        </is>
      </c>
      <c r="B151" s="100" t="n">
        <v>41157475.8233908</v>
      </c>
      <c r="C151" s="100" t="n">
        <v>40856695.04431667</v>
      </c>
      <c r="D151" s="100" t="n">
        <v>40951968.01794764</v>
      </c>
      <c r="E151" s="100" t="n">
        <v>41053968.04174518</v>
      </c>
      <c r="F151" s="100" t="n">
        <v>40279389.68709673</v>
      </c>
      <c r="G151" s="100" t="n">
        <v>39533402.89624998</v>
      </c>
      <c r="H151" s="100" t="n">
        <v>44751554.34800733</v>
      </c>
      <c r="I151" s="100" t="n">
        <v>43369355.16412781</v>
      </c>
      <c r="J151" s="100" t="n">
        <v>44899957.8984244</v>
      </c>
      <c r="K151" s="100" t="n">
        <v>42279160.89973675</v>
      </c>
      <c r="L151" s="100" t="n">
        <v>40787770.77479539</v>
      </c>
      <c r="M151" s="100" t="n">
        <v>40107996.79264174</v>
      </c>
      <c r="N151" s="101">
        <f>M151</f>
        <v/>
      </c>
    </row>
    <row r="152">
      <c r="A152" s="61" t="inlineStr">
        <is>
          <t>Yusen İnci Loj. / G.16.5.</t>
        </is>
      </c>
      <c r="B152" s="100" t="n">
        <v>0</v>
      </c>
      <c r="C152" s="100" t="n">
        <v>0</v>
      </c>
      <c r="D152" s="100" t="n">
        <v>0</v>
      </c>
      <c r="E152" s="100" t="n">
        <v>0</v>
      </c>
      <c r="F152" s="100" t="n">
        <v>0</v>
      </c>
      <c r="G152" s="100" t="n">
        <v>0</v>
      </c>
      <c r="H152" s="100" t="n">
        <v>0</v>
      </c>
      <c r="I152" s="100" t="n">
        <v>0</v>
      </c>
      <c r="J152" s="100" t="n">
        <v>0</v>
      </c>
      <c r="K152" s="100" t="n">
        <v>0</v>
      </c>
      <c r="L152" s="100" t="n">
        <v>0</v>
      </c>
      <c r="M152" s="100" t="n">
        <v>0</v>
      </c>
      <c r="N152" s="101">
        <f>M152</f>
        <v/>
      </c>
    </row>
    <row r="153">
      <c r="A153" s="61" t="inlineStr">
        <is>
          <t>Jantaş / G.16.6.</t>
        </is>
      </c>
      <c r="B153" s="100" t="n">
        <v>0</v>
      </c>
      <c r="C153" s="100" t="n">
        <v>0</v>
      </c>
      <c r="D153" s="100" t="n">
        <v>0</v>
      </c>
      <c r="E153" s="100" t="n">
        <v>0</v>
      </c>
      <c r="F153" s="100" t="n">
        <v>0</v>
      </c>
      <c r="G153" s="100" t="n">
        <v>0</v>
      </c>
      <c r="H153" s="100" t="n">
        <v>0</v>
      </c>
      <c r="I153" s="100" t="n">
        <v>0</v>
      </c>
      <c r="J153" s="100" t="n">
        <v>0</v>
      </c>
      <c r="K153" s="100" t="n">
        <v>0</v>
      </c>
      <c r="L153" s="100" t="n">
        <v>0</v>
      </c>
      <c r="M153" s="100" t="n">
        <v>0</v>
      </c>
      <c r="N153" s="101">
        <f>M153</f>
        <v/>
      </c>
    </row>
    <row r="154">
      <c r="A154" s="61" t="inlineStr">
        <is>
          <t>Çelik / G.16.7.</t>
        </is>
      </c>
      <c r="B154" s="100" t="n">
        <v>0</v>
      </c>
      <c r="C154" s="100" t="n">
        <v>0</v>
      </c>
      <c r="D154" s="100" t="n">
        <v>0</v>
      </c>
      <c r="E154" s="100" t="n">
        <v>0</v>
      </c>
      <c r="F154" s="100" t="n">
        <v>0</v>
      </c>
      <c r="G154" s="100" t="n">
        <v>0</v>
      </c>
      <c r="H154" s="100" t="n">
        <v>0</v>
      </c>
      <c r="I154" s="100" t="n">
        <v>0</v>
      </c>
      <c r="J154" s="100" t="n">
        <v>0</v>
      </c>
      <c r="K154" s="100" t="n">
        <v>0</v>
      </c>
      <c r="L154" s="100" t="n">
        <v>0</v>
      </c>
      <c r="M154" s="100" t="n">
        <v>0</v>
      </c>
      <c r="N154" s="101">
        <f>M154</f>
        <v/>
      </c>
    </row>
    <row r="155">
      <c r="A155" s="61" t="inlineStr">
        <is>
          <t>Alüminyum / G.16.8.</t>
        </is>
      </c>
      <c r="B155" s="100" t="n">
        <v>0</v>
      </c>
      <c r="C155" s="100" t="n">
        <v>0</v>
      </c>
      <c r="D155" s="100" t="n">
        <v>0</v>
      </c>
      <c r="E155" s="100" t="n">
        <v>0</v>
      </c>
      <c r="F155" s="100" t="n">
        <v>0</v>
      </c>
      <c r="G155" s="100" t="n">
        <v>0</v>
      </c>
      <c r="H155" s="100" t="n">
        <v>0</v>
      </c>
      <c r="I155" s="100" t="n">
        <v>0</v>
      </c>
      <c r="J155" s="100" t="n">
        <v>0</v>
      </c>
      <c r="K155" s="100" t="n">
        <v>0</v>
      </c>
      <c r="L155" s="100" t="n">
        <v>0</v>
      </c>
      <c r="M155" s="100" t="n">
        <v>0</v>
      </c>
      <c r="N155" s="101">
        <f>M155</f>
        <v/>
      </c>
    </row>
    <row r="156">
      <c r="A156" s="61" t="inlineStr">
        <is>
          <t>x / G.16.9.</t>
        </is>
      </c>
      <c r="B156" s="100" t="n">
        <v>0</v>
      </c>
      <c r="C156" s="100" t="n">
        <v>0</v>
      </c>
      <c r="D156" s="100" t="n">
        <v>0</v>
      </c>
      <c r="E156" s="100" t="n">
        <v>0</v>
      </c>
      <c r="F156" s="100" t="n">
        <v>0</v>
      </c>
      <c r="G156" s="100" t="n">
        <v>0</v>
      </c>
      <c r="H156" s="100" t="n">
        <v>0</v>
      </c>
      <c r="I156" s="100" t="n">
        <v>0</v>
      </c>
      <c r="J156" s="100" t="n">
        <v>0</v>
      </c>
      <c r="K156" s="100" t="n">
        <v>0</v>
      </c>
      <c r="L156" s="100" t="n">
        <v>0</v>
      </c>
      <c r="M156" s="100" t="n">
        <v>0</v>
      </c>
      <c r="N156" s="101">
        <f>M156</f>
        <v/>
      </c>
    </row>
    <row r="157">
      <c r="A157" s="61" t="inlineStr">
        <is>
          <t>y / G.16.10.</t>
        </is>
      </c>
      <c r="B157" s="100" t="n">
        <v>0</v>
      </c>
      <c r="C157" s="100" t="n">
        <v>0</v>
      </c>
      <c r="D157" s="100" t="n">
        <v>0</v>
      </c>
      <c r="E157" s="100" t="n">
        <v>0</v>
      </c>
      <c r="F157" s="100" t="n">
        <v>0</v>
      </c>
      <c r="G157" s="100" t="n">
        <v>0</v>
      </c>
      <c r="H157" s="100" t="n">
        <v>0</v>
      </c>
      <c r="I157" s="100" t="n">
        <v>0</v>
      </c>
      <c r="J157" s="100" t="n">
        <v>0</v>
      </c>
      <c r="K157" s="100" t="n">
        <v>0</v>
      </c>
      <c r="L157" s="100" t="n">
        <v>0</v>
      </c>
      <c r="M157" s="100" t="n">
        <v>0</v>
      </c>
      <c r="N157" s="101">
        <f>M157</f>
        <v/>
      </c>
    </row>
    <row r="158">
      <c r="A158" s="61" t="inlineStr">
        <is>
          <t>35 Venture / G.16.11.</t>
        </is>
      </c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4" t="n"/>
    </row>
    <row r="159">
      <c r="A159" s="61" t="inlineStr">
        <is>
          <t>Vinci / G.16.12.</t>
        </is>
      </c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70" t="n"/>
    </row>
    <row r="160">
      <c r="A160" s="61" t="inlineStr">
        <is>
          <t>Mevduat-EUR / G.17.</t>
        </is>
      </c>
      <c r="B160" s="103">
        <f>SUM(B161:B163)+SUM(B164:B168)*0.4</f>
        <v/>
      </c>
      <c r="C160" s="103">
        <f>SUM(C161:C163)+SUM(C164:C168)*0.4</f>
        <v/>
      </c>
      <c r="D160" s="103">
        <f>SUM(D161:D163)+SUM(D164:D168)*0.4</f>
        <v/>
      </c>
      <c r="E160" s="103">
        <f>SUM(E161:E163)+SUM(E164:E168)*0.4</f>
        <v/>
      </c>
      <c r="F160" s="103">
        <f>SUM(F161:F163)+SUM(F164:F168)*0.4</f>
        <v/>
      </c>
      <c r="G160" s="103">
        <f>SUM(G161:G163)+SUM(G164:G168)*0.4</f>
        <v/>
      </c>
      <c r="H160" s="103">
        <f>SUM(H161:H163)+SUM(H164:H168)*0.4</f>
        <v/>
      </c>
      <c r="I160" s="103">
        <f>SUM(I161:I163)+SUM(I164:I168)*0.4</f>
        <v/>
      </c>
      <c r="J160" s="103">
        <f>SUM(J161:J163)+SUM(J164:J168)*0.4</f>
        <v/>
      </c>
      <c r="K160" s="103">
        <f>SUM(K161:K163)+SUM(K164:K168)*0.4</f>
        <v/>
      </c>
      <c r="L160" s="103">
        <f>SUM(L161:L163)+SUM(L164:L168)*0.4</f>
        <v/>
      </c>
      <c r="M160" s="103">
        <f>SUM(M161:M163)+SUM(M164:M168)*0.4</f>
        <v/>
      </c>
      <c r="N160" s="103">
        <f>SUM(N161:N163)+SUM(N164:N168)*0.4</f>
        <v/>
      </c>
    </row>
    <row r="161">
      <c r="A161" s="61" t="inlineStr">
        <is>
          <t>İnci Holding / G.17.1.</t>
        </is>
      </c>
      <c r="B161" s="100" t="n">
        <v>23979154.75612228</v>
      </c>
      <c r="C161" s="100" t="n">
        <v>13503015.99978026</v>
      </c>
      <c r="D161" s="100" t="n">
        <v>10522343.83908466</v>
      </c>
      <c r="E161" s="100" t="n">
        <v>10255115.4566296</v>
      </c>
      <c r="F161" s="100" t="n">
        <v>10662585.52732094</v>
      </c>
      <c r="G161" s="100" t="n">
        <v>9569446.591324793</v>
      </c>
      <c r="H161" s="100" t="n">
        <v>9543711.481509686</v>
      </c>
      <c r="I161" s="100" t="n">
        <v>10036716.25175636</v>
      </c>
      <c r="J161" s="100" t="n">
        <v>9800493.988708885</v>
      </c>
      <c r="K161" s="100" t="n">
        <v>9814495.650977518</v>
      </c>
      <c r="L161" s="100" t="n">
        <v>11311930.7783569</v>
      </c>
      <c r="M161" s="100" t="n">
        <v>10470814.64810038</v>
      </c>
      <c r="N161" s="101">
        <f>M161</f>
        <v/>
      </c>
    </row>
    <row r="162">
      <c r="A162" s="61" t="inlineStr">
        <is>
          <t>ISM / G.17.2.</t>
        </is>
      </c>
      <c r="B162" s="100" t="n">
        <v>9056.973589813306</v>
      </c>
      <c r="C162" s="100" t="n">
        <v>17580.21425447934</v>
      </c>
      <c r="D162" s="100" t="n">
        <v>17450.87937459824</v>
      </c>
      <c r="E162" s="100" t="n">
        <v>14477.87836357928</v>
      </c>
      <c r="F162" s="100" t="n">
        <v>1122.106826810521</v>
      </c>
      <c r="G162" s="100" t="n">
        <v>7557.271460557568</v>
      </c>
      <c r="H162" s="100" t="n">
        <v>8145.558707746963</v>
      </c>
      <c r="I162" s="100" t="n">
        <v>11398.44611538192</v>
      </c>
      <c r="J162" s="100" t="n">
        <v>17139.58340515483</v>
      </c>
      <c r="K162" s="100" t="n">
        <v>2713.600164593763</v>
      </c>
      <c r="L162" s="100" t="n">
        <v>8536.191243361471</v>
      </c>
      <c r="M162" s="100" t="n">
        <v>2740.096082655783</v>
      </c>
      <c r="N162" s="101">
        <f>M162</f>
        <v/>
      </c>
    </row>
    <row r="163">
      <c r="A163" s="61" t="inlineStr">
        <is>
          <t>İncitaş / G.17.3.</t>
        </is>
      </c>
      <c r="B163" s="100" t="n">
        <v>0.004263213169987952</v>
      </c>
      <c r="C163" s="100" t="n">
        <v>0.008195150112456997</v>
      </c>
      <c r="D163" s="100" t="n">
        <v>-0.006991925095206021</v>
      </c>
      <c r="E163" s="100" t="n">
        <v>0.008307566718995291</v>
      </c>
      <c r="F163" s="100" t="n">
        <v>-0.002688617751940086</v>
      </c>
      <c r="G163" s="100" t="n">
        <v>0.006465636927423217</v>
      </c>
      <c r="H163" s="100" t="n">
        <v>-0.005313587939984896</v>
      </c>
      <c r="I163" s="100" t="n">
        <v>0.006506985422740525</v>
      </c>
      <c r="J163" s="100" t="n">
        <v>-0.003078555290257238</v>
      </c>
      <c r="K163" s="100" t="n">
        <v>0.01121620130476982</v>
      </c>
      <c r="L163" s="100" t="n">
        <v>0.002753525975219107</v>
      </c>
      <c r="M163" s="100" t="n">
        <v>-0.01002842993197279</v>
      </c>
      <c r="N163" s="101">
        <f>M163</f>
        <v/>
      </c>
    </row>
    <row r="164">
      <c r="A164" s="61" t="inlineStr">
        <is>
          <t>İnci GS Yuasa / G.17.4.</t>
        </is>
      </c>
      <c r="B164" s="100" t="n">
        <v>5866951.236524966</v>
      </c>
      <c r="C164" s="100" t="n">
        <v>4905690.219504405</v>
      </c>
      <c r="D164" s="100" t="n">
        <v>4672842.525869352</v>
      </c>
      <c r="E164" s="100" t="n">
        <v>4522252.83416437</v>
      </c>
      <c r="F164" s="100" t="n">
        <v>4442700.341402949</v>
      </c>
      <c r="G164" s="100" t="n">
        <v>3867583.052389959</v>
      </c>
      <c r="H164" s="100" t="n">
        <v>4357367.609220387</v>
      </c>
      <c r="I164" s="100" t="n">
        <v>4405958.308938752</v>
      </c>
      <c r="J164" s="100" t="n">
        <v>3716192.345313791</v>
      </c>
      <c r="K164" s="100" t="n">
        <v>2917232.701414394</v>
      </c>
      <c r="L164" s="100" t="n">
        <v>2851138.867335047</v>
      </c>
      <c r="M164" s="100" t="n">
        <v>3875401.266095347</v>
      </c>
      <c r="N164" s="101">
        <f>M164</f>
        <v/>
      </c>
    </row>
    <row r="165">
      <c r="A165" s="61" t="inlineStr">
        <is>
          <t>Yusen İnci Loj. / G.17.5.</t>
        </is>
      </c>
      <c r="B165" s="100" t="n">
        <v>1602174.742143002</v>
      </c>
      <c r="C165" s="100" t="n">
        <v>1883834.253818993</v>
      </c>
      <c r="D165" s="100" t="n">
        <v>699769.9103129058</v>
      </c>
      <c r="E165" s="100" t="n">
        <v>858214.0381872025</v>
      </c>
      <c r="F165" s="100" t="n">
        <v>769826.9327216898</v>
      </c>
      <c r="G165" s="100" t="n">
        <v>1540227.045550505</v>
      </c>
      <c r="H165" s="100" t="n">
        <v>918140.0981681288</v>
      </c>
      <c r="I165" s="100" t="n">
        <v>1381234.36581628</v>
      </c>
      <c r="J165" s="100" t="n">
        <v>1621111.214424114</v>
      </c>
      <c r="K165" s="100" t="n">
        <v>903932.0276087852</v>
      </c>
      <c r="L165" s="100" t="n">
        <v>1840192.553705777</v>
      </c>
      <c r="M165" s="100" t="n">
        <v>2143759.153819886</v>
      </c>
      <c r="N165" s="101">
        <f>M165</f>
        <v/>
      </c>
    </row>
    <row r="166">
      <c r="A166" s="61" t="inlineStr">
        <is>
          <t>Jantaş / G.17.6.</t>
        </is>
      </c>
      <c r="B166" s="100" t="n">
        <v>6126231.250336</v>
      </c>
      <c r="C166" s="100" t="n">
        <v>6434386.365351</v>
      </c>
      <c r="D166" s="100" t="n">
        <v>8704545.100701001</v>
      </c>
      <c r="E166" s="100" t="n">
        <v>6028791.141108999</v>
      </c>
      <c r="F166" s="100" t="n">
        <v>6549153.838255</v>
      </c>
      <c r="G166" s="100" t="n">
        <v>8431690.774487</v>
      </c>
      <c r="H166" s="100" t="n">
        <v>9410637.328563999</v>
      </c>
      <c r="I166" s="100" t="n">
        <v>10030741.338553</v>
      </c>
      <c r="J166" s="100" t="n">
        <v>13264540.672984</v>
      </c>
      <c r="K166" s="100" t="n">
        <v>14507966.19168</v>
      </c>
      <c r="L166" s="100" t="n">
        <v>16503196.753796</v>
      </c>
      <c r="M166" s="100" t="n">
        <v>14707174.447736</v>
      </c>
      <c r="N166" s="101">
        <f>M166</f>
        <v/>
      </c>
    </row>
    <row r="167">
      <c r="A167" s="61" t="inlineStr">
        <is>
          <t>Çelik / G.17.7.</t>
        </is>
      </c>
      <c r="B167" s="100" t="n">
        <v>16263649.335985</v>
      </c>
      <c r="C167" s="100" t="n">
        <v>14675847.500402</v>
      </c>
      <c r="D167" s="100" t="n">
        <v>18736710.43726</v>
      </c>
      <c r="E167" s="100" t="n">
        <v>16908600.035196</v>
      </c>
      <c r="F167" s="100" t="n">
        <v>18485806.392241</v>
      </c>
      <c r="G167" s="100" t="n">
        <v>22368357.731808</v>
      </c>
      <c r="H167" s="100" t="n">
        <v>22232538.116561</v>
      </c>
      <c r="I167" s="100" t="n">
        <v>23425853.756569</v>
      </c>
      <c r="J167" s="100" t="n">
        <v>26905596.464221</v>
      </c>
      <c r="K167" s="100" t="n">
        <v>24423751.737918</v>
      </c>
      <c r="L167" s="100" t="n">
        <v>20101455.503774</v>
      </c>
      <c r="M167" s="100" t="n">
        <v>26556103.48679001</v>
      </c>
      <c r="N167" s="101">
        <f>M167</f>
        <v/>
      </c>
    </row>
    <row r="168">
      <c r="A168" s="61" t="inlineStr">
        <is>
          <t>Alüminyum / G.17.8.</t>
        </is>
      </c>
      <c r="B168" s="100" t="n">
        <v>10507170.883185</v>
      </c>
      <c r="C168" s="100" t="n">
        <v>7912002.868492</v>
      </c>
      <c r="D168" s="100" t="n">
        <v>11387872.486609</v>
      </c>
      <c r="E168" s="100" t="n">
        <v>6282493.262701</v>
      </c>
      <c r="F168" s="100" t="n">
        <v>7774070.252181</v>
      </c>
      <c r="G168" s="100" t="n">
        <v>13272114.394397</v>
      </c>
      <c r="H168" s="100" t="n">
        <v>10204767.878486</v>
      </c>
      <c r="I168" s="100" t="n">
        <v>8891293.244716</v>
      </c>
      <c r="J168" s="100" t="n">
        <v>13669061.39713</v>
      </c>
      <c r="K168" s="100" t="n">
        <v>9192394.102909001</v>
      </c>
      <c r="L168" s="100" t="n">
        <v>15354605.097356</v>
      </c>
      <c r="M168" s="100" t="n">
        <v>21728132.480164</v>
      </c>
      <c r="N168" s="101">
        <f>M168</f>
        <v/>
      </c>
    </row>
    <row r="169">
      <c r="A169" s="61" t="inlineStr">
        <is>
          <t>x / G.17.9.</t>
        </is>
      </c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70" t="n"/>
    </row>
    <row r="170">
      <c r="A170" s="61" t="inlineStr">
        <is>
          <t>y / G.17.10.</t>
        </is>
      </c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70" t="n"/>
    </row>
    <row r="171">
      <c r="A171" s="61" t="inlineStr">
        <is>
          <t>35 Venture / G.17.11.</t>
        </is>
      </c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70" t="n"/>
    </row>
    <row r="172">
      <c r="A172" s="61" t="inlineStr">
        <is>
          <t>Vinci / G.17.12.</t>
        </is>
      </c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70" t="n"/>
    </row>
    <row r="173">
      <c r="A173" s="61" t="inlineStr">
        <is>
          <t>Net Nakit-EUR / G.18.</t>
        </is>
      </c>
      <c r="B173" s="103">
        <f>SUM(B174:B176)+SUM(B177:B181)*0.4</f>
        <v/>
      </c>
      <c r="C173" s="103">
        <f>SUM(C174:C176)+SUM(C177:C181)*0.4</f>
        <v/>
      </c>
      <c r="D173" s="103">
        <f>SUM(D174:D176)+SUM(D177:D181)*0.4</f>
        <v/>
      </c>
      <c r="E173" s="103">
        <f>SUM(E174:E176)+SUM(E177:E181)*0.4</f>
        <v/>
      </c>
      <c r="F173" s="103">
        <f>SUM(F174:F176)+SUM(F177:F181)*0.4</f>
        <v/>
      </c>
      <c r="G173" s="103">
        <f>SUM(G174:G176)+SUM(G177:G181)*0.4</f>
        <v/>
      </c>
      <c r="H173" s="103">
        <f>SUM(H174:H176)+SUM(H177:H181)*0.4</f>
        <v/>
      </c>
      <c r="I173" s="103">
        <f>SUM(I174:I176)+SUM(I177:I181)*0.4</f>
        <v/>
      </c>
      <c r="J173" s="103">
        <f>SUM(J174:J176)+SUM(J177:J181)*0.4</f>
        <v/>
      </c>
      <c r="K173" s="103">
        <f>SUM(K174:K176)+SUM(K177:K181)*0.4</f>
        <v/>
      </c>
      <c r="L173" s="103">
        <f>SUM(L174:L176)+SUM(L177:L181)*0.4</f>
        <v/>
      </c>
      <c r="M173" s="103">
        <f>SUM(M174:M176)+SUM(M177:M181)*0.4</f>
        <v/>
      </c>
      <c r="N173" s="103">
        <f>SUM(N174:N176)+SUM(N177:N181)*0.4</f>
        <v/>
      </c>
    </row>
    <row r="174">
      <c r="A174" s="61" t="inlineStr">
        <is>
          <t>İnci Holding / G.18.1.</t>
        </is>
      </c>
      <c r="B174" s="100" t="n">
        <v>23979154.75612228</v>
      </c>
      <c r="C174" s="100" t="n">
        <v>13503015.99978026</v>
      </c>
      <c r="D174" s="100" t="n">
        <v>10522343.83908466</v>
      </c>
      <c r="E174" s="100" t="n">
        <v>10255115.4566296</v>
      </c>
      <c r="F174" s="100" t="n">
        <v>10662585.52732094</v>
      </c>
      <c r="G174" s="100" t="n">
        <v>9569446.591324793</v>
      </c>
      <c r="H174" s="100" t="n">
        <v>9543711.481509686</v>
      </c>
      <c r="I174" s="100" t="n">
        <v>10036716.25175636</v>
      </c>
      <c r="J174" s="100" t="n">
        <v>9800493.988708885</v>
      </c>
      <c r="K174" s="100" t="n">
        <v>9814495.650977518</v>
      </c>
      <c r="L174" s="100" t="n">
        <v>11311930.7783569</v>
      </c>
      <c r="M174" s="100" t="n">
        <v>10470814.64810038</v>
      </c>
      <c r="N174" s="101">
        <f>M174</f>
        <v/>
      </c>
      <c r="O174" s="104" t="n"/>
    </row>
    <row r="175">
      <c r="A175" s="61" t="inlineStr">
        <is>
          <t>ISM / G.18.2.</t>
        </is>
      </c>
      <c r="B175" s="100" t="n">
        <v>-1959035.52819611</v>
      </c>
      <c r="C175" s="100" t="n">
        <v>-2059569.417288859</v>
      </c>
      <c r="D175" s="100" t="n">
        <v>-1996755.796699559</v>
      </c>
      <c r="E175" s="100" t="n">
        <v>-1939212.568104239</v>
      </c>
      <c r="F175" s="100" t="n">
        <v>-1770389.449406724</v>
      </c>
      <c r="G175" s="100" t="n">
        <v>-1490027.19102233</v>
      </c>
      <c r="H175" s="100" t="n">
        <v>-1295909.167077945</v>
      </c>
      <c r="I175" s="100" t="n">
        <v>-965350.1264793702</v>
      </c>
      <c r="J175" s="100" t="n">
        <v>-825727.3975712755</v>
      </c>
      <c r="K175" s="100" t="n">
        <v>-732447.523820066</v>
      </c>
      <c r="L175" s="100" t="n">
        <v>-777350.6098431548</v>
      </c>
      <c r="M175" s="100" t="n">
        <v>-704742.896896936</v>
      </c>
      <c r="N175" s="100">
        <f>'Bütçe aylık-TL'!N175/'Bütçe aylık-TL'!N$2</f>
        <v/>
      </c>
    </row>
    <row r="176">
      <c r="A176" s="61" t="inlineStr">
        <is>
          <t>İncitaş / G.18.3.</t>
        </is>
      </c>
      <c r="B176" s="100" t="n">
        <v>-345969.2991732239</v>
      </c>
      <c r="C176" s="100" t="n">
        <v>-685934.1685438844</v>
      </c>
      <c r="D176" s="100" t="n">
        <v>-527820.5510043819</v>
      </c>
      <c r="E176" s="100" t="n">
        <v>-597336.8582544427</v>
      </c>
      <c r="F176" s="100" t="n">
        <v>-450955.9370472989</v>
      </c>
      <c r="G176" s="100" t="n">
        <v>-349733.7625638185</v>
      </c>
      <c r="H176" s="100" t="n">
        <v>-299578.9354337036</v>
      </c>
      <c r="I176" s="100" t="n">
        <v>-425077.8010731895</v>
      </c>
      <c r="J176" s="100" t="n">
        <v>-275715.6669328561</v>
      </c>
      <c r="K176" s="100" t="n">
        <v>-309108.2009068533</v>
      </c>
      <c r="L176" s="100" t="n">
        <v>-306851.0927283997</v>
      </c>
      <c r="M176" s="100" t="n">
        <v>-400648.6304365932</v>
      </c>
      <c r="N176" s="101">
        <f>M176</f>
        <v/>
      </c>
    </row>
    <row r="177">
      <c r="A177" s="61" t="inlineStr">
        <is>
          <t>İnci GS Yuasa / G.18.4.</t>
        </is>
      </c>
      <c r="B177" s="100" t="n">
        <v>-35290524.58686583</v>
      </c>
      <c r="C177" s="100" t="n">
        <v>-35951004.82481226</v>
      </c>
      <c r="D177" s="100" t="n">
        <v>-36279125.49207829</v>
      </c>
      <c r="E177" s="100" t="n">
        <v>-36531715.20758081</v>
      </c>
      <c r="F177" s="100" t="n">
        <v>-35836689.34569378</v>
      </c>
      <c r="G177" s="100" t="n">
        <v>-35665819.84386002</v>
      </c>
      <c r="H177" s="100" t="n">
        <v>-40394186.73878694</v>
      </c>
      <c r="I177" s="100" t="n">
        <v>-38963396.85518906</v>
      </c>
      <c r="J177" s="100" t="n">
        <v>-41183765.55311061</v>
      </c>
      <c r="K177" s="100" t="n">
        <v>-39361928.19832236</v>
      </c>
      <c r="L177" s="100" t="n">
        <v>-37936631.90746034</v>
      </c>
      <c r="M177" s="100" t="n">
        <v>-36232595.52654639</v>
      </c>
      <c r="N177" s="101">
        <f>M177</f>
        <v/>
      </c>
    </row>
    <row r="178">
      <c r="A178" s="61" t="inlineStr">
        <is>
          <t>Yusen İnci Loj. / G.18.5.</t>
        </is>
      </c>
      <c r="B178" s="100" t="n">
        <v>1602174.742143002</v>
      </c>
      <c r="C178" s="100" t="n">
        <v>1883834.253818993</v>
      </c>
      <c r="D178" s="100" t="n">
        <v>699769.9103129058</v>
      </c>
      <c r="E178" s="100" t="n">
        <v>858214.0381872025</v>
      </c>
      <c r="F178" s="100" t="n">
        <v>769826.9327216898</v>
      </c>
      <c r="G178" s="100" t="n">
        <v>1540227.045550505</v>
      </c>
      <c r="H178" s="100" t="n">
        <v>918140.0981681288</v>
      </c>
      <c r="I178" s="100" t="n">
        <v>1381234.36581628</v>
      </c>
      <c r="J178" s="100" t="n">
        <v>1621111.214424114</v>
      </c>
      <c r="K178" s="100" t="n">
        <v>903932.0276087852</v>
      </c>
      <c r="L178" s="100" t="n">
        <v>1840192.553705777</v>
      </c>
      <c r="M178" s="100" t="n">
        <v>2143759.153819886</v>
      </c>
      <c r="N178" s="101">
        <f>M178</f>
        <v/>
      </c>
    </row>
    <row r="179">
      <c r="A179" s="61" t="inlineStr">
        <is>
          <t>Jantaş / G.18.6.</t>
        </is>
      </c>
      <c r="B179" s="100" t="n">
        <v>6126231.250336</v>
      </c>
      <c r="C179" s="100" t="n">
        <v>6434386.365351</v>
      </c>
      <c r="D179" s="100" t="n">
        <v>8704545.100701001</v>
      </c>
      <c r="E179" s="100" t="n">
        <v>6028791.141108999</v>
      </c>
      <c r="F179" s="100" t="n">
        <v>6549153.838255</v>
      </c>
      <c r="G179" s="100" t="n">
        <v>8431690.774487</v>
      </c>
      <c r="H179" s="100" t="n">
        <v>9410637.328563999</v>
      </c>
      <c r="I179" s="100" t="n">
        <v>10030741.338553</v>
      </c>
      <c r="J179" s="100" t="n">
        <v>13264540.672984</v>
      </c>
      <c r="K179" s="100" t="n">
        <v>14507966.19168</v>
      </c>
      <c r="L179" s="100" t="n">
        <v>16503196.753796</v>
      </c>
      <c r="M179" s="100" t="n">
        <v>14707174.447736</v>
      </c>
      <c r="N179" s="101">
        <f>M179</f>
        <v/>
      </c>
    </row>
    <row r="180">
      <c r="A180" s="61" t="inlineStr">
        <is>
          <t>Çelik / G.18.7.</t>
        </is>
      </c>
      <c r="B180" s="100" t="n">
        <v>16263649.335985</v>
      </c>
      <c r="C180" s="100" t="n">
        <v>14675847.500402</v>
      </c>
      <c r="D180" s="100" t="n">
        <v>18736710.43726</v>
      </c>
      <c r="E180" s="100" t="n">
        <v>16908600.035196</v>
      </c>
      <c r="F180" s="100" t="n">
        <v>18485806.392241</v>
      </c>
      <c r="G180" s="100" t="n">
        <v>22368357.731808</v>
      </c>
      <c r="H180" s="100" t="n">
        <v>22232538.116561</v>
      </c>
      <c r="I180" s="100" t="n">
        <v>23425853.756569</v>
      </c>
      <c r="J180" s="100" t="n">
        <v>26905596.464221</v>
      </c>
      <c r="K180" s="100" t="n">
        <v>24423751.737918</v>
      </c>
      <c r="L180" s="100" t="n">
        <v>20101455.503774</v>
      </c>
      <c r="M180" s="100" t="n">
        <v>26556103.48679001</v>
      </c>
      <c r="N180" s="101">
        <f>M180</f>
        <v/>
      </c>
    </row>
    <row r="181">
      <c r="A181" s="61" t="inlineStr">
        <is>
          <t>Alüminyum / G.18.8.</t>
        </is>
      </c>
      <c r="B181" s="100" t="n">
        <v>10507170.883185</v>
      </c>
      <c r="C181" s="100" t="n">
        <v>7912002.868492</v>
      </c>
      <c r="D181" s="100" t="n">
        <v>11387872.486609</v>
      </c>
      <c r="E181" s="100" t="n">
        <v>6282493.262701</v>
      </c>
      <c r="F181" s="100" t="n">
        <v>7774070.252181</v>
      </c>
      <c r="G181" s="100" t="n">
        <v>13272114.394397</v>
      </c>
      <c r="H181" s="100" t="n">
        <v>10204767.878486</v>
      </c>
      <c r="I181" s="100" t="n">
        <v>8891293.244716</v>
      </c>
      <c r="J181" s="100" t="n">
        <v>13669061.39713</v>
      </c>
      <c r="K181" s="100" t="n">
        <v>9192394.102909001</v>
      </c>
      <c r="L181" s="100" t="n">
        <v>15354605.097356</v>
      </c>
      <c r="M181" s="100" t="n">
        <v>21728132.480164</v>
      </c>
      <c r="N181" s="101">
        <f>M181</f>
        <v/>
      </c>
    </row>
    <row r="182">
      <c r="A182" s="61" t="inlineStr">
        <is>
          <t>x / G.18.9.</t>
        </is>
      </c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70" t="n"/>
    </row>
    <row r="183">
      <c r="A183" s="61" t="inlineStr">
        <is>
          <t>y / G.18.10.</t>
        </is>
      </c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70" t="n"/>
    </row>
    <row r="184">
      <c r="A184" s="61" t="inlineStr">
        <is>
          <t>35 Venture / G.18.11.</t>
        </is>
      </c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70" t="n"/>
    </row>
    <row r="185">
      <c r="A185" s="61" t="inlineStr">
        <is>
          <t>Vinci / G.18.12.</t>
        </is>
      </c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70" t="n"/>
    </row>
    <row r="186">
      <c r="A186" s="61" t="inlineStr">
        <is>
          <t>Yatırım-EUR / G.19.</t>
        </is>
      </c>
      <c r="B186" s="103">
        <f>SUM(B187:B189)+SUM(B190:B194)*0.4</f>
        <v/>
      </c>
      <c r="C186" s="103">
        <f>SUM(C187:C189)+SUM(C190:C194)*0.4</f>
        <v/>
      </c>
      <c r="D186" s="103">
        <f>SUM(D187:D189)+SUM(D190:D194)*0.4</f>
        <v/>
      </c>
      <c r="E186" s="103">
        <f>SUM(E187:E189)+SUM(E190:E194)*0.4</f>
        <v/>
      </c>
      <c r="F186" s="103">
        <f>SUM(F187:F189)+SUM(F190:F194)*0.4</f>
        <v/>
      </c>
      <c r="G186" s="103">
        <f>SUM(G187:G189)+SUM(G190:G194)*0.4</f>
        <v/>
      </c>
      <c r="H186" s="103">
        <f>SUM(H187:H189)+SUM(H190:H194)*0.4</f>
        <v/>
      </c>
      <c r="I186" s="103">
        <f>SUM(I187:I189)+SUM(I190:I194)*0.4</f>
        <v/>
      </c>
      <c r="J186" s="103">
        <f>SUM(J187:J189)+SUM(J190:J194)*0.4</f>
        <v/>
      </c>
      <c r="K186" s="103">
        <f>SUM(K187:K189)+SUM(K190:K194)*0.4</f>
        <v/>
      </c>
      <c r="L186" s="103">
        <f>SUM(L187:L189)+SUM(L190:L194)*0.4</f>
        <v/>
      </c>
      <c r="M186" s="103">
        <f>SUM(M187:M189)+SUM(M190:M194)*0.4</f>
        <v/>
      </c>
      <c r="N186" s="103">
        <f>SUM(N187:N189)+SUM(N190:N194)*0.4</f>
        <v/>
      </c>
      <c r="O186" s="52">
        <f>N186</f>
        <v/>
      </c>
    </row>
    <row r="187">
      <c r="A187" s="61" t="inlineStr">
        <is>
          <t>İnci Holding / G.19.1.</t>
        </is>
      </c>
      <c r="B187" s="100" t="n">
        <v>1924.399273230136</v>
      </c>
      <c r="C187" s="100" t="n">
        <v>0</v>
      </c>
      <c r="D187" s="100" t="n">
        <v>0</v>
      </c>
      <c r="E187" s="100" t="n">
        <v>0</v>
      </c>
      <c r="F187" s="100" t="n">
        <v>961.4515461509181</v>
      </c>
      <c r="G187" s="100" t="n">
        <v>1922.565178011225</v>
      </c>
      <c r="H187" s="100" t="n">
        <v>0</v>
      </c>
      <c r="I187" s="100" t="n">
        <v>5883.432724123487</v>
      </c>
      <c r="J187" s="100" t="n">
        <v>1964.963544146951</v>
      </c>
      <c r="K187" s="100" t="n">
        <v>2271.519237496422</v>
      </c>
      <c r="L187" s="100" t="n">
        <v>0</v>
      </c>
      <c r="M187" s="100" t="n">
        <v>0</v>
      </c>
      <c r="N187" s="101">
        <f>SUM(B187:M187)</f>
        <v/>
      </c>
    </row>
    <row r="188">
      <c r="A188" s="61" t="inlineStr">
        <is>
          <t>ISM / G.19.2.</t>
        </is>
      </c>
      <c r="B188" s="100" t="n">
        <v>37421.01322819717</v>
      </c>
      <c r="C188" s="100" t="n">
        <v>29230.78546851582</v>
      </c>
      <c r="D188" s="100" t="n">
        <v>32259.97760196151</v>
      </c>
      <c r="E188" s="100" t="n">
        <v>204274.950101066</v>
      </c>
      <c r="F188" s="100" t="n">
        <v>60019.95258152072</v>
      </c>
      <c r="G188" s="100" t="n">
        <v>79856.64377491704</v>
      </c>
      <c r="H188" s="100" t="n">
        <v>57756.92244275834</v>
      </c>
      <c r="I188" s="100" t="n">
        <v>23166.81649808671</v>
      </c>
      <c r="J188" s="100" t="n">
        <v>54556.63487278594</v>
      </c>
      <c r="K188" s="100" t="n">
        <v>16435.96360117574</v>
      </c>
      <c r="L188" s="100" t="n">
        <v>16182.86592050298</v>
      </c>
      <c r="M188" s="100" t="n">
        <v>15950.14345391365</v>
      </c>
      <c r="N188" s="101">
        <f>SUM(B188:M188)</f>
        <v/>
      </c>
    </row>
    <row r="189">
      <c r="A189" s="61" t="inlineStr">
        <is>
          <t>İncitaş / G.19.3.</t>
        </is>
      </c>
      <c r="B189" s="100" t="n">
        <v>0</v>
      </c>
      <c r="C189" s="100" t="n">
        <v>0</v>
      </c>
      <c r="D189" s="100" t="n">
        <v>0</v>
      </c>
      <c r="E189" s="100" t="n">
        <v>0</v>
      </c>
      <c r="F189" s="100" t="n">
        <v>0</v>
      </c>
      <c r="G189" s="100" t="n">
        <v>0</v>
      </c>
      <c r="H189" s="100" t="n">
        <v>0</v>
      </c>
      <c r="I189" s="100" t="n">
        <v>0</v>
      </c>
      <c r="J189" s="100" t="n">
        <v>0</v>
      </c>
      <c r="K189" s="100" t="n">
        <v>0</v>
      </c>
      <c r="L189" s="100" t="n">
        <v>0</v>
      </c>
      <c r="M189" s="100" t="n">
        <v>0</v>
      </c>
      <c r="N189" s="101">
        <f>SUM(B189:M189)</f>
        <v/>
      </c>
    </row>
    <row r="190">
      <c r="A190" s="61" t="inlineStr">
        <is>
          <t>İnci GS Yuasa / G.19.4.</t>
        </is>
      </c>
      <c r="B190" s="100" t="n">
        <v>309454.4406993278</v>
      </c>
      <c r="C190" s="100" t="n">
        <v>308891.1226988738</v>
      </c>
      <c r="D190" s="100" t="n">
        <v>308453.9114221979</v>
      </c>
      <c r="E190" s="100" t="n">
        <v>431394.5307871224</v>
      </c>
      <c r="F190" s="100" t="n">
        <v>431116.5725991596</v>
      </c>
      <c r="G190" s="100" t="n">
        <v>513089.4684711273</v>
      </c>
      <c r="H190" s="100" t="n">
        <v>513122.9945726228</v>
      </c>
      <c r="I190" s="100" t="n">
        <v>513330.5880982627</v>
      </c>
      <c r="J190" s="100" t="n">
        <v>616446.0341165985</v>
      </c>
      <c r="K190" s="100" t="n">
        <v>617088.9862351839</v>
      </c>
      <c r="L190" s="100" t="n">
        <v>741501.7341705461</v>
      </c>
      <c r="M190" s="100" t="n">
        <v>866597.409268418</v>
      </c>
      <c r="N190" s="101">
        <f>SUM(B190:M190)</f>
        <v/>
      </c>
    </row>
    <row r="191">
      <c r="A191" s="61" t="inlineStr">
        <is>
          <t>Yusen İnci Loj. / G.19.5.</t>
        </is>
      </c>
      <c r="B191" s="100" t="n">
        <v>104087.5231286895</v>
      </c>
      <c r="C191" s="100" t="n">
        <v>69807.02823425263</v>
      </c>
      <c r="D191" s="100" t="n">
        <v>82220.32011175742</v>
      </c>
      <c r="E191" s="100" t="n">
        <v>76084.77873278265</v>
      </c>
      <c r="F191" s="100" t="n">
        <v>74635.59172341044</v>
      </c>
      <c r="G191" s="100" t="n">
        <v>73240.57820995143</v>
      </c>
      <c r="H191" s="100" t="n">
        <v>71896.58395364109</v>
      </c>
      <c r="I191" s="100" t="n">
        <v>70601.19268948185</v>
      </c>
      <c r="J191" s="100" t="n">
        <v>69351.65449930416</v>
      </c>
      <c r="K191" s="100" t="n">
        <v>68145.57712489266</v>
      </c>
      <c r="L191" s="100" t="n">
        <v>66980.58232918277</v>
      </c>
      <c r="M191" s="100" t="n">
        <v>65854.89532364388</v>
      </c>
      <c r="N191" s="101">
        <f>SUM(B191:M191)</f>
        <v/>
      </c>
      <c r="P191" s="94" t="n"/>
      <c r="Q191" s="94" t="n"/>
      <c r="R191" s="94" t="n"/>
      <c r="S191" s="94" t="n"/>
    </row>
    <row r="192">
      <c r="A192" s="61" t="inlineStr">
        <is>
          <t>Jantaş / G.19.6.</t>
        </is>
      </c>
      <c r="B192" s="100" t="n">
        <v>274833.333333</v>
      </c>
      <c r="C192" s="100" t="n">
        <v>274833.333334</v>
      </c>
      <c r="D192" s="100" t="n">
        <v>274833.333333</v>
      </c>
      <c r="E192" s="100" t="n">
        <v>274833.3333330001</v>
      </c>
      <c r="F192" s="100" t="n">
        <v>274833.3333339998</v>
      </c>
      <c r="G192" s="100" t="n">
        <v>274833.3333330001</v>
      </c>
      <c r="H192" s="100" t="n">
        <v>274833.3333330001</v>
      </c>
      <c r="I192" s="100" t="n">
        <v>274833.3333339998</v>
      </c>
      <c r="J192" s="100" t="n">
        <v>274833.3333330001</v>
      </c>
      <c r="K192" s="100" t="n">
        <v>274833.3333330001</v>
      </c>
      <c r="L192" s="100" t="n">
        <v>274833.3333339998</v>
      </c>
      <c r="M192" s="100" t="n">
        <v>274833.3333330001</v>
      </c>
      <c r="N192" s="101">
        <f>SUM(B192:M192)</f>
        <v/>
      </c>
    </row>
    <row r="193">
      <c r="A193" s="61" t="inlineStr">
        <is>
          <t>Çelik / G.19.7.</t>
        </is>
      </c>
      <c r="B193" s="100" t="n">
        <v>30000</v>
      </c>
      <c r="C193" s="100" t="n">
        <v>266000</v>
      </c>
      <c r="D193" s="100" t="n">
        <v>465000</v>
      </c>
      <c r="E193" s="100" t="n">
        <v>261000</v>
      </c>
      <c r="F193" s="100" t="n">
        <v>286000</v>
      </c>
      <c r="G193" s="100" t="n">
        <v>679000</v>
      </c>
      <c r="H193" s="100" t="n">
        <v>51000</v>
      </c>
      <c r="I193" s="100" t="n">
        <v>439000</v>
      </c>
      <c r="J193" s="100" t="n">
        <v>351000</v>
      </c>
      <c r="K193" s="100" t="n">
        <v>177000</v>
      </c>
      <c r="L193" s="100" t="n">
        <v>56000</v>
      </c>
      <c r="M193" s="100" t="n">
        <v>26000</v>
      </c>
      <c r="N193" s="101">
        <f>SUM(B193:M193)</f>
        <v/>
      </c>
    </row>
    <row r="194">
      <c r="A194" s="61" t="inlineStr">
        <is>
          <t>Alüminyum / G.19.8.</t>
        </is>
      </c>
      <c r="B194" s="100" t="n">
        <v>335000</v>
      </c>
      <c r="C194" s="100" t="n">
        <v>300500</v>
      </c>
      <c r="D194" s="100" t="n">
        <v>343000</v>
      </c>
      <c r="E194" s="100" t="n">
        <v>138000</v>
      </c>
      <c r="F194" s="100" t="n">
        <v>338000</v>
      </c>
      <c r="G194" s="100" t="n">
        <v>208000</v>
      </c>
      <c r="H194" s="100" t="n">
        <v>538000</v>
      </c>
      <c r="I194" s="100" t="n">
        <v>345900</v>
      </c>
      <c r="J194" s="100" t="n">
        <v>425900</v>
      </c>
      <c r="K194" s="100" t="n">
        <v>323900</v>
      </c>
      <c r="L194" s="100" t="n">
        <v>183900</v>
      </c>
      <c r="M194" s="100" t="n">
        <v>259900</v>
      </c>
      <c r="N194" s="101">
        <f>SUM(B194:M194)</f>
        <v/>
      </c>
    </row>
    <row r="195">
      <c r="A195" s="61" t="inlineStr">
        <is>
          <t>x / G.19.9.</t>
        </is>
      </c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70" t="n"/>
    </row>
    <row r="196">
      <c r="A196" s="61" t="inlineStr">
        <is>
          <t>y / G.19.10.</t>
        </is>
      </c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7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00B050"/>
    <outlinePr summaryBelow="1" summaryRight="1"/>
    <pageSetUpPr/>
  </sheetPr>
  <dimension ref="A1:O37"/>
  <sheetViews>
    <sheetView workbookViewId="0">
      <selection activeCell="B3" sqref="B3:I3"/>
    </sheetView>
  </sheetViews>
  <sheetFormatPr baseColWidth="8" defaultColWidth="8.81640625" defaultRowHeight="14.5"/>
  <cols>
    <col width="31.7265625" bestFit="1" customWidth="1" min="1" max="1"/>
    <col width="10.54296875" bestFit="1" customWidth="1" min="2" max="2"/>
    <col width="9.7265625" bestFit="1" customWidth="1" min="3" max="3"/>
    <col width="9.81640625" bestFit="1" customWidth="1" min="4" max="5"/>
    <col width="10.7265625" bestFit="1" customWidth="1" min="6" max="13"/>
    <col width="9.81640625" bestFit="1" customWidth="1" min="14" max="14"/>
    <col width="12" bestFit="1" customWidth="1" min="15" max="15"/>
  </cols>
  <sheetData>
    <row r="1">
      <c r="A1" s="60" t="inlineStr">
        <is>
          <t>Yapı</t>
        </is>
      </c>
      <c r="B1" s="61" t="inlineStr">
        <is>
          <t>Ocak</t>
        </is>
      </c>
      <c r="C1" s="61" t="inlineStr">
        <is>
          <t>Şubat</t>
        </is>
      </c>
      <c r="D1" s="61" t="inlineStr">
        <is>
          <t>Mart</t>
        </is>
      </c>
      <c r="E1" s="61" t="inlineStr">
        <is>
          <t>Nisan</t>
        </is>
      </c>
      <c r="F1" s="61" t="inlineStr">
        <is>
          <t>Mayıs</t>
        </is>
      </c>
      <c r="G1" s="61" t="inlineStr">
        <is>
          <t>Haziran</t>
        </is>
      </c>
      <c r="H1" s="61" t="inlineStr">
        <is>
          <t>Temmuz</t>
        </is>
      </c>
      <c r="I1" s="61" t="inlineStr">
        <is>
          <t>Ağustos</t>
        </is>
      </c>
      <c r="J1" s="61" t="inlineStr">
        <is>
          <t>Eylül</t>
        </is>
      </c>
      <c r="K1" s="61" t="inlineStr">
        <is>
          <t>Ekim</t>
        </is>
      </c>
      <c r="L1" s="61" t="inlineStr">
        <is>
          <t>Kasım</t>
        </is>
      </c>
      <c r="M1" s="61" t="inlineStr">
        <is>
          <t>Aralık</t>
        </is>
      </c>
    </row>
    <row r="2">
      <c r="A2" s="61" t="inlineStr">
        <is>
          <t>Operasyonel Nakit-EUR / G.14.</t>
        </is>
      </c>
      <c r="B2" s="102">
        <f>SUM(B3:B5)+SUM(B6:B10)*0.4</f>
        <v/>
      </c>
      <c r="C2" s="102">
        <f>SUM(C3:C5)+SUM(C6:C10)*0.4</f>
        <v/>
      </c>
      <c r="D2" s="102">
        <f>SUM(D3:D5)+SUM(D6:D10)*0.4</f>
        <v/>
      </c>
      <c r="E2" s="102">
        <f>SUM(E3:E5)+SUM(E6:E10)*0.4</f>
        <v/>
      </c>
      <c r="F2" s="102">
        <f>SUM(F3:F5)+SUM(F6:F10)*0.4</f>
        <v/>
      </c>
      <c r="G2" s="102">
        <f>SUM(G3:G5)+SUM(G6:G10)*0.4</f>
        <v/>
      </c>
      <c r="H2" s="102">
        <f>SUM(H3:H5)+SUM(H6:H10)*0.4</f>
        <v/>
      </c>
      <c r="I2" s="102">
        <f>SUM(I3:I5)+SUM(I6:I10)*0.4</f>
        <v/>
      </c>
      <c r="J2" s="102">
        <f>SUM(J3:J5)+SUM(J6:J10)*0.4</f>
        <v/>
      </c>
      <c r="K2" s="102">
        <f>SUM(K3:K5)+SUM(K6:K10)*0.4</f>
        <v/>
      </c>
      <c r="L2" s="102">
        <f>SUM(L3:L5)+SUM(L6:L10)*0.4</f>
        <v/>
      </c>
      <c r="M2" s="102">
        <f>SUM(M3:M5)+SUM(M6:M10)*0.4</f>
        <v/>
      </c>
      <c r="N2" s="52">
        <f>SUM(B2:M2)</f>
        <v/>
      </c>
    </row>
    <row r="3">
      <c r="A3" s="61" t="inlineStr">
        <is>
          <t>İnci Holding / G.14.1.</t>
        </is>
      </c>
      <c r="B3" s="100" t="n">
        <v>285699.2736404764</v>
      </c>
      <c r="C3" s="100" t="n">
        <v>995713.4471707197</v>
      </c>
      <c r="D3" s="100" t="n">
        <v>102873.2823804338</v>
      </c>
      <c r="E3" s="100" t="n">
        <v>259262.7283121089</v>
      </c>
      <c r="F3" s="100" t="n">
        <v>900371.7912217136</v>
      </c>
      <c r="G3" s="100" t="n">
        <v>-745121.6179692815</v>
      </c>
      <c r="H3" s="100" t="n">
        <v>260787.7819513673</v>
      </c>
      <c r="I3" s="100" t="n">
        <v>948921.301433895</v>
      </c>
      <c r="J3" s="100" t="n">
        <v>154804.6379504454</v>
      </c>
      <c r="K3" s="100" t="n">
        <v>255877.0295047131</v>
      </c>
      <c r="L3" s="100" t="n">
        <v>1143929.779726805</v>
      </c>
      <c r="M3" s="100" t="n">
        <v>-1333734.586312502</v>
      </c>
    </row>
    <row r="4">
      <c r="A4" s="61" t="inlineStr">
        <is>
          <t>ISM / G.14.2.</t>
        </is>
      </c>
      <c r="B4" s="100" t="n">
        <v>-664594.8884091733</v>
      </c>
      <c r="C4" s="100" t="n">
        <v>-258038.4703606814</v>
      </c>
      <c r="D4" s="100" t="n">
        <v>-108658.3766056241</v>
      </c>
      <c r="E4" s="100" t="n">
        <v>414635.2467175663</v>
      </c>
      <c r="F4" s="100" t="n">
        <v>176091.5422575063</v>
      </c>
      <c r="G4" s="100" t="n">
        <v>609303.0672273252</v>
      </c>
      <c r="H4" s="100" t="n">
        <v>410633.3581316605</v>
      </c>
      <c r="I4" s="100" t="n">
        <v>277055.0697399848</v>
      </c>
      <c r="J4" s="100" t="n">
        <v>227072.61997867</v>
      </c>
      <c r="K4" s="100" t="n">
        <v>200069.7676329886</v>
      </c>
      <c r="L4" s="100" t="n">
        <v>-105015.5047714628</v>
      </c>
      <c r="M4" s="100" t="n">
        <v>24764.50220699976</v>
      </c>
    </row>
    <row r="5">
      <c r="A5" s="61" t="inlineStr">
        <is>
          <t>İncitaş / G.14.3.</t>
        </is>
      </c>
      <c r="B5" s="100" t="n">
        <v>-554871.0479680488</v>
      </c>
      <c r="C5" s="100" t="n">
        <v>-154810.9231541973</v>
      </c>
      <c r="D5" s="100" t="n">
        <v>66179.89059349948</v>
      </c>
      <c r="E5" s="100" t="n">
        <v>-29474.12431410201</v>
      </c>
      <c r="F5" s="100" t="n">
        <v>-23013.41273669001</v>
      </c>
      <c r="G5" s="100" t="n">
        <v>178491.4387031914</v>
      </c>
      <c r="H5" s="100" t="n">
        <v>-71148.73951222579</v>
      </c>
      <c r="I5" s="100" t="n">
        <v>192686.2568088683</v>
      </c>
      <c r="J5" s="100" t="n">
        <v>176078.1249843229</v>
      </c>
      <c r="K5" s="100" t="n">
        <v>-207188.2005076508</v>
      </c>
      <c r="L5" s="100" t="n">
        <v>65329.36227496884</v>
      </c>
      <c r="M5" s="100" t="n">
        <v>46790.90188959669</v>
      </c>
    </row>
    <row r="6">
      <c r="A6" s="61" t="inlineStr">
        <is>
          <t>GS Yuasa / G.14.4.</t>
        </is>
      </c>
      <c r="B6" s="100" t="n">
        <v>-3810637.847768283</v>
      </c>
      <c r="C6" s="100" t="n">
        <v>1845250.400969217</v>
      </c>
      <c r="D6" s="100" t="n">
        <v>2097402.207213597</v>
      </c>
      <c r="E6" s="100" t="n">
        <v>2608837.956487929</v>
      </c>
      <c r="F6" s="100" t="n">
        <v>2633902.873421535</v>
      </c>
      <c r="G6" s="100" t="n">
        <v>1900598.394345795</v>
      </c>
      <c r="H6" s="100" t="n">
        <v>-2360194.160861667</v>
      </c>
      <c r="I6" s="100" t="n">
        <v>3714899.636304652</v>
      </c>
      <c r="J6" s="100" t="n">
        <v>270624.7496338771</v>
      </c>
      <c r="K6" s="100" t="n">
        <v>4160157.952807166</v>
      </c>
      <c r="L6" s="100" t="n">
        <v>3924993.238558121</v>
      </c>
      <c r="M6" s="100" t="n">
        <v>4319897.958811068</v>
      </c>
    </row>
    <row r="7">
      <c r="A7" s="61" t="inlineStr">
        <is>
          <t>Yusen / G.14.5.</t>
        </is>
      </c>
      <c r="B7" s="100" t="n">
        <v>1442974.593044692</v>
      </c>
      <c r="C7" s="100" t="n">
        <v>482790.2999878491</v>
      </c>
      <c r="D7" s="100" t="n">
        <v>343736.2212717005</v>
      </c>
      <c r="E7" s="100" t="n">
        <v>-208120.305418078</v>
      </c>
      <c r="F7" s="100" t="n">
        <v>124411.7025414066</v>
      </c>
      <c r="G7" s="100" t="n">
        <v>947690.081859978</v>
      </c>
      <c r="H7" s="100" t="n">
        <v>-365422.5408731222</v>
      </c>
      <c r="I7" s="100" t="n">
        <v>743620.5442663853</v>
      </c>
      <c r="J7" s="100" t="n">
        <v>513030.7091705033</v>
      </c>
      <c r="K7" s="100" t="n">
        <v>-352697.1900446654</v>
      </c>
      <c r="L7" s="100" t="n">
        <v>1243404.660645933</v>
      </c>
      <c r="M7" s="100" t="n">
        <v>559696.1237409837</v>
      </c>
    </row>
    <row r="8">
      <c r="A8" s="61" t="inlineStr">
        <is>
          <t>Jantaş / G.14.6.</t>
        </is>
      </c>
      <c r="B8" s="100" t="n">
        <v>-2899301.018664002</v>
      </c>
      <c r="C8" s="100" t="n">
        <v>811991.1071170017</v>
      </c>
      <c r="D8" s="100" t="n">
        <v>2061428.269125001</v>
      </c>
      <c r="E8" s="100" t="n">
        <v>-1870589.206521001</v>
      </c>
      <c r="F8" s="100" t="n">
        <v>1363283.481236004</v>
      </c>
      <c r="G8" s="100" t="n">
        <v>2463087.505822002</v>
      </c>
      <c r="H8" s="100" t="n">
        <v>825676.4962169982</v>
      </c>
      <c r="I8" s="100" t="n">
        <v>1561923.553726</v>
      </c>
      <c r="J8" s="100" t="n">
        <v>3251858.563149997</v>
      </c>
      <c r="K8" s="100" t="n">
        <v>762387.6773360004</v>
      </c>
      <c r="L8" s="100" t="n">
        <v>2436458.347819997</v>
      </c>
      <c r="M8" s="100" t="n">
        <v>4822737.620851006</v>
      </c>
      <c r="O8" s="94">
        <f>B8*0.4</f>
        <v/>
      </c>
    </row>
    <row r="9">
      <c r="A9" s="61" t="inlineStr">
        <is>
          <t>Çelik / G.14.7.</t>
        </is>
      </c>
      <c r="B9" s="100" t="n">
        <v>4111678.819352</v>
      </c>
      <c r="C9" s="100" t="n">
        <v>-424093.8314240045</v>
      </c>
      <c r="D9" s="100" t="n">
        <v>7480567.225421002</v>
      </c>
      <c r="E9" s="100" t="n">
        <v>-1480624.431478996</v>
      </c>
      <c r="F9" s="100" t="n">
        <v>1844168.075231999</v>
      </c>
      <c r="G9" s="100" t="n">
        <v>4273962.198989002</v>
      </c>
      <c r="H9" s="100" t="n">
        <v>-278913.3778080056</v>
      </c>
      <c r="I9" s="100" t="n">
        <v>1802198.078245997</v>
      </c>
      <c r="J9" s="100" t="n">
        <v>3553544.743633003</v>
      </c>
      <c r="K9" s="100" t="n">
        <v>-2495706.342265999</v>
      </c>
      <c r="L9" s="100" t="n">
        <v>197494.7976720004</v>
      </c>
      <c r="M9" s="100" t="n">
        <v>2971222.706518001</v>
      </c>
    </row>
    <row r="10">
      <c r="A10" s="61" t="inlineStr">
        <is>
          <t>Alüminyum / G.14.8.</t>
        </is>
      </c>
      <c r="B10" s="100" t="n">
        <v>-6034748.734706342</v>
      </c>
      <c r="C10" s="100" t="n">
        <v>-255624.1763041331</v>
      </c>
      <c r="D10" s="100" t="n">
        <v>8469981.179025587</v>
      </c>
      <c r="E10" s="100" t="n">
        <v>-3256445.715694024</v>
      </c>
      <c r="F10" s="100" t="n">
        <v>3206929.723056722</v>
      </c>
      <c r="G10" s="100" t="n">
        <v>7227543.894765642</v>
      </c>
      <c r="H10" s="100" t="n">
        <v>-1356457.579907556</v>
      </c>
      <c r="I10" s="100" t="n">
        <v>473841.955620643</v>
      </c>
      <c r="J10" s="100" t="n">
        <v>7846932.858869276</v>
      </c>
      <c r="K10" s="100" t="n">
        <v>-2908465.010250303</v>
      </c>
      <c r="L10" s="100" t="n">
        <v>6850950.752513989</v>
      </c>
      <c r="M10" s="100" t="n">
        <v>7831303.371747505</v>
      </c>
    </row>
    <row r="11">
      <c r="A11" s="61" t="inlineStr">
        <is>
          <t>Serbest Nakit-EUR / G.15.</t>
        </is>
      </c>
      <c r="B11" s="102">
        <f>SUM(B12:B14)+SUM(B15:B19)*0.4</f>
        <v/>
      </c>
      <c r="C11" s="102">
        <f>SUM(C12:C14)+SUM(C15:C19)*0.4</f>
        <v/>
      </c>
      <c r="D11" s="102">
        <f>SUM(D12:D14)+SUM(D15:D19)*0.4</f>
        <v/>
      </c>
      <c r="E11" s="102">
        <f>SUM(E12:E14)+SUM(E15:E19)*0.4</f>
        <v/>
      </c>
      <c r="F11" s="102">
        <f>SUM(F12:F14)+SUM(F15:F19)*0.4</f>
        <v/>
      </c>
      <c r="G11" s="102">
        <f>SUM(G12:G14)+SUM(G15:G19)*0.4</f>
        <v/>
      </c>
      <c r="H11" s="102">
        <f>SUM(H12:H14)+SUM(H15:H19)*0.4</f>
        <v/>
      </c>
      <c r="I11" s="102">
        <f>SUM(I12:I14)+SUM(I15:I19)*0.4</f>
        <v/>
      </c>
      <c r="J11" s="102">
        <f>SUM(J12:J14)+SUM(J15:J19)*0.4</f>
        <v/>
      </c>
      <c r="K11" s="102">
        <f>SUM(K12:K14)+SUM(K15:K19)*0.4</f>
        <v/>
      </c>
      <c r="L11" s="102">
        <f>SUM(L12:L14)+SUM(L15:L19)*0.4</f>
        <v/>
      </c>
      <c r="M11" s="102">
        <f>SUM(M12:M14)+SUM(M15:M19)*0.4</f>
        <v/>
      </c>
      <c r="N11" s="52">
        <f>SUM(B11:M11)</f>
        <v/>
      </c>
      <c r="O11" s="52" t="n"/>
    </row>
    <row r="12">
      <c r="A12" s="61" t="inlineStr">
        <is>
          <t>İnci Holding / G.15.1.</t>
        </is>
      </c>
      <c r="B12" s="98" t="n">
        <v>283774.8743672463</v>
      </c>
      <c r="C12" s="98" t="n">
        <v>995713.4471707197</v>
      </c>
      <c r="D12" s="98" t="n">
        <v>102873.2823804338</v>
      </c>
      <c r="E12" s="98" t="n">
        <v>259262.7283121089</v>
      </c>
      <c r="F12" s="98" t="n">
        <v>899410.3396755627</v>
      </c>
      <c r="G12" s="98" t="n">
        <v>-747044.1831472927</v>
      </c>
      <c r="H12" s="98" t="n">
        <v>260787.7819513673</v>
      </c>
      <c r="I12" s="98" t="n">
        <v>943037.8687097715</v>
      </c>
      <c r="J12" s="98" t="n">
        <v>152839.6744062985</v>
      </c>
      <c r="K12" s="98" t="n">
        <v>253605.5102672167</v>
      </c>
      <c r="L12" s="98" t="n">
        <v>1143929.779726805</v>
      </c>
      <c r="M12" s="98" t="n">
        <v>-1333734.586312502</v>
      </c>
    </row>
    <row r="13">
      <c r="A13" s="61" t="inlineStr">
        <is>
          <t>ISM / G.15.2.</t>
        </is>
      </c>
      <c r="B13" s="98" t="n">
        <v>-702015.9016373705</v>
      </c>
      <c r="C13" s="98" t="n">
        <v>-287269.2558291972</v>
      </c>
      <c r="D13" s="98" t="n">
        <v>-140918.3542075856</v>
      </c>
      <c r="E13" s="98" t="n">
        <v>210360.2966165003</v>
      </c>
      <c r="F13" s="98" t="n">
        <v>116071.5896759856</v>
      </c>
      <c r="G13" s="98" t="n">
        <v>529446.4234524082</v>
      </c>
      <c r="H13" s="98" t="n">
        <v>352876.4356889022</v>
      </c>
      <c r="I13" s="98" t="n">
        <v>253888.2532418981</v>
      </c>
      <c r="J13" s="98" t="n">
        <v>172515.985105884</v>
      </c>
      <c r="K13" s="98" t="n">
        <v>183633.8040318128</v>
      </c>
      <c r="L13" s="98" t="n">
        <v>-121198.3706919658</v>
      </c>
      <c r="M13" s="98" t="n">
        <v>8814.358753086117</v>
      </c>
    </row>
    <row r="14">
      <c r="A14" s="61" t="inlineStr">
        <is>
          <t>İncitaş / G.15.3.</t>
        </is>
      </c>
      <c r="B14" s="100" t="n">
        <v>-554871.0479680488</v>
      </c>
      <c r="C14" s="100" t="n">
        <v>-154810.9231541973</v>
      </c>
      <c r="D14" s="100" t="n">
        <v>66179.89059349948</v>
      </c>
      <c r="E14" s="100" t="n">
        <v>-29474.12431410201</v>
      </c>
      <c r="F14" s="100" t="n">
        <v>-23013.41273669001</v>
      </c>
      <c r="G14" s="100" t="n">
        <v>178491.4387031914</v>
      </c>
      <c r="H14" s="100" t="n">
        <v>-71148.73951222579</v>
      </c>
      <c r="I14" s="100" t="n">
        <v>192686.2568088683</v>
      </c>
      <c r="J14" s="100" t="n">
        <v>176078.1249843229</v>
      </c>
      <c r="K14" s="100" t="n">
        <v>-207188.2005076508</v>
      </c>
      <c r="L14" s="100" t="n">
        <v>65329.36227496884</v>
      </c>
      <c r="M14" s="100" t="n">
        <v>46790.90188959669</v>
      </c>
    </row>
    <row r="15">
      <c r="A15" s="61" t="inlineStr">
        <is>
          <t>GS Yuasa / G.15.4.</t>
        </is>
      </c>
      <c r="B15" s="98">
        <f>B6-'Bütçe aylık-Eur'!B190</f>
        <v/>
      </c>
      <c r="C15" s="98">
        <f>C6-'Bütçe aylık-Eur'!C190</f>
        <v/>
      </c>
      <c r="D15" s="98">
        <f>D6-'Bütçe aylık-Eur'!D190</f>
        <v/>
      </c>
      <c r="E15" s="98">
        <f>E6-'Bütçe aylık-Eur'!E190</f>
        <v/>
      </c>
      <c r="F15" s="98">
        <f>F6-'Bütçe aylık-Eur'!F190</f>
        <v/>
      </c>
      <c r="G15" s="98">
        <f>G6-'Bütçe aylık-Eur'!G190</f>
        <v/>
      </c>
      <c r="H15" s="98">
        <f>H6-'Bütçe aylık-Eur'!H190</f>
        <v/>
      </c>
      <c r="I15" s="98">
        <f>I6-'Bütçe aylık-Eur'!I190</f>
        <v/>
      </c>
      <c r="J15" s="98">
        <f>J6-'Bütçe aylık-Eur'!J190</f>
        <v/>
      </c>
      <c r="K15" s="98">
        <f>K6-'Bütçe aylık-Eur'!K190</f>
        <v/>
      </c>
      <c r="L15" s="98">
        <f>L6-'Bütçe aylık-Eur'!L190</f>
        <v/>
      </c>
      <c r="M15" s="98">
        <f>M6-'Bütçe aylık-Eur'!M190</f>
        <v/>
      </c>
    </row>
    <row r="16">
      <c r="A16" s="61" t="inlineStr">
        <is>
          <t>Yusen / G.15.5.</t>
        </is>
      </c>
      <c r="B16" s="98" t="n">
        <v>1338887.069916003</v>
      </c>
      <c r="C16" s="98" t="n">
        <v>412983.2717535964</v>
      </c>
      <c r="D16" s="98" t="n">
        <v>261515.901159943</v>
      </c>
      <c r="E16" s="98" t="n">
        <v>-284205.0841508607</v>
      </c>
      <c r="F16" s="98" t="n">
        <v>49776.11081799617</v>
      </c>
      <c r="G16" s="98" t="n">
        <v>874449.5036500266</v>
      </c>
      <c r="H16" s="98" t="n">
        <v>-437319.1248267633</v>
      </c>
      <c r="I16" s="98" t="n">
        <v>673019.3515769034</v>
      </c>
      <c r="J16" s="98" t="n">
        <v>443679.0546711992</v>
      </c>
      <c r="K16" s="98" t="n">
        <v>-420842.767169558</v>
      </c>
      <c r="L16" s="98" t="n">
        <v>1176424.07831675</v>
      </c>
      <c r="M16" s="98" t="n">
        <v>493841.2284173398</v>
      </c>
    </row>
    <row r="17">
      <c r="A17" s="61" t="inlineStr">
        <is>
          <t>Jantaş / G.15.6.</t>
        </is>
      </c>
      <c r="B17" s="98" t="n">
        <v>-3136859.990995999</v>
      </c>
      <c r="C17" s="98" t="n">
        <v>574300.0007570015</v>
      </c>
      <c r="D17" s="98" t="n">
        <v>1823721.391511998</v>
      </c>
      <c r="E17" s="98" t="n">
        <v>-2108678.758939005</v>
      </c>
      <c r="F17" s="98" t="n">
        <v>1127267.107534001</v>
      </c>
      <c r="G17" s="98" t="n">
        <v>2227060.229290999</v>
      </c>
      <c r="H17" s="98" t="n">
        <v>590706.0096860079</v>
      </c>
      <c r="I17" s="98" t="n">
        <v>1327643.02719799</v>
      </c>
      <c r="J17" s="98" t="n">
        <v>3017578.036621002</v>
      </c>
      <c r="K17" s="98" t="n">
        <v>528107.1508039983</v>
      </c>
      <c r="L17" s="98" t="n">
        <v>2202177.821290003</v>
      </c>
      <c r="M17" s="98" t="n">
        <v>4547904.287518006</v>
      </c>
    </row>
    <row r="18">
      <c r="A18" s="61" t="inlineStr">
        <is>
          <t>Çelik / G.15.7.</t>
        </is>
      </c>
      <c r="B18" s="98" t="n">
        <v>4081678.819352</v>
      </c>
      <c r="C18" s="98" t="n">
        <v>-690093.8314240044</v>
      </c>
      <c r="D18" s="98" t="n">
        <v>7015567.225421002</v>
      </c>
      <c r="E18" s="98" t="n">
        <v>-1741624.431478996</v>
      </c>
      <c r="F18" s="98" t="n">
        <v>1558168.075231999</v>
      </c>
      <c r="G18" s="98" t="n">
        <v>3594962.198989002</v>
      </c>
      <c r="H18" s="98" t="n">
        <v>-329913.3778080056</v>
      </c>
      <c r="I18" s="98" t="n">
        <v>1363198.078245997</v>
      </c>
      <c r="J18" s="98" t="n">
        <v>3202544.743633003</v>
      </c>
      <c r="K18" s="98" t="n">
        <v>-2672706.342265999</v>
      </c>
      <c r="L18" s="98" t="n">
        <v>141494.7976720004</v>
      </c>
      <c r="M18" s="98" t="n">
        <v>2945222.706518001</v>
      </c>
    </row>
    <row r="19">
      <c r="A19" s="61" t="inlineStr">
        <is>
          <t>Alüminyum / G.15.8.</t>
        </is>
      </c>
      <c r="B19" s="98" t="n">
        <v>-6276573.562737003</v>
      </c>
      <c r="C19" s="98" t="n">
        <v>-459001.1540539972</v>
      </c>
      <c r="D19" s="98" t="n">
        <v>8221856.079526</v>
      </c>
      <c r="E19" s="98" t="n">
        <v>-3295546.49175601</v>
      </c>
      <c r="F19" s="98" t="n">
        <v>2966185.487641013</v>
      </c>
      <c r="G19" s="98" t="n">
        <v>7110869.428480001</v>
      </c>
      <c r="H19" s="98" t="n">
        <v>-1798927.760869005</v>
      </c>
      <c r="I19" s="98" t="n">
        <v>220215.7657150039</v>
      </c>
      <c r="J19" s="98" t="n">
        <v>7513347.090415012</v>
      </c>
      <c r="K19" s="98" t="n">
        <v>-3140399.525072024</v>
      </c>
      <c r="L19" s="98" t="n">
        <v>6757362.315207006</v>
      </c>
      <c r="M19" s="98" t="n">
        <v>7658494.623580995</v>
      </c>
    </row>
    <row r="20">
      <c r="A20" s="61" t="inlineStr">
        <is>
          <t>Operasyonel Nakit-EUR (Kümüle) / G.14.</t>
        </is>
      </c>
      <c r="B20" s="102">
        <f>SUM(B21:B23)+SUM(B24:B28)*0.4</f>
        <v/>
      </c>
      <c r="C20" s="102">
        <f>SUM(C21:C23)+SUM(C24:C28)*0.4</f>
        <v/>
      </c>
      <c r="D20" s="102">
        <f>SUM(D21:D23)+SUM(D24:D28)*0.4</f>
        <v/>
      </c>
      <c r="E20" s="102">
        <f>SUM(E21:E23)+SUM(E24:E28)*0.4</f>
        <v/>
      </c>
      <c r="F20" s="102">
        <f>SUM(F21:F23)+SUM(F24:F28)*0.4</f>
        <v/>
      </c>
      <c r="G20" s="102">
        <f>SUM(G21:G23)+SUM(G24:G28)*0.4</f>
        <v/>
      </c>
      <c r="H20" s="102">
        <f>SUM(H21:H23)+SUM(H24:H28)*0.4</f>
        <v/>
      </c>
      <c r="I20" s="102">
        <f>SUM(I21:I23)+SUM(I24:I28)*0.4</f>
        <v/>
      </c>
      <c r="J20" s="102">
        <f>SUM(J21:J23)+SUM(J24:J28)*0.4</f>
        <v/>
      </c>
      <c r="K20" s="102">
        <f>SUM(K21:K23)+SUM(K24:K28)*0.4</f>
        <v/>
      </c>
      <c r="L20" s="102">
        <f>SUM(L21:L23)+SUM(L24:L28)*0.4</f>
        <v/>
      </c>
      <c r="M20" s="102">
        <f>SUM(M21:M23)+SUM(M24:M28)*0.4</f>
        <v/>
      </c>
    </row>
    <row r="21">
      <c r="A21" s="61" t="inlineStr">
        <is>
          <t>İnci Holding (Kümüle) / G.14.1.</t>
        </is>
      </c>
      <c r="B21" s="98">
        <f>B3</f>
        <v/>
      </c>
      <c r="C21" s="98">
        <f>B21+C3</f>
        <v/>
      </c>
      <c r="D21" s="98">
        <f>C21+D3</f>
        <v/>
      </c>
      <c r="E21" s="98">
        <f>D21+E3</f>
        <v/>
      </c>
      <c r="F21" s="98">
        <f>E21+F3</f>
        <v/>
      </c>
      <c r="G21" s="98">
        <f>F21+G3</f>
        <v/>
      </c>
      <c r="H21" s="98">
        <f>G21+H3</f>
        <v/>
      </c>
      <c r="I21" s="98">
        <f>H21+I3</f>
        <v/>
      </c>
      <c r="J21" s="98">
        <f>I21+J3</f>
        <v/>
      </c>
      <c r="K21" s="98">
        <f>J21+K3</f>
        <v/>
      </c>
      <c r="L21" s="98">
        <f>K21+L3</f>
        <v/>
      </c>
      <c r="M21" s="98">
        <f>L21+M3</f>
        <v/>
      </c>
    </row>
    <row r="22">
      <c r="A22" s="61" t="inlineStr">
        <is>
          <t>ISM (Kümüle) / G.14.2.</t>
        </is>
      </c>
      <c r="B22" s="98">
        <f>B4</f>
        <v/>
      </c>
      <c r="C22" s="98">
        <f>B22+C4</f>
        <v/>
      </c>
      <c r="D22" s="98">
        <f>C22+D4</f>
        <v/>
      </c>
      <c r="E22" s="98">
        <f>D22+E4</f>
        <v/>
      </c>
      <c r="F22" s="98">
        <f>E22+F4</f>
        <v/>
      </c>
      <c r="G22" s="98">
        <f>F22+G4</f>
        <v/>
      </c>
      <c r="H22" s="98">
        <f>G22+H4</f>
        <v/>
      </c>
      <c r="I22" s="98">
        <f>H22+I4</f>
        <v/>
      </c>
      <c r="J22" s="98">
        <f>I22+J4</f>
        <v/>
      </c>
      <c r="K22" s="98">
        <f>J22+K4</f>
        <v/>
      </c>
      <c r="L22" s="98">
        <f>K22+L4</f>
        <v/>
      </c>
      <c r="M22" s="98">
        <f>L22+M4</f>
        <v/>
      </c>
    </row>
    <row r="23">
      <c r="A23" s="61" t="inlineStr">
        <is>
          <t>İncitaş (Kümüle) / G.14.3.</t>
        </is>
      </c>
      <c r="B23" s="98">
        <f>B5</f>
        <v/>
      </c>
      <c r="C23" s="98">
        <f>B23+C5</f>
        <v/>
      </c>
      <c r="D23" s="98">
        <f>C23+D5</f>
        <v/>
      </c>
      <c r="E23" s="98">
        <f>D23+E5</f>
        <v/>
      </c>
      <c r="F23" s="98">
        <f>E23+F5</f>
        <v/>
      </c>
      <c r="G23" s="98">
        <f>F23+G5</f>
        <v/>
      </c>
      <c r="H23" s="98">
        <f>G23+H5</f>
        <v/>
      </c>
      <c r="I23" s="98">
        <f>H23+I5</f>
        <v/>
      </c>
      <c r="J23" s="98">
        <f>I23+J5</f>
        <v/>
      </c>
      <c r="K23" s="98">
        <f>J23+K5</f>
        <v/>
      </c>
      <c r="L23" s="98">
        <f>K23+L5</f>
        <v/>
      </c>
      <c r="M23" s="98">
        <f>L23+M5</f>
        <v/>
      </c>
    </row>
    <row r="24">
      <c r="A24" s="61" t="inlineStr">
        <is>
          <t>GS Yuasa (Kümüle) / G.14.4.</t>
        </is>
      </c>
      <c r="B24" s="98">
        <f>B6</f>
        <v/>
      </c>
      <c r="C24" s="98">
        <f>B24+C6</f>
        <v/>
      </c>
      <c r="D24" s="98">
        <f>C24+D6</f>
        <v/>
      </c>
      <c r="E24" s="98">
        <f>D24+E6</f>
        <v/>
      </c>
      <c r="F24" s="98">
        <f>E24+F6</f>
        <v/>
      </c>
      <c r="G24" s="98">
        <f>F24+G6</f>
        <v/>
      </c>
      <c r="H24" s="98">
        <f>G24+H6</f>
        <v/>
      </c>
      <c r="I24" s="98">
        <f>H24+I6</f>
        <v/>
      </c>
      <c r="J24" s="98">
        <f>I24+J6</f>
        <v/>
      </c>
      <c r="K24" s="98">
        <f>J24+K6</f>
        <v/>
      </c>
      <c r="L24" s="98">
        <f>K24+L6</f>
        <v/>
      </c>
      <c r="M24" s="98">
        <f>L24+M6</f>
        <v/>
      </c>
    </row>
    <row r="25">
      <c r="A25" s="61" t="inlineStr">
        <is>
          <t>Yusen (Kümüle) / G.14.5.</t>
        </is>
      </c>
      <c r="B25" s="98">
        <f>B7</f>
        <v/>
      </c>
      <c r="C25" s="98">
        <f>B25+C7</f>
        <v/>
      </c>
      <c r="D25" s="98">
        <f>C25+D7</f>
        <v/>
      </c>
      <c r="E25" s="98">
        <f>D25+E7</f>
        <v/>
      </c>
      <c r="F25" s="98">
        <f>E25+F7</f>
        <v/>
      </c>
      <c r="G25" s="98">
        <f>F25+G7</f>
        <v/>
      </c>
      <c r="H25" s="98">
        <f>G25+H7</f>
        <v/>
      </c>
      <c r="I25" s="98">
        <f>H25+I7</f>
        <v/>
      </c>
      <c r="J25" s="98">
        <f>I25+J7</f>
        <v/>
      </c>
      <c r="K25" s="98">
        <f>J25+K7</f>
        <v/>
      </c>
      <c r="L25" s="98">
        <f>K25+L7</f>
        <v/>
      </c>
      <c r="M25" s="98">
        <f>L25+M7</f>
        <v/>
      </c>
    </row>
    <row r="26">
      <c r="A26" s="61" t="inlineStr">
        <is>
          <t>Jantaş (Kümüle) / G.14.6.</t>
        </is>
      </c>
      <c r="B26" s="98">
        <f>B8</f>
        <v/>
      </c>
      <c r="C26" s="98">
        <f>B26+C8</f>
        <v/>
      </c>
      <c r="D26" s="98">
        <f>C26+D8</f>
        <v/>
      </c>
      <c r="E26" s="98">
        <f>D26+E8</f>
        <v/>
      </c>
      <c r="F26" s="98">
        <f>E26+F8</f>
        <v/>
      </c>
      <c r="G26" s="98">
        <f>F26+G8</f>
        <v/>
      </c>
      <c r="H26" s="98">
        <f>G26+H8</f>
        <v/>
      </c>
      <c r="I26" s="98">
        <f>H26+I8</f>
        <v/>
      </c>
      <c r="J26" s="98">
        <f>I26+J8</f>
        <v/>
      </c>
      <c r="K26" s="98">
        <f>J26+K8</f>
        <v/>
      </c>
      <c r="L26" s="98">
        <f>K26+L8</f>
        <v/>
      </c>
      <c r="M26" s="98">
        <f>L26+M8</f>
        <v/>
      </c>
    </row>
    <row r="27">
      <c r="A27" s="61" t="inlineStr">
        <is>
          <t>Çelik (Kümüle) / G.14.7.</t>
        </is>
      </c>
      <c r="B27" s="98">
        <f>B9</f>
        <v/>
      </c>
      <c r="C27" s="98">
        <f>B27+C9</f>
        <v/>
      </c>
      <c r="D27" s="98">
        <f>C27+D9</f>
        <v/>
      </c>
      <c r="E27" s="98">
        <f>D27+E9</f>
        <v/>
      </c>
      <c r="F27" s="98">
        <f>E27+F9</f>
        <v/>
      </c>
      <c r="G27" s="98">
        <f>F27+G9</f>
        <v/>
      </c>
      <c r="H27" s="98">
        <f>G27+H9</f>
        <v/>
      </c>
      <c r="I27" s="98">
        <f>H27+I9</f>
        <v/>
      </c>
      <c r="J27" s="98">
        <f>I27+J9</f>
        <v/>
      </c>
      <c r="K27" s="98">
        <f>J27+K9</f>
        <v/>
      </c>
      <c r="L27" s="98">
        <f>K27+L9</f>
        <v/>
      </c>
      <c r="M27" s="98">
        <f>L27+M9</f>
        <v/>
      </c>
    </row>
    <row r="28">
      <c r="A28" s="61" t="inlineStr">
        <is>
          <t>Alüminyum (Kümüle) / G.14.8.</t>
        </is>
      </c>
      <c r="B28" s="98">
        <f>B10</f>
        <v/>
      </c>
      <c r="C28" s="98">
        <f>B28+C10</f>
        <v/>
      </c>
      <c r="D28" s="98">
        <f>C28+D10</f>
        <v/>
      </c>
      <c r="E28" s="98">
        <f>D28+E10</f>
        <v/>
      </c>
      <c r="F28" s="98">
        <f>E28+F10</f>
        <v/>
      </c>
      <c r="G28" s="98">
        <f>F28+G10</f>
        <v/>
      </c>
      <c r="H28" s="98">
        <f>G28+H10</f>
        <v/>
      </c>
      <c r="I28" s="98">
        <f>H28+I10</f>
        <v/>
      </c>
      <c r="J28" s="98">
        <f>I28+J10</f>
        <v/>
      </c>
      <c r="K28" s="98">
        <f>J28+K10</f>
        <v/>
      </c>
      <c r="L28" s="98">
        <f>K28+L10</f>
        <v/>
      </c>
      <c r="M28" s="98">
        <f>L28+M10</f>
        <v/>
      </c>
    </row>
    <row r="29">
      <c r="A29" s="61" t="inlineStr">
        <is>
          <t>Serbest Nakit-EUR (Kümüle) / G.15.</t>
        </is>
      </c>
      <c r="B29" s="102">
        <f>SUM(B30:B32)+SUM(B33:B37)*0.4</f>
        <v/>
      </c>
      <c r="C29" s="102">
        <f>SUM(C30:C32)+SUM(C33:C37)*0.4</f>
        <v/>
      </c>
      <c r="D29" s="102">
        <f>SUM(D30:D32)+SUM(D33:D37)*0.4</f>
        <v/>
      </c>
      <c r="E29" s="102">
        <f>SUM(E30:E32)+SUM(E33:E37)*0.4</f>
        <v/>
      </c>
      <c r="F29" s="102">
        <f>SUM(F30:F32)+SUM(F33:F37)*0.4</f>
        <v/>
      </c>
      <c r="G29" s="102">
        <f>SUM(G30:G32)+SUM(G33:G37)*0.4</f>
        <v/>
      </c>
      <c r="H29" s="102">
        <f>SUM(H30:H32)+SUM(H33:H37)*0.4</f>
        <v/>
      </c>
      <c r="I29" s="102">
        <f>SUM(I30:I32)+SUM(I33:I37)*0.4</f>
        <v/>
      </c>
      <c r="J29" s="102">
        <f>SUM(J30:J32)+SUM(J33:J37)*0.4</f>
        <v/>
      </c>
      <c r="K29" s="102">
        <f>SUM(K30:K32)+SUM(K33:K37)*0.4</f>
        <v/>
      </c>
      <c r="L29" s="102">
        <f>SUM(L30:L32)+SUM(L33:L37)*0.4</f>
        <v/>
      </c>
      <c r="M29" s="102">
        <f>SUM(M30:M32)+SUM(M33:M37)*0.4</f>
        <v/>
      </c>
    </row>
    <row r="30">
      <c r="A30" s="61" t="inlineStr">
        <is>
          <t>İnci Holding (Kümüle) / G.15.1.</t>
        </is>
      </c>
      <c r="B30" s="98">
        <f>B12</f>
        <v/>
      </c>
      <c r="C30" s="98">
        <f>B30+C12</f>
        <v/>
      </c>
      <c r="D30" s="98">
        <f>C30+D12</f>
        <v/>
      </c>
      <c r="E30" s="98">
        <f>D30+E12</f>
        <v/>
      </c>
      <c r="F30" s="98">
        <f>E30+F12</f>
        <v/>
      </c>
      <c r="G30" s="98">
        <f>F30+G12</f>
        <v/>
      </c>
      <c r="H30" s="98">
        <f>G30+H12</f>
        <v/>
      </c>
      <c r="I30" s="98">
        <f>H30+I12</f>
        <v/>
      </c>
      <c r="J30" s="98">
        <f>I30+J12</f>
        <v/>
      </c>
      <c r="K30" s="98">
        <f>J30+K12</f>
        <v/>
      </c>
      <c r="L30" s="98">
        <f>K30+L12</f>
        <v/>
      </c>
      <c r="M30" s="98">
        <f>L30+M12</f>
        <v/>
      </c>
    </row>
    <row r="31">
      <c r="A31" s="61" t="inlineStr">
        <is>
          <t>ISM (Kümüle) / G.15.2.</t>
        </is>
      </c>
      <c r="B31" s="98">
        <f>B13</f>
        <v/>
      </c>
      <c r="C31" s="98">
        <f>B31+C13</f>
        <v/>
      </c>
      <c r="D31" s="98">
        <f>C31+D13</f>
        <v/>
      </c>
      <c r="E31" s="98">
        <f>D31+E13</f>
        <v/>
      </c>
      <c r="F31" s="98">
        <f>E31+F13</f>
        <v/>
      </c>
      <c r="G31" s="98">
        <f>F31+G13</f>
        <v/>
      </c>
      <c r="H31" s="98">
        <f>G31+H13</f>
        <v/>
      </c>
      <c r="I31" s="98">
        <f>H31+I13</f>
        <v/>
      </c>
      <c r="J31" s="98">
        <f>I31+J13</f>
        <v/>
      </c>
      <c r="K31" s="98">
        <f>J31+K13</f>
        <v/>
      </c>
      <c r="L31" s="98">
        <f>K31+L13</f>
        <v/>
      </c>
      <c r="M31" s="98">
        <f>L31+M13</f>
        <v/>
      </c>
    </row>
    <row r="32">
      <c r="A32" s="61" t="inlineStr">
        <is>
          <t>İncitaş (Kümüle) / G.15.3.</t>
        </is>
      </c>
      <c r="B32" s="98">
        <f>B14</f>
        <v/>
      </c>
      <c r="C32" s="98">
        <f>B32+C14</f>
        <v/>
      </c>
      <c r="D32" s="98">
        <f>C32+D14</f>
        <v/>
      </c>
      <c r="E32" s="98">
        <f>D32+E14</f>
        <v/>
      </c>
      <c r="F32" s="98">
        <f>E32+F14</f>
        <v/>
      </c>
      <c r="G32" s="98">
        <f>F32+G14</f>
        <v/>
      </c>
      <c r="H32" s="98">
        <f>G32+H14</f>
        <v/>
      </c>
      <c r="I32" s="98">
        <f>H32+I14</f>
        <v/>
      </c>
      <c r="J32" s="98">
        <f>I32+J14</f>
        <v/>
      </c>
      <c r="K32" s="98">
        <f>J32+K14</f>
        <v/>
      </c>
      <c r="L32" s="98">
        <f>K32+L14</f>
        <v/>
      </c>
      <c r="M32" s="98">
        <f>L32+M14</f>
        <v/>
      </c>
    </row>
    <row r="33">
      <c r="A33" s="61" t="inlineStr">
        <is>
          <t>GS Yuasa (Kümüle) / G.15.4.</t>
        </is>
      </c>
      <c r="B33" s="98">
        <f>B15</f>
        <v/>
      </c>
      <c r="C33" s="98">
        <f>B33+C15</f>
        <v/>
      </c>
      <c r="D33" s="98">
        <f>C33+D15</f>
        <v/>
      </c>
      <c r="E33" s="98">
        <f>D33+E15</f>
        <v/>
      </c>
      <c r="F33" s="98">
        <f>E33+F15</f>
        <v/>
      </c>
      <c r="G33" s="98">
        <f>F33+G15</f>
        <v/>
      </c>
      <c r="H33" s="98">
        <f>G33+H15</f>
        <v/>
      </c>
      <c r="I33" s="98">
        <f>H33+I15</f>
        <v/>
      </c>
      <c r="J33" s="98">
        <f>I33+J15</f>
        <v/>
      </c>
      <c r="K33" s="98">
        <f>J33+K15</f>
        <v/>
      </c>
      <c r="L33" s="98">
        <f>K33+L15</f>
        <v/>
      </c>
      <c r="M33" s="98">
        <f>L33+M15</f>
        <v/>
      </c>
    </row>
    <row r="34">
      <c r="A34" s="61" t="inlineStr">
        <is>
          <t>Yusen (Kümüle) / G.15.5.</t>
        </is>
      </c>
      <c r="B34" s="98">
        <f>B16</f>
        <v/>
      </c>
      <c r="C34" s="98">
        <f>B34+C16</f>
        <v/>
      </c>
      <c r="D34" s="98">
        <f>C34+D16</f>
        <v/>
      </c>
      <c r="E34" s="98">
        <f>D34+E16</f>
        <v/>
      </c>
      <c r="F34" s="98">
        <f>E34+F16</f>
        <v/>
      </c>
      <c r="G34" s="98">
        <f>F34+G16</f>
        <v/>
      </c>
      <c r="H34" s="98">
        <f>G34+H16</f>
        <v/>
      </c>
      <c r="I34" s="98">
        <f>H34+I16</f>
        <v/>
      </c>
      <c r="J34" s="98">
        <f>I34+J16</f>
        <v/>
      </c>
      <c r="K34" s="98">
        <f>J34+K16</f>
        <v/>
      </c>
      <c r="L34" s="98">
        <f>K34+L16</f>
        <v/>
      </c>
      <c r="M34" s="98">
        <f>L34+M16</f>
        <v/>
      </c>
    </row>
    <row r="35">
      <c r="A35" s="61" t="inlineStr">
        <is>
          <t>Jantaş (Kümüle) / G.15.6.</t>
        </is>
      </c>
      <c r="B35" s="98">
        <f>B17</f>
        <v/>
      </c>
      <c r="C35" s="98">
        <f>B35+C17</f>
        <v/>
      </c>
      <c r="D35" s="98">
        <f>C35+D17</f>
        <v/>
      </c>
      <c r="E35" s="98">
        <f>D35+E17</f>
        <v/>
      </c>
      <c r="F35" s="98">
        <f>E35+F17</f>
        <v/>
      </c>
      <c r="G35" s="98">
        <f>F35+G17</f>
        <v/>
      </c>
      <c r="H35" s="98">
        <f>G35+H17</f>
        <v/>
      </c>
      <c r="I35" s="98">
        <f>H35+I17</f>
        <v/>
      </c>
      <c r="J35" s="98">
        <f>I35+J17</f>
        <v/>
      </c>
      <c r="K35" s="98">
        <f>J35+K17</f>
        <v/>
      </c>
      <c r="L35" s="98">
        <f>K35+L17</f>
        <v/>
      </c>
      <c r="M35" s="98">
        <f>L35+M17</f>
        <v/>
      </c>
    </row>
    <row r="36">
      <c r="A36" s="61" t="inlineStr">
        <is>
          <t>Çelik (Kümüle) / G.15.7.</t>
        </is>
      </c>
      <c r="B36" s="98">
        <f>B18</f>
        <v/>
      </c>
      <c r="C36" s="98">
        <f>B36+C18</f>
        <v/>
      </c>
      <c r="D36" s="98">
        <f>C36+D18</f>
        <v/>
      </c>
      <c r="E36" s="98">
        <f>D36+E18</f>
        <v/>
      </c>
      <c r="F36" s="98">
        <f>E36+F18</f>
        <v/>
      </c>
      <c r="G36" s="98">
        <f>F36+G18</f>
        <v/>
      </c>
      <c r="H36" s="98">
        <f>G36+H18</f>
        <v/>
      </c>
      <c r="I36" s="98">
        <f>H36+I18</f>
        <v/>
      </c>
      <c r="J36" s="98">
        <f>I36+J18</f>
        <v/>
      </c>
      <c r="K36" s="98">
        <f>J36+K18</f>
        <v/>
      </c>
      <c r="L36" s="98">
        <f>K36+L18</f>
        <v/>
      </c>
      <c r="M36" s="98">
        <f>L36+M18</f>
        <v/>
      </c>
    </row>
    <row r="37">
      <c r="A37" s="61" t="inlineStr">
        <is>
          <t>Alüminyum (Kümüle) / G.15.8.</t>
        </is>
      </c>
      <c r="B37" s="98">
        <f>B19</f>
        <v/>
      </c>
      <c r="C37" s="98">
        <f>B37+C19</f>
        <v/>
      </c>
      <c r="D37" s="98">
        <f>C37+D19</f>
        <v/>
      </c>
      <c r="E37" s="98">
        <f>D37+E19</f>
        <v/>
      </c>
      <c r="F37" s="98">
        <f>E37+F19</f>
        <v/>
      </c>
      <c r="G37" s="98">
        <f>F37+G19</f>
        <v/>
      </c>
      <c r="H37" s="98">
        <f>G37+H19</f>
        <v/>
      </c>
      <c r="I37" s="98">
        <f>H37+I19</f>
        <v/>
      </c>
      <c r="J37" s="98">
        <f>I37+J19</f>
        <v/>
      </c>
      <c r="K37" s="98">
        <f>J37+K19</f>
        <v/>
      </c>
      <c r="L37" s="98">
        <f>K37+L19</f>
        <v/>
      </c>
      <c r="M37" s="98">
        <f>L37+M19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00B050"/>
    <outlinePr summaryBelow="1" summaryRight="1"/>
    <pageSetUpPr/>
  </sheetPr>
  <dimension ref="A1:AM196"/>
  <sheetViews>
    <sheetView topLeftCell="A4" zoomScale="85" zoomScaleNormal="85" workbookViewId="0">
      <selection activeCell="J75" sqref="J75"/>
    </sheetView>
  </sheetViews>
  <sheetFormatPr baseColWidth="8" defaultRowHeight="14.5"/>
  <cols>
    <col width="28.36328125" bestFit="1" customWidth="1" min="1" max="1"/>
    <col width="12.81640625" customWidth="1" min="2" max="2"/>
    <col width="12.1796875" customWidth="1" min="3" max="4"/>
    <col width="12.81640625" customWidth="1" min="5" max="7"/>
    <col width="12.81640625" bestFit="1" customWidth="1" min="8" max="13"/>
    <col width="14.1796875" bestFit="1" customWidth="1" min="14" max="14"/>
    <col width="12.7265625" bestFit="1" customWidth="1" min="15" max="15"/>
    <col width="7.81640625" bestFit="1" customWidth="1" min="16" max="23"/>
    <col width="7.26953125" bestFit="1" customWidth="1" min="24" max="27"/>
  </cols>
  <sheetData>
    <row r="1">
      <c r="A1" s="60" t="inlineStr">
        <is>
          <t>Takvim yılı / takvim ayı</t>
        </is>
      </c>
      <c r="B1" s="61" t="inlineStr">
        <is>
          <t>OCK 2025</t>
        </is>
      </c>
      <c r="C1" s="61" t="inlineStr">
        <is>
          <t>ŞBT 2025</t>
        </is>
      </c>
      <c r="D1" s="61" t="inlineStr">
        <is>
          <t>MAR 2025</t>
        </is>
      </c>
      <c r="E1" s="61" t="inlineStr">
        <is>
          <t>NİS 2025</t>
        </is>
      </c>
      <c r="F1" s="61" t="inlineStr">
        <is>
          <t>MAY 2025</t>
        </is>
      </c>
      <c r="G1" s="61" t="inlineStr">
        <is>
          <t>HAZ 2025</t>
        </is>
      </c>
      <c r="H1" s="61" t="inlineStr">
        <is>
          <t>TEM 2025</t>
        </is>
      </c>
      <c r="I1" s="61" t="inlineStr">
        <is>
          <t>AGU 2025</t>
        </is>
      </c>
      <c r="J1" s="61" t="inlineStr">
        <is>
          <t>EYL 2025</t>
        </is>
      </c>
      <c r="K1" s="61" t="inlineStr">
        <is>
          <t>EKM 2025</t>
        </is>
      </c>
      <c r="L1" s="61" t="inlineStr">
        <is>
          <t>KSM 2025</t>
        </is>
      </c>
      <c r="M1" s="61" t="inlineStr">
        <is>
          <t>ARL 2025</t>
        </is>
      </c>
      <c r="N1" s="68" t="inlineStr">
        <is>
          <t>Toplam sonuç</t>
        </is>
      </c>
    </row>
    <row r="2">
      <c r="A2" s="61" t="inlineStr">
        <is>
          <t>Eur Kuru-kapanış / G.1.1.</t>
        </is>
      </c>
      <c r="B2" s="509" t="n">
        <v>37.515625</v>
      </c>
      <c r="C2" s="509" t="n">
        <v>38.28125000000001</v>
      </c>
      <c r="D2" s="509" t="n">
        <v>39.046875</v>
      </c>
      <c r="E2" s="509" t="n">
        <v>39.8125</v>
      </c>
      <c r="F2" s="509" t="n">
        <v>40.57812500000001</v>
      </c>
      <c r="G2" s="509" t="n">
        <v>41.34375</v>
      </c>
      <c r="H2" s="509" t="n">
        <v>42.109375</v>
      </c>
      <c r="I2" s="509" t="n">
        <v>42.87500000000001</v>
      </c>
      <c r="J2" s="509" t="n">
        <v>43.640625</v>
      </c>
      <c r="K2" s="509" t="n">
        <v>44.40625</v>
      </c>
      <c r="L2" s="509" t="n">
        <v>45.17187500000001</v>
      </c>
      <c r="M2" s="509" t="n">
        <v>45.9375</v>
      </c>
      <c r="N2" s="547" t="n"/>
      <c r="P2" s="509" t="n">
        <v>15.4739876766308</v>
      </c>
      <c r="Q2" s="509" t="n">
        <v>15.6583970923917</v>
      </c>
      <c r="R2" s="509" t="n">
        <v>15.8428065081525</v>
      </c>
      <c r="S2" s="509" t="n">
        <v>16.0272159239134</v>
      </c>
      <c r="T2" s="509" t="n">
        <v>16.2116253396742</v>
      </c>
      <c r="U2" s="509" t="n">
        <v>16.3960347554351</v>
      </c>
      <c r="V2" s="509" t="n">
        <v>16.5804441711959</v>
      </c>
      <c r="W2" s="509" t="n">
        <v>16.7648535869567</v>
      </c>
      <c r="X2" s="509" t="n">
        <v>16.9492630027176</v>
      </c>
      <c r="Y2" s="509" t="n">
        <v>17.1336724184784</v>
      </c>
      <c r="Z2" s="509" t="n">
        <v>17.3180818342393</v>
      </c>
      <c r="AA2" s="509" t="n">
        <v>17.5024912500001</v>
      </c>
    </row>
    <row r="3">
      <c r="A3" s="61" t="inlineStr">
        <is>
          <t>Eur Kuru-ortalama / G.1.2.</t>
        </is>
      </c>
      <c r="B3" s="509" t="n">
        <v>37.1328125</v>
      </c>
      <c r="C3" s="509" t="n">
        <v>37.8984375</v>
      </c>
      <c r="D3" s="509" t="n">
        <v>38.6640625</v>
      </c>
      <c r="E3" s="509" t="n">
        <v>39.4296875</v>
      </c>
      <c r="F3" s="509" t="n">
        <v>40.1953125</v>
      </c>
      <c r="G3" s="509" t="n">
        <v>40.9609375</v>
      </c>
      <c r="H3" s="509" t="n">
        <v>41.7265625</v>
      </c>
      <c r="I3" s="509" t="n">
        <v>42.4921875</v>
      </c>
      <c r="J3" s="509" t="n">
        <v>43.2578125</v>
      </c>
      <c r="K3" s="509" t="n">
        <v>44.0234375</v>
      </c>
      <c r="L3" s="509" t="n">
        <v>44.7890625</v>
      </c>
      <c r="M3" s="509" t="n">
        <v>45.5546875</v>
      </c>
      <c r="N3" s="547" t="n"/>
      <c r="P3" s="509" t="n">
        <v>15.3817829687504</v>
      </c>
      <c r="Q3" s="509" t="n">
        <v>15.5661923845113</v>
      </c>
      <c r="R3" s="509" t="n">
        <v>15.7506018002721</v>
      </c>
      <c r="S3" s="509" t="n">
        <v>15.9350112160329</v>
      </c>
      <c r="T3" s="509" t="n">
        <v>16.1194206317938</v>
      </c>
      <c r="U3" s="509" t="n">
        <v>16.3038300475546</v>
      </c>
      <c r="V3" s="509" t="n">
        <v>16.4882394633155</v>
      </c>
      <c r="W3" s="509" t="n">
        <v>16.6726488790763</v>
      </c>
      <c r="X3" s="509" t="n">
        <v>16.8570582948372</v>
      </c>
      <c r="Y3" s="509" t="n">
        <v>17.041467710598</v>
      </c>
      <c r="Z3" s="509" t="n">
        <v>17.2258771263589</v>
      </c>
      <c r="AA3" s="509" t="n">
        <v>17.4102865421197</v>
      </c>
    </row>
    <row r="4">
      <c r="A4" s="61" t="inlineStr">
        <is>
          <t>Net Satışlar-TL / G.1.</t>
        </is>
      </c>
      <c r="B4" s="98">
        <f>SUM(B5:B7)+SUM(B8:B12)*0.4</f>
        <v/>
      </c>
      <c r="C4" s="98">
        <f>SUM(C5:C7)+SUM(C8:C12)*0.4</f>
        <v/>
      </c>
      <c r="D4" s="98">
        <f>SUM(D5:D7)+SUM(D8:D12)*0.4</f>
        <v/>
      </c>
      <c r="E4" s="98">
        <f>SUM(E5:E7)+SUM(E8:E12)*0.4</f>
        <v/>
      </c>
      <c r="F4" s="98">
        <f>SUM(F5:F7)+SUM(F8:F12)*0.4</f>
        <v/>
      </c>
      <c r="G4" s="98">
        <f>SUM(G5:G7)+SUM(G8:G12)*0.4</f>
        <v/>
      </c>
      <c r="H4" s="98">
        <f>SUM(H5:H7)+SUM(H8:H12)*0.4</f>
        <v/>
      </c>
      <c r="I4" s="98">
        <f>SUM(I5:I7)+SUM(I8:I12)*0.4</f>
        <v/>
      </c>
      <c r="J4" s="98">
        <f>SUM(J5:J7)+SUM(J8:J12)*0.4</f>
        <v/>
      </c>
      <c r="K4" s="98">
        <f>SUM(K5:K7)+SUM(K8:K12)*0.4</f>
        <v/>
      </c>
      <c r="L4" s="98">
        <f>SUM(L5:L7)+SUM(L8:L12)*0.4</f>
        <v/>
      </c>
      <c r="M4" s="98">
        <f>SUM(M5:M7)+SUM(M8:M12)*0.4</f>
        <v/>
      </c>
      <c r="N4" s="99">
        <f>SUM(N5:N7)+SUM(N8:N12)*0.4</f>
        <v/>
      </c>
    </row>
    <row r="5">
      <c r="A5" s="61" t="inlineStr">
        <is>
          <t>İnci Holding / G.1.1.</t>
        </is>
      </c>
      <c r="B5" s="100" t="n">
        <v>26545528.129196</v>
      </c>
      <c r="C5" s="100" t="n">
        <v>27419454.85208</v>
      </c>
      <c r="D5" s="100" t="n">
        <v>31329207.733908</v>
      </c>
      <c r="E5" s="100" t="n">
        <v>29281597.259669</v>
      </c>
      <c r="F5" s="100" t="n">
        <v>31342694.999007</v>
      </c>
      <c r="G5" s="100" t="n">
        <v>31233975.816438</v>
      </c>
      <c r="H5" s="100" t="n">
        <v>31573143.019612</v>
      </c>
      <c r="I5" s="100" t="n">
        <v>28520352.709958</v>
      </c>
      <c r="J5" s="100" t="n">
        <v>37892064.132505</v>
      </c>
      <c r="K5" s="100" t="n">
        <v>37505344.068428</v>
      </c>
      <c r="L5" s="100" t="n">
        <v>36577447.339894</v>
      </c>
      <c r="M5" s="100" t="n">
        <v>33129305.915797</v>
      </c>
      <c r="N5" s="101">
        <f>SUM(B5:M5)</f>
        <v/>
      </c>
      <c r="O5" s="52" t="n">
        <v>957505.202662688</v>
      </c>
      <c r="P5" s="551">
        <f>B5/'Bütçe aylık-Eur'!B5</f>
        <v/>
      </c>
      <c r="Q5" s="551">
        <f>C5/'Bütçe aylık-Eur'!C5</f>
        <v/>
      </c>
      <c r="R5" s="551">
        <f>D5/'Bütçe aylık-Eur'!D5</f>
        <v/>
      </c>
      <c r="S5" s="551">
        <f>E5/'Bütçe aylık-Eur'!E5</f>
        <v/>
      </c>
      <c r="T5" s="551">
        <f>F5/'Bütçe aylık-Eur'!F5</f>
        <v/>
      </c>
      <c r="U5" s="551">
        <f>G5/'Bütçe aylık-Eur'!G5</f>
        <v/>
      </c>
      <c r="V5" s="551">
        <f>H5/'Bütçe aylık-Eur'!H5</f>
        <v/>
      </c>
      <c r="W5" s="551">
        <f>I5/'Bütçe aylık-Eur'!I5</f>
        <v/>
      </c>
      <c r="Y5" t="n">
        <v>743332.0577652166</v>
      </c>
      <c r="Z5" t="n">
        <v>710968.0594191205</v>
      </c>
      <c r="AA5" t="n">
        <v>729202.8306341545</v>
      </c>
      <c r="AB5" t="n">
        <v>746674.3454056398</v>
      </c>
      <c r="AC5" t="n">
        <v>750960.5510239938</v>
      </c>
      <c r="AD5" t="n">
        <v>747753.4154942831</v>
      </c>
      <c r="AE5" t="n">
        <v>769705.2020972213</v>
      </c>
      <c r="AF5" t="n">
        <v>638142.7244260234</v>
      </c>
      <c r="AG5" t="n">
        <v>811337.2713297077</v>
      </c>
      <c r="AH5" t="n">
        <v>824117.8113703629</v>
      </c>
      <c r="AI5" t="n">
        <v>797197.3110543505</v>
      </c>
      <c r="AJ5" t="n">
        <v>668241.7970489389</v>
      </c>
      <c r="AL5">
        <f>B5/Y5</f>
        <v/>
      </c>
      <c r="AM5">
        <f>C5/Z5</f>
        <v/>
      </c>
    </row>
    <row r="6">
      <c r="A6" s="61" t="inlineStr">
        <is>
          <t>ISM / G.1.2.</t>
        </is>
      </c>
      <c r="B6" s="100" t="n">
        <v>30975828.359198</v>
      </c>
      <c r="C6" s="100" t="n">
        <v>36666749.369537</v>
      </c>
      <c r="D6" s="100" t="n">
        <v>38146616.995187</v>
      </c>
      <c r="E6" s="100" t="n">
        <v>41827659.784394</v>
      </c>
      <c r="F6" s="100" t="n">
        <v>40063080.589518</v>
      </c>
      <c r="G6" s="100" t="n">
        <v>41660348.20592</v>
      </c>
      <c r="H6" s="100" t="n">
        <v>35643814.935524</v>
      </c>
      <c r="I6" s="100" t="n">
        <v>25346566.440802</v>
      </c>
      <c r="J6" s="100" t="n">
        <v>27278546.023129</v>
      </c>
      <c r="K6" s="100" t="n">
        <v>23703427.960809</v>
      </c>
      <c r="L6" s="100" t="n">
        <v>21707748.698758</v>
      </c>
      <c r="M6" s="100" t="n">
        <v>19695934.511745</v>
      </c>
      <c r="N6" s="101">
        <f>SUM(B6:M6)</f>
        <v/>
      </c>
      <c r="O6">
        <f>O5*P7</f>
        <v/>
      </c>
      <c r="P6" s="551">
        <f>B6/'Bütçe aylık-Eur'!B6</f>
        <v/>
      </c>
      <c r="Q6" s="551">
        <f>C6/'Bütçe aylık-Eur'!C6</f>
        <v/>
      </c>
      <c r="R6" s="551">
        <f>D6/'Bütçe aylık-Eur'!D6</f>
        <v/>
      </c>
      <c r="S6" s="551">
        <f>E6/'Bütçe aylık-Eur'!E6</f>
        <v/>
      </c>
      <c r="T6" s="551">
        <f>F6/'Bütçe aylık-Eur'!F6</f>
        <v/>
      </c>
      <c r="U6" s="551">
        <f>G6/'Bütçe aylık-Eur'!G6</f>
        <v/>
      </c>
      <c r="V6" s="551">
        <f>H6/'Bütçe aylık-Eur'!H6</f>
        <v/>
      </c>
      <c r="W6" s="551">
        <f>I6/'Bütçe aylık-Eur'!I6</f>
        <v/>
      </c>
      <c r="Y6" t="n">
        <v>954216.6480030257</v>
      </c>
      <c r="Z6" t="n">
        <v>1009890.205843681</v>
      </c>
      <c r="AA6" t="n">
        <v>1096897.986006</v>
      </c>
      <c r="AB6" t="n">
        <v>1137498.119977133</v>
      </c>
      <c r="AC6" t="n">
        <v>1031433.584083464</v>
      </c>
      <c r="AD6" t="n">
        <v>949864.0460673808</v>
      </c>
      <c r="AE6" t="n">
        <v>928824.8714071731</v>
      </c>
      <c r="AF6" t="n">
        <v>702955.5435110981</v>
      </c>
      <c r="AG6" t="n">
        <v>688980.1565815199</v>
      </c>
      <c r="AH6" t="n">
        <v>708912.2429446721</v>
      </c>
      <c r="AI6" t="n">
        <v>657676.3617818474</v>
      </c>
      <c r="AJ6" t="n">
        <v>476627.7871216141</v>
      </c>
      <c r="AL6">
        <f>B6/Y6</f>
        <v/>
      </c>
      <c r="AM6">
        <f>C6/Z6</f>
        <v/>
      </c>
    </row>
    <row r="7">
      <c r="A7" s="61" t="inlineStr">
        <is>
          <t>İncitaş / G.1.3.</t>
        </is>
      </c>
      <c r="B7" s="100" t="n">
        <v>36913368.130399</v>
      </c>
      <c r="C7" s="100" t="n">
        <v>37421189.601753</v>
      </c>
      <c r="D7" s="100" t="n">
        <v>49968968.744178</v>
      </c>
      <c r="E7" s="100" t="n">
        <v>52871185.72178</v>
      </c>
      <c r="F7" s="100" t="n">
        <v>58327490.752295</v>
      </c>
      <c r="G7" s="100" t="n">
        <v>59530606.564533</v>
      </c>
      <c r="H7" s="100" t="n">
        <v>74416328.52694701</v>
      </c>
      <c r="I7" s="100" t="n">
        <v>61066437.521908</v>
      </c>
      <c r="J7" s="100" t="n">
        <v>61200324.314139</v>
      </c>
      <c r="K7" s="100" t="n">
        <v>64071597.922632</v>
      </c>
      <c r="L7" s="100" t="n">
        <v>77488469.04892699</v>
      </c>
      <c r="M7" s="100" t="n">
        <v>67512216.79979099</v>
      </c>
      <c r="N7" s="101">
        <f>SUM(B7:M7)</f>
        <v/>
      </c>
      <c r="O7" s="52">
        <f>'Bütçe aylık-Eur'!$B$5</f>
        <v/>
      </c>
      <c r="P7" s="551">
        <f>B7/'Bütçe aylık-Eur'!B7</f>
        <v/>
      </c>
      <c r="Q7" s="551">
        <f>C7/'Bütçe aylık-Eur'!C7</f>
        <v/>
      </c>
      <c r="R7" s="551">
        <f>D7/'Bütçe aylık-Eur'!D7</f>
        <v/>
      </c>
      <c r="S7" s="551">
        <f>E7/'Bütçe aylık-Eur'!E7</f>
        <v/>
      </c>
      <c r="T7" s="551">
        <f>F7/'Bütçe aylık-Eur'!F7</f>
        <v/>
      </c>
      <c r="U7" s="551">
        <f>G7/'Bütçe aylık-Eur'!G7</f>
        <v/>
      </c>
      <c r="V7" s="551">
        <f>H7/'Bütçe aylık-Eur'!H7</f>
        <v/>
      </c>
      <c r="W7" s="551">
        <f>I7/'Bütçe aylık-Eur'!I7</f>
        <v/>
      </c>
      <c r="Y7" t="n">
        <v>872634.7034213492</v>
      </c>
      <c r="Z7" t="n">
        <v>855352.6230029877</v>
      </c>
      <c r="AA7" t="n">
        <v>852021.1417712454</v>
      </c>
      <c r="AB7" t="n">
        <v>835352.7954893762</v>
      </c>
      <c r="AC7" t="n">
        <v>839813.4501876625</v>
      </c>
      <c r="AD7" t="n">
        <v>1114564.440533253</v>
      </c>
      <c r="AE7" t="n">
        <v>893476.2979884816</v>
      </c>
      <c r="AF7" t="n">
        <v>1063887.279369129</v>
      </c>
      <c r="AG7" t="n">
        <v>878138.5434119398</v>
      </c>
      <c r="AH7" t="n">
        <v>867193.7277877762</v>
      </c>
      <c r="AI7" t="n">
        <v>1051970.885190333</v>
      </c>
      <c r="AJ7" t="n">
        <v>790316.3945073202</v>
      </c>
      <c r="AL7">
        <f>B7/Y7</f>
        <v/>
      </c>
      <c r="AM7">
        <f>C7/Z7</f>
        <v/>
      </c>
    </row>
    <row r="8">
      <c r="A8" s="61" t="inlineStr">
        <is>
          <t>İnci GS Yuasa / G.1.4.</t>
        </is>
      </c>
      <c r="B8" s="100" t="n">
        <v>709368965.381856</v>
      </c>
      <c r="C8" s="100" t="n">
        <v>736915987.455767</v>
      </c>
      <c r="D8" s="100" t="n">
        <v>786849814.533071</v>
      </c>
      <c r="E8" s="100" t="n">
        <v>764718161.919862</v>
      </c>
      <c r="F8" s="100" t="n">
        <v>749350187.71628</v>
      </c>
      <c r="G8" s="100" t="n">
        <v>767773853.503721</v>
      </c>
      <c r="H8" s="100" t="n">
        <v>913353819.40268</v>
      </c>
      <c r="I8" s="100" t="n">
        <v>896320785.621223</v>
      </c>
      <c r="J8" s="100" t="n">
        <v>975159968.3694261</v>
      </c>
      <c r="K8" s="100" t="n">
        <v>1131618188.39954</v>
      </c>
      <c r="L8" s="100" t="n">
        <v>1144323357.51107</v>
      </c>
      <c r="M8" s="100" t="n">
        <v>1185874708.25933</v>
      </c>
      <c r="N8" s="101">
        <f>SUM(B8:M8)</f>
        <v/>
      </c>
      <c r="O8">
        <f>O7*P7</f>
        <v/>
      </c>
      <c r="P8" s="551">
        <f>B8/'Bütçe aylık-Eur'!B8</f>
        <v/>
      </c>
      <c r="Q8" s="551">
        <f>C8/'Bütçe aylık-Eur'!C8</f>
        <v/>
      </c>
      <c r="R8" s="551">
        <f>D8/'Bütçe aylık-Eur'!D8</f>
        <v/>
      </c>
      <c r="S8" s="551">
        <f>E8/'Bütçe aylık-Eur'!E8</f>
        <v/>
      </c>
      <c r="T8" s="551">
        <f>F8/'Bütçe aylık-Eur'!F8</f>
        <v/>
      </c>
      <c r="U8" s="551">
        <f>G8/'Bütçe aylık-Eur'!G8</f>
        <v/>
      </c>
      <c r="V8" s="551">
        <f>H8/'Bütçe aylık-Eur'!H8</f>
        <v/>
      </c>
      <c r="W8" s="551">
        <f>I8/'Bütçe aylık-Eur'!I8</f>
        <v/>
      </c>
      <c r="Y8" t="n">
        <v>20120741.60093925</v>
      </c>
      <c r="Z8" t="n">
        <v>19757988.94098134</v>
      </c>
      <c r="AA8" t="n">
        <v>17814462.12742597</v>
      </c>
      <c r="AB8" t="n">
        <v>19162290.17012014</v>
      </c>
      <c r="AC8" t="n">
        <v>18317817.29268458</v>
      </c>
      <c r="AD8" t="n">
        <v>19277758.75409057</v>
      </c>
      <c r="AE8" t="n">
        <v>20710182.91355592</v>
      </c>
      <c r="AF8" t="n">
        <v>20892284.18520529</v>
      </c>
      <c r="AG8" t="n">
        <v>20784178.45163447</v>
      </c>
      <c r="AH8" t="n">
        <v>22711435.20087798</v>
      </c>
      <c r="AI8" t="n">
        <v>22200504.64324837</v>
      </c>
      <c r="AJ8" t="n">
        <v>21376742.07575539</v>
      </c>
      <c r="AL8">
        <f>B8/Y8</f>
        <v/>
      </c>
      <c r="AM8">
        <f>C8/Z8</f>
        <v/>
      </c>
    </row>
    <row r="9">
      <c r="A9" s="61" t="inlineStr">
        <is>
          <t>Yusen İnci Loj. / G.1.5.</t>
        </is>
      </c>
      <c r="B9" s="100" t="n">
        <v>245460323</v>
      </c>
      <c r="C9" s="100" t="n">
        <v>258889733</v>
      </c>
      <c r="D9" s="100" t="n">
        <v>261529390</v>
      </c>
      <c r="E9" s="100" t="n">
        <v>265175211.065015</v>
      </c>
      <c r="F9" s="100" t="n">
        <v>277344848.302757</v>
      </c>
      <c r="G9" s="100" t="n">
        <v>231445100.921823</v>
      </c>
      <c r="H9" s="100" t="n">
        <v>287274704.174523</v>
      </c>
      <c r="I9" s="100" t="n">
        <v>257215657.987236</v>
      </c>
      <c r="J9" s="100" t="n">
        <v>257739774.345415</v>
      </c>
      <c r="K9" s="100" t="n">
        <v>335298803.019183</v>
      </c>
      <c r="L9" s="100" t="n">
        <v>285687473.35757</v>
      </c>
      <c r="M9" s="100" t="n">
        <v>286762654.742821</v>
      </c>
      <c r="N9" s="101">
        <f>SUM(B9:M9)</f>
        <v/>
      </c>
      <c r="P9" s="551">
        <f>B9/'Bütçe aylık-Eur'!B9</f>
        <v/>
      </c>
      <c r="Q9" s="551">
        <f>C9/'Bütçe aylık-Eur'!C9</f>
        <v/>
      </c>
      <c r="R9" s="551">
        <f>D9/'Bütçe aylık-Eur'!D9</f>
        <v/>
      </c>
      <c r="S9" s="551">
        <f>E9/'Bütçe aylık-Eur'!E9</f>
        <v/>
      </c>
      <c r="T9" s="551">
        <f>F9/'Bütçe aylık-Eur'!F9</f>
        <v/>
      </c>
      <c r="U9" s="551">
        <f>G9/'Bütçe aylık-Eur'!G9</f>
        <v/>
      </c>
      <c r="V9" s="551">
        <f>H9/'Bütçe aylık-Eur'!H9</f>
        <v/>
      </c>
      <c r="W9" s="551">
        <f>I9/'Bütçe aylık-Eur'!I9</f>
        <v/>
      </c>
      <c r="Y9" t="n">
        <v>7387418.12269904</v>
      </c>
      <c r="Z9" t="n">
        <v>7094297.635113235</v>
      </c>
      <c r="AA9" t="n">
        <v>7131495.247788834</v>
      </c>
      <c r="AB9" t="n">
        <v>5123414.808187668</v>
      </c>
      <c r="AC9" t="n">
        <v>5326508.334501356</v>
      </c>
      <c r="AD9" t="n">
        <v>5078745.406430997</v>
      </c>
      <c r="AE9" t="n">
        <v>4950398.961176371</v>
      </c>
      <c r="AF9" t="n">
        <v>4907952.684680506</v>
      </c>
      <c r="AG9" t="n">
        <v>4786705.745849424</v>
      </c>
      <c r="AH9" t="n">
        <v>5098208.230190649</v>
      </c>
      <c r="AI9" t="n">
        <v>4838154.886559211</v>
      </c>
      <c r="AJ9" t="n">
        <v>4769547.821777352</v>
      </c>
      <c r="AL9">
        <f>B9/Y9</f>
        <v/>
      </c>
      <c r="AM9">
        <f>C9/Z9</f>
        <v/>
      </c>
    </row>
    <row r="10">
      <c r="A10" s="61" t="inlineStr">
        <is>
          <t>Jantaş / G.1.6.</t>
        </is>
      </c>
      <c r="B10" s="100" t="n">
        <v>373139832.9503363</v>
      </c>
      <c r="C10" s="100" t="n">
        <v>410336571.3075358</v>
      </c>
      <c r="D10" s="100" t="n">
        <v>486822030.3317047</v>
      </c>
      <c r="E10" s="100" t="n">
        <v>431063428.6956215</v>
      </c>
      <c r="F10" s="100" t="n">
        <v>469359105.6159753</v>
      </c>
      <c r="G10" s="100" t="n">
        <v>484899138.2505712</v>
      </c>
      <c r="H10" s="100" t="n">
        <v>392742906.1769904</v>
      </c>
      <c r="I10" s="100" t="n">
        <v>399632675.7342643</v>
      </c>
      <c r="J10" s="100" t="n">
        <v>599371893.9462222</v>
      </c>
      <c r="K10" s="100" t="n">
        <v>528179495.8078978</v>
      </c>
      <c r="L10" s="100" t="n">
        <v>511859012.6658023</v>
      </c>
      <c r="M10" s="100" t="n">
        <v>454919773.391272</v>
      </c>
      <c r="N10" s="101">
        <f>SUM(B10:M10)</f>
        <v/>
      </c>
      <c r="P10" s="551">
        <f>B10/'Bütçe aylık-Eur'!B10</f>
        <v/>
      </c>
      <c r="Q10" s="551">
        <f>C10/'Bütçe aylık-Eur'!C10</f>
        <v/>
      </c>
      <c r="R10" s="551">
        <f>D10/'Bütçe aylık-Eur'!D10</f>
        <v/>
      </c>
      <c r="S10" s="551">
        <f>E10/'Bütçe aylık-Eur'!E10</f>
        <v/>
      </c>
      <c r="T10" s="551">
        <f>F10/'Bütçe aylık-Eur'!F10</f>
        <v/>
      </c>
      <c r="U10" s="551">
        <f>G10/'Bütçe aylık-Eur'!G10</f>
        <v/>
      </c>
      <c r="V10" s="551">
        <f>H10/'Bütçe aylık-Eur'!H10</f>
        <v/>
      </c>
      <c r="W10" s="551">
        <f>I10/'Bütçe aylık-Eur'!I10</f>
        <v/>
      </c>
      <c r="Y10" t="n">
        <v>11467142.571404</v>
      </c>
      <c r="Z10" t="n">
        <v>11068889.858854</v>
      </c>
      <c r="AA10" t="n">
        <v>11624569.843202</v>
      </c>
      <c r="AB10" t="n">
        <v>12185340.810439</v>
      </c>
      <c r="AC10" t="n">
        <v>12702888.151793</v>
      </c>
      <c r="AD10" t="n">
        <v>12512772.402748</v>
      </c>
      <c r="AE10" t="n">
        <v>11861040.93450001</v>
      </c>
      <c r="AF10" t="n">
        <v>10285679.40292899</v>
      </c>
      <c r="AG10" t="n">
        <v>12514354.50187901</v>
      </c>
      <c r="AH10" t="n">
        <v>12927335.26428799</v>
      </c>
      <c r="AI10" t="n">
        <v>11674243.616441</v>
      </c>
      <c r="AJ10" t="n">
        <v>9286876.599821001</v>
      </c>
      <c r="AL10">
        <f>B10/Y10</f>
        <v/>
      </c>
      <c r="AM10">
        <f>C10/Z10</f>
        <v/>
      </c>
    </row>
    <row r="11">
      <c r="A11" s="61" t="inlineStr">
        <is>
          <t>Çelik / G.1.7.</t>
        </is>
      </c>
      <c r="B11" s="100" t="n">
        <v>281377812.5447111</v>
      </c>
      <c r="C11" s="100" t="n">
        <v>231296472.115902</v>
      </c>
      <c r="D11" s="100" t="n">
        <v>308658276.4266835</v>
      </c>
      <c r="E11" s="100" t="n">
        <v>315230889.0187374</v>
      </c>
      <c r="F11" s="100" t="n">
        <v>316559097.0963416</v>
      </c>
      <c r="G11" s="100" t="n">
        <v>284264282.7851701</v>
      </c>
      <c r="H11" s="100" t="n">
        <v>273209592.8411799</v>
      </c>
      <c r="I11" s="100" t="n">
        <v>249461358.5105464</v>
      </c>
      <c r="J11" s="100" t="n">
        <v>358774537.5020239</v>
      </c>
      <c r="K11" s="100" t="n">
        <v>345908366.8262519</v>
      </c>
      <c r="L11" s="100" t="n">
        <v>326425711.951342</v>
      </c>
      <c r="M11" s="100" t="n">
        <v>251291752.8433076</v>
      </c>
      <c r="N11" s="101">
        <f>SUM(B11:M11)</f>
        <v/>
      </c>
      <c r="P11" s="551">
        <f>B11/'Bütçe aylık-Eur'!B11</f>
        <v/>
      </c>
      <c r="Q11" s="551">
        <f>C11/'Bütçe aylık-Eur'!C11</f>
        <v/>
      </c>
      <c r="R11" s="551">
        <f>D11/'Bütçe aylık-Eur'!D11</f>
        <v/>
      </c>
      <c r="S11" s="551">
        <f>E11/'Bütçe aylık-Eur'!E11</f>
        <v/>
      </c>
      <c r="T11" s="551">
        <f>F11/'Bütçe aylık-Eur'!F11</f>
        <v/>
      </c>
      <c r="U11" s="551">
        <f>G11/'Bütçe aylık-Eur'!G11</f>
        <v/>
      </c>
      <c r="V11" s="551">
        <f>H11/'Bütçe aylık-Eur'!H11</f>
        <v/>
      </c>
      <c r="W11" s="551">
        <f>I11/'Bütçe aylık-Eur'!I11</f>
        <v/>
      </c>
      <c r="Y11" t="n">
        <v>6447000</v>
      </c>
      <c r="Z11" t="n">
        <v>4889000</v>
      </c>
      <c r="AA11" t="n">
        <v>7221000</v>
      </c>
      <c r="AB11" t="n">
        <v>6133000</v>
      </c>
      <c r="AC11" t="n">
        <v>6400000</v>
      </c>
      <c r="AD11" t="n">
        <v>5936000</v>
      </c>
      <c r="AE11" t="n">
        <v>7606000</v>
      </c>
      <c r="AF11" t="n">
        <v>6094000</v>
      </c>
      <c r="AG11" t="n">
        <v>7613000</v>
      </c>
      <c r="AH11" t="n">
        <v>7130000</v>
      </c>
      <c r="AI11" t="n">
        <v>7306000</v>
      </c>
      <c r="AJ11" t="n">
        <v>6297000</v>
      </c>
      <c r="AL11">
        <f>B11/Y11</f>
        <v/>
      </c>
      <c r="AM11">
        <f>C11/Z11</f>
        <v/>
      </c>
    </row>
    <row r="12">
      <c r="A12" s="61" t="inlineStr">
        <is>
          <t>Alüminyum / G.1.8.</t>
        </is>
      </c>
      <c r="B12" s="100" t="n">
        <v>716824727.6367769</v>
      </c>
      <c r="C12" s="100" t="n">
        <v>771161348.7971926</v>
      </c>
      <c r="D12" s="100" t="n">
        <v>863983810.7390034</v>
      </c>
      <c r="E12" s="100" t="n">
        <v>762840141.3710895</v>
      </c>
      <c r="F12" s="100" t="n">
        <v>877537989.9649067</v>
      </c>
      <c r="G12" s="100" t="n">
        <v>882513651.707227</v>
      </c>
      <c r="H12" s="100" t="n">
        <v>893467973.16749</v>
      </c>
      <c r="I12" s="100" t="n">
        <v>707035994.6575197</v>
      </c>
      <c r="J12" s="100" t="n">
        <v>1048175424.516576</v>
      </c>
      <c r="K12" s="100" t="n">
        <v>980835285.0803926</v>
      </c>
      <c r="L12" s="100" t="n">
        <v>940892656.6889091</v>
      </c>
      <c r="M12" s="100" t="n">
        <v>792245011.03008</v>
      </c>
      <c r="N12" s="101">
        <f>SUM(B12:M12)</f>
        <v/>
      </c>
      <c r="Y12" t="n">
        <v>20973747.592499</v>
      </c>
      <c r="Z12" t="n">
        <v>20805292.633079</v>
      </c>
      <c r="AA12" t="n">
        <v>20593430.476275</v>
      </c>
      <c r="AB12" t="n">
        <v>21334249.318074</v>
      </c>
      <c r="AC12" t="n">
        <v>21438354.641414</v>
      </c>
      <c r="AD12" t="n">
        <v>21186503.85387601</v>
      </c>
      <c r="AE12" t="n">
        <v>21035553.57791298</v>
      </c>
      <c r="AF12" t="n">
        <v>14193276.37837499</v>
      </c>
      <c r="AG12" t="n">
        <v>23656401.35318702</v>
      </c>
      <c r="AH12" t="n">
        <v>23363023.66115198</v>
      </c>
      <c r="AI12" t="n">
        <v>22769069.36556801</v>
      </c>
      <c r="AJ12" t="n">
        <v>17342540.02225399</v>
      </c>
      <c r="AL12">
        <f>B12/Y12</f>
        <v/>
      </c>
      <c r="AM12">
        <f>C12/Z12</f>
        <v/>
      </c>
    </row>
    <row r="13">
      <c r="A13" s="61" t="inlineStr">
        <is>
          <t>x / G.1.9.</t>
        </is>
      </c>
      <c r="B13" s="64" t="n"/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70" t="n"/>
    </row>
    <row r="14">
      <c r="A14" s="61" t="inlineStr">
        <is>
          <t>y / G.1.10.</t>
        </is>
      </c>
      <c r="B14" s="64" t="n"/>
      <c r="C14" s="64" t="n">
        <v>-1</v>
      </c>
      <c r="D14" s="64" t="n"/>
      <c r="E14" s="64" t="n"/>
      <c r="F14" s="64" t="n"/>
      <c r="G14" s="64" t="n"/>
      <c r="H14" s="64" t="n"/>
      <c r="I14" s="64" t="n"/>
      <c r="J14" s="64" t="n"/>
      <c r="K14" s="64" t="n"/>
      <c r="L14" s="64" t="n"/>
      <c r="M14" s="64" t="n"/>
      <c r="N14" s="70" t="n"/>
    </row>
    <row r="15">
      <c r="A15" s="61" t="inlineStr">
        <is>
          <t>SMM-TL / G.2.</t>
        </is>
      </c>
      <c r="B15" s="98">
        <f>SUM(B16:B18)+SUM(B19:B23)*0.4</f>
        <v/>
      </c>
      <c r="C15" s="98">
        <f>SUM(C16:C18)+SUM(C19:C23)*0.4</f>
        <v/>
      </c>
      <c r="D15" s="98">
        <f>SUM(D16:D18)+SUM(D19:D23)*0.4</f>
        <v/>
      </c>
      <c r="E15" s="98">
        <f>SUM(E16:E18)+SUM(E19:E23)*0.4</f>
        <v/>
      </c>
      <c r="F15" s="98">
        <f>SUM(F16:F18)+SUM(F19:F23)*0.4</f>
        <v/>
      </c>
      <c r="G15" s="98">
        <f>SUM(G16:G18)+SUM(G19:G23)*0.4</f>
        <v/>
      </c>
      <c r="H15" s="98">
        <f>SUM(H16:H18)+SUM(H19:H23)*0.4</f>
        <v/>
      </c>
      <c r="I15" s="98">
        <f>SUM(I16:I18)+SUM(I19:I23)*0.4</f>
        <v/>
      </c>
      <c r="J15" s="98">
        <f>SUM(J16:J18)+SUM(J19:J23)*0.4</f>
        <v/>
      </c>
      <c r="K15" s="98">
        <f>SUM(K16:K18)+SUM(K19:K23)*0.4</f>
        <v/>
      </c>
      <c r="L15" s="98">
        <f>SUM(L16:L18)+SUM(L19:L23)*0.4</f>
        <v/>
      </c>
      <c r="M15" s="98">
        <f>SUM(M16:M18)+SUM(M19:M23)*0.4</f>
        <v/>
      </c>
      <c r="N15" s="101">
        <f>SUM(N16:N18)+SUM(N19:N23)*0.4</f>
        <v/>
      </c>
    </row>
    <row r="16">
      <c r="A16" s="61" t="inlineStr">
        <is>
          <t>İnci Holding / G.2.1.</t>
        </is>
      </c>
      <c r="B16" s="100" t="n">
        <v>0</v>
      </c>
      <c r="C16" s="100" t="n">
        <v>0</v>
      </c>
      <c r="D16" s="100" t="n">
        <v>0</v>
      </c>
      <c r="E16" s="100" t="n">
        <v>0</v>
      </c>
      <c r="F16" s="100" t="n">
        <v>0</v>
      </c>
      <c r="G16" s="100" t="n">
        <v>0</v>
      </c>
      <c r="H16" s="100" t="n">
        <v>0</v>
      </c>
      <c r="I16" s="100" t="n">
        <v>0</v>
      </c>
      <c r="J16" s="100" t="n">
        <v>0</v>
      </c>
      <c r="K16" s="100" t="n">
        <v>0</v>
      </c>
      <c r="L16" s="100" t="n">
        <v>0</v>
      </c>
      <c r="M16" s="100" t="n">
        <v>0</v>
      </c>
      <c r="N16" s="101">
        <f>SUM(B16:M16)</f>
        <v/>
      </c>
      <c r="P16" s="551">
        <f>B16/'Bütçe aylık-Eur'!B16</f>
        <v/>
      </c>
      <c r="Q16" s="551">
        <f>C16/'Bütçe aylık-Eur'!C16</f>
        <v/>
      </c>
      <c r="R16" s="551">
        <f>D16/'Bütçe aylık-Eur'!D16</f>
        <v/>
      </c>
      <c r="S16" s="551">
        <f>E16/'Bütçe aylık-Eur'!E16</f>
        <v/>
      </c>
      <c r="T16" s="551">
        <f>F16/'Bütçe aylık-Eur'!F16</f>
        <v/>
      </c>
      <c r="U16" s="551">
        <f>G16/'Bütçe aylık-Eur'!G16</f>
        <v/>
      </c>
      <c r="V16" s="551">
        <f>H16/'Bütçe aylık-Eur'!H16</f>
        <v/>
      </c>
      <c r="W16" s="551">
        <f>I16/'Bütçe aylık-Eur'!I16</f>
        <v/>
      </c>
    </row>
    <row r="17">
      <c r="A17" s="61" t="inlineStr">
        <is>
          <t>ISM / G.2.2.</t>
        </is>
      </c>
      <c r="B17" s="100" t="n">
        <v>-25673498.876079</v>
      </c>
      <c r="C17" s="100" t="n">
        <v>-27269578.285416</v>
      </c>
      <c r="D17" s="100" t="n">
        <v>-27668806.000088</v>
      </c>
      <c r="E17" s="100" t="n">
        <v>-28292582.585668</v>
      </c>
      <c r="F17" s="100" t="n">
        <v>-25167159.600682</v>
      </c>
      <c r="G17" s="100" t="n">
        <v>-27138293.378989</v>
      </c>
      <c r="H17" s="100" t="n">
        <v>-23366388.817159</v>
      </c>
      <c r="I17" s="100" t="n">
        <v>-18266972.929129</v>
      </c>
      <c r="J17" s="100" t="n">
        <v>-18539204.897095</v>
      </c>
      <c r="K17" s="100" t="n">
        <v>-17265876.992965</v>
      </c>
      <c r="L17" s="100" t="n">
        <v>-16294658.066955</v>
      </c>
      <c r="M17" s="100" t="n">
        <v>-16074654.043765</v>
      </c>
      <c r="N17" s="101">
        <f>SUM(B17:M17)</f>
        <v/>
      </c>
      <c r="P17" s="551">
        <f>B17/'Bütçe aylık-Eur'!B17</f>
        <v/>
      </c>
      <c r="Q17" s="551">
        <f>C17/'Bütçe aylık-Eur'!C17</f>
        <v/>
      </c>
      <c r="R17" s="551">
        <f>D17/'Bütçe aylık-Eur'!D17</f>
        <v/>
      </c>
      <c r="S17" s="551">
        <f>E17/'Bütçe aylık-Eur'!E17</f>
        <v/>
      </c>
      <c r="T17" s="551">
        <f>F17/'Bütçe aylık-Eur'!F17</f>
        <v/>
      </c>
      <c r="U17" s="551">
        <f>G17/'Bütçe aylık-Eur'!G17</f>
        <v/>
      </c>
      <c r="V17" s="551">
        <f>H17/'Bütçe aylık-Eur'!H17</f>
        <v/>
      </c>
      <c r="W17" s="551">
        <f>I17/'Bütçe aylık-Eur'!I17</f>
        <v/>
      </c>
    </row>
    <row r="18">
      <c r="A18" s="61" t="inlineStr">
        <is>
          <t>İncitaş / G.2.3.</t>
        </is>
      </c>
      <c r="B18" s="100" t="n">
        <v>-30746589.702998</v>
      </c>
      <c r="C18" s="100" t="n">
        <v>-31065210.703649</v>
      </c>
      <c r="D18" s="100" t="n">
        <v>-40507843.419974</v>
      </c>
      <c r="E18" s="100" t="n">
        <v>-42580674.68866</v>
      </c>
      <c r="F18" s="100" t="n">
        <v>-46809491.10454</v>
      </c>
      <c r="G18" s="100" t="n">
        <v>-47567353.941034</v>
      </c>
      <c r="H18" s="100" t="n">
        <v>-60890498.820569</v>
      </c>
      <c r="I18" s="100" t="n">
        <v>-48696907.591637</v>
      </c>
      <c r="J18" s="100" t="n">
        <v>-48736865.996576</v>
      </c>
      <c r="K18" s="100" t="n">
        <v>-51670540.700238</v>
      </c>
      <c r="L18" s="100" t="n">
        <v>-64249813.861678</v>
      </c>
      <c r="M18" s="100" t="n">
        <v>-55089037.828552</v>
      </c>
      <c r="N18" s="101">
        <f>SUM(B18:M18)</f>
        <v/>
      </c>
      <c r="P18" s="551">
        <f>B18/'Bütçe aylık-Eur'!B18</f>
        <v/>
      </c>
      <c r="Q18" s="551">
        <f>C18/'Bütçe aylık-Eur'!C18</f>
        <v/>
      </c>
      <c r="R18" s="551">
        <f>D18/'Bütçe aylık-Eur'!D18</f>
        <v/>
      </c>
      <c r="S18" s="551">
        <f>E18/'Bütçe aylık-Eur'!E18</f>
        <v/>
      </c>
      <c r="T18" s="551">
        <f>F18/'Bütçe aylık-Eur'!F18</f>
        <v/>
      </c>
      <c r="U18" s="551">
        <f>G18/'Bütçe aylık-Eur'!G18</f>
        <v/>
      </c>
      <c r="V18" s="551">
        <f>H18/'Bütçe aylık-Eur'!H18</f>
        <v/>
      </c>
      <c r="W18" s="551">
        <f>I18/'Bütçe aylık-Eur'!I18</f>
        <v/>
      </c>
    </row>
    <row r="19">
      <c r="A19" s="61" t="inlineStr">
        <is>
          <t>İnci GS Yuasa / G.2.4.</t>
        </is>
      </c>
      <c r="B19" s="100" t="n">
        <v>-580364481.577412</v>
      </c>
      <c r="C19" s="100" t="n">
        <v>-607118676.566563</v>
      </c>
      <c r="D19" s="100" t="n">
        <v>-644545043.020117</v>
      </c>
      <c r="E19" s="100" t="n">
        <v>-631941016.340318</v>
      </c>
      <c r="F19" s="100" t="n">
        <v>-613178524.326556</v>
      </c>
      <c r="G19" s="100" t="n">
        <v>-616373574.838154</v>
      </c>
      <c r="H19" s="100" t="n">
        <v>-738358615.588894</v>
      </c>
      <c r="I19" s="100" t="n">
        <v>-710255556.804648</v>
      </c>
      <c r="J19" s="100" t="n">
        <v>-764011538.42089</v>
      </c>
      <c r="K19" s="100" t="n">
        <v>-884808840.295698</v>
      </c>
      <c r="L19" s="100" t="n">
        <v>-889914156.133672</v>
      </c>
      <c r="M19" s="100" t="n">
        <v>-889682669.999193</v>
      </c>
      <c r="N19" s="101">
        <f>SUM(B19:M19)</f>
        <v/>
      </c>
      <c r="P19" s="551">
        <f>B19/'Bütçe aylık-Eur'!B19</f>
        <v/>
      </c>
      <c r="Q19" s="551">
        <f>C19/'Bütçe aylık-Eur'!C19</f>
        <v/>
      </c>
      <c r="R19" s="551">
        <f>D19/'Bütçe aylık-Eur'!D19</f>
        <v/>
      </c>
      <c r="S19" s="551">
        <f>E19/'Bütçe aylık-Eur'!E19</f>
        <v/>
      </c>
      <c r="T19" s="551">
        <f>F19/'Bütçe aylık-Eur'!F19</f>
        <v/>
      </c>
      <c r="U19" s="551">
        <f>G19/'Bütçe aylık-Eur'!G19</f>
        <v/>
      </c>
      <c r="V19" s="551">
        <f>H19/'Bütçe aylık-Eur'!H19</f>
        <v/>
      </c>
      <c r="W19" s="551">
        <f>I19/'Bütçe aylık-Eur'!I19</f>
        <v/>
      </c>
    </row>
    <row r="20">
      <c r="A20" s="61" t="inlineStr">
        <is>
          <t>Yusen İnci Loj. / G.2.5.</t>
        </is>
      </c>
      <c r="B20" s="100" t="n">
        <v>-196994805</v>
      </c>
      <c r="C20" s="100" t="n">
        <v>-208335555</v>
      </c>
      <c r="D20" s="100" t="n">
        <v>-211781976</v>
      </c>
      <c r="E20" s="100" t="n">
        <v>-219186090.427002</v>
      </c>
      <c r="F20" s="100" t="n">
        <v>-227769455.945695</v>
      </c>
      <c r="G20" s="100" t="n">
        <v>-186261546.319496</v>
      </c>
      <c r="H20" s="100" t="n">
        <v>-235531258.652491</v>
      </c>
      <c r="I20" s="100" t="n">
        <v>-203469361.52134</v>
      </c>
      <c r="J20" s="100" t="n">
        <v>-204239011.692627</v>
      </c>
      <c r="K20" s="100" t="n">
        <v>-273091069.723068</v>
      </c>
      <c r="L20" s="100" t="n">
        <v>-228103805.692795</v>
      </c>
      <c r="M20" s="100" t="n">
        <v>-232032442.305214</v>
      </c>
      <c r="N20" s="101">
        <f>SUM(B20:M20)</f>
        <v/>
      </c>
      <c r="P20" s="551">
        <f>B20/'Bütçe aylık-Eur'!B20</f>
        <v/>
      </c>
      <c r="Q20" s="551">
        <f>C20/'Bütçe aylık-Eur'!C20</f>
        <v/>
      </c>
      <c r="R20" s="551">
        <f>D20/'Bütçe aylık-Eur'!D20</f>
        <v/>
      </c>
      <c r="S20" s="551">
        <f>E20/'Bütçe aylık-Eur'!E20</f>
        <v/>
      </c>
      <c r="T20" s="551">
        <f>F20/'Bütçe aylık-Eur'!F20</f>
        <v/>
      </c>
      <c r="U20" s="551">
        <f>G20/'Bütçe aylık-Eur'!G20</f>
        <v/>
      </c>
      <c r="V20" s="551">
        <f>H20/'Bütçe aylık-Eur'!H20</f>
        <v/>
      </c>
      <c r="W20" s="551">
        <f>I20/'Bütçe aylık-Eur'!I20</f>
        <v/>
      </c>
      <c r="Y20" t="n">
        <v>-1</v>
      </c>
    </row>
    <row r="21">
      <c r="A21" s="61" t="inlineStr">
        <is>
          <t>Jantaş / G.2.6.</t>
        </is>
      </c>
      <c r="B21" s="100" t="n">
        <v>-325228238.6484985</v>
      </c>
      <c r="C21" s="100" t="n">
        <v>-344021859.5497249</v>
      </c>
      <c r="D21" s="100" t="n">
        <v>-379097888.3010057</v>
      </c>
      <c r="E21" s="100" t="n">
        <v>-376669938.0839334</v>
      </c>
      <c r="F21" s="100" t="n">
        <v>-393825389.0947763</v>
      </c>
      <c r="G21" s="100" t="n">
        <v>-397616824.5005355</v>
      </c>
      <c r="H21" s="100" t="n">
        <v>-344005063.7885343</v>
      </c>
      <c r="I21" s="100" t="n">
        <v>-370798407.4214103</v>
      </c>
      <c r="J21" s="100" t="n">
        <v>-459971277.0048633</v>
      </c>
      <c r="K21" s="100" t="n">
        <v>-433724906.8854744</v>
      </c>
      <c r="L21" s="100" t="n">
        <v>-416164847.3599965</v>
      </c>
      <c r="M21" s="100" t="n">
        <v>-378778748.3848326</v>
      </c>
      <c r="N21" s="101">
        <f>SUM(B21:M21)</f>
        <v/>
      </c>
      <c r="P21" s="551">
        <f>B21/'Bütçe aylık-Eur'!B21</f>
        <v/>
      </c>
      <c r="Q21" s="551">
        <f>C21/'Bütçe aylık-Eur'!C21</f>
        <v/>
      </c>
      <c r="R21" s="551">
        <f>D21/'Bütçe aylık-Eur'!D21</f>
        <v/>
      </c>
      <c r="S21" s="551">
        <f>E21/'Bütçe aylık-Eur'!E21</f>
        <v/>
      </c>
      <c r="T21" s="551">
        <f>F21/'Bütçe aylık-Eur'!F21</f>
        <v/>
      </c>
      <c r="U21" s="551">
        <f>G21/'Bütçe aylık-Eur'!G21</f>
        <v/>
      </c>
      <c r="V21" s="551">
        <f>H21/'Bütçe aylık-Eur'!H21</f>
        <v/>
      </c>
      <c r="W21" s="551">
        <f>I21/'Bütçe aylık-Eur'!I21</f>
        <v/>
      </c>
    </row>
    <row r="22">
      <c r="A22" s="61" t="inlineStr">
        <is>
          <t>Çelik / G.2.7.</t>
        </is>
      </c>
      <c r="B22" s="100" t="n">
        <v>-218667176.2369677</v>
      </c>
      <c r="C22" s="100" t="n">
        <v>-174795993.4560542</v>
      </c>
      <c r="D22" s="100" t="n">
        <v>-226971386.8616015</v>
      </c>
      <c r="E22" s="100" t="n">
        <v>-232912651.7825241</v>
      </c>
      <c r="F22" s="100" t="n">
        <v>-229938155.7379152</v>
      </c>
      <c r="G22" s="100" t="n">
        <v>-212279759.4572719</v>
      </c>
      <c r="H22" s="100" t="n">
        <v>-209287097.8182124</v>
      </c>
      <c r="I22" s="100" t="n">
        <v>-206624442.4916252</v>
      </c>
      <c r="J22" s="100" t="n">
        <v>-254470146.8811834</v>
      </c>
      <c r="K22" s="100" t="n">
        <v>-249404400.8333836</v>
      </c>
      <c r="L22" s="100" t="n">
        <v>-234747696.0279787</v>
      </c>
      <c r="M22" s="100" t="n">
        <v>-192999158.6123552</v>
      </c>
      <c r="N22" s="101">
        <f>SUM(B22:M22)</f>
        <v/>
      </c>
      <c r="P22" s="551">
        <f>B22/'Bütçe aylık-Eur'!B22</f>
        <v/>
      </c>
      <c r="Q22" s="551">
        <f>C22/'Bütçe aylık-Eur'!C22</f>
        <v/>
      </c>
      <c r="R22" s="551">
        <f>D22/'Bütçe aylık-Eur'!D22</f>
        <v/>
      </c>
      <c r="S22" s="551">
        <f>E22/'Bütçe aylık-Eur'!E22</f>
        <v/>
      </c>
      <c r="T22" s="551">
        <f>F22/'Bütçe aylık-Eur'!F22</f>
        <v/>
      </c>
      <c r="U22" s="551">
        <f>G22/'Bütçe aylık-Eur'!G22</f>
        <v/>
      </c>
      <c r="V22" s="551">
        <f>H22/'Bütçe aylık-Eur'!H22</f>
        <v/>
      </c>
      <c r="W22" s="551">
        <f>I22/'Bütçe aylık-Eur'!I22</f>
        <v/>
      </c>
    </row>
    <row r="23">
      <c r="A23" s="61" t="inlineStr">
        <is>
          <t>Alüminyum / G.2.8.</t>
        </is>
      </c>
      <c r="B23" s="100" t="n">
        <v>-608660312.4026312</v>
      </c>
      <c r="C23" s="100" t="n">
        <v>-652502099.0815446</v>
      </c>
      <c r="D23" s="100" t="n">
        <v>-754173398.0683867</v>
      </c>
      <c r="E23" s="100" t="n">
        <v>-661757182.88265</v>
      </c>
      <c r="F23" s="100" t="n">
        <v>-734342832.9828151</v>
      </c>
      <c r="G23" s="100" t="n">
        <v>-778537121.7767563</v>
      </c>
      <c r="H23" s="100" t="n">
        <v>-741024244.566947</v>
      </c>
      <c r="I23" s="100" t="n">
        <v>-643051255.8251259</v>
      </c>
      <c r="J23" s="100" t="n">
        <v>-852763264.296447</v>
      </c>
      <c r="K23" s="100" t="n">
        <v>-814675013.9515454</v>
      </c>
      <c r="L23" s="100" t="n">
        <v>-775341201.4299607</v>
      </c>
      <c r="M23" s="100" t="n">
        <v>-667016343.7531755</v>
      </c>
      <c r="N23" s="101">
        <f>SUM(B23:M23)</f>
        <v/>
      </c>
    </row>
    <row r="24">
      <c r="A24" s="61" t="inlineStr">
        <is>
          <t>x / G.2.9.</t>
        </is>
      </c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70" t="n"/>
    </row>
    <row r="25">
      <c r="A25" s="61" t="inlineStr">
        <is>
          <t>y / G.2.10.</t>
        </is>
      </c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70" t="n"/>
    </row>
    <row r="26">
      <c r="A26" s="61" t="inlineStr">
        <is>
          <t>BRÜT KAR-TL / G.3.</t>
        </is>
      </c>
      <c r="B26" s="98">
        <f>SUM(B27:B29)+SUM(B30:B34)*0.4</f>
        <v/>
      </c>
      <c r="C26" s="98">
        <f>SUM(C27:C29)+SUM(C30:C34)*0.4</f>
        <v/>
      </c>
      <c r="D26" s="98">
        <f>SUM(D27:D29)+SUM(D30:D34)*0.4</f>
        <v/>
      </c>
      <c r="E26" s="98">
        <f>SUM(E27:E29)+SUM(E30:E34)*0.4</f>
        <v/>
      </c>
      <c r="F26" s="98">
        <f>SUM(F27:F29)+SUM(F30:F34)*0.4</f>
        <v/>
      </c>
      <c r="G26" s="98">
        <f>SUM(G27:G29)+SUM(G30:G34)*0.4</f>
        <v/>
      </c>
      <c r="H26" s="98">
        <f>SUM(H27:H29)+SUM(H30:H34)*0.4</f>
        <v/>
      </c>
      <c r="I26" s="98">
        <f>SUM(I27:I29)+SUM(I30:I34)*0.4</f>
        <v/>
      </c>
      <c r="J26" s="98">
        <f>SUM(J27:J29)+SUM(J30:J34)*0.4</f>
        <v/>
      </c>
      <c r="K26" s="98">
        <f>SUM(K27:K29)+SUM(K30:K34)*0.4</f>
        <v/>
      </c>
      <c r="L26" s="98">
        <f>SUM(L27:L29)+SUM(L30:L34)*0.4</f>
        <v/>
      </c>
      <c r="M26" s="98">
        <f>SUM(M27:M29)+SUM(M30:M34)*0.4</f>
        <v/>
      </c>
      <c r="N26" s="103">
        <f>SUM(N27:N29)+SUM(N30:N34)*0.4</f>
        <v/>
      </c>
    </row>
    <row r="27">
      <c r="A27" s="61" t="inlineStr">
        <is>
          <t>İnci Holding / G.3.1.</t>
        </is>
      </c>
      <c r="B27" s="100" t="n">
        <v>26545528.129196</v>
      </c>
      <c r="C27" s="100" t="n">
        <v>27419454.85208</v>
      </c>
      <c r="D27" s="100" t="n">
        <v>31329207.733908</v>
      </c>
      <c r="E27" s="100" t="n">
        <v>29281597.259669</v>
      </c>
      <c r="F27" s="100" t="n">
        <v>31342694.999007</v>
      </c>
      <c r="G27" s="100" t="n">
        <v>31233975.816438</v>
      </c>
      <c r="H27" s="100" t="n">
        <v>31573143.019612</v>
      </c>
      <c r="I27" s="100" t="n">
        <v>28520352.709958</v>
      </c>
      <c r="J27" s="100" t="n">
        <v>37892064.132505</v>
      </c>
      <c r="K27" s="100" t="n">
        <v>37505344.068428</v>
      </c>
      <c r="L27" s="100" t="n">
        <v>36577447.339894</v>
      </c>
      <c r="M27" s="100" t="n">
        <v>33129305.915797</v>
      </c>
      <c r="N27" s="101">
        <f>SUM(B27:M27)</f>
        <v/>
      </c>
    </row>
    <row r="28">
      <c r="A28" s="61" t="inlineStr">
        <is>
          <t>ISM / G.3.2.</t>
        </is>
      </c>
      <c r="B28" s="100" t="n">
        <v>5302329.483119</v>
      </c>
      <c r="C28" s="100" t="n">
        <v>9397171.084121004</v>
      </c>
      <c r="D28" s="100" t="n">
        <v>10477810.995099</v>
      </c>
      <c r="E28" s="100" t="n">
        <v>13535077.198726</v>
      </c>
      <c r="F28" s="100" t="n">
        <v>14895920.988836</v>
      </c>
      <c r="G28" s="100" t="n">
        <v>14522054.826931</v>
      </c>
      <c r="H28" s="100" t="n">
        <v>12277426.118365</v>
      </c>
      <c r="I28" s="100" t="n">
        <v>7079593.511673</v>
      </c>
      <c r="J28" s="100" t="n">
        <v>8739341.126034003</v>
      </c>
      <c r="K28" s="100" t="n">
        <v>6437550.967843998</v>
      </c>
      <c r="L28" s="100" t="n">
        <v>5413090.631802998</v>
      </c>
      <c r="M28" s="100" t="n">
        <v>3621280.467979999</v>
      </c>
      <c r="N28" s="101">
        <f>SUM(B28:M28)</f>
        <v/>
      </c>
    </row>
    <row r="29">
      <c r="A29" s="61" t="inlineStr">
        <is>
          <t>İncitaş / G.3.3.</t>
        </is>
      </c>
      <c r="B29" s="100" t="n">
        <v>6166778.427401002</v>
      </c>
      <c r="C29" s="100" t="n">
        <v>6355978.898103997</v>
      </c>
      <c r="D29" s="100" t="n">
        <v>9461125.324203998</v>
      </c>
      <c r="E29" s="100" t="n">
        <v>10290511.03312</v>
      </c>
      <c r="F29" s="100" t="n">
        <v>11517999.647755</v>
      </c>
      <c r="G29" s="100" t="n">
        <v>11963252.62349901</v>
      </c>
      <c r="H29" s="100" t="n">
        <v>13525829.70637801</v>
      </c>
      <c r="I29" s="100" t="n">
        <v>12369529.930271</v>
      </c>
      <c r="J29" s="100" t="n">
        <v>12463458.317563</v>
      </c>
      <c r="K29" s="100" t="n">
        <v>12401057.222394</v>
      </c>
      <c r="L29" s="100" t="n">
        <v>13238655.187249</v>
      </c>
      <c r="M29" s="100" t="n">
        <v>12423178.97123899</v>
      </c>
      <c r="N29" s="101">
        <f>SUM(B29:M29)</f>
        <v/>
      </c>
    </row>
    <row r="30">
      <c r="A30" s="61" t="inlineStr">
        <is>
          <t>İnci GS Yuasa / G.3.4.</t>
        </is>
      </c>
      <c r="B30" s="100" t="n">
        <v>129004483.8044439</v>
      </c>
      <c r="C30" s="100" t="n">
        <v>129797310.8892041</v>
      </c>
      <c r="D30" s="100" t="n">
        <v>142304771.512954</v>
      </c>
      <c r="E30" s="100" t="n">
        <v>132777145.579544</v>
      </c>
      <c r="F30" s="100" t="n">
        <v>136171663.389724</v>
      </c>
      <c r="G30" s="100" t="n">
        <v>151400278.665567</v>
      </c>
      <c r="H30" s="100" t="n">
        <v>174995203.8137861</v>
      </c>
      <c r="I30" s="100" t="n">
        <v>186065228.816575</v>
      </c>
      <c r="J30" s="100" t="n">
        <v>211148429.9485362</v>
      </c>
      <c r="K30" s="100" t="n">
        <v>246809348.103842</v>
      </c>
      <c r="L30" s="100" t="n">
        <v>254409201.3773981</v>
      </c>
      <c r="M30" s="100" t="n">
        <v>296192038.2601371</v>
      </c>
      <c r="N30" s="101">
        <f>SUM(B30:M30)</f>
        <v/>
      </c>
    </row>
    <row r="31">
      <c r="A31" s="61" t="inlineStr">
        <is>
          <t>Yusen İnci Loj. / G.3.5.</t>
        </is>
      </c>
      <c r="B31" s="100" t="n">
        <v>48465518.00000001</v>
      </c>
      <c r="C31" s="100" t="n">
        <v>50554178.00000001</v>
      </c>
      <c r="D31" s="100" t="n">
        <v>49747413.99999999</v>
      </c>
      <c r="E31" s="100" t="n">
        <v>45989120.6380128</v>
      </c>
      <c r="F31" s="100" t="n">
        <v>49575392.35706165</v>
      </c>
      <c r="G31" s="100" t="n">
        <v>45183554.60232672</v>
      </c>
      <c r="H31" s="100" t="n">
        <v>51743445.52203229</v>
      </c>
      <c r="I31" s="100" t="n">
        <v>53746296.46589619</v>
      </c>
      <c r="J31" s="100" t="n">
        <v>53500762.65278766</v>
      </c>
      <c r="K31" s="100" t="n">
        <v>62207733.29611468</v>
      </c>
      <c r="L31" s="100" t="n">
        <v>57583667.66477492</v>
      </c>
      <c r="M31" s="100" t="n">
        <v>54730212.43760717</v>
      </c>
      <c r="N31" s="101">
        <f>SUM(B31:M31)</f>
        <v/>
      </c>
    </row>
    <row r="32">
      <c r="A32" s="61" t="inlineStr">
        <is>
          <t>Jantaş / G.3.6.</t>
        </is>
      </c>
      <c r="B32" s="100" t="n">
        <v>47911594.30183783</v>
      </c>
      <c r="C32" s="100" t="n">
        <v>66314711.75781079</v>
      </c>
      <c r="D32" s="100" t="n">
        <v>107724142.030699</v>
      </c>
      <c r="E32" s="100" t="n">
        <v>54393490.61168812</v>
      </c>
      <c r="F32" s="100" t="n">
        <v>75533716.52119897</v>
      </c>
      <c r="G32" s="100" t="n">
        <v>87282313.75003569</v>
      </c>
      <c r="H32" s="100" t="n">
        <v>48737842.38845617</v>
      </c>
      <c r="I32" s="100" t="n">
        <v>28834268.31285402</v>
      </c>
      <c r="J32" s="100" t="n">
        <v>139400616.9413589</v>
      </c>
      <c r="K32" s="100" t="n">
        <v>94454588.92242335</v>
      </c>
      <c r="L32" s="100" t="n">
        <v>95694165.3058058</v>
      </c>
      <c r="M32" s="100" t="n">
        <v>76141025.00643946</v>
      </c>
      <c r="N32" s="101">
        <f>SUM(B32:M32)</f>
        <v/>
      </c>
    </row>
    <row r="33">
      <c r="A33" s="61" t="inlineStr">
        <is>
          <t>Çelik / G.3.7.</t>
        </is>
      </c>
      <c r="B33" s="100" t="n">
        <v>62710636.30774342</v>
      </c>
      <c r="C33" s="100" t="n">
        <v>56500478.65984779</v>
      </c>
      <c r="D33" s="100" t="n">
        <v>81686889.56508207</v>
      </c>
      <c r="E33" s="100" t="n">
        <v>82318237.23621334</v>
      </c>
      <c r="F33" s="100" t="n">
        <v>86620941.35842639</v>
      </c>
      <c r="G33" s="100" t="n">
        <v>71984523.32789819</v>
      </c>
      <c r="H33" s="100" t="n">
        <v>63922495.02296757</v>
      </c>
      <c r="I33" s="100" t="n">
        <v>42836916.01892114</v>
      </c>
      <c r="J33" s="100" t="n">
        <v>104304390.6208405</v>
      </c>
      <c r="K33" s="100" t="n">
        <v>96503965.99286824</v>
      </c>
      <c r="L33" s="100" t="n">
        <v>91678015.92336337</v>
      </c>
      <c r="M33" s="100" t="n">
        <v>58292594.23095241</v>
      </c>
      <c r="N33" s="101">
        <f>SUM(B33:M33)</f>
        <v/>
      </c>
    </row>
    <row r="34">
      <c r="A34" s="61" t="inlineStr">
        <is>
          <t>Alüminyum / G.3.8.</t>
        </is>
      </c>
      <c r="B34" s="100" t="n">
        <v>108164415.2341458</v>
      </c>
      <c r="C34" s="100" t="n">
        <v>118659249.7156479</v>
      </c>
      <c r="D34" s="100" t="n">
        <v>109810412.6706167</v>
      </c>
      <c r="E34" s="100" t="n">
        <v>101082958.4884395</v>
      </c>
      <c r="F34" s="100" t="n">
        <v>143195156.9820915</v>
      </c>
      <c r="G34" s="100" t="n">
        <v>103976529.9304707</v>
      </c>
      <c r="H34" s="100" t="n">
        <v>152443728.600543</v>
      </c>
      <c r="I34" s="100" t="n">
        <v>63984738.83239381</v>
      </c>
      <c r="J34" s="100" t="n">
        <v>195412160.2201286</v>
      </c>
      <c r="K34" s="100" t="n">
        <v>166160271.1288473</v>
      </c>
      <c r="L34" s="100" t="n">
        <v>165551455.2589484</v>
      </c>
      <c r="M34" s="100" t="n">
        <v>125228667.2769045</v>
      </c>
      <c r="N34" s="101">
        <f>SUM(B34:M34)</f>
        <v/>
      </c>
    </row>
    <row r="35">
      <c r="A35" s="61" t="inlineStr">
        <is>
          <t>x / G.3.9.</t>
        </is>
      </c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70" t="n"/>
    </row>
    <row r="36">
      <c r="A36" s="61" t="inlineStr">
        <is>
          <t>y / G.3.10.</t>
        </is>
      </c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70" t="n"/>
    </row>
    <row r="37">
      <c r="A37" s="61" t="inlineStr">
        <is>
          <t>Toplam Faaliyet Giderleri-TL / G.4.</t>
        </is>
      </c>
      <c r="B37" s="98">
        <f>SUM(B38:B40)+SUM(B41:B45)*0.4</f>
        <v/>
      </c>
      <c r="C37" s="98">
        <f>SUM(C38:C40)+SUM(C41:C45)*0.4</f>
        <v/>
      </c>
      <c r="D37" s="98">
        <f>SUM(D38:D40)+SUM(D41:D45)*0.4</f>
        <v/>
      </c>
      <c r="E37" s="98">
        <f>SUM(E38:E40)+SUM(E41:E45)*0.4</f>
        <v/>
      </c>
      <c r="F37" s="98">
        <f>SUM(F38:F40)+SUM(F41:F45)*0.4</f>
        <v/>
      </c>
      <c r="G37" s="98">
        <f>SUM(G38:G40)+SUM(G41:G45)*0.4</f>
        <v/>
      </c>
      <c r="H37" s="98">
        <f>SUM(H38:H40)+SUM(H41:H45)*0.4</f>
        <v/>
      </c>
      <c r="I37" s="98">
        <f>SUM(I38:I40)+SUM(I41:I45)*0.4</f>
        <v/>
      </c>
      <c r="J37" s="98">
        <f>SUM(J38:J40)+SUM(J41:J45)*0.4</f>
        <v/>
      </c>
      <c r="K37" s="98">
        <f>SUM(K38:K40)+SUM(K41:K45)*0.4</f>
        <v/>
      </c>
      <c r="L37" s="98">
        <f>SUM(L38:L40)+SUM(L41:L45)*0.4</f>
        <v/>
      </c>
      <c r="M37" s="98">
        <f>SUM(M38:M40)+SUM(M41:M45)*0.4</f>
        <v/>
      </c>
      <c r="N37" s="103">
        <f>SUM(N38:N40)+SUM(N41:N45)*0.4</f>
        <v/>
      </c>
    </row>
    <row r="38">
      <c r="A38" s="61" t="inlineStr">
        <is>
          <t>İnci Holding / G.4.1.</t>
        </is>
      </c>
      <c r="B38" s="100" t="n">
        <v>14059938.516834</v>
      </c>
      <c r="C38" s="100" t="n">
        <v>13627149.542126</v>
      </c>
      <c r="D38" s="100" t="n">
        <v>18329761.991918</v>
      </c>
      <c r="E38" s="100" t="n">
        <v>15991731.426646</v>
      </c>
      <c r="F38" s="100" t="n">
        <v>17241147.544888</v>
      </c>
      <c r="G38" s="100" t="n">
        <v>16573755.36054</v>
      </c>
      <c r="H38" s="100" t="n">
        <v>15275838.018998</v>
      </c>
      <c r="I38" s="100" t="n">
        <v>14775387.570712</v>
      </c>
      <c r="J38" s="100" t="n">
        <v>17027035.3351</v>
      </c>
      <c r="K38" s="100" t="n">
        <v>18271915.341269</v>
      </c>
      <c r="L38" s="100" t="n">
        <v>19275278.959151</v>
      </c>
      <c r="M38" s="100" t="n">
        <v>42936497.28803</v>
      </c>
      <c r="N38" s="101">
        <f>SUM(B38:M38)</f>
        <v/>
      </c>
    </row>
    <row r="39">
      <c r="A39" s="61" t="inlineStr">
        <is>
          <t>ISM / G.4.2.</t>
        </is>
      </c>
      <c r="B39" s="100" t="n">
        <v>6399312.26785</v>
      </c>
      <c r="C39" s="100" t="n">
        <v>6234257.352766</v>
      </c>
      <c r="D39" s="100" t="n">
        <v>6492568.582155</v>
      </c>
      <c r="E39" s="100" t="n">
        <v>6801196.164824</v>
      </c>
      <c r="F39" s="100" t="n">
        <v>6351244.470629</v>
      </c>
      <c r="G39" s="100" t="n">
        <v>6624477.768013</v>
      </c>
      <c r="H39" s="100" t="n">
        <v>6197095.001608</v>
      </c>
      <c r="I39" s="100" t="n">
        <v>5621562.45813</v>
      </c>
      <c r="J39" s="100" t="n">
        <v>6000087.35546</v>
      </c>
      <c r="K39" s="100" t="n">
        <v>5505189.990808</v>
      </c>
      <c r="L39" s="100" t="n">
        <v>5694308.325831</v>
      </c>
      <c r="M39" s="100" t="n">
        <v>5699541.397088</v>
      </c>
      <c r="N39" s="101">
        <f>SUM(B39:M39)</f>
        <v/>
      </c>
    </row>
    <row r="40">
      <c r="A40" s="61" t="inlineStr">
        <is>
          <t>İncitaş / G.4.3.</t>
        </is>
      </c>
      <c r="B40" s="100" t="n">
        <v>7832407.147825</v>
      </c>
      <c r="C40" s="100" t="n">
        <v>6289359.490686</v>
      </c>
      <c r="D40" s="100" t="n">
        <v>7435960.033095</v>
      </c>
      <c r="E40" s="100" t="n">
        <v>8361146.141959</v>
      </c>
      <c r="F40" s="100" t="n">
        <v>7348328.673683</v>
      </c>
      <c r="G40" s="100" t="n">
        <v>7729067.570223</v>
      </c>
      <c r="H40" s="100" t="n">
        <v>8276606.651848</v>
      </c>
      <c r="I40" s="100" t="n">
        <v>8213891.740105</v>
      </c>
      <c r="J40" s="100" t="n">
        <v>9225711.60991</v>
      </c>
      <c r="K40" s="100" t="n">
        <v>8252177.809644</v>
      </c>
      <c r="L40" s="100" t="n">
        <v>8193067.861603</v>
      </c>
      <c r="M40" s="100" t="n">
        <v>10275823.421102</v>
      </c>
      <c r="N40" s="101">
        <f>SUM(B40:M40)</f>
        <v/>
      </c>
    </row>
    <row r="41">
      <c r="A41" s="61" t="inlineStr">
        <is>
          <t>İnci GS Yuasa / G.4.4.</t>
        </is>
      </c>
      <c r="B41" s="100" t="n">
        <v>76612367.62117299</v>
      </c>
      <c r="C41" s="100" t="n">
        <v>86196414.74546</v>
      </c>
      <c r="D41" s="100" t="n">
        <v>92461517.19979601</v>
      </c>
      <c r="E41" s="100" t="n">
        <v>88921501.22962099</v>
      </c>
      <c r="F41" s="100" t="n">
        <v>84272081.551698</v>
      </c>
      <c r="G41" s="100" t="n">
        <v>87708737.69305301</v>
      </c>
      <c r="H41" s="100" t="n">
        <v>91480057.76722398</v>
      </c>
      <c r="I41" s="100" t="n">
        <v>93305974.43539301</v>
      </c>
      <c r="J41" s="100" t="n">
        <v>94791735.05585501</v>
      </c>
      <c r="K41" s="100" t="n">
        <v>100068840.243524</v>
      </c>
      <c r="L41" s="100" t="n">
        <v>98992590.555627</v>
      </c>
      <c r="M41" s="100" t="n">
        <v>106481813.116557</v>
      </c>
      <c r="N41" s="101">
        <f>SUM(B41:M41)</f>
        <v/>
      </c>
    </row>
    <row r="42">
      <c r="A42" s="61" t="inlineStr">
        <is>
          <t>Yusen İnci Loj. / G.4.5.</t>
        </is>
      </c>
      <c r="B42" s="100" t="n">
        <v>32344300</v>
      </c>
      <c r="C42" s="100" t="n">
        <v>32527018</v>
      </c>
      <c r="D42" s="100" t="n">
        <v>32633856</v>
      </c>
      <c r="E42" s="100" t="n">
        <v>45975800.9518045</v>
      </c>
      <c r="F42" s="100" t="n">
        <v>42392996.70994206</v>
      </c>
      <c r="G42" s="100" t="n">
        <v>41396088.05365814</v>
      </c>
      <c r="H42" s="100" t="n">
        <v>41636532.84071147</v>
      </c>
      <c r="I42" s="100" t="n">
        <v>41699258.40365955</v>
      </c>
      <c r="J42" s="100" t="n">
        <v>41689721.38706619</v>
      </c>
      <c r="K42" s="100" t="n">
        <v>42607563.48061921</v>
      </c>
      <c r="L42" s="100" t="n">
        <v>42571899.57903037</v>
      </c>
      <c r="M42" s="100" t="n">
        <v>44354480.51060757</v>
      </c>
      <c r="N42" s="101">
        <f>SUM(B42:M42)</f>
        <v/>
      </c>
    </row>
    <row r="43">
      <c r="A43" s="61" t="inlineStr">
        <is>
          <t>Jantaş / G.4.6.</t>
        </is>
      </c>
      <c r="B43" s="100" t="n">
        <v>26222497.87670377</v>
      </c>
      <c r="C43" s="100" t="n">
        <v>25624249.93437839</v>
      </c>
      <c r="D43" s="100" t="n">
        <v>27878210.51748005</v>
      </c>
      <c r="E43" s="100" t="n">
        <v>36826110.20006479</v>
      </c>
      <c r="F43" s="100" t="n">
        <v>29706101.85628859</v>
      </c>
      <c r="G43" s="100" t="n">
        <v>28933916.24376973</v>
      </c>
      <c r="H43" s="100" t="n">
        <v>28111328.49067223</v>
      </c>
      <c r="I43" s="100" t="n">
        <v>24288441.36426991</v>
      </c>
      <c r="J43" s="100" t="n">
        <v>33213008.7626981</v>
      </c>
      <c r="K43" s="100" t="n">
        <v>30848190.73252967</v>
      </c>
      <c r="L43" s="100" t="n">
        <v>30248784.4443427</v>
      </c>
      <c r="M43" s="100" t="n">
        <v>26712717.46690344</v>
      </c>
      <c r="N43" s="101">
        <f>SUM(B43:M43)</f>
        <v/>
      </c>
    </row>
    <row r="44">
      <c r="A44" s="61" t="inlineStr">
        <is>
          <t>Çelik / G.4.7.</t>
        </is>
      </c>
      <c r="B44" s="100" t="n">
        <v>14881683.47351267</v>
      </c>
      <c r="C44" s="100" t="n">
        <v>13875898.67341963</v>
      </c>
      <c r="D44" s="100" t="n">
        <v>16955673.0194966</v>
      </c>
      <c r="E44" s="100" t="n">
        <v>18056967.71387265</v>
      </c>
      <c r="F44" s="100" t="n">
        <v>17303423.23713257</v>
      </c>
      <c r="G44" s="100" t="n">
        <v>16137332.96110721</v>
      </c>
      <c r="H44" s="100" t="n">
        <v>15422430.25884188</v>
      </c>
      <c r="I44" s="100" t="n">
        <v>14928737.6355332</v>
      </c>
      <c r="J44" s="100" t="n">
        <v>18769751.93209068</v>
      </c>
      <c r="K44" s="100" t="n">
        <v>18131747.65417979</v>
      </c>
      <c r="L44" s="100" t="n">
        <v>17246457.35150174</v>
      </c>
      <c r="M44" s="100" t="n">
        <v>15254554.69780879</v>
      </c>
      <c r="N44" s="101">
        <f>SUM(B44:M44)</f>
        <v/>
      </c>
    </row>
    <row r="45">
      <c r="A45" s="61" t="inlineStr">
        <is>
          <t>Alüminyum / G.4.8.</t>
        </is>
      </c>
      <c r="B45" s="100" t="n">
        <v>33935626.74155405</v>
      </c>
      <c r="C45" s="100" t="n">
        <v>39574062.06231046</v>
      </c>
      <c r="D45" s="100" t="n">
        <v>40437613.00880393</v>
      </c>
      <c r="E45" s="100" t="n">
        <v>38846148.68833838</v>
      </c>
      <c r="F45" s="100" t="n">
        <v>42111842.2617415</v>
      </c>
      <c r="G45" s="100" t="n">
        <v>42485922.36699744</v>
      </c>
      <c r="H45" s="100" t="n">
        <v>42543988.53555115</v>
      </c>
      <c r="I45" s="100" t="n">
        <v>35984204.11147655</v>
      </c>
      <c r="J45" s="100" t="n">
        <v>48113702.48665778</v>
      </c>
      <c r="K45" s="100" t="n">
        <v>45164631.02041485</v>
      </c>
      <c r="L45" s="100" t="n">
        <v>43854286.77900892</v>
      </c>
      <c r="M45" s="100" t="n">
        <v>39441837.29092407</v>
      </c>
      <c r="N45" s="101">
        <f>SUM(B45:M45)</f>
        <v/>
      </c>
    </row>
    <row r="46">
      <c r="A46" s="61" t="inlineStr">
        <is>
          <t>x / G.4.9.</t>
        </is>
      </c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70" t="n"/>
    </row>
    <row r="47">
      <c r="A47" s="61" t="inlineStr">
        <is>
          <t>y / G.4.10.</t>
        </is>
      </c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70" t="n"/>
    </row>
    <row r="48">
      <c r="A48" s="61" t="inlineStr">
        <is>
          <t>Diğer Faaliyet Gelir(Gideri)-TL / G.5.</t>
        </is>
      </c>
      <c r="B48" s="64">
        <f>SUM(B49:B51)+SUM(B52:B56)*0.4</f>
        <v/>
      </c>
      <c r="C48" s="64">
        <f>SUM(C49:C51)+SUM(C52:C56)*0.4</f>
        <v/>
      </c>
      <c r="D48" s="64">
        <f>SUM(D49:D51)+SUM(D52:D56)*0.4</f>
        <v/>
      </c>
      <c r="E48" s="64">
        <f>SUM(E49:E51)+SUM(E52:E56)*0.4</f>
        <v/>
      </c>
      <c r="F48" s="64">
        <f>SUM(F49:F51)+SUM(F52:F56)*0.4</f>
        <v/>
      </c>
      <c r="G48" s="64">
        <f>SUM(G49:G51)+SUM(G52:G56)*0.4</f>
        <v/>
      </c>
      <c r="H48" s="64">
        <f>SUM(H49:H51)+SUM(H52:H56)*0.4</f>
        <v/>
      </c>
      <c r="I48" s="64">
        <f>SUM(I49:I51)+SUM(I52:I56)*0.4</f>
        <v/>
      </c>
      <c r="J48" s="64">
        <f>SUM(J49:J51)+SUM(J52:J56)*0.4</f>
        <v/>
      </c>
      <c r="K48" s="64">
        <f>SUM(K49:K51)+SUM(K52:K56)*0.4</f>
        <v/>
      </c>
      <c r="L48" s="64">
        <f>SUM(L49:L51)+SUM(L52:L56)*0.4</f>
        <v/>
      </c>
      <c r="M48" s="64">
        <f>SUM(M49:M51)+SUM(M52:M56)*0.4</f>
        <v/>
      </c>
      <c r="N48" s="70">
        <f>SUM(N49:N51)+SUM(N52:N56)*0.4</f>
        <v/>
      </c>
    </row>
    <row r="49">
      <c r="A49" s="61" t="inlineStr">
        <is>
          <t>İnci Holding / G.5.1.</t>
        </is>
      </c>
      <c r="B49" s="100" t="n">
        <v>0</v>
      </c>
      <c r="C49" s="100" t="n">
        <v>0</v>
      </c>
      <c r="D49" s="100" t="n">
        <v>0</v>
      </c>
      <c r="E49" s="100" t="n">
        <v>0</v>
      </c>
      <c r="F49" s="100" t="n">
        <v>0</v>
      </c>
      <c r="G49" s="100" t="n">
        <v>0</v>
      </c>
      <c r="H49" s="100" t="n">
        <v>0</v>
      </c>
      <c r="I49" s="100" t="n">
        <v>0</v>
      </c>
      <c r="J49" s="100" t="n">
        <v>0</v>
      </c>
      <c r="K49" s="100" t="n">
        <v>0</v>
      </c>
      <c r="L49" s="100" t="n">
        <v>0</v>
      </c>
      <c r="M49" s="100" t="n">
        <v>0</v>
      </c>
      <c r="N49" s="101">
        <f>SUM(B49:M49)</f>
        <v/>
      </c>
    </row>
    <row r="50">
      <c r="A50" s="61" t="inlineStr">
        <is>
          <t>ISM / G.5.2.</t>
        </is>
      </c>
      <c r="B50" s="100" t="n">
        <v>0</v>
      </c>
      <c r="C50" s="100" t="n">
        <v>0</v>
      </c>
      <c r="D50" s="100" t="n">
        <v>0</v>
      </c>
      <c r="E50" s="100" t="n">
        <v>0</v>
      </c>
      <c r="F50" s="100" t="n">
        <v>0</v>
      </c>
      <c r="G50" s="100" t="n">
        <v>0</v>
      </c>
      <c r="H50" s="100" t="n">
        <v>0</v>
      </c>
      <c r="I50" s="100" t="n">
        <v>0</v>
      </c>
      <c r="J50" s="100" t="n">
        <v>0</v>
      </c>
      <c r="K50" s="100" t="n">
        <v>0</v>
      </c>
      <c r="L50" s="100" t="n">
        <v>0</v>
      </c>
      <c r="M50" s="100" t="n">
        <v>0</v>
      </c>
      <c r="N50" s="101">
        <f>SUM(B50:M50)</f>
        <v/>
      </c>
    </row>
    <row r="51">
      <c r="A51" s="61" t="inlineStr">
        <is>
          <t>İncitaş / G.5.3.</t>
        </is>
      </c>
      <c r="B51" s="100" t="n">
        <v>0</v>
      </c>
      <c r="C51" s="100" t="n">
        <v>0</v>
      </c>
      <c r="D51" s="100" t="n">
        <v>0</v>
      </c>
      <c r="E51" s="100" t="n">
        <v>0</v>
      </c>
      <c r="F51" s="100" t="n">
        <v>0</v>
      </c>
      <c r="G51" s="100" t="n">
        <v>0</v>
      </c>
      <c r="H51" s="100" t="n">
        <v>0</v>
      </c>
      <c r="I51" s="100" t="n">
        <v>0</v>
      </c>
      <c r="J51" s="100" t="n">
        <v>0</v>
      </c>
      <c r="K51" s="100" t="n">
        <v>0</v>
      </c>
      <c r="L51" s="100" t="n">
        <v>0</v>
      </c>
      <c r="M51" s="100" t="n">
        <v>0</v>
      </c>
      <c r="N51" s="101">
        <f>SUM(B51:M51)</f>
        <v/>
      </c>
    </row>
    <row r="52">
      <c r="A52" s="61" t="inlineStr">
        <is>
          <t>İnci GS Yuasa / G.5.4.</t>
        </is>
      </c>
      <c r="B52" s="100" t="n">
        <v>0</v>
      </c>
      <c r="C52" s="100" t="n">
        <v>0</v>
      </c>
      <c r="D52" s="100" t="n">
        <v>0</v>
      </c>
      <c r="E52" s="100" t="n">
        <v>0</v>
      </c>
      <c r="F52" s="100" t="n">
        <v>0</v>
      </c>
      <c r="G52" s="100" t="n">
        <v>0</v>
      </c>
      <c r="H52" s="100" t="n">
        <v>0</v>
      </c>
      <c r="I52" s="100" t="n">
        <v>0</v>
      </c>
      <c r="J52" s="100" t="n">
        <v>0</v>
      </c>
      <c r="K52" s="100" t="n">
        <v>0</v>
      </c>
      <c r="L52" s="100" t="n">
        <v>0</v>
      </c>
      <c r="M52" s="100" t="n">
        <v>0</v>
      </c>
      <c r="N52" s="101">
        <f>SUM(B52:M52)</f>
        <v/>
      </c>
    </row>
    <row r="53">
      <c r="A53" s="61" t="inlineStr">
        <is>
          <t>Yusen İnci Loj. / G.5.5.</t>
        </is>
      </c>
      <c r="B53" s="100" t="n">
        <v>0</v>
      </c>
      <c r="C53" s="100" t="n">
        <v>0</v>
      </c>
      <c r="D53" s="100" t="n">
        <v>0</v>
      </c>
      <c r="E53" s="100" t="n">
        <v>0</v>
      </c>
      <c r="F53" s="100" t="n">
        <v>0</v>
      </c>
      <c r="G53" s="100" t="n">
        <v>0</v>
      </c>
      <c r="H53" s="100" t="n">
        <v>0</v>
      </c>
      <c r="I53" s="100" t="n">
        <v>0</v>
      </c>
      <c r="J53" s="100" t="n">
        <v>0</v>
      </c>
      <c r="K53" s="100" t="n">
        <v>0</v>
      </c>
      <c r="L53" s="100" t="n">
        <v>0</v>
      </c>
      <c r="M53" s="100" t="n">
        <v>0</v>
      </c>
      <c r="N53" s="101">
        <f>SUM(B53:M53)</f>
        <v/>
      </c>
    </row>
    <row r="54">
      <c r="A54" s="61" t="inlineStr">
        <is>
          <t>Jantaş / G.5.6.</t>
        </is>
      </c>
      <c r="B54" s="100" t="n">
        <v>0</v>
      </c>
      <c r="C54" s="100" t="n">
        <v>0</v>
      </c>
      <c r="D54" s="100" t="n">
        <v>0</v>
      </c>
      <c r="E54" s="100" t="n">
        <v>0</v>
      </c>
      <c r="F54" s="100" t="n">
        <v>0</v>
      </c>
      <c r="G54" s="100" t="n">
        <v>0</v>
      </c>
      <c r="H54" s="100" t="n">
        <v>0</v>
      </c>
      <c r="I54" s="100" t="n">
        <v>0</v>
      </c>
      <c r="J54" s="100" t="n">
        <v>0</v>
      </c>
      <c r="K54" s="100" t="n">
        <v>0</v>
      </c>
      <c r="L54" s="100" t="n">
        <v>0</v>
      </c>
      <c r="M54" s="100" t="n">
        <v>0</v>
      </c>
      <c r="N54" s="101">
        <f>SUM(B54:M54)</f>
        <v/>
      </c>
    </row>
    <row r="55">
      <c r="A55" s="61" t="inlineStr">
        <is>
          <t>Çelik / G.5.7.</t>
        </is>
      </c>
      <c r="B55" s="100" t="n">
        <v>0</v>
      </c>
      <c r="C55" s="100" t="n">
        <v>0</v>
      </c>
      <c r="D55" s="100" t="n">
        <v>0</v>
      </c>
      <c r="E55" s="100" t="n">
        <v>0</v>
      </c>
      <c r="F55" s="100" t="n">
        <v>0</v>
      </c>
      <c r="G55" s="100" t="n">
        <v>0</v>
      </c>
      <c r="H55" s="100" t="n">
        <v>0</v>
      </c>
      <c r="I55" s="100" t="n">
        <v>0</v>
      </c>
      <c r="J55" s="100" t="n">
        <v>0</v>
      </c>
      <c r="K55" s="100" t="n">
        <v>0</v>
      </c>
      <c r="L55" s="100" t="n">
        <v>0</v>
      </c>
      <c r="M55" s="100" t="n">
        <v>0</v>
      </c>
      <c r="N55" s="101">
        <f>SUM(B55:M55)</f>
        <v/>
      </c>
    </row>
    <row r="56">
      <c r="A56" s="61" t="inlineStr">
        <is>
          <t>Alüminyum / G.5.8.</t>
        </is>
      </c>
      <c r="B56" s="100" t="n">
        <v>0</v>
      </c>
      <c r="C56" s="100" t="n">
        <v>0</v>
      </c>
      <c r="D56" s="100" t="n">
        <v>0</v>
      </c>
      <c r="E56" s="100" t="n">
        <v>0</v>
      </c>
      <c r="F56" s="100" t="n">
        <v>0</v>
      </c>
      <c r="G56" s="100" t="n">
        <v>0</v>
      </c>
      <c r="H56" s="100" t="n">
        <v>0</v>
      </c>
      <c r="I56" s="100" t="n">
        <v>0</v>
      </c>
      <c r="J56" s="100" t="n">
        <v>0</v>
      </c>
      <c r="K56" s="100" t="n">
        <v>0</v>
      </c>
      <c r="L56" s="100" t="n">
        <v>0</v>
      </c>
      <c r="M56" s="100" t="n">
        <v>0</v>
      </c>
      <c r="N56" s="101">
        <f>SUM(B56:M56)</f>
        <v/>
      </c>
    </row>
    <row r="57">
      <c r="A57" s="61" t="inlineStr">
        <is>
          <t>x / G.5.9.</t>
        </is>
      </c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70" t="n"/>
    </row>
    <row r="58">
      <c r="A58" s="61" t="inlineStr">
        <is>
          <t>y / G.5.10.</t>
        </is>
      </c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70" t="n"/>
    </row>
    <row r="59">
      <c r="A59" s="61" t="inlineStr">
        <is>
          <t>EBİT-TL / G.6.</t>
        </is>
      </c>
      <c r="B59" s="98">
        <f>SUM(B60:B62)+SUM(B63:B67)*0.4</f>
        <v/>
      </c>
      <c r="C59" s="98">
        <f>SUM(C60:C62)+SUM(C63:C67)*0.4</f>
        <v/>
      </c>
      <c r="D59" s="98">
        <f>SUM(D60:D62)+SUM(D63:D67)*0.4</f>
        <v/>
      </c>
      <c r="E59" s="98">
        <f>SUM(E60:E62)+SUM(E63:E67)*0.4</f>
        <v/>
      </c>
      <c r="F59" s="98">
        <f>SUM(F60:F62)+SUM(F63:F67)*0.4</f>
        <v/>
      </c>
      <c r="G59" s="98">
        <f>SUM(G60:G62)+SUM(G63:G67)*0.4</f>
        <v/>
      </c>
      <c r="H59" s="98">
        <f>SUM(H60:H62)+SUM(H63:H67)*0.4</f>
        <v/>
      </c>
      <c r="I59" s="98">
        <f>SUM(I60:I62)+SUM(I63:I67)*0.4</f>
        <v/>
      </c>
      <c r="J59" s="98">
        <f>SUM(J60:J62)+SUM(J63:J67)*0.4</f>
        <v/>
      </c>
      <c r="K59" s="98">
        <f>SUM(K60:K62)+SUM(K63:K67)*0.4</f>
        <v/>
      </c>
      <c r="L59" s="98">
        <f>SUM(L60:L62)+SUM(L63:L67)*0.4</f>
        <v/>
      </c>
      <c r="M59" s="98">
        <f>SUM(M60:M62)+SUM(M63:M67)*0.4</f>
        <v/>
      </c>
      <c r="N59" s="103">
        <f>SUM(N60:N62)+SUM(N63:N67)*0.4</f>
        <v/>
      </c>
    </row>
    <row r="60">
      <c r="A60" s="61" t="inlineStr">
        <is>
          <t>İnci Holding / G.6.1.</t>
        </is>
      </c>
      <c r="B60" s="100" t="n">
        <v>12485589.612362</v>
      </c>
      <c r="C60" s="100" t="n">
        <v>13792305.309954</v>
      </c>
      <c r="D60" s="100" t="n">
        <v>12999445.74199</v>
      </c>
      <c r="E60" s="100" t="n">
        <v>13289865.833023</v>
      </c>
      <c r="F60" s="100" t="n">
        <v>14101547.454118</v>
      </c>
      <c r="G60" s="100" t="n">
        <v>14660220.455898</v>
      </c>
      <c r="H60" s="100" t="n">
        <v>16297305.000614</v>
      </c>
      <c r="I60" s="100" t="n">
        <v>13744965.139247</v>
      </c>
      <c r="J60" s="100" t="n">
        <v>20865028.797405</v>
      </c>
      <c r="K60" s="100" t="n">
        <v>19233428.727159</v>
      </c>
      <c r="L60" s="100" t="n">
        <v>17302168.380743</v>
      </c>
      <c r="M60" s="100" t="n">
        <v>-9807191.372233</v>
      </c>
      <c r="N60" s="101">
        <f>SUM(B60:M60)</f>
        <v/>
      </c>
    </row>
    <row r="61">
      <c r="A61" s="61" t="inlineStr">
        <is>
          <t>ISM / G.6.2.</t>
        </is>
      </c>
      <c r="B61" s="100" t="n">
        <v>-1096982.784731</v>
      </c>
      <c r="C61" s="100" t="n">
        <v>3162913.731356</v>
      </c>
      <c r="D61" s="100" t="n">
        <v>3985242.412943</v>
      </c>
      <c r="E61" s="100" t="n">
        <v>6733881.033902</v>
      </c>
      <c r="F61" s="100" t="n">
        <v>8544676.518206</v>
      </c>
      <c r="G61" s="100" t="n">
        <v>7897577.058918</v>
      </c>
      <c r="H61" s="100" t="n">
        <v>6080331.116756</v>
      </c>
      <c r="I61" s="100" t="n">
        <v>1458031.053544</v>
      </c>
      <c r="J61" s="100" t="n">
        <v>2739253.770574</v>
      </c>
      <c r="K61" s="100" t="n">
        <v>932360.977037</v>
      </c>
      <c r="L61" s="100" t="n">
        <v>-281217.694028</v>
      </c>
      <c r="M61" s="100" t="n">
        <v>-2078260.929108</v>
      </c>
      <c r="N61" s="101">
        <f>SUM(B61:M61)</f>
        <v/>
      </c>
    </row>
    <row r="62">
      <c r="A62" s="61" t="inlineStr">
        <is>
          <t>İncitaş / G.6.3.</t>
        </is>
      </c>
      <c r="B62" s="100" t="n">
        <v>-1665628.720424</v>
      </c>
      <c r="C62" s="100" t="n">
        <v>66619.407419</v>
      </c>
      <c r="D62" s="100" t="n">
        <v>2025165.291109</v>
      </c>
      <c r="E62" s="100" t="n">
        <v>1929364.891161</v>
      </c>
      <c r="F62" s="100" t="n">
        <v>4169670.974071</v>
      </c>
      <c r="G62" s="100" t="n">
        <v>4234185.053277</v>
      </c>
      <c r="H62" s="100" t="n">
        <v>5249223.05453</v>
      </c>
      <c r="I62" s="100" t="n">
        <v>4155638.190166</v>
      </c>
      <c r="J62" s="100" t="n">
        <v>3237746.707653</v>
      </c>
      <c r="K62" s="100" t="n">
        <v>4148879.412749</v>
      </c>
      <c r="L62" s="100" t="n">
        <v>5045587.325645</v>
      </c>
      <c r="M62" s="100" t="n">
        <v>2147355.550137</v>
      </c>
      <c r="N62" s="101">
        <f>SUM(B62:M62)</f>
        <v/>
      </c>
    </row>
    <row r="63">
      <c r="A63" s="61" t="inlineStr">
        <is>
          <t>İnci GS Yuasa / G.6.4.</t>
        </is>
      </c>
      <c r="B63" s="100" t="n">
        <v>52392116.183272</v>
      </c>
      <c r="C63" s="100" t="n">
        <v>43600896.143744</v>
      </c>
      <c r="D63" s="100" t="n">
        <v>49843254.313158</v>
      </c>
      <c r="E63" s="100" t="n">
        <v>43855644.349922</v>
      </c>
      <c r="F63" s="100" t="n">
        <v>51899581.83802601</v>
      </c>
      <c r="G63" s="100" t="n">
        <v>63691540.972514</v>
      </c>
      <c r="H63" s="100" t="n">
        <v>83515146.046562</v>
      </c>
      <c r="I63" s="100" t="n">
        <v>92759254.38118298</v>
      </c>
      <c r="J63" s="100" t="n">
        <v>116356694.892681</v>
      </c>
      <c r="K63" s="100" t="n">
        <v>146740507.860318</v>
      </c>
      <c r="L63" s="100" t="n">
        <v>155416610.821768</v>
      </c>
      <c r="M63" s="100" t="n">
        <v>189710225.143578</v>
      </c>
      <c r="N63" s="101">
        <f>SUM(B63:M63)</f>
        <v/>
      </c>
    </row>
    <row r="64">
      <c r="A64" s="61" t="inlineStr">
        <is>
          <t>Yusen İnci Loj. / G.6.5.</t>
        </is>
      </c>
      <c r="B64" s="100" t="n">
        <v>16121218</v>
      </c>
      <c r="C64" s="100" t="n">
        <v>18027160</v>
      </c>
      <c r="D64" s="100" t="n">
        <v>17113558</v>
      </c>
      <c r="E64" s="100" t="n">
        <v>13319.68620829284</v>
      </c>
      <c r="F64" s="100" t="n">
        <v>7182395.647119597</v>
      </c>
      <c r="G64" s="100" t="n">
        <v>3787466.548668578</v>
      </c>
      <c r="H64" s="100" t="n">
        <v>10106912.68132082</v>
      </c>
      <c r="I64" s="100" t="n">
        <v>12047038.06223664</v>
      </c>
      <c r="J64" s="100" t="n">
        <v>11811041.26572146</v>
      </c>
      <c r="K64" s="100" t="n">
        <v>19600169.81549548</v>
      </c>
      <c r="L64" s="100" t="n">
        <v>15011768.08574455</v>
      </c>
      <c r="M64" s="100" t="n">
        <v>10375731.9269996</v>
      </c>
      <c r="N64" s="101">
        <f>SUM(B64:M64)</f>
        <v/>
      </c>
    </row>
    <row r="65">
      <c r="A65" s="61" t="inlineStr">
        <is>
          <t>Jantaş / G.6.6.</t>
        </is>
      </c>
      <c r="B65" s="100" t="n">
        <v>21689096.42513407</v>
      </c>
      <c r="C65" s="100" t="n">
        <v>40690461.82343238</v>
      </c>
      <c r="D65" s="100" t="n">
        <v>79845931.51321879</v>
      </c>
      <c r="E65" s="100" t="n">
        <v>17567380.41162357</v>
      </c>
      <c r="F65" s="100" t="n">
        <v>45827614.66495019</v>
      </c>
      <c r="G65" s="100" t="n">
        <v>58348397.5062249</v>
      </c>
      <c r="H65" s="100" t="n">
        <v>20626513.89774268</v>
      </c>
      <c r="I65" s="100" t="n">
        <v>4545826.948626227</v>
      </c>
      <c r="J65" s="100" t="n">
        <v>106187608.1786612</v>
      </c>
      <c r="K65" s="100" t="n">
        <v>63606398.18993725</v>
      </c>
      <c r="L65" s="100" t="n">
        <v>65445380.86146379</v>
      </c>
      <c r="M65" s="100" t="n">
        <v>49428307.5395357</v>
      </c>
      <c r="N65" s="101">
        <f>SUM(B65:M65)</f>
        <v/>
      </c>
    </row>
    <row r="66">
      <c r="A66" s="61" t="inlineStr">
        <is>
          <t>Çelik / G.6.7.</t>
        </is>
      </c>
      <c r="B66" s="100" t="n">
        <v>47828952.83423075</v>
      </c>
      <c r="C66" s="100" t="n">
        <v>42624579.98642819</v>
      </c>
      <c r="D66" s="100" t="n">
        <v>64731216.54558547</v>
      </c>
      <c r="E66" s="100" t="n">
        <v>64261269.52234068</v>
      </c>
      <c r="F66" s="100" t="n">
        <v>69317518.12129395</v>
      </c>
      <c r="G66" s="100" t="n">
        <v>55847190.36683189</v>
      </c>
      <c r="H66" s="100" t="n">
        <v>48500064.76408406</v>
      </c>
      <c r="I66" s="100" t="n">
        <v>27908178.38334543</v>
      </c>
      <c r="J66" s="100" t="n">
        <v>85534638.68874994</v>
      </c>
      <c r="K66" s="100" t="n">
        <v>78372218.33873209</v>
      </c>
      <c r="L66" s="100" t="n">
        <v>74431558.57190691</v>
      </c>
      <c r="M66" s="100" t="n">
        <v>43038039.53305227</v>
      </c>
      <c r="N66" s="101">
        <f>SUM(B66:M66)</f>
        <v/>
      </c>
    </row>
    <row r="67">
      <c r="A67" s="61" t="inlineStr">
        <is>
          <t>Alüminyum / G.6.8.</t>
        </is>
      </c>
      <c r="B67" s="100" t="n">
        <v>74228788.49259172</v>
      </c>
      <c r="C67" s="100" t="n">
        <v>79085187.65333745</v>
      </c>
      <c r="D67" s="100" t="n">
        <v>69372799.66181281</v>
      </c>
      <c r="E67" s="100" t="n">
        <v>62236809.80010147</v>
      </c>
      <c r="F67" s="100" t="n">
        <v>101083314.7203092</v>
      </c>
      <c r="G67" s="100" t="n">
        <v>61490607.56355528</v>
      </c>
      <c r="H67" s="100" t="n">
        <v>109899740.0649081</v>
      </c>
      <c r="I67" s="100" t="n">
        <v>28000534.72095965</v>
      </c>
      <c r="J67" s="100" t="n">
        <v>147298457.7335138</v>
      </c>
      <c r="K67" s="100" t="n">
        <v>120995640.1084333</v>
      </c>
      <c r="L67" s="100" t="n">
        <v>121697168.4798944</v>
      </c>
      <c r="M67" s="100" t="n">
        <v>85786829.98598088</v>
      </c>
      <c r="N67" s="101">
        <f>SUM(B67:M67)</f>
        <v/>
      </c>
    </row>
    <row r="68">
      <c r="A68" s="61" t="inlineStr">
        <is>
          <t>x / G.6.9.</t>
        </is>
      </c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70" t="n"/>
    </row>
    <row r="69">
      <c r="A69" s="61" t="inlineStr">
        <is>
          <t>y / G.6.10.</t>
        </is>
      </c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70" t="n"/>
    </row>
    <row r="70">
      <c r="A70" s="61" t="inlineStr">
        <is>
          <t>Amortisman-TL / G.7.</t>
        </is>
      </c>
      <c r="B70" s="98">
        <f>SUM(B71:B73)+SUM(B74:B78)*0.4</f>
        <v/>
      </c>
      <c r="C70" s="98">
        <f>SUM(C71:C73)+SUM(C74:C78)*0.4</f>
        <v/>
      </c>
      <c r="D70" s="98">
        <f>SUM(D71:D73)+SUM(D74:D78)*0.4</f>
        <v/>
      </c>
      <c r="E70" s="98">
        <f>SUM(E71:E73)+SUM(E74:E78)*0.4</f>
        <v/>
      </c>
      <c r="F70" s="98">
        <f>SUM(F71:F73)+SUM(F74:F78)*0.4</f>
        <v/>
      </c>
      <c r="G70" s="98">
        <f>SUM(G71:G73)+SUM(G74:G78)*0.4</f>
        <v/>
      </c>
      <c r="H70" s="98">
        <f>SUM(H71:H73)+SUM(H74:H78)*0.4</f>
        <v/>
      </c>
      <c r="I70" s="98">
        <f>SUM(I71:I73)+SUM(I74:I78)*0.4</f>
        <v/>
      </c>
      <c r="J70" s="98">
        <f>SUM(J71:J73)+SUM(J74:J78)*0.4</f>
        <v/>
      </c>
      <c r="K70" s="98">
        <f>SUM(K71:K73)+SUM(K74:K78)*0.4</f>
        <v/>
      </c>
      <c r="L70" s="98">
        <f>SUM(L71:L73)+SUM(L74:L78)*0.4</f>
        <v/>
      </c>
      <c r="M70" s="98">
        <f>SUM(M71:M73)+SUM(M74:M78)*0.4</f>
        <v/>
      </c>
      <c r="N70" s="103">
        <f>SUM(N71:N73)+SUM(N74:N78)*0.4</f>
        <v/>
      </c>
    </row>
    <row r="71">
      <c r="A71" s="61" t="inlineStr">
        <is>
          <t>İnci Holding / G.7.1.</t>
        </is>
      </c>
      <c r="B71" s="100" t="n">
        <v>182835.560261</v>
      </c>
      <c r="C71" s="100" t="n">
        <v>182835.560261</v>
      </c>
      <c r="D71" s="100" t="n">
        <v>182835.560261</v>
      </c>
      <c r="E71" s="100" t="n">
        <v>182835.560261</v>
      </c>
      <c r="F71" s="100" t="n">
        <v>182835.560261</v>
      </c>
      <c r="G71" s="100" t="n">
        <v>182835.560261</v>
      </c>
      <c r="H71" s="100" t="n">
        <v>182835.560261</v>
      </c>
      <c r="I71" s="100" t="n">
        <v>182835.560261</v>
      </c>
      <c r="J71" s="100" t="n">
        <v>182835.560261</v>
      </c>
      <c r="K71" s="100" t="n">
        <v>182835.560261</v>
      </c>
      <c r="L71" s="100" t="n">
        <v>182835.560261</v>
      </c>
      <c r="M71" s="100" t="n">
        <v>182835.560261</v>
      </c>
      <c r="N71" s="101">
        <f>SUM(B71:M71)</f>
        <v/>
      </c>
    </row>
    <row r="72">
      <c r="A72" s="61" t="inlineStr">
        <is>
          <t>ISM / G.7.2.</t>
        </is>
      </c>
      <c r="B72" s="100" t="n">
        <v>405675.114567</v>
      </c>
      <c r="C72" s="100" t="n">
        <v>549797.349021</v>
      </c>
      <c r="D72" s="100" t="n">
        <v>504360.106794</v>
      </c>
      <c r="E72" s="100" t="n">
        <v>1005540.445351</v>
      </c>
      <c r="F72" s="100" t="n">
        <v>766539.415962</v>
      </c>
      <c r="G72" s="100" t="n">
        <v>685074.649295</v>
      </c>
      <c r="H72" s="100" t="n">
        <v>856069.865962</v>
      </c>
      <c r="I72" s="100" t="n">
        <v>722079.965962</v>
      </c>
      <c r="J72" s="100" t="n">
        <v>861211.265962</v>
      </c>
      <c r="K72" s="100" t="n">
        <v>710229.665962</v>
      </c>
      <c r="L72" s="100" t="n">
        <v>710229.665962</v>
      </c>
      <c r="M72" s="100" t="n">
        <v>732829.4165629999</v>
      </c>
      <c r="N72" s="101">
        <f>SUM(B72:M72)</f>
        <v/>
      </c>
    </row>
    <row r="73">
      <c r="A73" s="61" t="inlineStr">
        <is>
          <t>İncitaş / G.7.3.</t>
        </is>
      </c>
      <c r="B73" s="100" t="n">
        <v>48254.22651</v>
      </c>
      <c r="C73" s="100" t="n">
        <v>48254.22651</v>
      </c>
      <c r="D73" s="100" t="n">
        <v>48254.22651</v>
      </c>
      <c r="E73" s="100" t="n">
        <v>48254.22651</v>
      </c>
      <c r="F73" s="100" t="n">
        <v>48254.22651</v>
      </c>
      <c r="G73" s="100" t="n">
        <v>48254.22651</v>
      </c>
      <c r="H73" s="100" t="n">
        <v>48254.22651</v>
      </c>
      <c r="I73" s="100" t="n">
        <v>48254.22651</v>
      </c>
      <c r="J73" s="100" t="n">
        <v>48254.22651</v>
      </c>
      <c r="K73" s="100" t="n">
        <v>48254.22651</v>
      </c>
      <c r="L73" s="100" t="n">
        <v>48254.22651</v>
      </c>
      <c r="M73" s="100" t="n">
        <v>48254.22651</v>
      </c>
      <c r="N73" s="101">
        <f>SUM(B73:M73)</f>
        <v/>
      </c>
    </row>
    <row r="74">
      <c r="A74" s="61" t="inlineStr">
        <is>
          <t>İnci GS Yuasa / G.7.4.</t>
        </is>
      </c>
      <c r="B74" s="100" t="n">
        <v>8745353.674257999</v>
      </c>
      <c r="C74" s="100" t="n">
        <v>8969601.873496</v>
      </c>
      <c r="D74" s="100" t="n">
        <v>9472677.04386</v>
      </c>
      <c r="E74" s="100" t="n">
        <v>9421289.298961001</v>
      </c>
      <c r="F74" s="100" t="n">
        <v>8500255.511143999</v>
      </c>
      <c r="G74" s="100" t="n">
        <v>9101456.278538</v>
      </c>
      <c r="H74" s="100" t="n">
        <v>9964390.438817</v>
      </c>
      <c r="I74" s="100" t="n">
        <v>8886044.615377</v>
      </c>
      <c r="J74" s="100" t="n">
        <v>9140196.188677</v>
      </c>
      <c r="K74" s="100" t="n">
        <v>10267319.55033</v>
      </c>
      <c r="L74" s="100" t="n">
        <v>10012634.153075</v>
      </c>
      <c r="M74" s="100" t="n">
        <v>9900930.413841</v>
      </c>
      <c r="N74" s="101">
        <f>SUM(B74:M74)</f>
        <v/>
      </c>
    </row>
    <row r="75">
      <c r="A75" s="61" t="inlineStr">
        <is>
          <t>Yusen İnci Loj. / G.7.5.</t>
        </is>
      </c>
      <c r="B75" s="100" t="n">
        <v>3714414</v>
      </c>
      <c r="C75" s="100" t="n">
        <v>3716915.741519</v>
      </c>
      <c r="D75" s="100" t="n">
        <v>3719401</v>
      </c>
      <c r="E75" s="100" t="n">
        <v>7433826.564021</v>
      </c>
      <c r="F75" s="100" t="n">
        <v>7486397.523858</v>
      </c>
      <c r="G75" s="100" t="n">
        <v>7434739.833132001</v>
      </c>
      <c r="H75" s="100" t="n">
        <v>7434739.763316</v>
      </c>
      <c r="I75" s="100" t="n">
        <v>7544739.179888</v>
      </c>
      <c r="J75" s="100" t="n">
        <v>7767493.693184</v>
      </c>
      <c r="K75" s="100" t="n">
        <v>7767493.693184</v>
      </c>
      <c r="L75" s="100" t="n">
        <v>7767493.693184</v>
      </c>
      <c r="M75" s="100" t="n">
        <v>7767493.693184</v>
      </c>
      <c r="N75" s="101">
        <f>SUM(B75:M75)</f>
        <v/>
      </c>
    </row>
    <row r="76">
      <c r="A76" s="61" t="inlineStr">
        <is>
          <t>Jantaş / G.7.6.</t>
        </is>
      </c>
      <c r="B76" s="100" t="n">
        <v>14522547.12955611</v>
      </c>
      <c r="C76" s="100" t="n">
        <v>13523442.94461973</v>
      </c>
      <c r="D76" s="100" t="n">
        <v>35673701.31924996</v>
      </c>
      <c r="E76" s="100" t="n">
        <v>15880867.68786754</v>
      </c>
      <c r="F76" s="100" t="n">
        <v>16671134.77435888</v>
      </c>
      <c r="G76" s="100" t="n">
        <v>37863919.19594649</v>
      </c>
      <c r="H76" s="100" t="n">
        <v>16879102.3482492</v>
      </c>
      <c r="I76" s="100" t="n">
        <v>17475817.33308045</v>
      </c>
      <c r="J76" s="100" t="n">
        <v>40093049.20151401</v>
      </c>
      <c r="K76" s="100" t="n">
        <v>18589492.41708392</v>
      </c>
      <c r="L76" s="100" t="n">
        <v>17743175.47757724</v>
      </c>
      <c r="M76" s="100" t="n">
        <v>42829854.77307918</v>
      </c>
      <c r="N76" s="101">
        <f>SUM(B76:M76)</f>
        <v/>
      </c>
    </row>
    <row r="77">
      <c r="A77" s="61" t="inlineStr">
        <is>
          <t>Çelik / G.7.7.</t>
        </is>
      </c>
      <c r="B77" s="100" t="n">
        <v>9634099.959325824</v>
      </c>
      <c r="C77" s="100" t="n">
        <v>9047860.874942711</v>
      </c>
      <c r="D77" s="100" t="n">
        <v>10271260.80869611</v>
      </c>
      <c r="E77" s="100" t="n">
        <v>10191452.84201106</v>
      </c>
      <c r="F77" s="100" t="n">
        <v>10644872.99148456</v>
      </c>
      <c r="G77" s="100" t="n">
        <v>10732010.88531549</v>
      </c>
      <c r="H77" s="100" t="n">
        <v>11222072.87285364</v>
      </c>
      <c r="I77" s="100" t="n">
        <v>11416254.05115965</v>
      </c>
      <c r="J77" s="100" t="n">
        <v>11410066.01174799</v>
      </c>
      <c r="K77" s="100" t="n">
        <v>11777671.06119088</v>
      </c>
      <c r="L77" s="100" t="n">
        <v>11692045.36201524</v>
      </c>
      <c r="M77" s="100" t="n">
        <v>12446638.47112233</v>
      </c>
      <c r="N77" s="101">
        <f>SUM(B77:M77)</f>
        <v/>
      </c>
    </row>
    <row r="78">
      <c r="A78" s="61" t="inlineStr">
        <is>
          <t>Alüminyum / G.7.8.</t>
        </is>
      </c>
      <c r="B78" s="100" t="n">
        <v>24908121.29643883</v>
      </c>
      <c r="C78" s="100" t="n">
        <v>25297853.31641607</v>
      </c>
      <c r="D78" s="100" t="n">
        <v>25228395.40310964</v>
      </c>
      <c r="E78" s="100" t="n">
        <v>25606418.85144307</v>
      </c>
      <c r="F78" s="100" t="n">
        <v>26059133.20818416</v>
      </c>
      <c r="G78" s="100" t="n">
        <v>25609004.29941107</v>
      </c>
      <c r="H78" s="100" t="n">
        <v>25977226.43588015</v>
      </c>
      <c r="I78" s="100" t="n">
        <v>26208062.83885429</v>
      </c>
      <c r="J78" s="100" t="n">
        <v>25720186.87046459</v>
      </c>
      <c r="K78" s="100" t="n">
        <v>26172659.31955094</v>
      </c>
      <c r="L78" s="100" t="n">
        <v>26433970.20793865</v>
      </c>
      <c r="M78" s="100" t="n">
        <v>27272321.04577012</v>
      </c>
      <c r="N78" s="101">
        <f>SUM(B78:M78)</f>
        <v/>
      </c>
    </row>
    <row r="79">
      <c r="A79" s="61" t="inlineStr">
        <is>
          <t>x / G.7.9.</t>
        </is>
      </c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70" t="n"/>
    </row>
    <row r="80">
      <c r="A80" s="61" t="inlineStr">
        <is>
          <t>y / G.7.10.</t>
        </is>
      </c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70" t="n"/>
    </row>
    <row r="81">
      <c r="A81" s="61" t="inlineStr">
        <is>
          <t>EBİTDA-TL / G.8.</t>
        </is>
      </c>
      <c r="B81" s="98">
        <f>SUM(B82:B84)+SUM(B85:B89)*0.4</f>
        <v/>
      </c>
      <c r="C81" s="98">
        <f>SUM(C82:C84)+SUM(C85:C89)*0.4</f>
        <v/>
      </c>
      <c r="D81" s="98">
        <f>SUM(D82:D84)+SUM(D85:D89)*0.4</f>
        <v/>
      </c>
      <c r="E81" s="98">
        <f>SUM(E82:E84)+SUM(E85:E89)*0.4</f>
        <v/>
      </c>
      <c r="F81" s="98">
        <f>SUM(F82:F84)+SUM(F85:F89)*0.4</f>
        <v/>
      </c>
      <c r="G81" s="98">
        <f>SUM(G82:G84)+SUM(G85:G89)*0.4</f>
        <v/>
      </c>
      <c r="H81" s="98">
        <f>SUM(H82:H84)+SUM(H85:H89)*0.4</f>
        <v/>
      </c>
      <c r="I81" s="98">
        <f>SUM(I82:I84)+SUM(I85:I89)*0.4</f>
        <v/>
      </c>
      <c r="J81" s="98">
        <f>SUM(J82:J84)+SUM(J85:J89)*0.4</f>
        <v/>
      </c>
      <c r="K81" s="98">
        <f>SUM(K82:K84)+SUM(K85:K89)*0.4</f>
        <v/>
      </c>
      <c r="L81" s="98">
        <f>SUM(L82:L84)+SUM(L85:L89)*0.4</f>
        <v/>
      </c>
      <c r="M81" s="98">
        <f>SUM(M82:M84)+SUM(M85:M89)*0.4</f>
        <v/>
      </c>
      <c r="N81" s="103">
        <f>SUM(N82:N84)+SUM(N85:N89)*0.4</f>
        <v/>
      </c>
    </row>
    <row r="82">
      <c r="A82" s="61" t="inlineStr">
        <is>
          <t>İnci Holding / G.8.1.</t>
        </is>
      </c>
      <c r="B82" s="100" t="n">
        <v>12668425.172623</v>
      </c>
      <c r="C82" s="100" t="n">
        <v>13975140.870215</v>
      </c>
      <c r="D82" s="100" t="n">
        <v>13182281.302251</v>
      </c>
      <c r="E82" s="100" t="n">
        <v>13472701.393284</v>
      </c>
      <c r="F82" s="100" t="n">
        <v>14284383.01438</v>
      </c>
      <c r="G82" s="100" t="n">
        <v>14843056.016159</v>
      </c>
      <c r="H82" s="100" t="n">
        <v>16480140.560875</v>
      </c>
      <c r="I82" s="100" t="n">
        <v>13927800.699508</v>
      </c>
      <c r="J82" s="100" t="n">
        <v>21047864.357666</v>
      </c>
      <c r="K82" s="100" t="n">
        <v>19416264.28742</v>
      </c>
      <c r="L82" s="100" t="n">
        <v>17485003.941004</v>
      </c>
      <c r="M82" s="100" t="n">
        <v>-9624355.811970999</v>
      </c>
      <c r="N82" s="101">
        <f>SUM(B82:M82)</f>
        <v/>
      </c>
    </row>
    <row r="83">
      <c r="A83" s="61" t="inlineStr">
        <is>
          <t>ISM / G.8.2.</t>
        </is>
      </c>
      <c r="B83" s="100" t="n">
        <v>-691307.670165</v>
      </c>
      <c r="C83" s="100" t="n">
        <v>3712711.080377</v>
      </c>
      <c r="D83" s="100" t="n">
        <v>4489602.519737</v>
      </c>
      <c r="E83" s="100" t="n">
        <v>7739421.479253</v>
      </c>
      <c r="F83" s="100" t="n">
        <v>9311215.934168</v>
      </c>
      <c r="G83" s="100" t="n">
        <v>8582651.708213</v>
      </c>
      <c r="H83" s="100" t="n">
        <v>6936400.982718</v>
      </c>
      <c r="I83" s="100" t="n">
        <v>2180111.019505</v>
      </c>
      <c r="J83" s="100" t="n">
        <v>3600465.036535</v>
      </c>
      <c r="K83" s="100" t="n">
        <v>1642590.642998</v>
      </c>
      <c r="L83" s="100" t="n">
        <v>429011.971934</v>
      </c>
      <c r="M83" s="100" t="n">
        <v>-1345431.512545</v>
      </c>
      <c r="N83" s="101">
        <f>SUM(B83:M83)</f>
        <v/>
      </c>
    </row>
    <row r="84">
      <c r="A84" s="61" t="inlineStr">
        <is>
          <t>İncitaş / G.8.3.</t>
        </is>
      </c>
      <c r="B84" s="100" t="n">
        <v>-1617374.493914</v>
      </c>
      <c r="C84" s="100" t="n">
        <v>114873.633929</v>
      </c>
      <c r="D84" s="100" t="n">
        <v>2073419.51762</v>
      </c>
      <c r="E84" s="100" t="n">
        <v>1977619.117671</v>
      </c>
      <c r="F84" s="100" t="n">
        <v>4217925.200582</v>
      </c>
      <c r="G84" s="100" t="n">
        <v>4282439.279787</v>
      </c>
      <c r="H84" s="100" t="n">
        <v>5297477.28104</v>
      </c>
      <c r="I84" s="100" t="n">
        <v>4203892.416676</v>
      </c>
      <c r="J84" s="100" t="n">
        <v>3286000.934164</v>
      </c>
      <c r="K84" s="100" t="n">
        <v>4197133.63926</v>
      </c>
      <c r="L84" s="100" t="n">
        <v>5093841.552156</v>
      </c>
      <c r="M84" s="100" t="n">
        <v>2195609.776647</v>
      </c>
      <c r="N84" s="101">
        <f>SUM(B84:M84)</f>
        <v/>
      </c>
    </row>
    <row r="85">
      <c r="A85" s="61" t="inlineStr">
        <is>
          <t>İnci GS Yuasa / G.8.4.</t>
        </is>
      </c>
      <c r="B85" s="100" t="n">
        <v>61137469.85753</v>
      </c>
      <c r="C85" s="100" t="n">
        <v>52570498.01724</v>
      </c>
      <c r="D85" s="100" t="n">
        <v>59315931.357018</v>
      </c>
      <c r="E85" s="100" t="n">
        <v>53276933.648884</v>
      </c>
      <c r="F85" s="100" t="n">
        <v>60399837.34917</v>
      </c>
      <c r="G85" s="100" t="n">
        <v>72792997.25105099</v>
      </c>
      <c r="H85" s="100" t="n">
        <v>93479536.485379</v>
      </c>
      <c r="I85" s="100" t="n">
        <v>101645298.99656</v>
      </c>
      <c r="J85" s="100" t="n">
        <v>125496891.081358</v>
      </c>
      <c r="K85" s="100" t="n">
        <v>157007827.410648</v>
      </c>
      <c r="L85" s="100" t="n">
        <v>165429244.974843</v>
      </c>
      <c r="M85" s="100" t="n">
        <v>199611155.557419</v>
      </c>
      <c r="N85" s="101">
        <f>SUM(B85:M85)</f>
        <v/>
      </c>
    </row>
    <row r="86">
      <c r="A86" s="61" t="inlineStr">
        <is>
          <t>Yusen İnci Loj. / G.8.5.</t>
        </is>
      </c>
      <c r="B86" s="100" t="n">
        <v>19835632</v>
      </c>
      <c r="C86" s="100" t="n">
        <v>21744075.38041</v>
      </c>
      <c r="D86" s="100" t="n">
        <v>20832959</v>
      </c>
      <c r="E86" s="100" t="n">
        <v>7447146.250229124</v>
      </c>
      <c r="F86" s="100" t="n">
        <v>14668793.17097764</v>
      </c>
      <c r="G86" s="100" t="n">
        <v>11222206.38180076</v>
      </c>
      <c r="H86" s="100" t="n">
        <v>17541652.44463703</v>
      </c>
      <c r="I86" s="100" t="n">
        <v>19591777.24212426</v>
      </c>
      <c r="J86" s="100" t="n">
        <v>19578534.95890572</v>
      </c>
      <c r="K86" s="100" t="n">
        <v>27367663.50867973</v>
      </c>
      <c r="L86" s="100" t="n">
        <v>22779261.77892881</v>
      </c>
      <c r="M86" s="100" t="n">
        <v>18143225.62018385</v>
      </c>
      <c r="N86" s="101">
        <f>SUM(B86:M86)</f>
        <v/>
      </c>
    </row>
    <row r="87">
      <c r="A87" s="61" t="inlineStr">
        <is>
          <t>Jantaş / G.8.6.</t>
        </is>
      </c>
      <c r="B87" s="100" t="n">
        <v>37595744.94694237</v>
      </c>
      <c r="C87" s="100" t="n">
        <v>55621535.74272776</v>
      </c>
      <c r="D87" s="100" t="n">
        <v>116955093.8290337</v>
      </c>
      <c r="E87" s="100" t="n">
        <v>34897044.35783531</v>
      </c>
      <c r="F87" s="100" t="n">
        <v>64059008.77680521</v>
      </c>
      <c r="G87" s="100" t="n">
        <v>97801847.71431431</v>
      </c>
      <c r="H87" s="100" t="n">
        <v>39168957.30940201</v>
      </c>
      <c r="I87" s="100" t="n">
        <v>23744822.25894112</v>
      </c>
      <c r="J87" s="100" t="n">
        <v>148034882.586298</v>
      </c>
      <c r="K87" s="100" t="n">
        <v>83981163.04207639</v>
      </c>
      <c r="L87" s="100" t="n">
        <v>85004880.05817652</v>
      </c>
      <c r="M87" s="100" t="n">
        <v>94105533.26077466</v>
      </c>
      <c r="N87" s="101">
        <f>SUM(B87:M87)</f>
        <v/>
      </c>
    </row>
    <row r="88">
      <c r="A88" s="61" t="inlineStr">
        <is>
          <t>Çelik / G.8.7.</t>
        </is>
      </c>
      <c r="B88" s="100" t="n">
        <v>57463052.79355658</v>
      </c>
      <c r="C88" s="100" t="n">
        <v>51672440.86137091</v>
      </c>
      <c r="D88" s="100" t="n">
        <v>75002477.35428159</v>
      </c>
      <c r="E88" s="100" t="n">
        <v>74452722.3643517</v>
      </c>
      <c r="F88" s="100" t="n">
        <v>79962391.11277854</v>
      </c>
      <c r="G88" s="100" t="n">
        <v>66579201.25214741</v>
      </c>
      <c r="H88" s="100" t="n">
        <v>59722137.63693772</v>
      </c>
      <c r="I88" s="100" t="n">
        <v>39324432.43450499</v>
      </c>
      <c r="J88" s="100" t="n">
        <v>96944704.70049791</v>
      </c>
      <c r="K88" s="100" t="n">
        <v>90149889.39992312</v>
      </c>
      <c r="L88" s="100" t="n">
        <v>86123603.93392208</v>
      </c>
      <c r="M88" s="100" t="n">
        <v>55484678.00417451</v>
      </c>
      <c r="N88" s="101">
        <f>SUM(B88:M88)</f>
        <v/>
      </c>
    </row>
    <row r="89">
      <c r="A89" s="61" t="inlineStr">
        <is>
          <t>Alüminyum / G.8.8.</t>
        </is>
      </c>
      <c r="B89" s="100" t="n">
        <v>95677054.7632658</v>
      </c>
      <c r="C89" s="100" t="n">
        <v>100702233.8233899</v>
      </c>
      <c r="D89" s="100" t="n">
        <v>90932942.42446174</v>
      </c>
      <c r="E89" s="100" t="n">
        <v>83943661.92143638</v>
      </c>
      <c r="F89" s="100" t="n">
        <v>123233223.2943904</v>
      </c>
      <c r="G89" s="100" t="n">
        <v>83358835.80889675</v>
      </c>
      <c r="H89" s="100" t="n">
        <v>131890831.9537589</v>
      </c>
      <c r="I89" s="100" t="n">
        <v>50287680.36645275</v>
      </c>
      <c r="J89" s="100" t="n">
        <v>169025334.038651</v>
      </c>
      <c r="K89" s="100" t="n">
        <v>143119666.087799</v>
      </c>
      <c r="L89" s="100" t="n">
        <v>144086165.075265</v>
      </c>
      <c r="M89" s="100" t="n">
        <v>109091735.181783</v>
      </c>
      <c r="N89" s="101">
        <f>SUM(B89:M89)</f>
        <v/>
      </c>
    </row>
    <row r="90">
      <c r="A90" s="61" t="inlineStr">
        <is>
          <t>x / G.8.9.</t>
        </is>
      </c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70" t="n"/>
    </row>
    <row r="91">
      <c r="A91" s="61" t="inlineStr">
        <is>
          <t>y / G.8.10.</t>
        </is>
      </c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70" t="n"/>
    </row>
    <row r="92">
      <c r="A92" s="61" t="inlineStr">
        <is>
          <t>Finansman Gelir/Gideri-TL / G.9.</t>
        </is>
      </c>
      <c r="B92" s="98">
        <f>SUM(B93:B95)+SUM(B96:B100)*0.4</f>
        <v/>
      </c>
      <c r="C92" s="98">
        <f>SUM(C93:C95)+SUM(C96:C100)*0.4</f>
        <v/>
      </c>
      <c r="D92" s="98">
        <f>SUM(D93:D95)+SUM(D96:D100)*0.4</f>
        <v/>
      </c>
      <c r="E92" s="98">
        <f>SUM(E93:E95)+SUM(E96:E100)*0.4</f>
        <v/>
      </c>
      <c r="F92" s="98">
        <f>SUM(F93:F95)+SUM(F96:F100)*0.4</f>
        <v/>
      </c>
      <c r="G92" s="98">
        <f>SUM(G93:G95)+SUM(G96:G100)*0.4</f>
        <v/>
      </c>
      <c r="H92" s="98">
        <f>SUM(H93:H95)+SUM(H96:H100)*0.4</f>
        <v/>
      </c>
      <c r="I92" s="98">
        <f>SUM(I93:I95)+SUM(I96:I100)*0.4</f>
        <v/>
      </c>
      <c r="J92" s="98">
        <f>SUM(J93:J95)+SUM(J96:J100)*0.4</f>
        <v/>
      </c>
      <c r="K92" s="98">
        <f>SUM(K93:K95)+SUM(K96:K100)*0.4</f>
        <v/>
      </c>
      <c r="L92" s="98">
        <f>SUM(L93:L95)+SUM(L96:L100)*0.4</f>
        <v/>
      </c>
      <c r="M92" s="98">
        <f>SUM(M93:M95)+SUM(M96:M100)*0.4</f>
        <v/>
      </c>
      <c r="N92" s="101">
        <f>SUM(N93:N95)+SUM(N96:N100)*0.4</f>
        <v/>
      </c>
      <c r="P92" s="313">
        <f>N92/1000000</f>
        <v/>
      </c>
    </row>
    <row r="93">
      <c r="A93" s="61" t="inlineStr">
        <is>
          <t>İnci Holding / G.9.1.</t>
        </is>
      </c>
      <c r="B93" s="100" t="n">
        <v>-7142795.145005999</v>
      </c>
      <c r="C93" s="100" t="n">
        <v>-7033387.591867</v>
      </c>
      <c r="D93" s="100" t="n">
        <v>-3139027.619152</v>
      </c>
      <c r="E93" s="100" t="n">
        <v>-3275665.162993</v>
      </c>
      <c r="F93" s="100" t="n">
        <v>-2958446.140835</v>
      </c>
      <c r="G93" s="100" t="n">
        <v>-2862612.591822</v>
      </c>
      <c r="H93" s="100" t="n">
        <v>-3048687.524767</v>
      </c>
      <c r="I93" s="100" t="n">
        <v>-2975977.511198</v>
      </c>
      <c r="J93" s="100" t="n">
        <v>-2715598.264094</v>
      </c>
      <c r="K93" s="100" t="n">
        <v>-2829544.860291</v>
      </c>
      <c r="L93" s="100" t="n">
        <v>-2651482.688938</v>
      </c>
      <c r="M93" s="100" t="n">
        <v>190188.196319</v>
      </c>
      <c r="N93" s="101">
        <f>SUM(B93:M93)</f>
        <v/>
      </c>
    </row>
    <row r="94">
      <c r="A94" s="61" t="inlineStr">
        <is>
          <t>ISM / G.9.2.</t>
        </is>
      </c>
      <c r="B94" s="100" t="n">
        <v>-324652</v>
      </c>
      <c r="C94" s="100" t="n">
        <v>-257099</v>
      </c>
      <c r="D94" s="100" t="n">
        <v>-260343</v>
      </c>
      <c r="E94" s="100" t="n">
        <v>-263382</v>
      </c>
      <c r="F94" s="100" t="n">
        <v>-277805</v>
      </c>
      <c r="G94" s="100" t="n">
        <v>-262259</v>
      </c>
      <c r="H94" s="100" t="n">
        <v>-216648</v>
      </c>
      <c r="I94" s="100" t="n">
        <v>-279983</v>
      </c>
      <c r="J94" s="100" t="n">
        <v>-288161</v>
      </c>
      <c r="K94" s="100" t="n">
        <v>-299585</v>
      </c>
      <c r="L94" s="100" t="n">
        <v>-300329</v>
      </c>
      <c r="M94" s="100" t="n">
        <v>-263382</v>
      </c>
      <c r="N94" s="101">
        <f>SUM(B94:M94)</f>
        <v/>
      </c>
    </row>
    <row r="95">
      <c r="A95" s="61" t="inlineStr">
        <is>
          <t>İncitaş / G.9.3.</t>
        </is>
      </c>
      <c r="B95" s="100" t="n">
        <v>-2039397.508971</v>
      </c>
      <c r="C95" s="100" t="n">
        <v>-2311938.417969</v>
      </c>
      <c r="D95" s="100" t="n">
        <v>-2161753.363844</v>
      </c>
      <c r="E95" s="100" t="n">
        <v>-2271236.905297</v>
      </c>
      <c r="F95" s="100" t="n">
        <v>-2099708.178731</v>
      </c>
      <c r="G95" s="100" t="n">
        <v>-2140730.041664</v>
      </c>
      <c r="H95" s="100" t="n">
        <v>-2101386.019148</v>
      </c>
      <c r="I95" s="100" t="n">
        <v>-2329726.681529</v>
      </c>
      <c r="J95" s="100" t="n">
        <v>-2176382.350787</v>
      </c>
      <c r="K95" s="100" t="n">
        <v>-2167827.949243</v>
      </c>
      <c r="L95" s="100" t="n">
        <v>-2183467.153264</v>
      </c>
      <c r="M95" s="100" t="n">
        <v>-2360141.467613</v>
      </c>
      <c r="N95" s="101">
        <f>SUM(B95:M95)</f>
        <v/>
      </c>
    </row>
    <row r="96">
      <c r="A96" s="61" t="inlineStr">
        <is>
          <t>İnci GS Yuasa / G.9.4.</t>
        </is>
      </c>
      <c r="B96" s="100" t="n">
        <v>-76280968.63427299</v>
      </c>
      <c r="C96" s="100" t="n">
        <v>-77801958.738052</v>
      </c>
      <c r="D96" s="100" t="n">
        <v>-79137081.408159</v>
      </c>
      <c r="E96" s="100" t="n">
        <v>-76988977.77625901</v>
      </c>
      <c r="F96" s="100" t="n">
        <v>-64277593.487968</v>
      </c>
      <c r="G96" s="100" t="n">
        <v>-65835996.655587</v>
      </c>
      <c r="H96" s="100" t="n">
        <v>-81017665.239443</v>
      </c>
      <c r="I96" s="100" t="n">
        <v>-84991505.830751</v>
      </c>
      <c r="J96" s="100" t="n">
        <v>-89716614.812067</v>
      </c>
      <c r="K96" s="100" t="n">
        <v>-83434097.60492399</v>
      </c>
      <c r="L96" s="100" t="n">
        <v>-82428966.69216</v>
      </c>
      <c r="M96" s="100" t="n">
        <v>-86664576.20927501</v>
      </c>
      <c r="N96" s="101">
        <f>SUM(B96:M96)</f>
        <v/>
      </c>
    </row>
    <row r="97">
      <c r="A97" s="61" t="inlineStr">
        <is>
          <t>Yusen İnci Loj. / G.9.5.</t>
        </is>
      </c>
      <c r="B97" s="100" t="n">
        <v>-4757231</v>
      </c>
      <c r="C97" s="100" t="n">
        <v>-4711193.599556</v>
      </c>
      <c r="D97" s="100" t="n">
        <v>-4663479</v>
      </c>
      <c r="E97" s="100" t="n">
        <v>-7125355.152691868</v>
      </c>
      <c r="F97" s="100" t="n">
        <v>-7047426.750377309</v>
      </c>
      <c r="G97" s="100" t="n">
        <v>-6892417.991793336</v>
      </c>
      <c r="H97" s="100" t="n">
        <v>-6732052.853970022</v>
      </c>
      <c r="I97" s="100" t="n">
        <v>-6565805.095028555</v>
      </c>
      <c r="J97" s="100" t="n">
        <v>-6827588.893647503</v>
      </c>
      <c r="K97" s="100" t="n">
        <v>-6648988.967478344</v>
      </c>
      <c r="L97" s="100" t="n">
        <v>-6464027.147522921</v>
      </c>
      <c r="M97" s="100" t="n">
        <v>-6272474.577550109</v>
      </c>
      <c r="N97" s="101">
        <f>SUM(B97:M97)</f>
        <v/>
      </c>
    </row>
    <row r="98">
      <c r="A98" s="61" t="inlineStr">
        <is>
          <t>Jantaş / G.9.6.</t>
        </is>
      </c>
      <c r="B98" s="100" t="n">
        <v>-1449557.288143641</v>
      </c>
      <c r="C98" s="100" t="n">
        <v>-1435716.689567769</v>
      </c>
      <c r="D98" s="100" t="n">
        <v>-1421101.966913414</v>
      </c>
      <c r="E98" s="100" t="n">
        <v>-1319997.903032961</v>
      </c>
      <c r="F98" s="100" t="n">
        <v>-1263365.747342552</v>
      </c>
      <c r="G98" s="100" t="n">
        <v>-1248891.844447123</v>
      </c>
      <c r="H98" s="100" t="n">
        <v>-1205744.654014397</v>
      </c>
      <c r="I98" s="100" t="n">
        <v>-1162686.743353406</v>
      </c>
      <c r="J98" s="100" t="n">
        <v>-1144401.738069513</v>
      </c>
      <c r="K98" s="100" t="n">
        <v>-1113204.305672969</v>
      </c>
      <c r="L98" s="100" t="n">
        <v>-1113839.860877041</v>
      </c>
      <c r="M98" s="100" t="n">
        <v>-1082899.25524179</v>
      </c>
      <c r="N98" s="101">
        <f>SUM(B98:M98)</f>
        <v/>
      </c>
    </row>
    <row r="99">
      <c r="A99" s="61" t="inlineStr">
        <is>
          <t>Çelik / G.9.7.</t>
        </is>
      </c>
      <c r="B99" s="100" t="n">
        <v>-1207344.483626995</v>
      </c>
      <c r="C99" s="100" t="n">
        <v>-1196524.828390123</v>
      </c>
      <c r="D99" s="100" t="n">
        <v>-1185094.714705352</v>
      </c>
      <c r="E99" s="100" t="n">
        <v>-1104091.699182466</v>
      </c>
      <c r="F99" s="100" t="n">
        <v>-1058866.182717106</v>
      </c>
      <c r="G99" s="100" t="n">
        <v>-1047587.611338313</v>
      </c>
      <c r="H99" s="100" t="n">
        <v>-1014911.250220876</v>
      </c>
      <c r="I99" s="100" t="n">
        <v>-980565.0940556092</v>
      </c>
      <c r="J99" s="100" t="n">
        <v>-966227.5105155909</v>
      </c>
      <c r="K99" s="100" t="n">
        <v>-941495.8671699864</v>
      </c>
      <c r="L99" s="100" t="n">
        <v>-942452.2328838666</v>
      </c>
      <c r="M99" s="100" t="n">
        <v>-918012.6639772311</v>
      </c>
      <c r="N99" s="101">
        <f>SUM(B99:M99)</f>
        <v/>
      </c>
    </row>
    <row r="100">
      <c r="A100" s="61" t="inlineStr">
        <is>
          <t>Alüminyum / G.9.8.</t>
        </is>
      </c>
      <c r="B100" s="100" t="n">
        <v>-1678824.759936</v>
      </c>
      <c r="C100" s="100" t="n">
        <v>-1713438.584808</v>
      </c>
      <c r="D100" s="100" t="n">
        <v>-1748056.930816999</v>
      </c>
      <c r="E100" s="100" t="n">
        <v>-1782670.755689001</v>
      </c>
      <c r="F100" s="100" t="n">
        <v>-1817284.580561</v>
      </c>
      <c r="G100" s="100" t="n">
        <v>-1851898.405432999</v>
      </c>
      <c r="H100" s="100" t="n">
        <v>-1886516.751442002</v>
      </c>
      <c r="I100" s="100" t="n">
        <v>-1921130.576314</v>
      </c>
      <c r="J100" s="100" t="n">
        <v>-1955744.401186</v>
      </c>
      <c r="K100" s="100" t="n">
        <v>-1990358.226058</v>
      </c>
      <c r="L100" s="100" t="n">
        <v>-2024976.572067</v>
      </c>
      <c r="M100" s="100" t="n">
        <v>-2059590.396938997</v>
      </c>
      <c r="N100" s="101">
        <f>SUM(B100:M100)</f>
        <v/>
      </c>
    </row>
    <row r="101">
      <c r="A101" s="61" t="inlineStr">
        <is>
          <t>x / G.9.9.</t>
        </is>
      </c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70" t="n"/>
    </row>
    <row r="102">
      <c r="A102" s="61" t="inlineStr">
        <is>
          <t>y / G.9.10.</t>
        </is>
      </c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70" t="n"/>
    </row>
    <row r="103">
      <c r="A103" s="61" t="inlineStr">
        <is>
          <t>Diğer Gelir/Gideri-TL / G.10.</t>
        </is>
      </c>
      <c r="B103" s="98">
        <f>SUM(B104:B106)+SUM(B107:B111)*0.4</f>
        <v/>
      </c>
      <c r="C103" s="98">
        <f>SUM(C104:C106)+SUM(C107:C111)*0.4</f>
        <v/>
      </c>
      <c r="D103" s="98">
        <f>SUM(D104:D106)+SUM(D107:D111)*0.4</f>
        <v/>
      </c>
      <c r="E103" s="98">
        <f>SUM(E104:E106)+SUM(E107:E111)*0.4</f>
        <v/>
      </c>
      <c r="F103" s="98">
        <f>SUM(F104:F106)+SUM(F107:F111)*0.4</f>
        <v/>
      </c>
      <c r="G103" s="98">
        <f>SUM(G104:G106)+SUM(G107:G111)*0.4</f>
        <v/>
      </c>
      <c r="H103" s="98">
        <f>SUM(H104:H106)+SUM(H107:H111)*0.4</f>
        <v/>
      </c>
      <c r="I103" s="98">
        <f>SUM(I104:I106)+SUM(I107:I111)*0.4</f>
        <v/>
      </c>
      <c r="J103" s="98">
        <f>SUM(J104:J106)+SUM(J107:J111)*0.4</f>
        <v/>
      </c>
      <c r="K103" s="98">
        <f>SUM(K104:K106)+SUM(K107:K111)*0.4</f>
        <v/>
      </c>
      <c r="L103" s="98">
        <f>SUM(L104:L106)+SUM(L107:L111)*0.4</f>
        <v/>
      </c>
      <c r="M103" s="98">
        <f>SUM(M104:M106)+SUM(M107:M111)*0.4</f>
        <v/>
      </c>
      <c r="N103" s="103">
        <f>SUM(N104:N106)+SUM(N107:N111)*0.4</f>
        <v/>
      </c>
    </row>
    <row r="104">
      <c r="A104" s="61" t="inlineStr">
        <is>
          <t>İnci Holding / G.10.1.</t>
        </is>
      </c>
      <c r="B104" s="100" t="n">
        <v>7498613.565559</v>
      </c>
      <c r="C104" s="100" t="n">
        <v>4118624.167317</v>
      </c>
      <c r="D104" s="100" t="n">
        <v>777092.917317</v>
      </c>
      <c r="E104" s="100" t="n">
        <v>1077416.225482</v>
      </c>
      <c r="F104" s="100" t="n">
        <v>806160.192993</v>
      </c>
      <c r="G104" s="100" t="n">
        <v>1323706.314908</v>
      </c>
      <c r="H104" s="100" t="n">
        <v>633832.126252</v>
      </c>
      <c r="I104" s="100" t="n">
        <v>481996.579237</v>
      </c>
      <c r="J104" s="100" t="n">
        <v>916531.736408</v>
      </c>
      <c r="K104" s="100" t="n">
        <v>883311.3340950001</v>
      </c>
      <c r="L104" s="100" t="n">
        <v>1020101.614065</v>
      </c>
      <c r="M104" s="100" t="n">
        <v>832630.715458</v>
      </c>
      <c r="N104" s="101">
        <f>SUM(B104:M104)</f>
        <v/>
      </c>
    </row>
    <row r="105">
      <c r="A105" s="61" t="inlineStr">
        <is>
          <t>ISM / G.10.2.</t>
        </is>
      </c>
      <c r="B105" s="100" t="n">
        <v>50950</v>
      </c>
      <c r="C105" s="100" t="n">
        <v>50950</v>
      </c>
      <c r="D105" s="100" t="n">
        <v>50950</v>
      </c>
      <c r="E105" s="100" t="n">
        <v>50950</v>
      </c>
      <c r="F105" s="100" t="n">
        <v>50950</v>
      </c>
      <c r="G105" s="100" t="n">
        <v>50950</v>
      </c>
      <c r="H105" s="100" t="n">
        <v>50950</v>
      </c>
      <c r="I105" s="100" t="n">
        <v>50950</v>
      </c>
      <c r="J105" s="100" t="n">
        <v>50950</v>
      </c>
      <c r="K105" s="100" t="n">
        <v>50950</v>
      </c>
      <c r="L105" s="100" t="n">
        <v>50950</v>
      </c>
      <c r="M105" s="100" t="n">
        <v>50950</v>
      </c>
      <c r="N105" s="101">
        <f>SUM(B105:M105)</f>
        <v/>
      </c>
    </row>
    <row r="106">
      <c r="A106" s="61" t="inlineStr">
        <is>
          <t>İncitaş / G.10.3.</t>
        </is>
      </c>
      <c r="B106" s="100" t="n">
        <v>228371.121483</v>
      </c>
      <c r="C106" s="100" t="n">
        <v>228371.118854</v>
      </c>
      <c r="D106" s="100" t="n">
        <v>228371.120612</v>
      </c>
      <c r="E106" s="100" t="n">
        <v>228371.117942</v>
      </c>
      <c r="F106" s="100" t="n">
        <v>228371.117918</v>
      </c>
      <c r="G106" s="100" t="n">
        <v>228371.118767</v>
      </c>
      <c r="H106" s="100" t="n">
        <v>228371.117812</v>
      </c>
      <c r="I106" s="100" t="n">
        <v>355486.31877</v>
      </c>
      <c r="J106" s="100" t="n">
        <v>355486.317696</v>
      </c>
      <c r="K106" s="100" t="n">
        <v>355486.318001</v>
      </c>
      <c r="L106" s="100" t="n">
        <v>355486.317507</v>
      </c>
      <c r="M106" s="100" t="n">
        <v>355486.318798</v>
      </c>
      <c r="N106" s="101">
        <f>SUM(B106:M106)</f>
        <v/>
      </c>
    </row>
    <row r="107">
      <c r="A107" s="61" t="inlineStr">
        <is>
          <t>İnci GS Yuasa / G.10.4.</t>
        </is>
      </c>
      <c r="B107" s="100" t="n">
        <v>4316832.831628</v>
      </c>
      <c r="C107" s="100" t="n">
        <v>-8663777.794605</v>
      </c>
      <c r="D107" s="100" t="n">
        <v>-7160366.516249</v>
      </c>
      <c r="E107" s="100" t="n">
        <v>-24595186.43737</v>
      </c>
      <c r="F107" s="100" t="n">
        <v>-5575664.24272</v>
      </c>
      <c r="G107" s="100" t="n">
        <v>593356.201476</v>
      </c>
      <c r="H107" s="100" t="n">
        <v>-9102738.559672</v>
      </c>
      <c r="I107" s="100" t="n">
        <v>-8474414.048443999</v>
      </c>
      <c r="J107" s="100" t="n">
        <v>-9073040.703227</v>
      </c>
      <c r="K107" s="100" t="n">
        <v>-9114657.386512</v>
      </c>
      <c r="L107" s="100" t="n">
        <v>-8408557.063114</v>
      </c>
      <c r="M107" s="100" t="n">
        <v>-7771987.809135001</v>
      </c>
      <c r="N107" s="101">
        <f>SUM(B107:M107)</f>
        <v/>
      </c>
    </row>
    <row r="108">
      <c r="A108" s="61" t="inlineStr">
        <is>
          <t>Yusen İnci Loj. / G.10.5.</t>
        </is>
      </c>
      <c r="B108" s="100" t="n">
        <v>0</v>
      </c>
      <c r="C108" s="100" t="n">
        <v>0</v>
      </c>
      <c r="D108" s="100" t="n">
        <v>0</v>
      </c>
      <c r="E108" s="100" t="n">
        <v>0</v>
      </c>
      <c r="F108" s="100" t="n">
        <v>0</v>
      </c>
      <c r="G108" s="100" t="n">
        <v>0</v>
      </c>
      <c r="H108" s="100" t="n">
        <v>0</v>
      </c>
      <c r="I108" s="100" t="n">
        <v>0</v>
      </c>
      <c r="J108" s="100" t="n">
        <v>0</v>
      </c>
      <c r="K108" s="100" t="n">
        <v>0</v>
      </c>
      <c r="L108" s="100" t="n">
        <v>0</v>
      </c>
      <c r="M108" s="100" t="n">
        <v>0</v>
      </c>
      <c r="N108" s="101">
        <f>SUM(B108:M108)</f>
        <v/>
      </c>
    </row>
    <row r="109">
      <c r="A109" s="61" t="inlineStr">
        <is>
          <t>Jantaş / G.10.6.</t>
        </is>
      </c>
      <c r="B109" s="100" t="n">
        <v>-5556413.908301683</v>
      </c>
      <c r="C109" s="100" t="n">
        <v>744879.7891896318</v>
      </c>
      <c r="D109" s="100" t="n">
        <v>723120.289114145</v>
      </c>
      <c r="E109" s="100" t="n">
        <v>1843466.528628627</v>
      </c>
      <c r="F109" s="100" t="n">
        <v>1782204.825251996</v>
      </c>
      <c r="G109" s="100" t="n">
        <v>1424923.687110105</v>
      </c>
      <c r="H109" s="100" t="n">
        <v>1403510.605720367</v>
      </c>
      <c r="I109" s="100" t="n">
        <v>1395828.34852989</v>
      </c>
      <c r="J109" s="100" t="n">
        <v>1265215.664290754</v>
      </c>
      <c r="K109" s="100" t="n">
        <v>1224764.544264345</v>
      </c>
      <c r="L109" s="100" t="n">
        <v>1066061.493703816</v>
      </c>
      <c r="M109" s="100" t="n">
        <v>1068705.595645092</v>
      </c>
      <c r="N109" s="101">
        <f>SUM(B109:M109)</f>
        <v/>
      </c>
    </row>
    <row r="110">
      <c r="A110" s="61" t="inlineStr">
        <is>
          <t>Çelik / G.10.7.</t>
        </is>
      </c>
      <c r="B110" s="100" t="n">
        <v>-1018848.383574528</v>
      </c>
      <c r="C110" s="100" t="n">
        <v>122430.7772964647</v>
      </c>
      <c r="D110" s="100" t="n">
        <v>107324.9594622801</v>
      </c>
      <c r="E110" s="100" t="n">
        <v>85662.47990140706</v>
      </c>
      <c r="F110" s="100" t="n">
        <v>76116.60288100962</v>
      </c>
      <c r="G110" s="100" t="n">
        <v>49785.87679288092</v>
      </c>
      <c r="H110" s="100" t="n">
        <v>39777.68307940818</v>
      </c>
      <c r="I110" s="100" t="n">
        <v>35812.15314761498</v>
      </c>
      <c r="J110" s="100" t="n">
        <v>74147.98998128582</v>
      </c>
      <c r="K110" s="100" t="n">
        <v>83692.61085789041</v>
      </c>
      <c r="L110" s="100" t="n">
        <v>78001.82539953357</v>
      </c>
      <c r="M110" s="100" t="n">
        <v>68976.32137559762</v>
      </c>
      <c r="N110" s="101">
        <f>SUM(B110:M110)</f>
        <v/>
      </c>
    </row>
    <row r="111">
      <c r="A111" s="61" t="inlineStr">
        <is>
          <t>Alüminyum / G.10.8.</t>
        </is>
      </c>
      <c r="B111" s="100" t="n">
        <v>0</v>
      </c>
      <c r="C111" s="100" t="n">
        <v>0</v>
      </c>
      <c r="D111" s="100" t="n">
        <v>0</v>
      </c>
      <c r="E111" s="100" t="n">
        <v>0</v>
      </c>
      <c r="F111" s="100" t="n">
        <v>0</v>
      </c>
      <c r="G111" s="100" t="n">
        <v>0</v>
      </c>
      <c r="H111" s="100" t="n">
        <v>0</v>
      </c>
      <c r="I111" s="100" t="n">
        <v>0</v>
      </c>
      <c r="J111" s="100" t="n">
        <v>0</v>
      </c>
      <c r="K111" s="100" t="n">
        <v>0</v>
      </c>
      <c r="L111" s="100" t="n">
        <v>0</v>
      </c>
      <c r="M111" s="100" t="n">
        <v>0</v>
      </c>
      <c r="N111" s="101">
        <f>SUM(B111:M111)</f>
        <v/>
      </c>
    </row>
    <row r="112">
      <c r="A112" s="61" t="inlineStr">
        <is>
          <t>x / G.10.9.</t>
        </is>
      </c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97" t="n"/>
    </row>
    <row r="113">
      <c r="A113" s="61" t="inlineStr">
        <is>
          <t>y / G.10.10.</t>
        </is>
      </c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70" t="n"/>
    </row>
    <row r="114">
      <c r="A114" s="61" t="inlineStr">
        <is>
          <t>VÖK-TL / G.11.</t>
        </is>
      </c>
      <c r="B114" s="98">
        <f>SUM(B115:B117)+SUM(B118:B122)*0.4</f>
        <v/>
      </c>
      <c r="C114" s="98">
        <f>SUM(C115:C117)+SUM(C118:C122)*0.4</f>
        <v/>
      </c>
      <c r="D114" s="98">
        <f>SUM(D115:D117)+SUM(D118:D122)*0.4</f>
        <v/>
      </c>
      <c r="E114" s="98">
        <f>SUM(E115:E117)+SUM(E118:E122)*0.4</f>
        <v/>
      </c>
      <c r="F114" s="98">
        <f>SUM(F115:F117)+SUM(F118:F122)*0.4</f>
        <v/>
      </c>
      <c r="G114" s="98">
        <f>SUM(G115:G117)+SUM(G118:G122)*0.4</f>
        <v/>
      </c>
      <c r="H114" s="98">
        <f>SUM(H115:H117)+SUM(H118:H122)*0.4</f>
        <v/>
      </c>
      <c r="I114" s="98">
        <f>SUM(I115:I117)+SUM(I118:I122)*0.4</f>
        <v/>
      </c>
      <c r="J114" s="98">
        <f>SUM(J115:J117)+SUM(J118:J122)*0.4</f>
        <v/>
      </c>
      <c r="K114" s="98">
        <f>SUM(K115:K117)+SUM(K118:K122)*0.4</f>
        <v/>
      </c>
      <c r="L114" s="98">
        <f>SUM(L115:L117)+SUM(L118:L122)*0.4</f>
        <v/>
      </c>
      <c r="M114" s="98">
        <f>SUM(M115:M117)+SUM(M118:M122)*0.4</f>
        <v/>
      </c>
      <c r="N114" s="103">
        <f>SUM(N115:N117)+SUM(N118:N122)*0.4</f>
        <v/>
      </c>
    </row>
    <row r="115">
      <c r="A115" s="61" t="inlineStr">
        <is>
          <t>İnci Holding / G.11.1.</t>
        </is>
      </c>
      <c r="B115" s="100" t="n">
        <v>12841408.032915</v>
      </c>
      <c r="C115" s="100" t="n">
        <v>10877541.885405</v>
      </c>
      <c r="D115" s="100" t="n">
        <v>10637511.040154</v>
      </c>
      <c r="E115" s="100" t="n">
        <v>11091616.895512</v>
      </c>
      <c r="F115" s="100" t="n">
        <v>11949261.506277</v>
      </c>
      <c r="G115" s="100" t="n">
        <v>13121314.178983</v>
      </c>
      <c r="H115" s="100" t="n">
        <v>13882449.602099</v>
      </c>
      <c r="I115" s="100" t="n">
        <v>11250984.207286</v>
      </c>
      <c r="J115" s="100" t="n">
        <v>19065962.269718</v>
      </c>
      <c r="K115" s="100" t="n">
        <v>17287195.200962</v>
      </c>
      <c r="L115" s="100" t="n">
        <v>15670787.30587001</v>
      </c>
      <c r="M115" s="100" t="n">
        <v>-8784372.460455999</v>
      </c>
      <c r="N115" s="101">
        <f>SUM(B115:M115)</f>
        <v/>
      </c>
    </row>
    <row r="116">
      <c r="A116" s="61" t="inlineStr">
        <is>
          <t>ISM / G.11.2.</t>
        </is>
      </c>
      <c r="B116" s="100" t="n">
        <v>-1370684.784731</v>
      </c>
      <c r="C116" s="100" t="n">
        <v>2956764.731356</v>
      </c>
      <c r="D116" s="100" t="n">
        <v>3775849.412943</v>
      </c>
      <c r="E116" s="100" t="n">
        <v>6521449.033902</v>
      </c>
      <c r="F116" s="100" t="n">
        <v>8317821.518206</v>
      </c>
      <c r="G116" s="100" t="n">
        <v>7686268.058918</v>
      </c>
      <c r="H116" s="100" t="n">
        <v>5914633.116756</v>
      </c>
      <c r="I116" s="100" t="n">
        <v>1228998.053544</v>
      </c>
      <c r="J116" s="100" t="n">
        <v>2502042.770574</v>
      </c>
      <c r="K116" s="100" t="n">
        <v>683725.977037</v>
      </c>
      <c r="L116" s="100" t="n">
        <v>-530596.694028</v>
      </c>
      <c r="M116" s="100" t="n">
        <v>-2290692.929108</v>
      </c>
      <c r="N116" s="101">
        <f>SUM(B116:M116)</f>
        <v/>
      </c>
    </row>
    <row r="117">
      <c r="A117" s="61" t="inlineStr">
        <is>
          <t>İncitaş / G.11.3.</t>
        </is>
      </c>
      <c r="B117" s="100" t="n">
        <v>-3476655.107912</v>
      </c>
      <c r="C117" s="100" t="n">
        <v>-2016947.891696</v>
      </c>
      <c r="D117" s="100" t="n">
        <v>91783.047877</v>
      </c>
      <c r="E117" s="100" t="n">
        <v>-113500.896194</v>
      </c>
      <c r="F117" s="100" t="n">
        <v>2298333.913258</v>
      </c>
      <c r="G117" s="100" t="n">
        <v>2321826.130379</v>
      </c>
      <c r="H117" s="100" t="n">
        <v>3376208.153193</v>
      </c>
      <c r="I117" s="100" t="n">
        <v>2181397.827407</v>
      </c>
      <c r="J117" s="100" t="n">
        <v>1416850.674563</v>
      </c>
      <c r="K117" s="100" t="n">
        <v>2336537.781507</v>
      </c>
      <c r="L117" s="100" t="n">
        <v>3217606.489888</v>
      </c>
      <c r="M117" s="100" t="n">
        <v>142700.401322</v>
      </c>
      <c r="N117" s="101">
        <f>SUM(B117:M117)</f>
        <v/>
      </c>
    </row>
    <row r="118">
      <c r="A118" s="61" t="inlineStr">
        <is>
          <t>İnci GS Yuasa / G.11.4.</t>
        </is>
      </c>
      <c r="B118" s="100" t="n">
        <v>-19572019.619374</v>
      </c>
      <c r="C118" s="100" t="n">
        <v>-42864840.38891299</v>
      </c>
      <c r="D118" s="100" t="n">
        <v>-36454193.611251</v>
      </c>
      <c r="E118" s="100" t="n">
        <v>-57728519.86370601</v>
      </c>
      <c r="F118" s="100" t="n">
        <v>-17953675.892663</v>
      </c>
      <c r="G118" s="100" t="n">
        <v>-1551099.481598</v>
      </c>
      <c r="H118" s="100" t="n">
        <v>-6605257.752553001</v>
      </c>
      <c r="I118" s="100" t="n">
        <v>-706665.498012</v>
      </c>
      <c r="J118" s="100" t="n">
        <v>17567039.377387</v>
      </c>
      <c r="K118" s="100" t="n">
        <v>54191752.86888201</v>
      </c>
      <c r="L118" s="100" t="n">
        <v>64579087.066494</v>
      </c>
      <c r="M118" s="100" t="n">
        <v>95273661.125168</v>
      </c>
      <c r="N118" s="101">
        <f>SUM(B118:M118)</f>
        <v/>
      </c>
    </row>
    <row r="119">
      <c r="A119" s="61" t="inlineStr">
        <is>
          <t>Yusen İnci Loj. / G.11.5.</t>
        </is>
      </c>
      <c r="B119" s="100" t="n">
        <v>11363987</v>
      </c>
      <c r="C119" s="100" t="n">
        <v>13315966.039335</v>
      </c>
      <c r="D119" s="100" t="n">
        <v>12450080</v>
      </c>
      <c r="E119" s="100" t="n">
        <v>-7112035.466483575</v>
      </c>
      <c r="F119" s="100" t="n">
        <v>134968.896742288</v>
      </c>
      <c r="G119" s="100" t="n">
        <v>-3104951.443124758</v>
      </c>
      <c r="H119" s="100" t="n">
        <v>3374859.827350794</v>
      </c>
      <c r="I119" s="100" t="n">
        <v>5481232.967208082</v>
      </c>
      <c r="J119" s="100" t="n">
        <v>4983452.37207396</v>
      </c>
      <c r="K119" s="100" t="n">
        <v>12951180.84801713</v>
      </c>
      <c r="L119" s="100" t="n">
        <v>8547740.938221632</v>
      </c>
      <c r="M119" s="100" t="n">
        <v>4103257.34944949</v>
      </c>
      <c r="N119" s="101">
        <f>SUM(B119:M119)</f>
        <v/>
      </c>
    </row>
    <row r="120">
      <c r="A120" s="61" t="inlineStr">
        <is>
          <t>Jantaş / G.11.6.</t>
        </is>
      </c>
      <c r="B120" s="100" t="n">
        <v>14683125.22868874</v>
      </c>
      <c r="C120" s="100" t="n">
        <v>39999624.92305424</v>
      </c>
      <c r="D120" s="100" t="n">
        <v>79147949.83541952</v>
      </c>
      <c r="E120" s="100" t="n">
        <v>18090849.03721923</v>
      </c>
      <c r="F120" s="100" t="n">
        <v>46346453.74285964</v>
      </c>
      <c r="G120" s="100" t="n">
        <v>58524429.34892885</v>
      </c>
      <c r="H120" s="100" t="n">
        <v>20824279.84936516</v>
      </c>
      <c r="I120" s="100" t="n">
        <v>4778968.553845228</v>
      </c>
      <c r="J120" s="100" t="n">
        <v>106308422.1048825</v>
      </c>
      <c r="K120" s="100" t="n">
        <v>63717958.42852855</v>
      </c>
      <c r="L120" s="100" t="n">
        <v>65397602.49424585</v>
      </c>
      <c r="M120" s="100" t="n">
        <v>49414113.87998448</v>
      </c>
      <c r="N120" s="101">
        <f>SUM(B120:M120)</f>
        <v/>
      </c>
    </row>
    <row r="121">
      <c r="A121" s="61" t="inlineStr">
        <is>
          <t>Çelik / G.11.7.</t>
        </is>
      </c>
      <c r="B121" s="100" t="n">
        <v>45602759.96702923</v>
      </c>
      <c r="C121" s="100" t="n">
        <v>41550485.93533454</v>
      </c>
      <c r="D121" s="100" t="n">
        <v>63653446.79034241</v>
      </c>
      <c r="E121" s="100" t="n">
        <v>63242840.3030596</v>
      </c>
      <c r="F121" s="100" t="n">
        <v>68334768.54145785</v>
      </c>
      <c r="G121" s="100" t="n">
        <v>54849388.63228653</v>
      </c>
      <c r="H121" s="100" t="n">
        <v>47524931.19694258</v>
      </c>
      <c r="I121" s="100" t="n">
        <v>26963425.44247989</v>
      </c>
      <c r="J121" s="100" t="n">
        <v>84642559.16821566</v>
      </c>
      <c r="K121" s="100" t="n">
        <v>77514415.08242001</v>
      </c>
      <c r="L121" s="100" t="n">
        <v>73567108.16437782</v>
      </c>
      <c r="M121" s="100" t="n">
        <v>42189003.19045058</v>
      </c>
      <c r="N121" s="101">
        <f>SUM(B121:M121)</f>
        <v/>
      </c>
    </row>
    <row r="122">
      <c r="A122" s="61" t="inlineStr">
        <is>
          <t>Alüminyum / G.11.8.</t>
        </is>
      </c>
      <c r="B122" s="100" t="n">
        <v>72549963.73265572</v>
      </c>
      <c r="C122" s="100" t="n">
        <v>77371749.06852944</v>
      </c>
      <c r="D122" s="100" t="n">
        <v>67624742.73099582</v>
      </c>
      <c r="E122" s="100" t="n">
        <v>60454139.04441246</v>
      </c>
      <c r="F122" s="100" t="n">
        <v>99266030.1397482</v>
      </c>
      <c r="G122" s="100" t="n">
        <v>59638709.15812223</v>
      </c>
      <c r="H122" s="100" t="n">
        <v>108013223.3134661</v>
      </c>
      <c r="I122" s="100" t="n">
        <v>26079404.14464569</v>
      </c>
      <c r="J122" s="100" t="n">
        <v>145342713.3323277</v>
      </c>
      <c r="K122" s="100" t="n">
        <v>119005281.8823753</v>
      </c>
      <c r="L122" s="100" t="n">
        <v>119672191.9078275</v>
      </c>
      <c r="M122" s="100" t="n">
        <v>83727239.58904184</v>
      </c>
      <c r="N122" s="101">
        <f>SUM(B122:M122)</f>
        <v/>
      </c>
    </row>
    <row r="123">
      <c r="A123" s="61" t="inlineStr">
        <is>
          <t>x / G.11.9.</t>
        </is>
      </c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70" t="n"/>
    </row>
    <row r="124">
      <c r="A124" s="61" t="inlineStr">
        <is>
          <t>y / G.11.10.</t>
        </is>
      </c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70" t="n"/>
    </row>
    <row r="125">
      <c r="A125" s="61" t="inlineStr">
        <is>
          <t>Vergi-TL / G.12.</t>
        </is>
      </c>
      <c r="B125" s="98">
        <f>SUM(B126:B128)+SUM(B129:B133)*0.4</f>
        <v/>
      </c>
      <c r="C125" s="98">
        <f>SUM(C126:C128)+SUM(C129:C133)*0.4</f>
        <v/>
      </c>
      <c r="D125" s="98">
        <f>SUM(D126:D128)+SUM(D129:D133)*0.4</f>
        <v/>
      </c>
      <c r="E125" s="98">
        <f>SUM(E126:E128)+SUM(E129:E133)*0.4</f>
        <v/>
      </c>
      <c r="F125" s="98">
        <f>SUM(F126:F128)+SUM(F129:F133)*0.4</f>
        <v/>
      </c>
      <c r="G125" s="98">
        <f>SUM(G126:G128)+SUM(G129:G133)*0.4</f>
        <v/>
      </c>
      <c r="H125" s="98">
        <f>SUM(H126:H128)+SUM(H129:H133)*0.4</f>
        <v/>
      </c>
      <c r="I125" s="98">
        <f>SUM(I126:I128)+SUM(I129:I133)*0.4</f>
        <v/>
      </c>
      <c r="J125" s="98">
        <f>SUM(J126:J128)+SUM(J129:J133)*0.4</f>
        <v/>
      </c>
      <c r="K125" s="98">
        <f>SUM(K126:K128)+SUM(K129:K133)*0.4</f>
        <v/>
      </c>
      <c r="L125" s="98">
        <f>SUM(L126:L128)+SUM(L129:L133)*0.4</f>
        <v/>
      </c>
      <c r="M125" s="98">
        <f>SUM(M126:M128)+SUM(M129:M133)*0.4</f>
        <v/>
      </c>
      <c r="N125" s="103">
        <f>SUM(N126:N128)+SUM(N129:N133)*0.4</f>
        <v/>
      </c>
    </row>
    <row r="126">
      <c r="A126" s="61" t="inlineStr">
        <is>
          <t>İnci Holding / G.12.1.</t>
        </is>
      </c>
      <c r="B126" s="100" t="n">
        <v>-3210352.008229</v>
      </c>
      <c r="C126" s="100" t="n">
        <v>-2719385.471351</v>
      </c>
      <c r="D126" s="100" t="n">
        <v>-2659377.760039</v>
      </c>
      <c r="E126" s="100" t="n">
        <v>-2772904.223878</v>
      </c>
      <c r="F126" s="100" t="n">
        <v>-2987315.376569</v>
      </c>
      <c r="G126" s="100" t="n">
        <v>-3280328.544746</v>
      </c>
      <c r="H126" s="100" t="n">
        <v>-3470612.400525</v>
      </c>
      <c r="I126" s="100" t="n">
        <v>-2812746.051821</v>
      </c>
      <c r="J126" s="100" t="n">
        <v>-4766490.56743</v>
      </c>
      <c r="K126" s="100" t="n">
        <v>-4321798.80024</v>
      </c>
      <c r="L126" s="100" t="n">
        <v>-3917696.826468</v>
      </c>
      <c r="M126" s="100" t="n">
        <v>2196093.115114</v>
      </c>
      <c r="N126" s="101">
        <f>SUM(B126:M126)</f>
        <v/>
      </c>
    </row>
    <row r="127">
      <c r="A127" s="61" t="inlineStr">
        <is>
          <t>ISM / G.12.2.</t>
        </is>
      </c>
      <c r="B127" s="100" t="n">
        <v>274136.956946</v>
      </c>
      <c r="C127" s="100" t="n">
        <v>-591352.946271</v>
      </c>
      <c r="D127" s="100" t="n">
        <v>-755169.882589</v>
      </c>
      <c r="E127" s="100" t="n">
        <v>-1304289.80678</v>
      </c>
      <c r="F127" s="100" t="n">
        <v>-1663564.303641</v>
      </c>
      <c r="G127" s="100" t="n">
        <v>-1537253.611784</v>
      </c>
      <c r="H127" s="100" t="n">
        <v>-1182926.623351</v>
      </c>
      <c r="I127" s="100" t="n">
        <v>-245799.610709</v>
      </c>
      <c r="J127" s="100" t="n">
        <v>-500408.554115</v>
      </c>
      <c r="K127" s="100" t="n">
        <v>-136745.195407</v>
      </c>
      <c r="L127" s="100" t="n">
        <v>106119.338806</v>
      </c>
      <c r="M127" s="100" t="n">
        <v>458138.585822</v>
      </c>
      <c r="N127" s="101">
        <f>SUM(B127:M127)</f>
        <v/>
      </c>
    </row>
    <row r="128">
      <c r="A128" s="61" t="inlineStr">
        <is>
          <t>İncitaş / G.12.3.</t>
        </is>
      </c>
      <c r="B128" s="100" t="n">
        <v>0</v>
      </c>
      <c r="C128" s="100" t="n">
        <v>0</v>
      </c>
      <c r="D128" s="100" t="n">
        <v>-22945.761654</v>
      </c>
      <c r="E128" s="100" t="n">
        <v>0</v>
      </c>
      <c r="F128" s="100" t="n">
        <v>-574583.479152</v>
      </c>
      <c r="G128" s="100" t="n">
        <v>-580456.5329390001</v>
      </c>
      <c r="H128" s="100" t="n">
        <v>-844052.038437</v>
      </c>
      <c r="I128" s="100" t="n">
        <v>-545349.457042</v>
      </c>
      <c r="J128" s="100" t="n">
        <v>-354212.669772</v>
      </c>
      <c r="K128" s="100" t="n">
        <v>-584134.4456109999</v>
      </c>
      <c r="L128" s="100" t="n">
        <v>-804401.6224699999</v>
      </c>
      <c r="M128" s="100" t="n">
        <v>-35675.100534</v>
      </c>
      <c r="N128" s="101">
        <f>SUM(B128:M128)</f>
        <v/>
      </c>
    </row>
    <row r="129">
      <c r="A129" s="61" t="inlineStr">
        <is>
          <t>İnci GS Yuasa / G.12.4.</t>
        </is>
      </c>
      <c r="B129" s="100" t="n">
        <v>0</v>
      </c>
      <c r="C129" s="100" t="n">
        <v>0</v>
      </c>
      <c r="D129" s="100" t="n">
        <v>0</v>
      </c>
      <c r="E129" s="100" t="n">
        <v>0</v>
      </c>
      <c r="F129" s="100" t="n">
        <v>0</v>
      </c>
      <c r="G129" s="100" t="n">
        <v>0</v>
      </c>
      <c r="H129" s="100" t="n">
        <v>0</v>
      </c>
      <c r="I129" s="100" t="n">
        <v>0</v>
      </c>
      <c r="J129" s="100" t="n">
        <v>0</v>
      </c>
      <c r="K129" s="100" t="n">
        <v>0</v>
      </c>
      <c r="L129" s="100" t="n">
        <v>0</v>
      </c>
      <c r="M129" s="100" t="n">
        <v>0</v>
      </c>
      <c r="N129" s="101">
        <f>SUM(B129:M129)</f>
        <v/>
      </c>
    </row>
    <row r="130">
      <c r="A130" s="61" t="inlineStr">
        <is>
          <t>Yusen İnci Loj. / G.12.5.</t>
        </is>
      </c>
      <c r="B130" s="100" t="n">
        <v>-2840997</v>
      </c>
      <c r="C130" s="100" t="n">
        <v>-3328991.509834</v>
      </c>
      <c r="D130" s="100" t="n">
        <v>-3112520</v>
      </c>
      <c r="E130" s="100" t="n">
        <v>125480.3820373485</v>
      </c>
      <c r="F130" s="100" t="n">
        <v>-654258.3714249916</v>
      </c>
      <c r="G130" s="100" t="n">
        <v>376696.0011469307</v>
      </c>
      <c r="H130" s="100" t="n">
        <v>-1145165.532016121</v>
      </c>
      <c r="I130" s="100" t="n">
        <v>-1613196.877244897</v>
      </c>
      <c r="J130" s="100" t="n">
        <v>-1541390.931440453</v>
      </c>
      <c r="K130" s="100" t="n">
        <v>-3488673.068883899</v>
      </c>
      <c r="L130" s="100" t="n">
        <v>-2491572.636446093</v>
      </c>
      <c r="M130" s="100" t="n">
        <v>-1332563.596760002</v>
      </c>
      <c r="N130" s="101">
        <f>SUM(B130:M130)</f>
        <v/>
      </c>
    </row>
    <row r="131">
      <c r="A131" s="61" t="inlineStr">
        <is>
          <t>Jantaş / G.12.6.</t>
        </is>
      </c>
      <c r="B131" s="100" t="n">
        <v>-5124771.427621863</v>
      </c>
      <c r="C131" s="100" t="n">
        <v>-10760034.39327066</v>
      </c>
      <c r="D131" s="100" t="n">
        <v>-13030341.4467376</v>
      </c>
      <c r="E131" s="100" t="n">
        <v>-8037732.226991439</v>
      </c>
      <c r="F131" s="100" t="n">
        <v>-14150241.79154108</v>
      </c>
      <c r="G131" s="100" t="n">
        <v>-4678220.434303512</v>
      </c>
      <c r="H131" s="100" t="n">
        <v>-7938428.002532325</v>
      </c>
      <c r="I131" s="100" t="n">
        <v>-3797563.028364295</v>
      </c>
      <c r="J131" s="100" t="n">
        <v>-17008641.35174793</v>
      </c>
      <c r="K131" s="100" t="n">
        <v>-17241360.26427189</v>
      </c>
      <c r="L131" s="100" t="n">
        <v>-17181653.72955547</v>
      </c>
      <c r="M131" s="100" t="n">
        <v>-5274919.75672886</v>
      </c>
      <c r="N131" s="101">
        <f>SUM(B131:M131)</f>
        <v/>
      </c>
    </row>
    <row r="132">
      <c r="A132" s="61" t="inlineStr">
        <is>
          <t>Çelik / G.12.7.</t>
        </is>
      </c>
      <c r="B132" s="100" t="n">
        <v>3408882.195825408</v>
      </c>
      <c r="C132" s="100" t="n">
        <v>-4285497.135641393</v>
      </c>
      <c r="D132" s="100" t="n">
        <v>-9876269.331747811</v>
      </c>
      <c r="E132" s="100" t="n">
        <v>-8804028.099977646</v>
      </c>
      <c r="F132" s="100" t="n">
        <v>-7099090.167658003</v>
      </c>
      <c r="G132" s="100" t="n">
        <v>-12155337.78452662</v>
      </c>
      <c r="H132" s="100" t="n">
        <v>-5267615.881252456</v>
      </c>
      <c r="I132" s="100" t="n">
        <v>-4052031.081319391</v>
      </c>
      <c r="J132" s="100" t="n">
        <v>-10036786.34706521</v>
      </c>
      <c r="K132" s="100" t="n">
        <v>-7392411.798637236</v>
      </c>
      <c r="L132" s="100" t="n">
        <v>-7256299.489818577</v>
      </c>
      <c r="M132" s="100" t="n">
        <v>-163130095.6199526</v>
      </c>
      <c r="N132" s="101">
        <f>SUM(B132:M132)</f>
        <v/>
      </c>
    </row>
    <row r="133">
      <c r="A133" s="61" t="inlineStr">
        <is>
          <t>Alüminyum / G.12.8.</t>
        </is>
      </c>
      <c r="B133" s="100" t="n">
        <v>7847603.819676941</v>
      </c>
      <c r="C133" s="100" t="n">
        <v>-8096932.863115023</v>
      </c>
      <c r="D133" s="100" t="n">
        <v>31919608.50146994</v>
      </c>
      <c r="E133" s="100" t="n">
        <v>-16161123.21988255</v>
      </c>
      <c r="F133" s="100" t="n">
        <v>-12647463.82344172</v>
      </c>
      <c r="G133" s="100" t="n">
        <v>28181040.48222217</v>
      </c>
      <c r="H133" s="100" t="n">
        <v>-12143019.8284238</v>
      </c>
      <c r="I133" s="100" t="n">
        <v>-5008905.773566124</v>
      </c>
      <c r="J133" s="100" t="n">
        <v>21329498.27950884</v>
      </c>
      <c r="K133" s="100" t="n">
        <v>-14081587.93286486</v>
      </c>
      <c r="L133" s="100" t="n">
        <v>-10998749.69398446</v>
      </c>
      <c r="M133" s="100" t="n">
        <v>19318819.15424179</v>
      </c>
      <c r="N133" s="101">
        <f>SUM(B133:M133)</f>
        <v/>
      </c>
    </row>
    <row r="134">
      <c r="A134" s="61" t="inlineStr">
        <is>
          <t>x / G.12.9.</t>
        </is>
      </c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70" t="n"/>
    </row>
    <row r="135">
      <c r="A135" s="61" t="inlineStr">
        <is>
          <t>y / G.12.10.</t>
        </is>
      </c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70" t="n"/>
    </row>
    <row r="136">
      <c r="A136" s="61" t="inlineStr">
        <is>
          <t>Net Kar-TL / G.13.</t>
        </is>
      </c>
      <c r="B136" s="98">
        <f>SUM(B137:B139)+SUM(B140:B144)*0.4</f>
        <v/>
      </c>
      <c r="C136" s="98">
        <f>SUM(C137:C139)+SUM(C140:C144)*0.4</f>
        <v/>
      </c>
      <c r="D136" s="98">
        <f>SUM(D137:D139)+SUM(D140:D144)*0.4</f>
        <v/>
      </c>
      <c r="E136" s="98">
        <f>SUM(E137:E139)+SUM(E140:E144)*0.4</f>
        <v/>
      </c>
      <c r="F136" s="98">
        <f>SUM(F137:F139)+SUM(F140:F144)*0.4</f>
        <v/>
      </c>
      <c r="G136" s="98">
        <f>SUM(G137:G139)+SUM(G140:G144)*0.4</f>
        <v/>
      </c>
      <c r="H136" s="98">
        <f>SUM(H137:H139)+SUM(H140:H144)*0.4</f>
        <v/>
      </c>
      <c r="I136" s="98">
        <f>SUM(I137:I139)+SUM(I140:I144)*0.4</f>
        <v/>
      </c>
      <c r="J136" s="98">
        <f>SUM(J137:J139)+SUM(J140:J144)*0.4</f>
        <v/>
      </c>
      <c r="K136" s="98">
        <f>SUM(K137:K139)+SUM(K140:K144)*0.4</f>
        <v/>
      </c>
      <c r="L136" s="98">
        <f>SUM(L137:L139)+SUM(L140:L144)*0.4</f>
        <v/>
      </c>
      <c r="M136" s="98">
        <f>SUM(M137:M139)+SUM(M140:M144)*0.4</f>
        <v/>
      </c>
      <c r="N136" s="103">
        <f>SUM(N137:N139)+SUM(N140:N144)*0.4</f>
        <v/>
      </c>
    </row>
    <row r="137">
      <c r="A137" s="61" t="inlineStr">
        <is>
          <t>İnci Holding / G.13.1.</t>
        </is>
      </c>
      <c r="B137" s="100" t="n">
        <v>9631056.024685999</v>
      </c>
      <c r="C137" s="100" t="n">
        <v>8158156.414053</v>
      </c>
      <c r="D137" s="100" t="n">
        <v>7978133.280115999</v>
      </c>
      <c r="E137" s="100" t="n">
        <v>8318712.671634</v>
      </c>
      <c r="F137" s="100" t="n">
        <v>8961946.129708</v>
      </c>
      <c r="G137" s="100" t="n">
        <v>9840985.634236999</v>
      </c>
      <c r="H137" s="100" t="n">
        <v>10411837.201574</v>
      </c>
      <c r="I137" s="100" t="n">
        <v>8438238.155463999</v>
      </c>
      <c r="J137" s="100" t="n">
        <v>14299471.702289</v>
      </c>
      <c r="K137" s="100" t="n">
        <v>12965396.400721</v>
      </c>
      <c r="L137" s="100" t="n">
        <v>11753090.47940199</v>
      </c>
      <c r="M137" s="100" t="n">
        <v>-6588279.345342003</v>
      </c>
      <c r="N137" s="101">
        <f>SUM(B137:M137)</f>
        <v/>
      </c>
    </row>
    <row r="138">
      <c r="A138" s="61" t="inlineStr">
        <is>
          <t>ISM / G.13.2.</t>
        </is>
      </c>
      <c r="B138" s="100" t="n">
        <v>-1096547.827785</v>
      </c>
      <c r="C138" s="100" t="n">
        <v>2365411.785085</v>
      </c>
      <c r="D138" s="100" t="n">
        <v>3020679.530355</v>
      </c>
      <c r="E138" s="100" t="n">
        <v>5217159.227122</v>
      </c>
      <c r="F138" s="100" t="n">
        <v>6654257.214565</v>
      </c>
      <c r="G138" s="100" t="n">
        <v>6149014.447135</v>
      </c>
      <c r="H138" s="100" t="n">
        <v>4731706.493405</v>
      </c>
      <c r="I138" s="100" t="n">
        <v>983198.442835</v>
      </c>
      <c r="J138" s="100" t="n">
        <v>2001634.216459</v>
      </c>
      <c r="K138" s="100" t="n">
        <v>546980.78163</v>
      </c>
      <c r="L138" s="100" t="n">
        <v>-424477.355222</v>
      </c>
      <c r="M138" s="100" t="n">
        <v>-1832554.343287</v>
      </c>
      <c r="N138" s="101">
        <f>SUM(B138:M138)</f>
        <v/>
      </c>
    </row>
    <row r="139">
      <c r="A139" s="61" t="inlineStr">
        <is>
          <t>İncitaş / G.13.3.</t>
        </is>
      </c>
      <c r="B139" s="100" t="n">
        <v>-3476655.107912</v>
      </c>
      <c r="C139" s="100" t="n">
        <v>-2016947.891696</v>
      </c>
      <c r="D139" s="100" t="n">
        <v>68837.286223</v>
      </c>
      <c r="E139" s="100" t="n">
        <v>-113500.896194</v>
      </c>
      <c r="F139" s="100" t="n">
        <v>1723750.434106</v>
      </c>
      <c r="G139" s="100" t="n">
        <v>1741369.597441</v>
      </c>
      <c r="H139" s="100" t="n">
        <v>2532156.114756</v>
      </c>
      <c r="I139" s="100" t="n">
        <v>1636048.370366</v>
      </c>
      <c r="J139" s="100" t="n">
        <v>1062638.004791</v>
      </c>
      <c r="K139" s="100" t="n">
        <v>1752403.335896</v>
      </c>
      <c r="L139" s="100" t="n">
        <v>2413204.867417</v>
      </c>
      <c r="M139" s="100" t="n">
        <v>107025.300788</v>
      </c>
      <c r="N139" s="101">
        <f>SUM(B139:M139)</f>
        <v/>
      </c>
    </row>
    <row r="140">
      <c r="A140" s="61" t="inlineStr">
        <is>
          <t>İnci GS Yuasa / G.13.4.</t>
        </is>
      </c>
      <c r="B140" s="100" t="n">
        <v>-19572019.619374</v>
      </c>
      <c r="C140" s="100" t="n">
        <v>-42864840.38891299</v>
      </c>
      <c r="D140" s="100" t="n">
        <v>-36454193.611251</v>
      </c>
      <c r="E140" s="100" t="n">
        <v>-57728519.86370601</v>
      </c>
      <c r="F140" s="100" t="n">
        <v>-17953675.892663</v>
      </c>
      <c r="G140" s="100" t="n">
        <v>-1551099.481598</v>
      </c>
      <c r="H140" s="100" t="n">
        <v>-6605257.752553001</v>
      </c>
      <c r="I140" s="100" t="n">
        <v>-706665.498012</v>
      </c>
      <c r="J140" s="100" t="n">
        <v>17567039.377387</v>
      </c>
      <c r="K140" s="100" t="n">
        <v>54191752.86888201</v>
      </c>
      <c r="L140" s="100" t="n">
        <v>64579087.066494</v>
      </c>
      <c r="M140" s="100" t="n">
        <v>95273661.125168</v>
      </c>
      <c r="N140" s="101">
        <f>SUM(B140:M140)</f>
        <v/>
      </c>
    </row>
    <row r="141">
      <c r="A141" s="61" t="inlineStr">
        <is>
          <t>Yusen İnci Loj. / G.13.5.</t>
        </is>
      </c>
      <c r="B141" s="100" t="n">
        <v>8522990</v>
      </c>
      <c r="C141" s="100" t="n">
        <v>9986974.529501</v>
      </c>
      <c r="D141" s="100" t="n">
        <v>9337560</v>
      </c>
      <c r="E141" s="100">
        <f>E119+E130</f>
        <v/>
      </c>
      <c r="F141" s="100">
        <f>F119+F130</f>
        <v/>
      </c>
      <c r="G141" s="100">
        <f>G119+G130</f>
        <v/>
      </c>
      <c r="H141" s="100">
        <f>H119+H130</f>
        <v/>
      </c>
      <c r="I141" s="100">
        <f>I119+I130</f>
        <v/>
      </c>
      <c r="J141" s="100">
        <f>J119+J130</f>
        <v/>
      </c>
      <c r="K141" s="100">
        <f>K119+K130</f>
        <v/>
      </c>
      <c r="L141" s="100">
        <f>L119+L130</f>
        <v/>
      </c>
      <c r="M141" s="100">
        <f>M119+M130</f>
        <v/>
      </c>
      <c r="N141" s="101">
        <f>SUM(B141:M141)</f>
        <v/>
      </c>
    </row>
    <row r="142">
      <c r="A142" s="61" t="inlineStr">
        <is>
          <t>Jantaş / G.13.6.</t>
        </is>
      </c>
      <c r="B142" s="100" t="n">
        <v>9558353.801066881</v>
      </c>
      <c r="C142" s="100" t="n">
        <v>29239590.52974569</v>
      </c>
      <c r="D142" s="100" t="n">
        <v>66117608.38872058</v>
      </c>
      <c r="E142" s="100" t="n">
        <v>10053116.81022779</v>
      </c>
      <c r="F142" s="100" t="n">
        <v>32196211.95131857</v>
      </c>
      <c r="G142" s="100" t="n">
        <v>53846208.91458434</v>
      </c>
      <c r="H142" s="100" t="n">
        <v>12885851.8468746</v>
      </c>
      <c r="I142" s="100" t="n">
        <v>981405.5255234157</v>
      </c>
      <c r="J142" s="100" t="n">
        <v>89299780.75309128</v>
      </c>
      <c r="K142" s="100" t="n">
        <v>46476598.16421269</v>
      </c>
      <c r="L142" s="100" t="n">
        <v>48215948.76473516</v>
      </c>
      <c r="M142" s="100" t="n">
        <v>44139194.12325566</v>
      </c>
      <c r="N142" s="101">
        <f>SUM(B142:M142)</f>
        <v/>
      </c>
    </row>
    <row r="143">
      <c r="A143" s="61" t="inlineStr">
        <is>
          <t>Çelik / G.13.7.</t>
        </is>
      </c>
      <c r="B143" s="100" t="n">
        <v>49011642.16285463</v>
      </c>
      <c r="C143" s="100" t="n">
        <v>37264988.79969315</v>
      </c>
      <c r="D143" s="100" t="n">
        <v>53777177.45859459</v>
      </c>
      <c r="E143" s="100" t="n">
        <v>54438812.20308197</v>
      </c>
      <c r="F143" s="100" t="n">
        <v>61235678.37379988</v>
      </c>
      <c r="G143" s="100" t="n">
        <v>42694050.84771887</v>
      </c>
      <c r="H143" s="100" t="n">
        <v>42257315.31577362</v>
      </c>
      <c r="I143" s="100" t="n">
        <v>22911394.36107551</v>
      </c>
      <c r="J143" s="100" t="n">
        <v>74605772.82119362</v>
      </c>
      <c r="K143" s="100" t="n">
        <v>70122003.2837829</v>
      </c>
      <c r="L143" s="100" t="n">
        <v>66310808.67455919</v>
      </c>
      <c r="M143" s="100" t="n">
        <v>-120941092.4295021</v>
      </c>
      <c r="N143" s="101">
        <f>SUM(B143:M143)</f>
        <v/>
      </c>
    </row>
    <row r="144">
      <c r="A144" s="61" t="inlineStr">
        <is>
          <t>Alüminyum / G.13.8.</t>
        </is>
      </c>
      <c r="B144" s="100" t="n">
        <v>80397567.55233267</v>
      </c>
      <c r="C144" s="100" t="n">
        <v>69274816.20541443</v>
      </c>
      <c r="D144" s="100" t="n">
        <v>99544351.23246573</v>
      </c>
      <c r="E144" s="100" t="n">
        <v>44293015.82452995</v>
      </c>
      <c r="F144" s="100" t="n">
        <v>86618566.31630644</v>
      </c>
      <c r="G144" s="100" t="n">
        <v>87819749.64034441</v>
      </c>
      <c r="H144" s="100" t="n">
        <v>95870203.48508407</v>
      </c>
      <c r="I144" s="100" t="n">
        <v>21070498.37103701</v>
      </c>
      <c r="J144" s="100" t="n">
        <v>166672211.6118365</v>
      </c>
      <c r="K144" s="100" t="n">
        <v>104923693.9495105</v>
      </c>
      <c r="L144" s="100" t="n">
        <v>108673442.213843</v>
      </c>
      <c r="M144" s="100" t="n">
        <v>103046058.7432835</v>
      </c>
      <c r="N144" s="101">
        <f>SUM(B144:M144)</f>
        <v/>
      </c>
    </row>
    <row r="145">
      <c r="A145" s="61" t="inlineStr">
        <is>
          <t>x / G.13.9.</t>
        </is>
      </c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70" t="n"/>
    </row>
    <row r="146">
      <c r="A146" s="61" t="inlineStr">
        <is>
          <t>y / G.13.10.</t>
        </is>
      </c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70" t="n"/>
    </row>
    <row r="147">
      <c r="A147" s="61" t="inlineStr">
        <is>
          <t>Kredi-TL / G.16.</t>
        </is>
      </c>
      <c r="B147" s="98">
        <f>SUM(B148:B150)+SUM(B151:B155)*0.4</f>
        <v/>
      </c>
      <c r="C147" s="98">
        <f>SUM(C148:C150)+SUM(C151:C155)*0.4</f>
        <v/>
      </c>
      <c r="D147" s="98">
        <f>SUM(D148:D150)+SUM(D151:D155)*0.4</f>
        <v/>
      </c>
      <c r="E147" s="98">
        <f>SUM(E148:E150)+SUM(E151:E155)*0.4</f>
        <v/>
      </c>
      <c r="F147" s="98">
        <f>SUM(F148:F150)+SUM(F151:F155)*0.4</f>
        <v/>
      </c>
      <c r="G147" s="98">
        <f>SUM(G148:G150)+SUM(G151:G155)*0.4</f>
        <v/>
      </c>
      <c r="H147" s="98">
        <f>SUM(H148:H150)+SUM(H151:H155)*0.4</f>
        <v/>
      </c>
      <c r="I147" s="98">
        <f>SUM(I148:I150)+SUM(I151:I155)*0.4</f>
        <v/>
      </c>
      <c r="J147" s="98">
        <f>SUM(J148:J150)+SUM(J151:J155)*0.4</f>
        <v/>
      </c>
      <c r="K147" s="98">
        <f>SUM(K148:K150)+SUM(K151:K155)*0.4</f>
        <v/>
      </c>
      <c r="L147" s="98">
        <f>SUM(L148:L150)+SUM(L151:L155)*0.4</f>
        <v/>
      </c>
      <c r="M147" s="98">
        <f>SUM(M148:M150)+SUM(M151:M155)*0.4</f>
        <v/>
      </c>
      <c r="N147" s="103">
        <f>SUM(N148:N150)+SUM(N151:N155)*0.4</f>
        <v/>
      </c>
    </row>
    <row r="148">
      <c r="A148" s="61" t="inlineStr">
        <is>
          <t>İnci Holding / G.16.1.</t>
        </is>
      </c>
      <c r="B148" s="100" t="n">
        <v>0</v>
      </c>
      <c r="C148" s="100" t="n">
        <v>0</v>
      </c>
      <c r="D148" s="100" t="n">
        <v>0</v>
      </c>
      <c r="E148" s="100" t="n">
        <v>0</v>
      </c>
      <c r="F148" s="100" t="n">
        <v>0</v>
      </c>
      <c r="G148" s="100" t="n">
        <v>0</v>
      </c>
      <c r="H148" s="100" t="n">
        <v>0</v>
      </c>
      <c r="I148" s="100" t="n">
        <v>0</v>
      </c>
      <c r="J148" s="100" t="n">
        <v>0</v>
      </c>
      <c r="K148" s="100" t="n">
        <v>0</v>
      </c>
      <c r="L148" s="100" t="n">
        <v>0</v>
      </c>
      <c r="M148" s="100" t="n">
        <v>0</v>
      </c>
      <c r="N148" s="99">
        <f>M148</f>
        <v/>
      </c>
    </row>
    <row r="149">
      <c r="A149" s="61" t="inlineStr">
        <is>
          <t>ISM / G.16.2.</t>
        </is>
      </c>
      <c r="B149" s="100" t="n">
        <v>73834171.06</v>
      </c>
      <c r="C149" s="100" t="n">
        <v>79515988.19</v>
      </c>
      <c r="D149" s="100" t="n">
        <v>78648526.66</v>
      </c>
      <c r="E149" s="100" t="n">
        <v>77781300.90000001</v>
      </c>
      <c r="F149" s="100" t="n">
        <v>71884573.08</v>
      </c>
      <c r="G149" s="100" t="n">
        <v>61915832.5</v>
      </c>
      <c r="H149" s="100" t="n">
        <v>54912962.07</v>
      </c>
      <c r="I149" s="100" t="n">
        <v>41878095.05</v>
      </c>
      <c r="J149" s="100" t="n">
        <v>36783220.77</v>
      </c>
      <c r="K149" s="100" t="n">
        <v>32645785.42</v>
      </c>
      <c r="L149" s="100" t="n">
        <v>35499999.99</v>
      </c>
      <c r="M149" s="100" t="n">
        <v>32499999.99</v>
      </c>
      <c r="N149" s="99">
        <f>M149</f>
        <v/>
      </c>
    </row>
    <row r="150">
      <c r="A150" s="61" t="inlineStr">
        <is>
          <t>İncitaş / G.16.3.</t>
        </is>
      </c>
      <c r="B150" s="100" t="n">
        <v>12979246</v>
      </c>
      <c r="C150" s="100" t="n">
        <v>26258452</v>
      </c>
      <c r="D150" s="100" t="n">
        <v>20609756</v>
      </c>
      <c r="E150" s="100" t="n">
        <v>23781474</v>
      </c>
      <c r="F150" s="100" t="n">
        <v>18298935</v>
      </c>
      <c r="G150" s="100" t="n">
        <v>14459323</v>
      </c>
      <c r="H150" s="100" t="n">
        <v>12615089</v>
      </c>
      <c r="I150" s="100" t="n">
        <v>18225211</v>
      </c>
      <c r="J150" s="100" t="n">
        <v>12032397</v>
      </c>
      <c r="K150" s="100" t="n">
        <v>13726352</v>
      </c>
      <c r="L150" s="100" t="n">
        <v>13861047</v>
      </c>
      <c r="M150" s="100" t="n">
        <v>18404796</v>
      </c>
      <c r="N150" s="99">
        <f>M150</f>
        <v/>
      </c>
    </row>
    <row r="151">
      <c r="A151" s="61" t="inlineStr">
        <is>
          <t>İnci GS Yuasa / G.16.4.</t>
        </is>
      </c>
      <c r="B151" s="100" t="n">
        <v>1544047400</v>
      </c>
      <c r="C151" s="100" t="n">
        <v>1564047400</v>
      </c>
      <c r="D151" s="100" t="n">
        <v>1599047400</v>
      </c>
      <c r="E151" s="100" t="n">
        <v>1634461102.66198</v>
      </c>
      <c r="F151" s="100" t="n">
        <v>1634461102.66198</v>
      </c>
      <c r="G151" s="100" t="n">
        <v>1634461102.66198</v>
      </c>
      <c r="H151" s="100" t="n">
        <v>1884461102.66198</v>
      </c>
      <c r="I151" s="100" t="n">
        <v>1859461102.66198</v>
      </c>
      <c r="J151" s="100" t="n">
        <v>1959461102.66198</v>
      </c>
      <c r="K151" s="100" t="n">
        <v>1877461102.66198</v>
      </c>
      <c r="L151" s="100" t="n">
        <v>1842461102.66198</v>
      </c>
      <c r="M151" s="100" t="n">
        <v>1842461102.66198</v>
      </c>
      <c r="N151" s="99">
        <f>M151</f>
        <v/>
      </c>
    </row>
    <row r="152">
      <c r="A152" s="61" t="inlineStr">
        <is>
          <t>Yusen İnci Loj. / G.16.5.</t>
        </is>
      </c>
      <c r="B152" s="100" t="n">
        <v>0</v>
      </c>
      <c r="C152" s="100" t="n">
        <v>0</v>
      </c>
      <c r="D152" s="100" t="n">
        <v>0</v>
      </c>
      <c r="E152" s="100" t="n">
        <v>0</v>
      </c>
      <c r="F152" s="100" t="n">
        <v>0</v>
      </c>
      <c r="G152" s="100" t="n">
        <v>0</v>
      </c>
      <c r="H152" s="100" t="n">
        <v>0</v>
      </c>
      <c r="I152" s="100" t="n">
        <v>0</v>
      </c>
      <c r="J152" s="100" t="n">
        <v>0</v>
      </c>
      <c r="K152" s="100" t="n">
        <v>0</v>
      </c>
      <c r="L152" s="100" t="n">
        <v>0</v>
      </c>
      <c r="M152" s="100" t="n">
        <v>0</v>
      </c>
      <c r="N152" s="99">
        <f>M152</f>
        <v/>
      </c>
    </row>
    <row r="153">
      <c r="A153" s="61" t="inlineStr">
        <is>
          <t>Jantaş / G.16.6.</t>
        </is>
      </c>
      <c r="B153" s="100" t="n">
        <v>0</v>
      </c>
      <c r="C153" s="100" t="n">
        <v>0</v>
      </c>
      <c r="D153" s="100" t="n">
        <v>0</v>
      </c>
      <c r="E153" s="100" t="n">
        <v>0</v>
      </c>
      <c r="F153" s="100" t="n">
        <v>0</v>
      </c>
      <c r="G153" s="100" t="n">
        <v>0</v>
      </c>
      <c r="H153" s="100" t="n">
        <v>0</v>
      </c>
      <c r="I153" s="100" t="n">
        <v>0</v>
      </c>
      <c r="J153" s="100" t="n">
        <v>0</v>
      </c>
      <c r="K153" s="100" t="n">
        <v>0</v>
      </c>
      <c r="L153" s="100" t="n">
        <v>0</v>
      </c>
      <c r="M153" s="100" t="n">
        <v>0</v>
      </c>
      <c r="N153" s="99">
        <f>M153</f>
        <v/>
      </c>
    </row>
    <row r="154">
      <c r="A154" s="61" t="inlineStr">
        <is>
          <t>Çelik / G.16.7.</t>
        </is>
      </c>
      <c r="B154" s="100" t="n">
        <v>0</v>
      </c>
      <c r="C154" s="100" t="n">
        <v>0</v>
      </c>
      <c r="D154" s="100" t="n">
        <v>0</v>
      </c>
      <c r="E154" s="100" t="n">
        <v>0</v>
      </c>
      <c r="F154" s="100" t="n">
        <v>0</v>
      </c>
      <c r="G154" s="100" t="n">
        <v>0</v>
      </c>
      <c r="H154" s="100" t="n">
        <v>0</v>
      </c>
      <c r="I154" s="100" t="n">
        <v>0</v>
      </c>
      <c r="J154" s="100" t="n">
        <v>0</v>
      </c>
      <c r="K154" s="100" t="n">
        <v>0</v>
      </c>
      <c r="L154" s="100" t="n">
        <v>0</v>
      </c>
      <c r="M154" s="100" t="n">
        <v>0</v>
      </c>
      <c r="N154" s="99">
        <f>M154</f>
        <v/>
      </c>
    </row>
    <row r="155">
      <c r="A155" s="61" t="inlineStr">
        <is>
          <t>Alüminyum / G.16.8.</t>
        </is>
      </c>
      <c r="B155" s="100" t="n">
        <v>0</v>
      </c>
      <c r="C155" s="100" t="n">
        <v>0</v>
      </c>
      <c r="D155" s="100" t="n">
        <v>0</v>
      </c>
      <c r="E155" s="100" t="n">
        <v>0</v>
      </c>
      <c r="F155" s="100" t="n">
        <v>0</v>
      </c>
      <c r="G155" s="100" t="n">
        <v>0</v>
      </c>
      <c r="H155" s="100" t="n">
        <v>0</v>
      </c>
      <c r="I155" s="100" t="n">
        <v>0</v>
      </c>
      <c r="J155" s="100" t="n">
        <v>0</v>
      </c>
      <c r="K155" s="100" t="n">
        <v>0</v>
      </c>
      <c r="L155" s="100" t="n">
        <v>0</v>
      </c>
      <c r="M155" s="100" t="n">
        <v>0</v>
      </c>
      <c r="N155" s="99">
        <f>M155</f>
        <v/>
      </c>
    </row>
    <row r="156">
      <c r="A156" s="61" t="inlineStr">
        <is>
          <t>x / G.16.9.</t>
        </is>
      </c>
      <c r="B156" s="100" t="n">
        <v>0</v>
      </c>
      <c r="C156" s="100" t="n">
        <v>0</v>
      </c>
      <c r="D156" s="100" t="n">
        <v>0</v>
      </c>
      <c r="E156" s="100" t="n">
        <v>0</v>
      </c>
      <c r="F156" s="100" t="n">
        <v>0</v>
      </c>
      <c r="G156" s="100" t="n">
        <v>0</v>
      </c>
      <c r="H156" s="100" t="n">
        <v>0</v>
      </c>
      <c r="I156" s="100" t="n">
        <v>0</v>
      </c>
      <c r="J156" s="100" t="n">
        <v>0</v>
      </c>
      <c r="K156" s="100" t="n">
        <v>0</v>
      </c>
      <c r="L156" s="100" t="n">
        <v>0</v>
      </c>
      <c r="M156" s="100" t="n">
        <v>0</v>
      </c>
      <c r="N156" s="99">
        <f>M156</f>
        <v/>
      </c>
    </row>
    <row r="157">
      <c r="A157" s="61" t="inlineStr">
        <is>
          <t>y / G.16.10.</t>
        </is>
      </c>
      <c r="B157" s="100" t="n">
        <v>0</v>
      </c>
      <c r="C157" s="100" t="n">
        <v>0</v>
      </c>
      <c r="D157" s="100" t="n">
        <v>0</v>
      </c>
      <c r="E157" s="100" t="n">
        <v>0</v>
      </c>
      <c r="F157" s="100" t="n">
        <v>0</v>
      </c>
      <c r="G157" s="100" t="n">
        <v>0</v>
      </c>
      <c r="H157" s="100" t="n">
        <v>0</v>
      </c>
      <c r="I157" s="100" t="n">
        <v>0</v>
      </c>
      <c r="J157" s="100" t="n">
        <v>0</v>
      </c>
      <c r="K157" s="100" t="n">
        <v>0</v>
      </c>
      <c r="L157" s="100" t="n">
        <v>0</v>
      </c>
      <c r="M157" s="100" t="n">
        <v>0</v>
      </c>
      <c r="N157" s="99">
        <f>M157</f>
        <v/>
      </c>
    </row>
    <row r="158">
      <c r="A158" s="61" t="inlineStr">
        <is>
          <t>35 Venture / G.16.11.</t>
        </is>
      </c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70" t="n"/>
    </row>
    <row r="159">
      <c r="A159" s="61" t="inlineStr">
        <is>
          <t>Vinci / G.16.12.</t>
        </is>
      </c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70" t="n"/>
    </row>
    <row r="160">
      <c r="A160" s="61" t="inlineStr">
        <is>
          <t>Mevduat-TL / G.17.</t>
        </is>
      </c>
      <c r="B160" s="98">
        <f>SUM(B161:B163)+SUM(B164:B168)*0.4</f>
        <v/>
      </c>
      <c r="C160" s="98">
        <f>SUM(C161:C163)+SUM(C164:C168)*0.4</f>
        <v/>
      </c>
      <c r="D160" s="98">
        <f>SUM(D161:D163)+SUM(D164:D168)*0.4</f>
        <v/>
      </c>
      <c r="E160" s="98">
        <f>SUM(E161:E163)+SUM(E164:E168)*0.4</f>
        <v/>
      </c>
      <c r="F160" s="98">
        <f>SUM(F161:F163)+SUM(F164:F168)*0.4</f>
        <v/>
      </c>
      <c r="G160" s="98">
        <f>SUM(G161:G163)+SUM(G164:G168)*0.4</f>
        <v/>
      </c>
      <c r="H160" s="98">
        <f>SUM(H161:H163)+SUM(H164:H168)*0.4</f>
        <v/>
      </c>
      <c r="I160" s="98">
        <f>SUM(I161:I163)+SUM(I164:I168)*0.4</f>
        <v/>
      </c>
      <c r="J160" s="98">
        <f>SUM(J161:J163)+SUM(J164:J168)*0.4</f>
        <v/>
      </c>
      <c r="K160" s="98">
        <f>SUM(K161:K163)+SUM(K164:K168)*0.4</f>
        <v/>
      </c>
      <c r="L160" s="98">
        <f>SUM(L161:L163)+SUM(L164:L168)*0.4</f>
        <v/>
      </c>
      <c r="M160" s="98">
        <f>SUM(M161:M163)+SUM(M164:M168)*0.4</f>
        <v/>
      </c>
      <c r="N160" s="98">
        <f>SUM(N161:N163)+SUM(N164:N168)*0.4</f>
        <v/>
      </c>
    </row>
    <row r="161">
      <c r="A161" s="61" t="inlineStr">
        <is>
          <t>İnci Holding / G.17.1.</t>
        </is>
      </c>
      <c r="B161" s="100" t="n">
        <v>899592378.168781</v>
      </c>
      <c r="C161" s="100" t="n">
        <v>516913006.392388</v>
      </c>
      <c r="D161" s="100" t="n">
        <v>410864907.650355</v>
      </c>
      <c r="E161" s="100" t="n">
        <v>408281784.117066</v>
      </c>
      <c r="F161" s="100" t="n">
        <v>432667461.786182</v>
      </c>
      <c r="G161" s="100" t="n">
        <v>395637285.982414</v>
      </c>
      <c r="H161" s="100" t="n">
        <v>401879964.259484</v>
      </c>
      <c r="I161" s="100" t="n">
        <v>430324209.294054</v>
      </c>
      <c r="J161" s="100" t="n">
        <v>427699437.963649</v>
      </c>
      <c r="K161" s="100" t="n">
        <v>435825438.226003</v>
      </c>
      <c r="L161" s="100" t="n">
        <v>510981405.92686</v>
      </c>
      <c r="M161" s="100" t="n">
        <v>481003047.897111</v>
      </c>
      <c r="N161" s="99">
        <f>M161</f>
        <v/>
      </c>
    </row>
    <row r="162">
      <c r="A162" s="61" t="inlineStr">
        <is>
          <t>ISM / G.17.2.</t>
        </is>
      </c>
      <c r="B162" s="100" t="n">
        <v>339777.798406</v>
      </c>
      <c r="C162" s="100" t="n">
        <v>672993.45594</v>
      </c>
      <c r="D162" s="100" t="n">
        <v>681402.741852</v>
      </c>
      <c r="E162" s="100" t="n">
        <v>576400.53235</v>
      </c>
      <c r="F162" s="100" t="n">
        <v>45532.963029</v>
      </c>
      <c r="G162" s="100" t="n">
        <v>312446.319811</v>
      </c>
      <c r="H162" s="100" t="n">
        <v>343004.589848</v>
      </c>
      <c r="I162" s="100" t="n">
        <v>488708.377197</v>
      </c>
      <c r="J162" s="100" t="n">
        <v>747981.703551</v>
      </c>
      <c r="K162" s="100" t="n">
        <v>120500.942989</v>
      </c>
      <c r="L162" s="100" t="n">
        <v>385595.977226</v>
      </c>
      <c r="M162" s="100" t="n">
        <v>125873.163797</v>
      </c>
      <c r="N162" s="99">
        <f>M162</f>
        <v/>
      </c>
    </row>
    <row r="163">
      <c r="A163" s="61" t="inlineStr">
        <is>
          <t>İncitaş / G.17.3.</t>
        </is>
      </c>
      <c r="B163" s="100" t="n">
        <v>0.159937</v>
      </c>
      <c r="C163" s="100" t="n">
        <v>0.313721</v>
      </c>
      <c r="D163" s="100" t="n">
        <v>-0.273013</v>
      </c>
      <c r="E163" s="100" t="n">
        <v>0.330745</v>
      </c>
      <c r="F163" s="100" t="n">
        <v>-0.109099</v>
      </c>
      <c r="G163" s="100" t="n">
        <v>0.267314</v>
      </c>
      <c r="H163" s="100" t="n">
        <v>-0.223752</v>
      </c>
      <c r="I163" s="100" t="n">
        <v>0.278987</v>
      </c>
      <c r="J163" s="100" t="n">
        <v>-0.13435</v>
      </c>
      <c r="K163" s="100" t="n">
        <v>0.49807</v>
      </c>
      <c r="L163" s="100" t="n">
        <v>0.124382</v>
      </c>
      <c r="M163" s="100" t="n">
        <v>-0.460681</v>
      </c>
      <c r="N163" s="99">
        <f>M163</f>
        <v/>
      </c>
    </row>
    <row r="164">
      <c r="A164" s="61" t="inlineStr">
        <is>
          <t>İnci GS Yuasa / G.17.4.</t>
        </is>
      </c>
      <c r="B164" s="100" t="n">
        <v>220102195.808976</v>
      </c>
      <c r="C164" s="100" t="n">
        <v>187796198.999914</v>
      </c>
      <c r="D164" s="100" t="n">
        <v>182460014.823368</v>
      </c>
      <c r="E164" s="100" t="n">
        <v>180042190.960169</v>
      </c>
      <c r="F164" s="100" t="n">
        <v>180276338.723483</v>
      </c>
      <c r="G164" s="100" t="n">
        <v>159900580.2014</v>
      </c>
      <c r="H164" s="100" t="n">
        <v>183486135.603705</v>
      </c>
      <c r="I164" s="100" t="n">
        <v>188905462.495749</v>
      </c>
      <c r="J164" s="100" t="n">
        <v>162176863.664901</v>
      </c>
      <c r="K164" s="100" t="n">
        <v>129543510.508818</v>
      </c>
      <c r="L164" s="100" t="n">
        <v>128791359.801372</v>
      </c>
      <c r="M164" s="100" t="n">
        <v>178026245.661255</v>
      </c>
      <c r="N164" s="99">
        <f>M164</f>
        <v/>
      </c>
    </row>
    <row r="165">
      <c r="A165" s="61" t="inlineStr">
        <is>
          <t>Yusen İnci Loj. / G.17.5.</t>
        </is>
      </c>
      <c r="B165" s="100" t="n">
        <v>60106546.75634</v>
      </c>
      <c r="C165" s="100" t="n">
        <v>72115624.22072101</v>
      </c>
      <c r="D165" s="100" t="n">
        <v>27323845.710997</v>
      </c>
      <c r="E165" s="100" t="n">
        <v>34167646.395328</v>
      </c>
      <c r="F165" s="100" t="n">
        <v>31238114.258674</v>
      </c>
      <c r="G165" s="100" t="n">
        <v>63678838.925831</v>
      </c>
      <c r="H165" s="100" t="n">
        <v>38662328.649801</v>
      </c>
      <c r="I165" s="100" t="n">
        <v>59220423.434373</v>
      </c>
      <c r="J165" s="100" t="n">
        <v>70746266.064197</v>
      </c>
      <c r="K165" s="100" t="n">
        <v>40140276.797604</v>
      </c>
      <c r="L165" s="100" t="n">
        <v>83124994.01674201</v>
      </c>
      <c r="M165" s="100" t="n">
        <v>98478936.128601</v>
      </c>
      <c r="N165" s="99">
        <f>M165</f>
        <v/>
      </c>
    </row>
    <row r="166">
      <c r="A166" s="61" t="inlineStr">
        <is>
          <t>Jantaş / G.17.6.</t>
        </is>
      </c>
      <c r="B166" s="100" t="n">
        <v>229829241.0951053</v>
      </c>
      <c r="C166" s="100" t="n">
        <v>246316674.7679113</v>
      </c>
      <c r="D166" s="100" t="n">
        <v>339885502.0925619</v>
      </c>
      <c r="E166" s="100" t="n">
        <v>240021247.3054021</v>
      </c>
      <c r="F166" s="100" t="n">
        <v>265752219.3640952</v>
      </c>
      <c r="G166" s="100" t="n">
        <v>348598137.0422356</v>
      </c>
      <c r="H166" s="100" t="n">
        <v>396276291.5234329</v>
      </c>
      <c r="I166" s="100" t="n">
        <v>430068034.8904599</v>
      </c>
      <c r="J166" s="100" t="n">
        <v>578872513.6934255</v>
      </c>
      <c r="K166" s="100" t="n">
        <v>644245099.0975996</v>
      </c>
      <c r="L166" s="100" t="n">
        <v>745480753.4427974</v>
      </c>
      <c r="M166" s="100" t="n">
        <v>675610826.1928725</v>
      </c>
      <c r="N166" s="99">
        <f>M166</f>
        <v/>
      </c>
    </row>
    <row r="167">
      <c r="A167" s="61" t="inlineStr">
        <is>
          <t>Çelik / G.17.7.</t>
        </is>
      </c>
      <c r="B167" s="100" t="n">
        <v>610140563.0290788</v>
      </c>
      <c r="C167" s="100" t="n">
        <v>561810520.9171391</v>
      </c>
      <c r="D167" s="100" t="n">
        <v>731610458.7726474</v>
      </c>
      <c r="E167" s="100" t="n">
        <v>673173638.9012406</v>
      </c>
      <c r="F167" s="100" t="n">
        <v>750118900.3649945</v>
      </c>
      <c r="G167" s="100" t="n">
        <v>924792908.3923236</v>
      </c>
      <c r="H167" s="100" t="n">
        <v>936198840.5655137</v>
      </c>
      <c r="I167" s="100" t="n">
        <v>1004383479.812896</v>
      </c>
      <c r="J167" s="100" t="n">
        <v>1174176373.056483</v>
      </c>
      <c r="K167" s="100" t="n">
        <v>1084568446.799508</v>
      </c>
      <c r="L167" s="100" t="n">
        <v>908020937.8709286</v>
      </c>
      <c r="M167" s="100" t="n">
        <v>1219921003.924416</v>
      </c>
      <c r="N167" s="99">
        <f>M167</f>
        <v/>
      </c>
    </row>
    <row r="168">
      <c r="A168" s="61" t="inlineStr">
        <is>
          <t>Alüminyum / G.17.8.</t>
        </is>
      </c>
      <c r="B168" s="100" t="n">
        <v>394182819.9852151</v>
      </c>
      <c r="C168" s="100" t="n">
        <v>302881755.4096028</v>
      </c>
      <c r="D168" s="100" t="n">
        <v>444661118.197373</v>
      </c>
      <c r="E168" s="100" t="n">
        <v>250121763.0212836</v>
      </c>
      <c r="F168" s="100" t="n">
        <v>315457000.1000258</v>
      </c>
      <c r="G168" s="100" t="n">
        <v>548719643.0990707</v>
      </c>
      <c r="H168" s="100" t="n">
        <v>429716652.5023184</v>
      </c>
      <c r="I168" s="100" t="n">
        <v>381214197.8671985</v>
      </c>
      <c r="J168" s="100" t="n">
        <v>596526040.8075914</v>
      </c>
      <c r="K168" s="100" t="n">
        <v>408200210.252008</v>
      </c>
      <c r="L168" s="100" t="n">
        <v>693596685.9972556</v>
      </c>
      <c r="M168" s="100" t="n">
        <v>998136085.8075339</v>
      </c>
      <c r="N168" s="99">
        <f>M168</f>
        <v/>
      </c>
    </row>
    <row r="169">
      <c r="A169" s="61" t="inlineStr">
        <is>
          <t>x / G.17.9.</t>
        </is>
      </c>
      <c r="B169" s="100" t="n">
        <v>0</v>
      </c>
      <c r="C169" s="100" t="n">
        <v>0</v>
      </c>
      <c r="D169" s="100" t="n">
        <v>0</v>
      </c>
      <c r="E169" s="100" t="n">
        <v>0</v>
      </c>
      <c r="F169" s="100" t="n">
        <v>0</v>
      </c>
      <c r="G169" s="100" t="n">
        <v>0</v>
      </c>
      <c r="H169" s="100" t="n">
        <v>0</v>
      </c>
      <c r="I169" s="100" t="n">
        <v>0</v>
      </c>
      <c r="J169" s="100" t="n">
        <v>0</v>
      </c>
      <c r="K169" s="100" t="n">
        <v>0</v>
      </c>
      <c r="L169" s="100" t="n">
        <v>0</v>
      </c>
      <c r="M169" s="100" t="n">
        <v>0</v>
      </c>
      <c r="N169" s="99">
        <f>M169</f>
        <v/>
      </c>
    </row>
    <row r="170">
      <c r="A170" s="61" t="inlineStr">
        <is>
          <t>y / G.17.10.</t>
        </is>
      </c>
      <c r="B170" s="100" t="n">
        <v>0</v>
      </c>
      <c r="C170" s="100" t="n">
        <v>0</v>
      </c>
      <c r="D170" s="100" t="n">
        <v>0</v>
      </c>
      <c r="E170" s="100" t="n">
        <v>0</v>
      </c>
      <c r="F170" s="100" t="n">
        <v>0</v>
      </c>
      <c r="G170" s="100" t="n">
        <v>0</v>
      </c>
      <c r="H170" s="100" t="n">
        <v>0</v>
      </c>
      <c r="I170" s="100" t="n">
        <v>0</v>
      </c>
      <c r="J170" s="100" t="n">
        <v>0</v>
      </c>
      <c r="K170" s="100" t="n">
        <v>0</v>
      </c>
      <c r="L170" s="100" t="n">
        <v>0</v>
      </c>
      <c r="M170" s="100" t="n">
        <v>0</v>
      </c>
      <c r="N170" s="99">
        <f>M170</f>
        <v/>
      </c>
    </row>
    <row r="171">
      <c r="A171" s="61" t="inlineStr">
        <is>
          <t>35 Venture / G.17.11.</t>
        </is>
      </c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70" t="n"/>
    </row>
    <row r="172">
      <c r="A172" s="61" t="inlineStr">
        <is>
          <t>Vinci / G.17.12.</t>
        </is>
      </c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70" t="n"/>
    </row>
    <row r="173">
      <c r="A173" s="61" t="inlineStr">
        <is>
          <t>Net Nakit-TL / G.18.</t>
        </is>
      </c>
      <c r="B173" s="98">
        <f>SUM(B174:B176)+SUM(B177:B181)*0.4</f>
        <v/>
      </c>
      <c r="C173" s="98">
        <f>SUM(C174:C176)+SUM(C177:C181)*0.4</f>
        <v/>
      </c>
      <c r="D173" s="98">
        <f>SUM(D174:D176)+SUM(D177:D181)*0.4</f>
        <v/>
      </c>
      <c r="E173" s="98">
        <f>SUM(E174:E176)+SUM(E177:E181)*0.4</f>
        <v/>
      </c>
      <c r="F173" s="98">
        <f>SUM(F174:F176)+SUM(F177:F181)*0.4</f>
        <v/>
      </c>
      <c r="G173" s="98">
        <f>SUM(G174:G176)+SUM(G177:G181)*0.4</f>
        <v/>
      </c>
      <c r="H173" s="98">
        <f>SUM(H174:H176)+SUM(H177:H181)*0.4</f>
        <v/>
      </c>
      <c r="I173" s="98">
        <f>SUM(I174:I176)+SUM(I177:I181)*0.4</f>
        <v/>
      </c>
      <c r="J173" s="98">
        <f>SUM(J174:J176)+SUM(J177:J181)*0.4</f>
        <v/>
      </c>
      <c r="K173" s="98">
        <f>SUM(K174:K176)+SUM(K177:K181)*0.4</f>
        <v/>
      </c>
      <c r="L173" s="98">
        <f>SUM(L174:L176)+SUM(L177:L181)*0.4</f>
        <v/>
      </c>
      <c r="M173" s="98">
        <f>SUM(M174:M176)+SUM(M177:M181)*0.4</f>
        <v/>
      </c>
      <c r="N173" s="99">
        <f>M173</f>
        <v/>
      </c>
    </row>
    <row r="174">
      <c r="A174" s="61" t="inlineStr">
        <is>
          <t>İnci Holding / G.18.1.</t>
        </is>
      </c>
      <c r="B174" s="100" t="n">
        <v>899592378.168781</v>
      </c>
      <c r="C174" s="100" t="n">
        <v>516913006.392388</v>
      </c>
      <c r="D174" s="100" t="n">
        <v>410864907.650355</v>
      </c>
      <c r="E174" s="100" t="n">
        <v>408281784.117066</v>
      </c>
      <c r="F174" s="100" t="n">
        <v>432667461.786182</v>
      </c>
      <c r="G174" s="100" t="n">
        <v>395637285.982414</v>
      </c>
      <c r="H174" s="100" t="n">
        <v>401879964.259484</v>
      </c>
      <c r="I174" s="100" t="n">
        <v>430324209.294054</v>
      </c>
      <c r="J174" s="100" t="n">
        <v>427699437.963649</v>
      </c>
      <c r="K174" s="100" t="n">
        <v>435825438.226003</v>
      </c>
      <c r="L174" s="100" t="n">
        <v>510981405.92686</v>
      </c>
      <c r="M174" s="100" t="n">
        <v>481003047.897111</v>
      </c>
      <c r="N174" s="99">
        <f>M174</f>
        <v/>
      </c>
    </row>
    <row r="175">
      <c r="A175" s="61" t="inlineStr">
        <is>
          <t>ISM / G.18.2.</t>
        </is>
      </c>
      <c r="B175" s="100" t="n">
        <v>-73494393.261594</v>
      </c>
      <c r="C175" s="100" t="n">
        <v>-78842994.73406</v>
      </c>
      <c r="D175" s="100" t="n">
        <v>-77967123.918148</v>
      </c>
      <c r="E175" s="100" t="n">
        <v>-77204900.36765</v>
      </c>
      <c r="F175" s="100" t="n">
        <v>-71839040.116971</v>
      </c>
      <c r="G175" s="100" t="n">
        <v>-61603386.180189</v>
      </c>
      <c r="H175" s="100" t="n">
        <v>-54569957.480152</v>
      </c>
      <c r="I175" s="100" t="n">
        <v>-41389386.672803</v>
      </c>
      <c r="J175" s="100" t="n">
        <v>-36035239.066449</v>
      </c>
      <c r="K175" s="100" t="n">
        <v>-32525284.477011</v>
      </c>
      <c r="L175" s="100" t="n">
        <v>-35114404.01277401</v>
      </c>
      <c r="M175" s="100" t="n">
        <v>-32374126.826203</v>
      </c>
      <c r="N175" s="99">
        <f>M175</f>
        <v/>
      </c>
    </row>
    <row r="176">
      <c r="A176" s="61" t="inlineStr">
        <is>
          <t>İncitaş / G.18.3.</t>
        </is>
      </c>
      <c r="B176" s="100" t="n">
        <v>-12979245.840063</v>
      </c>
      <c r="C176" s="100" t="n">
        <v>-26258451.686279</v>
      </c>
      <c r="D176" s="100" t="n">
        <v>-20609756.273013</v>
      </c>
      <c r="E176" s="100" t="n">
        <v>-23781473.669255</v>
      </c>
      <c r="F176" s="100" t="n">
        <v>-18298935.109099</v>
      </c>
      <c r="G176" s="100" t="n">
        <v>-14459322.732686</v>
      </c>
      <c r="H176" s="100" t="n">
        <v>-12615089.223752</v>
      </c>
      <c r="I176" s="100" t="n">
        <v>-18225210.721013</v>
      </c>
      <c r="J176" s="100" t="n">
        <v>-12032397.13435</v>
      </c>
      <c r="K176" s="100" t="n">
        <v>-13726351.50193</v>
      </c>
      <c r="L176" s="100" t="n">
        <v>-13861046.875618</v>
      </c>
      <c r="M176" s="100" t="n">
        <v>-18404796.460681</v>
      </c>
      <c r="N176" s="99">
        <f>M176</f>
        <v/>
      </c>
    </row>
    <row r="177">
      <c r="A177" s="61" t="inlineStr">
        <is>
          <t>İnci GS Yuasa / G.18.4.</t>
        </is>
      </c>
      <c r="B177" s="100" t="n">
        <v>-1323945204.191024</v>
      </c>
      <c r="C177" s="100" t="n">
        <v>-1376251201.000086</v>
      </c>
      <c r="D177" s="100" t="n">
        <v>-1416587385.176632</v>
      </c>
      <c r="E177" s="100" t="n">
        <v>-1454418911.701811</v>
      </c>
      <c r="F177" s="100" t="n">
        <v>-1454184763.938497</v>
      </c>
      <c r="G177" s="100" t="n">
        <v>-1474560522.46058</v>
      </c>
      <c r="H177" s="100" t="n">
        <v>-1700974967.058275</v>
      </c>
      <c r="I177" s="100" t="n">
        <v>-1670555640.166231</v>
      </c>
      <c r="J177" s="100" t="n">
        <v>-1797284238.997079</v>
      </c>
      <c r="K177" s="100" t="n">
        <v>-1747917592.153162</v>
      </c>
      <c r="L177" s="100" t="n">
        <v>-1713669742.860608</v>
      </c>
      <c r="M177" s="100" t="n">
        <v>-1664434857.000725</v>
      </c>
      <c r="N177" s="99">
        <f>M177</f>
        <v/>
      </c>
    </row>
    <row r="178">
      <c r="A178" s="61" t="inlineStr">
        <is>
          <t>Yusen İnci Loj. / G.18.5.</t>
        </is>
      </c>
      <c r="B178" s="100" t="n">
        <v>60106546.75634</v>
      </c>
      <c r="C178" s="100" t="n">
        <v>72115624.22072101</v>
      </c>
      <c r="D178" s="100" t="n">
        <v>27323845.710997</v>
      </c>
      <c r="E178" s="100" t="n">
        <v>34167646.395328</v>
      </c>
      <c r="F178" s="100" t="n">
        <v>31238114.258674</v>
      </c>
      <c r="G178" s="100" t="n">
        <v>63678838.925831</v>
      </c>
      <c r="H178" s="100" t="n">
        <v>38662328.649801</v>
      </c>
      <c r="I178" s="100" t="n">
        <v>59220423.434373</v>
      </c>
      <c r="J178" s="100" t="n">
        <v>70746266.064197</v>
      </c>
      <c r="K178" s="100" t="n">
        <v>40140276.797604</v>
      </c>
      <c r="L178" s="100" t="n">
        <v>83124994.01674201</v>
      </c>
      <c r="M178" s="100" t="n">
        <v>98478936.128601</v>
      </c>
      <c r="N178" s="99">
        <f>M178</f>
        <v/>
      </c>
    </row>
    <row r="179">
      <c r="A179" s="61" t="inlineStr">
        <is>
          <t>Jantaş / G.18.6.</t>
        </is>
      </c>
      <c r="B179" s="100" t="n">
        <v>229829241.0951053</v>
      </c>
      <c r="C179" s="100" t="n">
        <v>246316674.7679113</v>
      </c>
      <c r="D179" s="100" t="n">
        <v>339885502.0925619</v>
      </c>
      <c r="E179" s="100" t="n">
        <v>240021247.3054021</v>
      </c>
      <c r="F179" s="100" t="n">
        <v>265752219.3640952</v>
      </c>
      <c r="G179" s="100" t="n">
        <v>348598137.0422356</v>
      </c>
      <c r="H179" s="100" t="n">
        <v>396276291.5234329</v>
      </c>
      <c r="I179" s="100" t="n">
        <v>430068034.8904599</v>
      </c>
      <c r="J179" s="100" t="n">
        <v>578872513.6934255</v>
      </c>
      <c r="K179" s="100" t="n">
        <v>644245099.0975996</v>
      </c>
      <c r="L179" s="100" t="n">
        <v>745480753.4427974</v>
      </c>
      <c r="M179" s="100" t="n">
        <v>675610826.1928725</v>
      </c>
      <c r="N179" s="99">
        <f>M179</f>
        <v/>
      </c>
    </row>
    <row r="180">
      <c r="A180" s="61" t="inlineStr">
        <is>
          <t>Çelik / G.18.7.</t>
        </is>
      </c>
      <c r="B180" s="100" t="n">
        <v>610140563.0290788</v>
      </c>
      <c r="C180" s="100" t="n">
        <v>561810520.9171391</v>
      </c>
      <c r="D180" s="100" t="n">
        <v>731610458.7726474</v>
      </c>
      <c r="E180" s="100" t="n">
        <v>673173638.9012406</v>
      </c>
      <c r="F180" s="100" t="n">
        <v>750118900.3649945</v>
      </c>
      <c r="G180" s="100" t="n">
        <v>924792908.3923236</v>
      </c>
      <c r="H180" s="100" t="n">
        <v>936198840.5655137</v>
      </c>
      <c r="I180" s="100" t="n">
        <v>1004383479.812896</v>
      </c>
      <c r="J180" s="100" t="n">
        <v>1174176373.056483</v>
      </c>
      <c r="K180" s="100" t="n">
        <v>1084568446.799508</v>
      </c>
      <c r="L180" s="100" t="n">
        <v>908020937.8709286</v>
      </c>
      <c r="M180" s="100" t="n">
        <v>1219921003.924416</v>
      </c>
      <c r="N180" s="99">
        <f>M180</f>
        <v/>
      </c>
    </row>
    <row r="181">
      <c r="A181" s="61" t="inlineStr">
        <is>
          <t>Alüminyum / G.18.8.</t>
        </is>
      </c>
      <c r="B181" s="100" t="n">
        <v>394182819.9852151</v>
      </c>
      <c r="C181" s="100" t="n">
        <v>302881755.4096028</v>
      </c>
      <c r="D181" s="100" t="n">
        <v>444661118.197373</v>
      </c>
      <c r="E181" s="100" t="n">
        <v>250121763.0212836</v>
      </c>
      <c r="F181" s="100" t="n">
        <v>315457000.1000258</v>
      </c>
      <c r="G181" s="100" t="n">
        <v>548719643.0990707</v>
      </c>
      <c r="H181" s="100" t="n">
        <v>429716652.5023184</v>
      </c>
      <c r="I181" s="100" t="n">
        <v>381214197.8671985</v>
      </c>
      <c r="J181" s="100" t="n">
        <v>596526040.8075914</v>
      </c>
      <c r="K181" s="100" t="n">
        <v>408200210.252008</v>
      </c>
      <c r="L181" s="100" t="n">
        <v>693596685.9972556</v>
      </c>
      <c r="M181" s="100" t="n">
        <v>998136085.8075339</v>
      </c>
      <c r="N181" s="99">
        <f>M181</f>
        <v/>
      </c>
    </row>
    <row r="182">
      <c r="A182" s="61" t="inlineStr">
        <is>
          <t>x / G.18.9.</t>
        </is>
      </c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70" t="n"/>
    </row>
    <row r="183">
      <c r="A183" s="61" t="inlineStr">
        <is>
          <t>y / G.18.10.</t>
        </is>
      </c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70" t="n"/>
    </row>
    <row r="184">
      <c r="A184" s="61" t="inlineStr">
        <is>
          <t>35 Venture / G.18.11.</t>
        </is>
      </c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70" t="n"/>
    </row>
    <row r="185">
      <c r="A185" s="61" t="inlineStr">
        <is>
          <t>Vinci / G.18.12.</t>
        </is>
      </c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70" t="n"/>
    </row>
    <row r="186">
      <c r="A186" s="61" t="inlineStr">
        <is>
          <t>Yatırım-TL / G.19.</t>
        </is>
      </c>
      <c r="B186" s="98">
        <f>SUM(B187:B189)+SUM(B190:B194)*0.4</f>
        <v/>
      </c>
      <c r="C186" s="98">
        <f>SUM(C187:C189)+SUM(C190:C194)*0.4</f>
        <v/>
      </c>
      <c r="D186" s="98">
        <f>SUM(D187:D189)+SUM(D190:D194)*0.4</f>
        <v/>
      </c>
      <c r="E186" s="98">
        <f>SUM(E187:E189)+SUM(E190:E194)*0.4</f>
        <v/>
      </c>
      <c r="F186" s="98">
        <f>SUM(F187:F189)+SUM(F190:F194)*0.4</f>
        <v/>
      </c>
      <c r="G186" s="98">
        <f>SUM(G187:G189)+SUM(G190:G194)*0.4</f>
        <v/>
      </c>
      <c r="H186" s="98">
        <f>SUM(H187:H189)+SUM(H190:H194)*0.4</f>
        <v/>
      </c>
      <c r="I186" s="98">
        <f>SUM(I187:I189)+SUM(I190:I194)*0.4</f>
        <v/>
      </c>
      <c r="J186" s="98">
        <f>SUM(J187:J189)+SUM(J190:J194)*0.4</f>
        <v/>
      </c>
      <c r="K186" s="98">
        <f>SUM(K187:K189)+SUM(K190:K194)*0.4</f>
        <v/>
      </c>
      <c r="L186" s="98">
        <f>SUM(L187:L189)+SUM(L190:L194)*0.4</f>
        <v/>
      </c>
      <c r="M186" s="98">
        <f>SUM(M187:M189)+SUM(M190:M194)*0.4</f>
        <v/>
      </c>
      <c r="N186" s="103">
        <f>SUM(N187:N189)+SUM(N190:N194)*0.4</f>
        <v/>
      </c>
    </row>
    <row r="187">
      <c r="A187" s="61" t="inlineStr">
        <is>
          <t>İnci Holding / G.19.1.</t>
        </is>
      </c>
      <c r="B187" s="100" t="n">
        <v>71458.333333</v>
      </c>
      <c r="C187" s="100" t="n">
        <v>0</v>
      </c>
      <c r="D187" s="100" t="n">
        <v>0</v>
      </c>
      <c r="E187" s="100" t="n">
        <v>0</v>
      </c>
      <c r="F187" s="100" t="n">
        <v>38645.833333</v>
      </c>
      <c r="G187" s="100" t="n">
        <v>78750</v>
      </c>
      <c r="H187" s="100" t="n">
        <v>0</v>
      </c>
      <c r="I187" s="100" t="n">
        <v>250000</v>
      </c>
      <c r="J187" s="100" t="n">
        <v>85000</v>
      </c>
      <c r="K187" s="100" t="n">
        <v>100000</v>
      </c>
      <c r="L187" s="100" t="n">
        <v>0</v>
      </c>
      <c r="M187" s="100" t="n">
        <v>0</v>
      </c>
      <c r="N187" s="101">
        <f>SUM(B187:M187)</f>
        <v/>
      </c>
    </row>
    <row r="188">
      <c r="A188" s="61" t="inlineStr">
        <is>
          <t>ISM / G.19.2.</t>
        </is>
      </c>
      <c r="B188" s="100" t="n">
        <v>1389547</v>
      </c>
      <c r="C188" s="100" t="n">
        <v>1107800</v>
      </c>
      <c r="D188" s="100" t="n">
        <v>1247303</v>
      </c>
      <c r="E188" s="100" t="n">
        <v>8054500</v>
      </c>
      <c r="F188" s="100" t="n">
        <v>2412520</v>
      </c>
      <c r="G188" s="100" t="n">
        <v>3271000</v>
      </c>
      <c r="H188" s="100" t="n">
        <v>2410000</v>
      </c>
      <c r="I188" s="100" t="n">
        <v>984409</v>
      </c>
      <c r="J188" s="100" t="n">
        <v>2360000</v>
      </c>
      <c r="K188" s="100" t="n">
        <v>723567</v>
      </c>
      <c r="L188" s="100" t="n">
        <v>724816</v>
      </c>
      <c r="M188" s="100" t="n">
        <v>726604</v>
      </c>
      <c r="N188" s="101">
        <f>SUM(B188:M188)</f>
        <v/>
      </c>
    </row>
    <row r="189">
      <c r="A189" s="61" t="inlineStr">
        <is>
          <t>İncitaş / G.19.3.</t>
        </is>
      </c>
      <c r="B189" s="100" t="n">
        <v>0</v>
      </c>
      <c r="C189" s="100" t="n">
        <v>0</v>
      </c>
      <c r="D189" s="100" t="n">
        <v>0</v>
      </c>
      <c r="E189" s="100" t="n">
        <v>0</v>
      </c>
      <c r="F189" s="100" t="n">
        <v>0</v>
      </c>
      <c r="G189" s="100" t="n">
        <v>0</v>
      </c>
      <c r="H189" s="100" t="n">
        <v>0</v>
      </c>
      <c r="I189" s="100" t="n">
        <v>0</v>
      </c>
      <c r="J189" s="100" t="n">
        <v>0</v>
      </c>
      <c r="K189" s="100" t="n">
        <v>0</v>
      </c>
      <c r="L189" s="100" t="n">
        <v>0</v>
      </c>
      <c r="M189" s="100" t="n">
        <v>0</v>
      </c>
      <c r="N189" s="101">
        <f>SUM(B189:M189)</f>
        <v/>
      </c>
    </row>
    <row r="190">
      <c r="A190" s="61" t="inlineStr">
        <is>
          <t>İnci GS Yuasa / G.19.4.</t>
        </is>
      </c>
      <c r="B190" s="100" t="n">
        <v>11490909.8556</v>
      </c>
      <c r="C190" s="100" t="n">
        <v>11706479.324491</v>
      </c>
      <c r="D190" s="100" t="n">
        <v>11926092.876619</v>
      </c>
      <c r="E190" s="100" t="n">
        <v>17009756.930577</v>
      </c>
      <c r="F190" s="100" t="n">
        <v>17328859.970595</v>
      </c>
      <c r="G190" s="100" t="n">
        <v>21016606.409099</v>
      </c>
      <c r="H190" s="100" t="n">
        <v>21410877.945334</v>
      </c>
      <c r="I190" s="100" t="n">
        <v>21812546.015589</v>
      </c>
      <c r="J190" s="100" t="n">
        <v>26666099.254609</v>
      </c>
      <c r="K190" s="100" t="n">
        <v>27166355.276626</v>
      </c>
      <c r="L190" s="100" t="n">
        <v>33211195.321938</v>
      </c>
      <c r="M190" s="100" t="n">
        <v>39477585</v>
      </c>
      <c r="N190" s="101">
        <f>SUM(B190:M190)</f>
        <v/>
      </c>
    </row>
    <row r="191">
      <c r="A191" s="61" t="inlineStr">
        <is>
          <t>Yusen İnci Loj. / G.19.5.</t>
        </is>
      </c>
      <c r="B191" s="100" t="n">
        <v>3865061.178833</v>
      </c>
      <c r="C191" s="100" t="n">
        <v>2645574.678832999</v>
      </c>
      <c r="D191" s="100" t="n">
        <v>3178974.678833</v>
      </c>
      <c r="E191" s="100" t="n">
        <v>3000000</v>
      </c>
      <c r="F191" s="100" t="n">
        <v>3000000</v>
      </c>
      <c r="G191" s="100" t="n">
        <v>3000000</v>
      </c>
      <c r="H191" s="100" t="n">
        <v>3000000</v>
      </c>
      <c r="I191" s="100" t="n">
        <v>3000000</v>
      </c>
      <c r="J191" s="100" t="n">
        <v>3000000</v>
      </c>
      <c r="K191" s="100" t="n">
        <v>3000000</v>
      </c>
      <c r="L191" s="100" t="n">
        <v>3000000</v>
      </c>
      <c r="M191" s="100" t="n">
        <v>3000000</v>
      </c>
      <c r="N191" s="101">
        <f>SUM(B191:M191)</f>
        <v/>
      </c>
    </row>
    <row r="192">
      <c r="A192" s="61" t="inlineStr">
        <is>
          <t>Jantaş / G.19.6.</t>
        </is>
      </c>
      <c r="B192" s="100" t="n">
        <v>10205331.19998762</v>
      </c>
      <c r="C192" s="100" t="n">
        <v>10415743.60002527</v>
      </c>
      <c r="D192" s="100" t="n">
        <v>10626183.48332044</v>
      </c>
      <c r="E192" s="100" t="n">
        <v>10836595.88332019</v>
      </c>
      <c r="F192" s="100" t="n">
        <v>11047008.28336013</v>
      </c>
      <c r="G192" s="100" t="n">
        <v>11257420.68331968</v>
      </c>
      <c r="H192" s="100" t="n">
        <v>11467860.56665276</v>
      </c>
      <c r="I192" s="100" t="n">
        <v>11678272.96669499</v>
      </c>
      <c r="J192" s="100" t="n">
        <v>11888685.36665225</v>
      </c>
      <c r="K192" s="100" t="n">
        <v>12099097.766652</v>
      </c>
      <c r="L192" s="100" t="n">
        <v>12309537.65002985</v>
      </c>
      <c r="M192" s="100" t="n">
        <v>12519950.04998482</v>
      </c>
      <c r="N192" s="101">
        <f>SUM(B192:M192)</f>
        <v/>
      </c>
    </row>
    <row r="193">
      <c r="A193" s="61" t="inlineStr">
        <is>
          <t>Çelik / G.19.7.</t>
        </is>
      </c>
      <c r="B193" s="100" t="n">
        <v>1113984</v>
      </c>
      <c r="C193" s="100" t="n">
        <v>10080974.4</v>
      </c>
      <c r="D193" s="100" t="n">
        <v>17978806.5</v>
      </c>
      <c r="E193" s="100" t="n">
        <v>10291151.7</v>
      </c>
      <c r="F193" s="100" t="n">
        <v>11495855.8</v>
      </c>
      <c r="G193" s="100" t="n">
        <v>27812451.1</v>
      </c>
      <c r="H193" s="100" t="n">
        <v>2128056.6</v>
      </c>
      <c r="I193" s="100" t="n">
        <v>18654075.8</v>
      </c>
      <c r="J193" s="100" t="n">
        <v>15183487.8</v>
      </c>
      <c r="K193" s="100" t="n">
        <v>7792141.800000002</v>
      </c>
      <c r="L193" s="100" t="n">
        <v>2508189.6</v>
      </c>
      <c r="M193" s="100" t="n">
        <v>1184422.2</v>
      </c>
      <c r="N193" s="101">
        <f>SUM(B193:M193)</f>
        <v/>
      </c>
    </row>
    <row r="194">
      <c r="A194" s="61" t="inlineStr">
        <is>
          <t>Alüminyum / G.19.8.</t>
        </is>
      </c>
      <c r="B194" s="100" t="n">
        <v>12439488</v>
      </c>
      <c r="C194" s="100" t="n">
        <v>11388469.2</v>
      </c>
      <c r="D194" s="100" t="n">
        <v>13261786.3</v>
      </c>
      <c r="E194" s="100" t="n">
        <v>5441298.6</v>
      </c>
      <c r="F194" s="100" t="n">
        <v>13586011.4</v>
      </c>
      <c r="G194" s="100" t="n">
        <v>8519867.200000001</v>
      </c>
      <c r="H194" s="100" t="n">
        <v>22448910.79999999</v>
      </c>
      <c r="I194" s="100" t="n">
        <v>14698051.98</v>
      </c>
      <c r="J194" s="100" t="n">
        <v>18423497.02</v>
      </c>
      <c r="K194" s="100" t="n">
        <v>14259179.26</v>
      </c>
      <c r="L194" s="100" t="n">
        <v>8236715.489999999</v>
      </c>
      <c r="M194" s="100" t="n">
        <v>11839666.53</v>
      </c>
      <c r="N194" s="101">
        <f>SUM(B194:M194)</f>
        <v/>
      </c>
    </row>
    <row r="195">
      <c r="A195" s="61" t="inlineStr">
        <is>
          <t>x / G.19.9.</t>
        </is>
      </c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70" t="n"/>
    </row>
    <row r="196">
      <c r="A196" s="61" t="inlineStr">
        <is>
          <t>y / G.19.10.</t>
        </is>
      </c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71" t="n"/>
    </row>
  </sheetData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>
    <tabColor rgb="FF00B050"/>
    <outlinePr summaryBelow="1" summaryRight="1"/>
    <pageSetUpPr/>
  </sheetPr>
  <dimension ref="A1:Z81"/>
  <sheetViews>
    <sheetView workbookViewId="0">
      <selection activeCell="B3" sqref="B3:I3"/>
    </sheetView>
  </sheetViews>
  <sheetFormatPr baseColWidth="8" defaultColWidth="8.81640625" defaultRowHeight="14.5"/>
  <cols>
    <col width="30.453125" bestFit="1" customWidth="1" min="1" max="1"/>
    <col width="11.54296875" bestFit="1" customWidth="1" min="2" max="2"/>
    <col width="10.81640625" bestFit="1" customWidth="1" min="3" max="4"/>
    <col width="10.7265625" bestFit="1" customWidth="1" min="5" max="5"/>
    <col width="12.453125" customWidth="1" min="6" max="6"/>
    <col width="10.81640625" bestFit="1" customWidth="1" min="7" max="7"/>
    <col width="9.81640625" bestFit="1" customWidth="1" min="8" max="10"/>
    <col width="11.54296875" bestFit="1" customWidth="1" min="11" max="11"/>
    <col width="10.81640625" bestFit="1" customWidth="1" min="12" max="13"/>
    <col width="10.54296875" bestFit="1" customWidth="1" min="14" max="14"/>
    <col width="11.54296875" bestFit="1" customWidth="1" min="15" max="15"/>
    <col width="10.81640625" bestFit="1" customWidth="1" min="16" max="16"/>
    <col width="10.54296875" bestFit="1" customWidth="1" min="17" max="23"/>
    <col width="8.81640625" bestFit="1" customWidth="1" min="24" max="24"/>
    <col width="9.81640625" bestFit="1" customWidth="1" min="25" max="25"/>
    <col width="8.81640625" bestFit="1" customWidth="1" min="26" max="26"/>
  </cols>
  <sheetData>
    <row r="1">
      <c r="A1" s="60" t="inlineStr">
        <is>
          <t>Yapı</t>
        </is>
      </c>
      <c r="B1" s="61" t="inlineStr">
        <is>
          <t>Ocak</t>
        </is>
      </c>
      <c r="C1" s="61" t="inlineStr">
        <is>
          <t>Şubat</t>
        </is>
      </c>
      <c r="D1" s="61" t="inlineStr">
        <is>
          <t>Mart</t>
        </is>
      </c>
      <c r="E1" s="61" t="inlineStr">
        <is>
          <t>Nisan</t>
        </is>
      </c>
      <c r="F1" s="61" t="inlineStr">
        <is>
          <t>Mayıs</t>
        </is>
      </c>
      <c r="G1" s="61" t="inlineStr">
        <is>
          <t>Haziran</t>
        </is>
      </c>
      <c r="H1" s="61" t="inlineStr">
        <is>
          <t>Temmuz</t>
        </is>
      </c>
      <c r="I1" s="61" t="inlineStr">
        <is>
          <t>Ağustos</t>
        </is>
      </c>
      <c r="J1" s="61" t="inlineStr">
        <is>
          <t>Eylül</t>
        </is>
      </c>
      <c r="K1" s="61" t="inlineStr">
        <is>
          <t>Ekim</t>
        </is>
      </c>
      <c r="L1" s="61" t="inlineStr">
        <is>
          <t>Kasım</t>
        </is>
      </c>
      <c r="M1" s="61" t="inlineStr">
        <is>
          <t>Aralık</t>
        </is>
      </c>
    </row>
    <row r="2">
      <c r="A2" s="61" t="inlineStr">
        <is>
          <t>Operasyonel Nakit-TL / G.14.</t>
        </is>
      </c>
      <c r="B2" s="102">
        <f>SUM(B3:B5)+SUM(B6:B10)*0.4</f>
        <v/>
      </c>
      <c r="C2" s="102">
        <f>SUM(C3:C5)+SUM(C6:C10)*0.4</f>
        <v/>
      </c>
      <c r="D2" s="102">
        <f>SUM(D3:D5)+SUM(D6:D10)*0.4</f>
        <v/>
      </c>
      <c r="E2" s="102">
        <f>SUM(E3:E5)+SUM(E6:E10)*0.4</f>
        <v/>
      </c>
      <c r="F2" s="102">
        <f>SUM(F3:F5)+SUM(F6:F10)*0.4</f>
        <v/>
      </c>
      <c r="G2" s="102">
        <f>SUM(G3:G5)+SUM(G6:G10)*0.4</f>
        <v/>
      </c>
      <c r="H2" s="102">
        <f>SUM(H3:H5)+SUM(H6:H10)*0.4</f>
        <v/>
      </c>
      <c r="I2" s="102">
        <f>SUM(I3:I5)+SUM(I6:I10)*0.4</f>
        <v/>
      </c>
      <c r="J2" s="102">
        <f>SUM(J3:J5)+SUM(J6:J10)*0.4</f>
        <v/>
      </c>
      <c r="K2" s="102">
        <f>SUM(K3:K5)+SUM(K6:K10)*0.4</f>
        <v/>
      </c>
      <c r="L2" s="102">
        <f>SUM(L3:L5)+SUM(L6:L10)*0.4</f>
        <v/>
      </c>
      <c r="M2" s="102">
        <f>SUM(M3:M5)+SUM(M6:M10)*0.4</f>
        <v/>
      </c>
    </row>
    <row r="3">
      <c r="A3" s="61" t="inlineStr">
        <is>
          <t>İnci Holding / G.14.1.</t>
        </is>
      </c>
      <c r="B3" s="100" t="n">
        <v>9236421.699332006</v>
      </c>
      <c r="C3" s="100" t="n">
        <v>27419076.78747999</v>
      </c>
      <c r="D3" s="100" t="n">
        <v>-33555673.01388799</v>
      </c>
      <c r="E3" s="100" t="n">
        <v>6175712.624493001</v>
      </c>
      <c r="F3" s="100" t="n">
        <v>26200505.01367</v>
      </c>
      <c r="G3" s="100" t="n">
        <v>-66867948.78224</v>
      </c>
      <c r="H3" s="100" t="n">
        <v>40989992.765508</v>
      </c>
      <c r="I3" s="100" t="n">
        <v>29683561.10642699</v>
      </c>
      <c r="J3" s="100" t="n">
        <v>-33446949.98670601</v>
      </c>
      <c r="K3" s="100" t="n">
        <v>4449815.012141008</v>
      </c>
      <c r="L3" s="100" t="n">
        <v>40259778.81422</v>
      </c>
      <c r="M3" s="100" t="n">
        <v>-112119657.222356</v>
      </c>
      <c r="N3" s="52">
        <f>SUM(B3:M3)</f>
        <v/>
      </c>
      <c r="O3" s="52">
        <f>'Tahmin-tl'!D148-N3</f>
        <v/>
      </c>
    </row>
    <row r="4">
      <c r="A4" s="61" t="inlineStr">
        <is>
          <t>ISM / G.14.2.</t>
        </is>
      </c>
      <c r="B4" s="100" t="n">
        <v>-25741816.887877</v>
      </c>
      <c r="C4" s="100" t="n">
        <v>14525882.282684</v>
      </c>
      <c r="D4" s="100" t="n">
        <v>5369398.712698984</v>
      </c>
      <c r="E4" s="100" t="n">
        <v>20567801.38826603</v>
      </c>
      <c r="F4" s="100" t="n">
        <v>-9180068.172639016</v>
      </c>
      <c r="G4" s="100" t="n">
        <v>18041365.80315199</v>
      </c>
      <c r="H4" s="100" t="n">
        <v>-7551303.893871984</v>
      </c>
      <c r="I4" s="100" t="n">
        <v>-5168615.369018016</v>
      </c>
      <c r="J4" s="100" t="n">
        <v>-1801896.269311996</v>
      </c>
      <c r="K4" s="100" t="n">
        <v>-892002.7600089991</v>
      </c>
      <c r="L4" s="100" t="n">
        <v>-13492506.93010301</v>
      </c>
      <c r="M4" s="100" t="n">
        <v>5803851.708524017</v>
      </c>
    </row>
    <row r="5">
      <c r="A5" s="61" t="inlineStr">
        <is>
          <t>İncitaş / G.14.3.</t>
        </is>
      </c>
      <c r="B5" s="100" t="n">
        <v>-21630091.22849198</v>
      </c>
      <c r="C5" s="100" t="n">
        <v>-7083467.618969568</v>
      </c>
      <c r="D5" s="100" t="n">
        <v>1287016.775412455</v>
      </c>
      <c r="E5" s="100" t="n">
        <v>-2459372.641589733</v>
      </c>
      <c r="F5" s="100" t="n">
        <v>-2296240.010662016</v>
      </c>
      <c r="G5" s="100" t="n">
        <v>5930190.440620773</v>
      </c>
      <c r="H5" s="100" t="n">
        <v>-4384141.50531897</v>
      </c>
      <c r="I5" s="100" t="n">
        <v>6745020.495769184</v>
      </c>
      <c r="J5" s="100" t="n">
        <v>6256377.198230576</v>
      </c>
      <c r="K5" s="100" t="n">
        <v>-10550785.8524461</v>
      </c>
      <c r="L5" s="100" t="n">
        <v>1374007.23281418</v>
      </c>
      <c r="M5" s="100" t="n">
        <v>567619.7035398211</v>
      </c>
    </row>
    <row r="6">
      <c r="A6" s="61" t="inlineStr">
        <is>
          <t>GS Yuasa / G.14.4.</t>
        </is>
      </c>
      <c r="B6" s="100" t="n">
        <v>-161561206.4528441</v>
      </c>
      <c r="C6" s="100" t="n">
        <v>209680395.6754504</v>
      </c>
      <c r="D6" s="100" t="n">
        <v>11555939.12549745</v>
      </c>
      <c r="E6" s="100" t="n">
        <v>22468576.5957064</v>
      </c>
      <c r="F6" s="100" t="n">
        <v>3919286.713796407</v>
      </c>
      <c r="G6" s="100" t="n">
        <v>-27542511.32886283</v>
      </c>
      <c r="H6" s="100" t="n">
        <v>-178044381.8682485</v>
      </c>
      <c r="I6" s="100" t="n">
        <v>255082442.3584048</v>
      </c>
      <c r="J6" s="100" t="n">
        <v>-146648217.5531321</v>
      </c>
      <c r="K6" s="100" t="n">
        <v>170654922.16189</v>
      </c>
      <c r="L6" s="100" t="n">
        <v>-7028457.20793435</v>
      </c>
      <c r="M6" s="100" t="n">
        <v>21059657.97964564</v>
      </c>
    </row>
    <row r="7">
      <c r="A7" s="61" t="inlineStr">
        <is>
          <t>Yusen / G.14.5.</t>
        </is>
      </c>
      <c r="B7" s="100" t="n">
        <v>49635377.60875404</v>
      </c>
      <c r="C7" s="100" t="n">
        <v>-34869460.80865005</v>
      </c>
      <c r="D7" s="100" t="n">
        <v>28739211.42312508</v>
      </c>
      <c r="E7" s="100" t="n">
        <v>-11910782.09450006</v>
      </c>
      <c r="F7" s="100" t="n">
        <v>1176275.792026</v>
      </c>
      <c r="G7" s="100" t="n">
        <v>35281039.388861</v>
      </c>
      <c r="H7" s="100" t="n">
        <v>-21005479.941349</v>
      </c>
      <c r="I7" s="100" t="n">
        <v>24800908.26985</v>
      </c>
      <c r="J7" s="100" t="n">
        <v>15755156.133819</v>
      </c>
      <c r="K7" s="100" t="n">
        <v>-26141477.527682</v>
      </c>
      <c r="L7" s="100" t="n">
        <v>47034544.99496</v>
      </c>
      <c r="M7" s="100" t="n">
        <v>19570689.445874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61" t="inlineStr">
        <is>
          <t>Jantaş / G.14.6.</t>
        </is>
      </c>
      <c r="B8" s="100" t="n">
        <v>-120058521.7739506</v>
      </c>
      <c r="C8" s="100" t="n">
        <v>137008950.7355285</v>
      </c>
      <c r="D8" s="100" t="n">
        <v>48606260.30439635</v>
      </c>
      <c r="E8" s="100" t="n">
        <v>-154635058.7660362</v>
      </c>
      <c r="F8" s="100" t="n">
        <v>127764483.2081563</v>
      </c>
      <c r="G8" s="100" t="n">
        <v>46268542.85727627</v>
      </c>
      <c r="H8" s="100" t="n">
        <v>-66229263.06254809</v>
      </c>
      <c r="I8" s="100" t="n">
        <v>32455280.34627293</v>
      </c>
      <c r="J8" s="100" t="n">
        <v>74864303.72634941</v>
      </c>
      <c r="K8" s="100" t="n">
        <v>-107248613.4526848</v>
      </c>
      <c r="L8" s="100" t="n">
        <v>75692699.0523646</v>
      </c>
      <c r="M8" s="100" t="n">
        <v>110223491.5767986</v>
      </c>
    </row>
    <row r="9">
      <c r="A9" s="61" t="inlineStr">
        <is>
          <t>Çelik / G.14.7.</t>
        </is>
      </c>
      <c r="B9" s="100" t="n">
        <v>142243978.1905434</v>
      </c>
      <c r="C9" s="100" t="n">
        <v>-168342005.4480641</v>
      </c>
      <c r="D9" s="100" t="n">
        <v>306881054.8783499</v>
      </c>
      <c r="E9" s="100" t="n">
        <v>-346595335.5147858</v>
      </c>
      <c r="F9" s="100" t="n">
        <v>131315371.9812273</v>
      </c>
      <c r="G9" s="100" t="n">
        <v>102077107.3061165</v>
      </c>
      <c r="H9" s="100" t="n">
        <v>-186181494.2862595</v>
      </c>
      <c r="I9" s="100" t="n">
        <v>87983256.59574366</v>
      </c>
      <c r="J9" s="100" t="n">
        <v>78102514.3394842</v>
      </c>
      <c r="K9" s="100" t="n">
        <v>-264672919.5513328</v>
      </c>
      <c r="L9" s="100" t="n">
        <v>116442847.7521605</v>
      </c>
      <c r="M9" s="100" t="n">
        <v>127951026.4524531</v>
      </c>
    </row>
    <row r="10">
      <c r="A10" s="61" t="inlineStr">
        <is>
          <t>Alüminyum / G.14.8.</t>
        </is>
      </c>
      <c r="B10" s="100" t="n">
        <v>-239059869.2893777</v>
      </c>
      <c r="C10" s="100" t="n">
        <v>210092700.6722581</v>
      </c>
      <c r="D10" s="100" t="n">
        <v>338167356.8143499</v>
      </c>
      <c r="E10" s="100" t="n">
        <v>-455763517.7604843</v>
      </c>
      <c r="F10" s="100" t="n">
        <v>255574000.3617432</v>
      </c>
      <c r="G10" s="100" t="n">
        <v>169039832.5099089</v>
      </c>
      <c r="H10" s="100" t="n">
        <v>-352538451.2186208</v>
      </c>
      <c r="I10" s="100" t="n">
        <v>74890614.37001376</v>
      </c>
      <c r="J10" s="100" t="n">
        <v>320399252.707213</v>
      </c>
      <c r="K10" s="100" t="n">
        <v>-468400507.5573562</v>
      </c>
      <c r="L10" s="100" t="n">
        <v>434140970.895254</v>
      </c>
      <c r="M10" s="100" t="n">
        <v>53308618.29946035</v>
      </c>
    </row>
    <row r="11">
      <c r="A11" s="61" t="inlineStr">
        <is>
          <t>Serbest Nakit-TL / G.15.</t>
        </is>
      </c>
      <c r="B11" s="102">
        <f>SUM(B12:B14)+SUM(B15:B19)*0.4</f>
        <v/>
      </c>
      <c r="C11" s="102">
        <f>SUM(C12:C14)+SUM(C15:C19)*0.4</f>
        <v/>
      </c>
      <c r="D11" s="102">
        <f>SUM(D12:D14)+SUM(D15:D19)*0.4</f>
        <v/>
      </c>
      <c r="E11" s="102">
        <f>SUM(E12:E14)+SUM(E15:E19)*0.4</f>
        <v/>
      </c>
      <c r="F11" s="102">
        <f>SUM(F12:F14)+SUM(F15:F19)*0.4</f>
        <v/>
      </c>
      <c r="G11" s="102">
        <f>SUM(G12:G14)+SUM(G15:G19)*0.4</f>
        <v/>
      </c>
      <c r="H11" s="102">
        <f>SUM(H12:H14)+SUM(H15:H19)*0.4</f>
        <v/>
      </c>
      <c r="I11" s="102">
        <f>SUM(I12:I14)+SUM(I15:I19)*0.4</f>
        <v/>
      </c>
      <c r="J11" s="102">
        <f>SUM(J12:J14)+SUM(J15:J19)*0.4</f>
        <v/>
      </c>
      <c r="K11" s="102">
        <f>SUM(K12:K14)+SUM(K15:K19)*0.4</f>
        <v/>
      </c>
      <c r="L11" s="102">
        <f>SUM(L12:L14)+SUM(L15:L19)*0.4</f>
        <v/>
      </c>
      <c r="M11" s="102">
        <f>SUM(M12:M14)+SUM(M15:M19)*0.4</f>
        <v/>
      </c>
      <c r="O11" s="114" t="n"/>
      <c r="P11" s="115" t="n"/>
      <c r="Q11" s="115" t="n"/>
      <c r="R11" s="115" t="n"/>
      <c r="S11" s="115" t="n"/>
      <c r="T11" s="115" t="n"/>
      <c r="U11" s="115" t="n"/>
      <c r="V11" s="115" t="n"/>
      <c r="W11" s="115" t="n"/>
      <c r="X11" s="115" t="n"/>
      <c r="Y11" s="115" t="n"/>
      <c r="Z11" s="115" t="n"/>
    </row>
    <row r="12">
      <c r="A12" s="61" t="inlineStr">
        <is>
          <t>İnci Holding / G.15.1.</t>
        </is>
      </c>
      <c r="B12" s="100" t="n">
        <v>9164963.365999006</v>
      </c>
      <c r="C12" s="100" t="n">
        <v>27490535.12081299</v>
      </c>
      <c r="D12" s="100" t="n">
        <v>-33555673.01388799</v>
      </c>
      <c r="E12" s="100" t="n">
        <v>6175712.624493001</v>
      </c>
      <c r="F12" s="100" t="n">
        <v>26161859.180337</v>
      </c>
      <c r="G12" s="100" t="n">
        <v>-66908052.948907</v>
      </c>
      <c r="H12" s="100" t="n">
        <v>41068742.765508</v>
      </c>
      <c r="I12" s="100" t="n">
        <v>29433561.10642699</v>
      </c>
      <c r="J12" s="100" t="n">
        <v>-33281949.98670601</v>
      </c>
      <c r="K12" s="100" t="n">
        <v>4434815.012141008</v>
      </c>
      <c r="L12" s="100" t="n">
        <v>40359778.81422</v>
      </c>
      <c r="M12" s="100" t="n">
        <v>-112119657.222356</v>
      </c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61" t="inlineStr">
        <is>
          <t>ISM / G.15.2.</t>
        </is>
      </c>
      <c r="B13" s="100" t="n">
        <v>-27131363.887877</v>
      </c>
      <c r="C13" s="100" t="n">
        <v>14807629.282684</v>
      </c>
      <c r="D13" s="100" t="n">
        <v>5229895.712698984</v>
      </c>
      <c r="E13" s="100" t="n">
        <v>13760604.38826603</v>
      </c>
      <c r="F13" s="100" t="n">
        <v>-3538088.172639017</v>
      </c>
      <c r="G13" s="100" t="n">
        <v>17182885.80315199</v>
      </c>
      <c r="H13" s="100" t="n">
        <v>-6690303.893871984</v>
      </c>
      <c r="I13" s="100" t="n">
        <v>-3743024.369018016</v>
      </c>
      <c r="J13" s="100" t="n">
        <v>-3177487.269311996</v>
      </c>
      <c r="K13" s="100" t="n">
        <v>744430.2399910009</v>
      </c>
      <c r="L13" s="100" t="n">
        <v>-13493755.93010301</v>
      </c>
      <c r="M13" s="100" t="n">
        <v>5802063.708524017</v>
      </c>
    </row>
    <row r="14">
      <c r="A14" s="61" t="inlineStr">
        <is>
          <t>İncitaş / G.15.3.</t>
        </is>
      </c>
      <c r="B14" s="100" t="n">
        <v>-21630091.22849198</v>
      </c>
      <c r="C14" s="100" t="n">
        <v>-7083467.618969568</v>
      </c>
      <c r="D14" s="100" t="n">
        <v>1287016.775412455</v>
      </c>
      <c r="E14" s="100" t="n">
        <v>-2459372.641589733</v>
      </c>
      <c r="F14" s="100" t="n">
        <v>-2296240.010662016</v>
      </c>
      <c r="G14" s="100" t="n">
        <v>5930190.440620773</v>
      </c>
      <c r="H14" s="100" t="n">
        <v>-4384141.50531897</v>
      </c>
      <c r="I14" s="100" t="n">
        <v>6745020.495769184</v>
      </c>
      <c r="J14" s="100" t="n">
        <v>6256377.198230576</v>
      </c>
      <c r="K14" s="100" t="n">
        <v>-10550785.8524461</v>
      </c>
      <c r="L14" s="100" t="n">
        <v>1374007.23281418</v>
      </c>
      <c r="M14" s="100" t="n">
        <v>567619.7035398211</v>
      </c>
    </row>
    <row r="15">
      <c r="A15" s="61" t="inlineStr">
        <is>
          <t>GS Yuasa / G.15.4.</t>
        </is>
      </c>
      <c r="B15" s="100" t="n">
        <v>-173052116.3084441</v>
      </c>
      <c r="C15" s="100" t="n">
        <v>209464826.2065594</v>
      </c>
      <c r="D15" s="100" t="n">
        <v>11336325.57336945</v>
      </c>
      <c r="E15" s="100" t="n">
        <v>17384912.54174839</v>
      </c>
      <c r="F15" s="100" t="n">
        <v>3600183.673778407</v>
      </c>
      <c r="G15" s="100" t="n">
        <v>-31230257.76736683</v>
      </c>
      <c r="H15" s="100" t="n">
        <v>-178438653.4044835</v>
      </c>
      <c r="I15" s="100" t="n">
        <v>254680774.2881497</v>
      </c>
      <c r="J15" s="100" t="n">
        <v>-151501770.7921521</v>
      </c>
      <c r="K15" s="100" t="n">
        <v>170154666.139873</v>
      </c>
      <c r="L15" s="100" t="n">
        <v>-13073297.25324637</v>
      </c>
      <c r="M15" s="100" t="n">
        <v>14793268.30158366</v>
      </c>
    </row>
    <row r="16">
      <c r="A16" s="61" t="inlineStr">
        <is>
          <t>Yusen / G.15.5.</t>
        </is>
      </c>
      <c r="B16" s="100" t="n">
        <v>45770316.42992103</v>
      </c>
      <c r="C16" s="100" t="n">
        <v>-33649974.30865005</v>
      </c>
      <c r="D16" s="100" t="n">
        <v>28205811.42312508</v>
      </c>
      <c r="E16" s="100" t="n">
        <v>-14659820.5204252</v>
      </c>
      <c r="F16" s="100" t="n">
        <v>-3132240.950824437</v>
      </c>
      <c r="G16" s="100" t="n">
        <v>33034431.39115466</v>
      </c>
      <c r="H16" s="100" t="n">
        <v>-24005479.94134885</v>
      </c>
      <c r="I16" s="100" t="n">
        <v>21800908.26985037</v>
      </c>
      <c r="J16" s="100" t="n">
        <v>12755156.1338181</v>
      </c>
      <c r="K16" s="100" t="n">
        <v>-29141477.5276824</v>
      </c>
      <c r="L16" s="100" t="n">
        <v>44034544.99495959</v>
      </c>
      <c r="M16" s="100" t="n">
        <v>16570689.44587413</v>
      </c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61" t="inlineStr">
        <is>
          <t>Jantaş / G.15.6.</t>
        </is>
      </c>
      <c r="B17" s="100" t="n">
        <v>-130263852.9739382</v>
      </c>
      <c r="C17" s="100" t="n">
        <v>136798538.3354909</v>
      </c>
      <c r="D17" s="100" t="n">
        <v>48395820.42110118</v>
      </c>
      <c r="E17" s="100" t="n">
        <v>-154845471.166036</v>
      </c>
      <c r="F17" s="100" t="n">
        <v>127554070.8081164</v>
      </c>
      <c r="G17" s="100" t="n">
        <v>46058130.4573167</v>
      </c>
      <c r="H17" s="100" t="n">
        <v>-66439702.94588116</v>
      </c>
      <c r="I17" s="100" t="n">
        <v>32244867.94623069</v>
      </c>
      <c r="J17" s="100" t="n">
        <v>74653891.32639216</v>
      </c>
      <c r="K17" s="100" t="n">
        <v>-107459025.8526846</v>
      </c>
      <c r="L17" s="100" t="n">
        <v>75482259.16898674</v>
      </c>
      <c r="M17" s="100" t="n">
        <v>110013079.1768437</v>
      </c>
    </row>
    <row r="18">
      <c r="A18" s="61" t="inlineStr">
        <is>
          <t>Çelik / G.15.7.</t>
        </is>
      </c>
      <c r="B18" s="100" t="n">
        <v>141129994.1905434</v>
      </c>
      <c r="C18" s="100" t="n">
        <v>-177308995.8480641</v>
      </c>
      <c r="D18" s="100" t="n">
        <v>298983222.7783499</v>
      </c>
      <c r="E18" s="100" t="n">
        <v>-338907680.7147858</v>
      </c>
      <c r="F18" s="100" t="n">
        <v>130110667.8812273</v>
      </c>
      <c r="G18" s="100" t="n">
        <v>85760512.00611649</v>
      </c>
      <c r="H18" s="100" t="n">
        <v>-160497099.7862595</v>
      </c>
      <c r="I18" s="100" t="n">
        <v>71457237.39574367</v>
      </c>
      <c r="J18" s="100" t="n">
        <v>81573102.33948421</v>
      </c>
      <c r="K18" s="100" t="n">
        <v>-257281573.5513328</v>
      </c>
      <c r="L18" s="100" t="n">
        <v>121726799.9521605</v>
      </c>
      <c r="M18" s="100" t="n">
        <v>129274793.8524531</v>
      </c>
    </row>
    <row r="19">
      <c r="A19" s="61" t="inlineStr">
        <is>
          <t>Alüminyum / G.15.8.</t>
        </is>
      </c>
      <c r="B19" s="100" t="n">
        <v>-251499357.2893777</v>
      </c>
      <c r="C19" s="100" t="n">
        <v>211143719.4722582</v>
      </c>
      <c r="D19" s="100" t="n">
        <v>336294039.71435</v>
      </c>
      <c r="E19" s="100" t="n">
        <v>-447943030.0604843</v>
      </c>
      <c r="F19" s="100" t="n">
        <v>247429287.5617431</v>
      </c>
      <c r="G19" s="100" t="n">
        <v>174105976.709909</v>
      </c>
      <c r="H19" s="100" t="n">
        <v>-366467494.8186208</v>
      </c>
      <c r="I19" s="100" t="n">
        <v>82641473.19001377</v>
      </c>
      <c r="J19" s="100" t="n">
        <v>316673807.6672131</v>
      </c>
      <c r="K19" s="100" t="n">
        <v>-464236189.7973562</v>
      </c>
      <c r="L19" s="100" t="n">
        <v>440163434.665254</v>
      </c>
      <c r="M19" s="100" t="n">
        <v>49705667.25946033</v>
      </c>
    </row>
    <row r="20">
      <c r="A20" s="61" t="inlineStr">
        <is>
          <t>Operasyonel Nakit-TL (Kümüle) / G.14.</t>
        </is>
      </c>
      <c r="B20" s="102">
        <f>SUM(B21:B23)+SUM(B24:B28)*0.4</f>
        <v/>
      </c>
      <c r="C20" s="102">
        <f>SUM(C21:C23)+SUM(C24:C28)*0.4</f>
        <v/>
      </c>
      <c r="D20" s="102">
        <f>SUM(D21:D23)+SUM(D24:D28)*0.4</f>
        <v/>
      </c>
      <c r="E20" s="102">
        <f>SUM(E21:E23)+SUM(E24:E28)*0.4</f>
        <v/>
      </c>
      <c r="F20" s="102">
        <f>SUM(F21:F23)+SUM(F24:F28)*0.4</f>
        <v/>
      </c>
      <c r="G20" s="102">
        <f>SUM(G21:G23)+SUM(G24:G28)*0.4</f>
        <v/>
      </c>
      <c r="H20" s="102">
        <f>SUM(H21:H23)+SUM(H24:H28)*0.4</f>
        <v/>
      </c>
      <c r="I20" s="102">
        <f>SUM(I21:I23)+SUM(I24:I28)*0.4</f>
        <v/>
      </c>
      <c r="J20" s="102">
        <f>SUM(J21:J23)+SUM(J24:J28)*0.4</f>
        <v/>
      </c>
      <c r="K20" s="102">
        <f>SUM(K21:K23)+SUM(K24:K28)*0.4</f>
        <v/>
      </c>
      <c r="L20" s="102">
        <f>SUM(L21:L23)+SUM(L24:L28)*0.4</f>
        <v/>
      </c>
      <c r="M20" s="102">
        <f>SUM(M21:M23)+SUM(M24:M28)*0.4</f>
        <v/>
      </c>
    </row>
    <row r="21">
      <c r="A21" s="61" t="inlineStr">
        <is>
          <t>İnci Holding (Kümüle) / G.14.1.</t>
        </is>
      </c>
      <c r="B21" s="100">
        <f>B3</f>
        <v/>
      </c>
      <c r="C21" s="100">
        <f>B21+C3</f>
        <v/>
      </c>
      <c r="D21" s="100">
        <f>C21+D3</f>
        <v/>
      </c>
      <c r="E21" s="100">
        <f>D21+E3</f>
        <v/>
      </c>
      <c r="F21" s="100">
        <f>E21+F3</f>
        <v/>
      </c>
      <c r="G21" s="100">
        <f>F21+G3</f>
        <v/>
      </c>
      <c r="H21" s="100">
        <f>G21+H3</f>
        <v/>
      </c>
      <c r="I21" s="100">
        <f>H21+I3</f>
        <v/>
      </c>
      <c r="J21" s="100">
        <f>I21+J3</f>
        <v/>
      </c>
      <c r="K21" s="100">
        <f>J21+K3</f>
        <v/>
      </c>
      <c r="L21" s="100">
        <f>K21+L3</f>
        <v/>
      </c>
      <c r="M21" s="100">
        <f>L21+M3</f>
        <v/>
      </c>
    </row>
    <row r="22">
      <c r="A22" s="61" t="inlineStr">
        <is>
          <t>ISM (Kümüle) / G.14.2.</t>
        </is>
      </c>
      <c r="B22" s="100">
        <f>B4</f>
        <v/>
      </c>
      <c r="C22" s="100">
        <f>B22+C4</f>
        <v/>
      </c>
      <c r="D22" s="100">
        <f>C22+D4</f>
        <v/>
      </c>
      <c r="E22" s="100">
        <f>D22+E4</f>
        <v/>
      </c>
      <c r="F22" s="100">
        <f>E22+F4</f>
        <v/>
      </c>
      <c r="G22" s="100">
        <f>F22+G4</f>
        <v/>
      </c>
      <c r="H22" s="100">
        <f>G22+H4</f>
        <v/>
      </c>
      <c r="I22" s="100">
        <f>H22+I4</f>
        <v/>
      </c>
      <c r="J22" s="100">
        <f>I22+J4</f>
        <v/>
      </c>
      <c r="K22" s="100">
        <f>J22+K4</f>
        <v/>
      </c>
      <c r="L22" s="100">
        <f>K22+L4</f>
        <v/>
      </c>
      <c r="M22" s="100">
        <f>L22+M4</f>
        <v/>
      </c>
    </row>
    <row r="23">
      <c r="A23" s="61" t="inlineStr">
        <is>
          <t>GS Yuasa (Kümüle) / G.14.4.</t>
        </is>
      </c>
      <c r="B23" s="100">
        <f>B5</f>
        <v/>
      </c>
      <c r="C23" s="100">
        <f>B23+C5</f>
        <v/>
      </c>
      <c r="D23" s="100">
        <f>C23+D5</f>
        <v/>
      </c>
      <c r="E23" s="100">
        <f>D23+E5</f>
        <v/>
      </c>
      <c r="F23" s="100">
        <f>E23+F5</f>
        <v/>
      </c>
      <c r="G23" s="100">
        <f>F23+G5</f>
        <v/>
      </c>
      <c r="H23" s="100">
        <f>G23+H5</f>
        <v/>
      </c>
      <c r="I23" s="100">
        <f>H23+I5</f>
        <v/>
      </c>
      <c r="J23" s="100">
        <f>I23+J5</f>
        <v/>
      </c>
      <c r="K23" s="100">
        <f>J23+K5</f>
        <v/>
      </c>
      <c r="L23" s="100">
        <f>K23+L5</f>
        <v/>
      </c>
      <c r="M23" s="100">
        <f>L23+M5</f>
        <v/>
      </c>
    </row>
    <row r="24">
      <c r="A24" s="61" t="inlineStr">
        <is>
          <t>İncitaş (Kümüle) / G.14.3.</t>
        </is>
      </c>
      <c r="B24" s="100">
        <f>B6</f>
        <v/>
      </c>
      <c r="C24" s="100">
        <f>B24+C6</f>
        <v/>
      </c>
      <c r="D24" s="100">
        <f>C24+D6</f>
        <v/>
      </c>
      <c r="E24" s="100">
        <f>D24+E6</f>
        <v/>
      </c>
      <c r="F24" s="100">
        <f>E24+F6</f>
        <v/>
      </c>
      <c r="G24" s="100">
        <f>F24+G6</f>
        <v/>
      </c>
      <c r="H24" s="100">
        <f>G24+H6</f>
        <v/>
      </c>
      <c r="I24" s="100">
        <f>H24+I6</f>
        <v/>
      </c>
      <c r="J24" s="100">
        <f>I24+J6</f>
        <v/>
      </c>
      <c r="K24" s="100">
        <f>J24+K6</f>
        <v/>
      </c>
      <c r="L24" s="100">
        <f>K24+L6</f>
        <v/>
      </c>
      <c r="M24" s="100">
        <f>L24+M6</f>
        <v/>
      </c>
    </row>
    <row r="25">
      <c r="A25" s="61" t="inlineStr">
        <is>
          <t>Yusen (Kümüle) / G.14.5.</t>
        </is>
      </c>
      <c r="B25" s="100">
        <f>B7</f>
        <v/>
      </c>
      <c r="C25" s="100">
        <f>B25+C7</f>
        <v/>
      </c>
      <c r="D25" s="100">
        <f>C25+D7</f>
        <v/>
      </c>
      <c r="E25" s="100">
        <f>D25+E7</f>
        <v/>
      </c>
      <c r="F25" s="100">
        <f>E25+F7</f>
        <v/>
      </c>
      <c r="G25" s="100">
        <f>F25+G7</f>
        <v/>
      </c>
      <c r="H25" s="100">
        <f>G25+H7</f>
        <v/>
      </c>
      <c r="I25" s="100">
        <f>H25+I7</f>
        <v/>
      </c>
      <c r="J25" s="100">
        <f>I25+J7</f>
        <v/>
      </c>
      <c r="K25" s="100">
        <f>J25+K7</f>
        <v/>
      </c>
      <c r="L25" s="100">
        <f>K25+L7</f>
        <v/>
      </c>
      <c r="M25" s="100">
        <f>L25+M7</f>
        <v/>
      </c>
    </row>
    <row r="26">
      <c r="A26" s="61" t="inlineStr">
        <is>
          <t>Jantaş (Kümüle) / G.14.6.</t>
        </is>
      </c>
      <c r="B26" s="100">
        <f>B8</f>
        <v/>
      </c>
      <c r="C26" s="100">
        <f>B26+C8</f>
        <v/>
      </c>
      <c r="D26" s="100">
        <f>C26+D8</f>
        <v/>
      </c>
      <c r="E26" s="100">
        <f>D26+E8</f>
        <v/>
      </c>
      <c r="F26" s="100">
        <f>E26+F8</f>
        <v/>
      </c>
      <c r="G26" s="100">
        <f>F26+G8</f>
        <v/>
      </c>
      <c r="H26" s="100">
        <f>G26+H8</f>
        <v/>
      </c>
      <c r="I26" s="100">
        <f>H26+I8</f>
        <v/>
      </c>
      <c r="J26" s="100">
        <f>I26+J8</f>
        <v/>
      </c>
      <c r="K26" s="100">
        <f>J26+K8</f>
        <v/>
      </c>
      <c r="L26" s="100">
        <f>K26+L8</f>
        <v/>
      </c>
      <c r="M26" s="100">
        <f>L26+M8</f>
        <v/>
      </c>
    </row>
    <row r="27">
      <c r="A27" s="61" t="inlineStr">
        <is>
          <t>Çelik (Kümüle) / G.14.7.</t>
        </is>
      </c>
      <c r="B27" s="100">
        <f>B9</f>
        <v/>
      </c>
      <c r="C27" s="100">
        <f>B27+C9</f>
        <v/>
      </c>
      <c r="D27" s="100">
        <f>C27+D9</f>
        <v/>
      </c>
      <c r="E27" s="100">
        <f>D27+E9</f>
        <v/>
      </c>
      <c r="F27" s="100">
        <f>E27+F9</f>
        <v/>
      </c>
      <c r="G27" s="100">
        <f>F27+G9</f>
        <v/>
      </c>
      <c r="H27" s="100">
        <f>G27+H9</f>
        <v/>
      </c>
      <c r="I27" s="100">
        <f>H27+I9</f>
        <v/>
      </c>
      <c r="J27" s="100">
        <f>I27+J9</f>
        <v/>
      </c>
      <c r="K27" s="100">
        <f>J27+K9</f>
        <v/>
      </c>
      <c r="L27" s="100">
        <f>K27+L9</f>
        <v/>
      </c>
      <c r="M27" s="100">
        <f>L27+M9</f>
        <v/>
      </c>
    </row>
    <row r="28">
      <c r="A28" s="61" t="inlineStr">
        <is>
          <t>Alüminyum (Kümüle) / G.14.8.</t>
        </is>
      </c>
      <c r="B28" s="100">
        <f>B10</f>
        <v/>
      </c>
      <c r="C28" s="100">
        <f>B28+C10</f>
        <v/>
      </c>
      <c r="D28" s="100">
        <f>C28+D10</f>
        <v/>
      </c>
      <c r="E28" s="100">
        <f>D28+E10</f>
        <v/>
      </c>
      <c r="F28" s="100">
        <f>E28+F10</f>
        <v/>
      </c>
      <c r="G28" s="100">
        <f>F28+G10</f>
        <v/>
      </c>
      <c r="H28" s="100">
        <f>G28+H10</f>
        <v/>
      </c>
      <c r="I28" s="100">
        <f>H28+I10</f>
        <v/>
      </c>
      <c r="J28" s="100">
        <f>I28+J10</f>
        <v/>
      </c>
      <c r="K28" s="100">
        <f>J28+K10</f>
        <v/>
      </c>
      <c r="L28" s="100">
        <f>K28+L10</f>
        <v/>
      </c>
      <c r="M28" s="100">
        <f>L28+M10</f>
        <v/>
      </c>
    </row>
    <row r="29">
      <c r="A29" s="61" t="inlineStr">
        <is>
          <t>Serbest Nakit-TL (Kümüle) / G.15.</t>
        </is>
      </c>
      <c r="B29" s="102">
        <f>SUM(B30:B32)+SUM(B33:B37)*0.4</f>
        <v/>
      </c>
      <c r="C29" s="102">
        <f>SUM(C30:C32)+SUM(C33:C37)*0.4</f>
        <v/>
      </c>
      <c r="D29" s="102">
        <f>SUM(D30:D32)+SUM(D33:D37)*0.4</f>
        <v/>
      </c>
      <c r="E29" s="102">
        <f>SUM(E30:E32)+SUM(E33:E37)*0.4</f>
        <v/>
      </c>
      <c r="F29" s="102">
        <f>SUM(F30:F32)+SUM(F33:F37)*0.4</f>
        <v/>
      </c>
      <c r="G29" s="102">
        <f>SUM(G30:G32)+SUM(G33:G37)*0.4</f>
        <v/>
      </c>
      <c r="H29" s="102">
        <f>SUM(H30:H32)+SUM(H33:H37)*0.4</f>
        <v/>
      </c>
      <c r="I29" s="102">
        <f>SUM(I30:I32)+SUM(I33:I37)*0.4</f>
        <v/>
      </c>
      <c r="J29" s="102">
        <f>SUM(J30:J32)+SUM(J33:J37)*0.4</f>
        <v/>
      </c>
      <c r="K29" s="102">
        <f>SUM(K30:K32)+SUM(K33:K37)*0.4</f>
        <v/>
      </c>
      <c r="L29" s="102">
        <f>SUM(L30:L32)+SUM(L33:L37)*0.4</f>
        <v/>
      </c>
      <c r="M29" s="102">
        <f>SUM(M30:M32)+SUM(M33:M37)*0.4</f>
        <v/>
      </c>
    </row>
    <row r="30">
      <c r="A30" s="61" t="inlineStr">
        <is>
          <t>İnci Holding (Kümüle) / G.15.1.</t>
        </is>
      </c>
      <c r="B30" s="100" t="n">
        <v>9164963.365999006</v>
      </c>
      <c r="C30" s="100" t="n">
        <v>36655498.486812</v>
      </c>
      <c r="D30" s="100" t="n">
        <v>3099825.472924</v>
      </c>
      <c r="E30" s="100" t="n">
        <v>9275538.097417001</v>
      </c>
      <c r="F30" s="100" t="n">
        <v>35437397.277754</v>
      </c>
      <c r="G30" s="100" t="n">
        <v>-31470655.67115299</v>
      </c>
      <c r="H30" s="100" t="n">
        <v>9598087.094355008</v>
      </c>
      <c r="I30" s="100" t="n">
        <v>39031648.200782</v>
      </c>
      <c r="J30" s="100" t="n">
        <v>5749698.214075994</v>
      </c>
      <c r="K30" s="100" t="n">
        <v>10184513.226217</v>
      </c>
      <c r="L30" s="100" t="n">
        <v>50544292.04043701</v>
      </c>
      <c r="M30" s="100" t="n">
        <v>-61575365.18191899</v>
      </c>
    </row>
    <row r="31">
      <c r="A31" s="61" t="inlineStr">
        <is>
          <t>ISM (Kümüle) / G.15.2.</t>
        </is>
      </c>
      <c r="B31" s="100" t="n">
        <v>-27131363.887877</v>
      </c>
      <c r="C31" s="100" t="n">
        <v>-12323734.605193</v>
      </c>
      <c r="D31" s="100" t="n">
        <v>-7093838.892494016</v>
      </c>
      <c r="E31" s="100" t="n">
        <v>6666765.495772019</v>
      </c>
      <c r="F31" s="100" t="n">
        <v>3128677.323133002</v>
      </c>
      <c r="G31" s="100" t="n">
        <v>20311563.12628499</v>
      </c>
      <c r="H31" s="100" t="n">
        <v>13621259.23241301</v>
      </c>
      <c r="I31" s="100" t="n">
        <v>9878234.863394994</v>
      </c>
      <c r="J31" s="100" t="n">
        <v>6700747.594082998</v>
      </c>
      <c r="K31" s="100" t="n">
        <v>7445177.834073999</v>
      </c>
      <c r="L31" s="100" t="n">
        <v>-6048578.096029008</v>
      </c>
      <c r="M31" s="100" t="n">
        <v>-246514.3875049916</v>
      </c>
    </row>
    <row r="32">
      <c r="A32" s="61" t="inlineStr">
        <is>
          <t>İncitaş (Kümüle) / G.15.3.</t>
        </is>
      </c>
      <c r="B32" s="100" t="n">
        <v>35070403.78208602</v>
      </c>
      <c r="C32" s="100" t="n">
        <v>114873.633929</v>
      </c>
      <c r="D32" s="100" t="n">
        <v>2050473.755966</v>
      </c>
      <c r="E32" s="100" t="n">
        <v>1977619.117671</v>
      </c>
      <c r="F32" s="100" t="n">
        <v>3643341.72143</v>
      </c>
      <c r="G32" s="100" t="n">
        <v>3701982.746848</v>
      </c>
      <c r="H32" s="100" t="n">
        <v>4453425.242603</v>
      </c>
      <c r="I32" s="100" t="n">
        <v>3658542.959634</v>
      </c>
      <c r="J32" s="100" t="n">
        <v>2931788.264392</v>
      </c>
      <c r="K32" s="100" t="n">
        <v>3612999.193649</v>
      </c>
      <c r="L32" s="100" t="n">
        <v>4289439.929686001</v>
      </c>
      <c r="M32" s="100" t="n">
        <v>2159934.676113</v>
      </c>
    </row>
    <row r="33">
      <c r="A33" s="61" t="inlineStr">
        <is>
          <t>GS Yuasa (Kümüle) / G.15.4.</t>
        </is>
      </c>
      <c r="B33" s="100" t="n">
        <v>-173052116.3084441</v>
      </c>
      <c r="C33" s="100" t="n">
        <v>36412709.89811526</v>
      </c>
      <c r="D33" s="100" t="n">
        <v>47749035.47148471</v>
      </c>
      <c r="E33" s="100" t="n">
        <v>65133948.0132331</v>
      </c>
      <c r="F33" s="100" t="n">
        <v>68734131.68701151</v>
      </c>
      <c r="G33" s="100" t="n">
        <v>37503873.91964468</v>
      </c>
      <c r="H33" s="100" t="n">
        <v>-140934779.4848388</v>
      </c>
      <c r="I33" s="100" t="n">
        <v>113745994.8033109</v>
      </c>
      <c r="J33" s="100" t="n">
        <v>-37755775.98884119</v>
      </c>
      <c r="K33" s="100" t="n">
        <v>132398890.1510318</v>
      </c>
      <c r="L33" s="100" t="n">
        <v>119325592.8977854</v>
      </c>
      <c r="M33" s="100" t="n">
        <v>134118861.1993691</v>
      </c>
    </row>
    <row r="34">
      <c r="A34" s="61" t="inlineStr">
        <is>
          <t>Yusen (Kümüle) / G.15.5.</t>
        </is>
      </c>
      <c r="B34" s="100" t="n">
        <v>45770316.42992103</v>
      </c>
      <c r="C34" s="100" t="n">
        <v>12120342.12127098</v>
      </c>
      <c r="D34" s="100" t="n">
        <v>40326153.54439607</v>
      </c>
      <c r="E34" s="100" t="n">
        <v>9198418.649898</v>
      </c>
      <c r="F34" s="100" t="n">
        <v>13693320.657627</v>
      </c>
      <c r="G34" s="100" t="n">
        <v>11163739.43763</v>
      </c>
      <c r="H34" s="100" t="n">
        <v>16225806.821628</v>
      </c>
      <c r="I34" s="100" t="n">
        <v>16692432.456898</v>
      </c>
      <c r="J34" s="100" t="n">
        <v>17571409.72333</v>
      </c>
      <c r="K34" s="100" t="n">
        <v>23573580.312743</v>
      </c>
      <c r="L34" s="100" t="n">
        <v>20164277.735975</v>
      </c>
      <c r="M34" s="100" t="n">
        <v>16447710.281914</v>
      </c>
    </row>
    <row r="35">
      <c r="A35" s="61" t="inlineStr">
        <is>
          <t>Jantaş (Kümüle) / G.15.6.</t>
        </is>
      </c>
      <c r="B35" s="100" t="n">
        <v>-130263852.9739382</v>
      </c>
      <c r="C35" s="100" t="n">
        <v>6534685.361552632</v>
      </c>
      <c r="D35" s="100" t="n">
        <v>54930505.78265381</v>
      </c>
      <c r="E35" s="100" t="n">
        <v>-99914965.38338219</v>
      </c>
      <c r="F35" s="100" t="n">
        <v>27639105.42473424</v>
      </c>
      <c r="G35" s="100" t="n">
        <v>73697235.88205095</v>
      </c>
      <c r="H35" s="100" t="n">
        <v>7257532.936169791</v>
      </c>
      <c r="I35" s="100" t="n">
        <v>39502400.88240048</v>
      </c>
      <c r="J35" s="100" t="n">
        <v>114156292.2087926</v>
      </c>
      <c r="K35" s="100" t="n">
        <v>6697266.356108077</v>
      </c>
      <c r="L35" s="100" t="n">
        <v>82179525.52509482</v>
      </c>
      <c r="M35" s="100" t="n">
        <v>192192604.7019385</v>
      </c>
    </row>
    <row r="36">
      <c r="A36" s="61" t="inlineStr">
        <is>
          <t>Çelik (Kümüle) / G.15.7.</t>
        </is>
      </c>
      <c r="B36" s="100" t="n">
        <v>141129994.1905434</v>
      </c>
      <c r="C36" s="100" t="n">
        <v>-36179001.65752068</v>
      </c>
      <c r="D36" s="100" t="n">
        <v>262804221.1208292</v>
      </c>
      <c r="E36" s="100" t="n">
        <v>-76103459.59395653</v>
      </c>
      <c r="F36" s="100" t="n">
        <v>54007208.28727074</v>
      </c>
      <c r="G36" s="100" t="n">
        <v>139767720.2933872</v>
      </c>
      <c r="H36" s="100" t="n">
        <v>-20729379.49287226</v>
      </c>
      <c r="I36" s="100" t="n">
        <v>50727857.90287141</v>
      </c>
      <c r="J36" s="100" t="n">
        <v>132300960.2423556</v>
      </c>
      <c r="K36" s="100" t="n">
        <v>-124980613.3089772</v>
      </c>
      <c r="L36" s="100" t="n">
        <v>-3253813.356816713</v>
      </c>
      <c r="M36" s="100" t="n">
        <v>126020980.4956364</v>
      </c>
    </row>
    <row r="37">
      <c r="A37" s="61" t="inlineStr">
        <is>
          <t>Alüminyum (Kümüle) / G.15.8.</t>
        </is>
      </c>
      <c r="B37" s="100" t="n">
        <v>-251499357.2893777</v>
      </c>
      <c r="C37" s="100" t="n">
        <v>-40355637.81711951</v>
      </c>
      <c r="D37" s="100" t="n">
        <v>295938401.8972304</v>
      </c>
      <c r="E37" s="100" t="n">
        <v>-152004628.1632539</v>
      </c>
      <c r="F37" s="100" t="n">
        <v>95424659.39848925</v>
      </c>
      <c r="G37" s="100" t="n">
        <v>269530636.1083982</v>
      </c>
      <c r="H37" s="100" t="n">
        <v>-96936858.71022263</v>
      </c>
      <c r="I37" s="100" t="n">
        <v>-14295385.52020887</v>
      </c>
      <c r="J37" s="100" t="n">
        <v>302378422.1470042</v>
      </c>
      <c r="K37" s="100" t="n">
        <v>-161857767.6503521</v>
      </c>
      <c r="L37" s="100" t="n">
        <v>278305667.0149019</v>
      </c>
      <c r="M37" s="100" t="n">
        <v>328011334.2743623</v>
      </c>
    </row>
    <row r="38">
      <c r="A38" s="61" t="inlineStr">
        <is>
          <t>Alacak Tahsilat Süresi / G.20.</t>
        </is>
      </c>
      <c r="B38" s="64" t="n"/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5" t="n"/>
    </row>
    <row r="39">
      <c r="A39" s="61" t="inlineStr">
        <is>
          <t>İnci Holding / G.20.1.</t>
        </is>
      </c>
      <c r="B39" s="64" t="n">
        <v>0</v>
      </c>
      <c r="C39" s="64" t="n">
        <v>0</v>
      </c>
      <c r="D39" s="64" t="n">
        <v>0</v>
      </c>
      <c r="E39" s="64" t="n">
        <v>0</v>
      </c>
      <c r="F39" s="64" t="n">
        <v>0</v>
      </c>
      <c r="G39" s="64" t="n">
        <v>0</v>
      </c>
      <c r="H39" s="64" t="n">
        <v>0</v>
      </c>
      <c r="I39" s="64" t="n">
        <v>0</v>
      </c>
      <c r="J39" s="64" t="n">
        <v>0</v>
      </c>
      <c r="K39" s="64" t="n">
        <v>0</v>
      </c>
      <c r="L39" s="64" t="n">
        <v>0</v>
      </c>
      <c r="M39" s="65" t="n">
        <v>0</v>
      </c>
    </row>
    <row r="40">
      <c r="A40" s="61" t="inlineStr">
        <is>
          <t>ISM / G.20.2.</t>
        </is>
      </c>
      <c r="B40" s="64" t="n">
        <v>49.620794</v>
      </c>
      <c r="C40" s="64" t="n">
        <v>46.632035</v>
      </c>
      <c r="D40" s="64" t="n">
        <v>40.484013</v>
      </c>
      <c r="E40" s="64" t="n">
        <v>33.103713</v>
      </c>
      <c r="F40" s="64" t="n">
        <v>37.71594</v>
      </c>
      <c r="G40" s="64" t="n">
        <v>26.200653</v>
      </c>
      <c r="H40" s="64" t="n">
        <v>23.823858</v>
      </c>
      <c r="I40" s="64" t="n">
        <v>29.456555</v>
      </c>
      <c r="J40" s="64" t="n">
        <v>23.352716</v>
      </c>
      <c r="K40" s="64" t="n">
        <v>26.941554</v>
      </c>
      <c r="L40" s="64" t="n">
        <v>40.688488</v>
      </c>
      <c r="M40" s="65" t="n">
        <v>40.876235</v>
      </c>
    </row>
    <row r="41">
      <c r="A41" s="61" t="inlineStr">
        <is>
          <t>İncitaş / G.20.3.</t>
        </is>
      </c>
      <c r="B41" s="64" t="n">
        <v>79.960122</v>
      </c>
      <c r="C41" s="64" t="n">
        <v>84.37834599999999</v>
      </c>
      <c r="D41" s="64" t="n">
        <v>78.72244999999999</v>
      </c>
      <c r="E41" s="64" t="n">
        <v>71.292889</v>
      </c>
      <c r="F41" s="64" t="n">
        <v>68.438382</v>
      </c>
      <c r="G41" s="64" t="n">
        <v>66.390398</v>
      </c>
      <c r="H41" s="64" t="n">
        <v>58.966823</v>
      </c>
      <c r="I41" s="64" t="n">
        <v>59.333703</v>
      </c>
      <c r="J41" s="64" t="n">
        <v>65.43942800000001</v>
      </c>
      <c r="K41" s="64" t="n">
        <v>68.560909</v>
      </c>
      <c r="L41" s="64" t="n">
        <v>62.627057</v>
      </c>
      <c r="M41" s="65" t="n">
        <v>65.051165</v>
      </c>
    </row>
    <row r="42">
      <c r="A42" s="61" t="inlineStr">
        <is>
          <t>İnci GS Yuasa / G.20.4.</t>
        </is>
      </c>
      <c r="B42" s="64" t="n">
        <v>78.11242799999999</v>
      </c>
      <c r="C42" s="64" t="n">
        <v>77.17797</v>
      </c>
      <c r="D42" s="64" t="n">
        <v>75.465255</v>
      </c>
      <c r="E42" s="64" t="n">
        <v>74.75149</v>
      </c>
      <c r="F42" s="64" t="n">
        <v>72.92321099999999</v>
      </c>
      <c r="G42" s="64" t="n">
        <v>69.38117099999999</v>
      </c>
      <c r="H42" s="64" t="n">
        <v>69.8866</v>
      </c>
      <c r="I42" s="64" t="n">
        <v>68.254524</v>
      </c>
      <c r="J42" s="64" t="n">
        <v>66.842541</v>
      </c>
      <c r="K42" s="64" t="n">
        <v>67.465307</v>
      </c>
      <c r="L42" s="64" t="n">
        <v>67.030599</v>
      </c>
      <c r="M42" s="65" t="n">
        <v>65.50610500000001</v>
      </c>
    </row>
    <row r="43">
      <c r="A43" s="61" t="inlineStr">
        <is>
          <t>Yusen İnci Loj. / G.20.5.</t>
        </is>
      </c>
      <c r="B43" s="64" t="n">
        <v>0</v>
      </c>
      <c r="C43" s="64" t="n">
        <v>0</v>
      </c>
      <c r="D43" s="64" t="n">
        <v>0</v>
      </c>
      <c r="E43" s="64" t="n">
        <v>0</v>
      </c>
      <c r="F43" s="64" t="n">
        <v>0</v>
      </c>
      <c r="G43" s="64" t="n">
        <v>0</v>
      </c>
      <c r="H43" s="64" t="n">
        <v>0</v>
      </c>
      <c r="I43" s="64" t="n">
        <v>0</v>
      </c>
      <c r="J43" s="64" t="n">
        <v>0</v>
      </c>
      <c r="K43" s="64" t="n">
        <v>0</v>
      </c>
      <c r="L43" s="64" t="n">
        <v>0</v>
      </c>
      <c r="M43" s="65" t="n">
        <v>0</v>
      </c>
    </row>
    <row r="44">
      <c r="A44" s="61" t="inlineStr">
        <is>
          <t>Jantaş / G.20.6.</t>
        </is>
      </c>
      <c r="B44" s="64" t="n">
        <v>0</v>
      </c>
      <c r="C44" s="64" t="n">
        <v>0</v>
      </c>
      <c r="D44" s="64" t="n">
        <v>0</v>
      </c>
      <c r="E44" s="64" t="n">
        <v>0</v>
      </c>
      <c r="F44" s="64" t="n">
        <v>0</v>
      </c>
      <c r="G44" s="64" t="n">
        <v>0</v>
      </c>
      <c r="H44" s="64" t="n">
        <v>0</v>
      </c>
      <c r="I44" s="64" t="n">
        <v>0</v>
      </c>
      <c r="J44" s="64" t="n">
        <v>0</v>
      </c>
      <c r="K44" s="64" t="n">
        <v>0</v>
      </c>
      <c r="L44" s="64" t="n">
        <v>0</v>
      </c>
      <c r="M44" s="65" t="n">
        <v>0</v>
      </c>
    </row>
    <row r="45">
      <c r="A45" s="61" t="inlineStr">
        <is>
          <t>Çelik / G.20.7.</t>
        </is>
      </c>
      <c r="B45" s="64" t="n">
        <v>0</v>
      </c>
      <c r="C45" s="64" t="n">
        <v>0</v>
      </c>
      <c r="D45" s="64" t="n">
        <v>0</v>
      </c>
      <c r="E45" s="64" t="n">
        <v>0</v>
      </c>
      <c r="F45" s="64" t="n">
        <v>0</v>
      </c>
      <c r="G45" s="64" t="n">
        <v>0</v>
      </c>
      <c r="H45" s="64" t="n">
        <v>0</v>
      </c>
      <c r="I45" s="64" t="n">
        <v>0</v>
      </c>
      <c r="J45" s="64" t="n">
        <v>0</v>
      </c>
      <c r="K45" s="64" t="n">
        <v>0</v>
      </c>
      <c r="L45" s="64" t="n">
        <v>0</v>
      </c>
      <c r="M45" s="65" t="n">
        <v>0</v>
      </c>
    </row>
    <row r="46">
      <c r="A46" s="61" t="inlineStr">
        <is>
          <t>Alüminyum / G.20.8</t>
        </is>
      </c>
      <c r="B46" s="64" t="n">
        <v>47.504906</v>
      </c>
      <c r="C46" s="64" t="n">
        <v>52.164576</v>
      </c>
      <c r="D46" s="64" t="n">
        <v>52.133781</v>
      </c>
      <c r="E46" s="64" t="n">
        <v>51.326671</v>
      </c>
      <c r="F46" s="64" t="n">
        <v>51.668313</v>
      </c>
      <c r="G46" s="64" t="n">
        <v>51.790349</v>
      </c>
      <c r="H46" s="64" t="n">
        <v>51.241509</v>
      </c>
      <c r="I46" s="64" t="n">
        <v>52.670667</v>
      </c>
      <c r="J46" s="64" t="n">
        <v>53.593989</v>
      </c>
      <c r="K46" s="64" t="n">
        <v>51.239071</v>
      </c>
      <c r="L46" s="64" t="n">
        <v>51.777192</v>
      </c>
      <c r="M46" s="65" t="n">
        <v>51.321292</v>
      </c>
    </row>
    <row r="47">
      <c r="A47" s="61" t="inlineStr">
        <is>
          <t>X / G.20.9.</t>
        </is>
      </c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5" t="n"/>
    </row>
    <row r="48">
      <c r="A48" s="61" t="inlineStr">
        <is>
          <t>Y / G.20.10.</t>
        </is>
      </c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5" t="n"/>
    </row>
    <row r="49">
      <c r="A49" s="61" t="inlineStr">
        <is>
          <t>Stok Çevrim Süresi / G.21.</t>
        </is>
      </c>
    </row>
    <row r="50">
      <c r="A50" s="61" t="inlineStr">
        <is>
          <t>İnci Holding / G.21.1.</t>
        </is>
      </c>
      <c r="B50" s="64" t="n">
        <v>0</v>
      </c>
      <c r="C50" s="64" t="n">
        <v>0</v>
      </c>
      <c r="D50" s="64" t="n">
        <v>0</v>
      </c>
      <c r="E50" s="64" t="n">
        <v>0</v>
      </c>
      <c r="F50" s="64" t="n">
        <v>0</v>
      </c>
      <c r="G50" s="64" t="n">
        <v>0</v>
      </c>
      <c r="H50" s="64" t="n">
        <v>0</v>
      </c>
      <c r="I50" s="64" t="n">
        <v>0</v>
      </c>
      <c r="J50" s="64" t="n">
        <v>0</v>
      </c>
      <c r="K50" s="64" t="n">
        <v>0</v>
      </c>
      <c r="L50" s="64" t="n">
        <v>0</v>
      </c>
      <c r="M50" s="65" t="n">
        <v>0</v>
      </c>
    </row>
    <row r="51">
      <c r="A51" s="61" t="inlineStr">
        <is>
          <t>ISM / G.21.2.</t>
        </is>
      </c>
      <c r="B51" s="64" t="n">
        <v>130.673185</v>
      </c>
      <c r="C51" s="64" t="n">
        <v>116.096349</v>
      </c>
      <c r="D51" s="64" t="n">
        <v>107.694448</v>
      </c>
      <c r="E51" s="64" t="n">
        <v>101.85983</v>
      </c>
      <c r="F51" s="64" t="n">
        <v>98.039141</v>
      </c>
      <c r="G51" s="64" t="n">
        <v>95.215932</v>
      </c>
      <c r="H51" s="64" t="n">
        <v>93.466089</v>
      </c>
      <c r="I51" s="64" t="n">
        <v>92.46158</v>
      </c>
      <c r="J51" s="64" t="n">
        <v>92.416456</v>
      </c>
      <c r="K51" s="64" t="n">
        <v>92.33095400000001</v>
      </c>
      <c r="L51" s="64" t="n">
        <v>92.34403399999999</v>
      </c>
      <c r="M51" s="65" t="n">
        <v>92.20706</v>
      </c>
    </row>
    <row r="52">
      <c r="A52" s="61" t="inlineStr">
        <is>
          <t>İncitaş / G.21.3.</t>
        </is>
      </c>
      <c r="B52" s="64" t="n">
        <v>37.79873</v>
      </c>
      <c r="C52" s="64" t="n">
        <v>33.531096</v>
      </c>
      <c r="D52" s="64" t="n">
        <v>32.413907</v>
      </c>
      <c r="E52" s="64" t="n">
        <v>33.40944</v>
      </c>
      <c r="F52" s="64" t="n">
        <v>31.321681</v>
      </c>
      <c r="G52" s="64" t="n">
        <v>29.02517</v>
      </c>
      <c r="H52" s="64" t="n">
        <v>26.946512</v>
      </c>
      <c r="I52" s="64" t="n">
        <v>32.057695</v>
      </c>
      <c r="J52" s="64" t="n">
        <v>30.826037</v>
      </c>
      <c r="K52" s="64" t="n">
        <v>36.324804</v>
      </c>
      <c r="L52" s="64" t="n">
        <v>29.9301</v>
      </c>
      <c r="M52" s="65" t="n">
        <v>34.718998</v>
      </c>
    </row>
    <row r="53">
      <c r="A53" s="61" t="inlineStr">
        <is>
          <t>İnci GS Yuasa / G.21.4.</t>
        </is>
      </c>
      <c r="B53" s="64" t="n">
        <v>21.7833364</v>
      </c>
      <c r="C53" s="64" t="n">
        <v>21.6428416</v>
      </c>
      <c r="D53" s="64" t="n">
        <v>21.206572</v>
      </c>
      <c r="E53" s="64" t="n">
        <v>20.8087824</v>
      </c>
      <c r="F53" s="64" t="n">
        <v>20.3818892</v>
      </c>
      <c r="G53" s="64" t="n">
        <v>19.2968924</v>
      </c>
      <c r="H53" s="64" t="n">
        <v>19.0131516</v>
      </c>
      <c r="I53" s="64" t="n">
        <v>18.4879524</v>
      </c>
      <c r="J53" s="64" t="n">
        <v>17.8416136</v>
      </c>
      <c r="K53" s="64" t="n">
        <v>17.53703</v>
      </c>
      <c r="L53" s="64" t="n">
        <v>17.5246104</v>
      </c>
      <c r="M53" s="65" t="n">
        <v>17.0912792</v>
      </c>
    </row>
    <row r="54">
      <c r="A54" s="61" t="inlineStr">
        <is>
          <t>Yusen İnci Loj. / G.21.5.</t>
        </is>
      </c>
      <c r="B54" s="64" t="n">
        <v>0</v>
      </c>
      <c r="C54" s="64" t="n">
        <v>0</v>
      </c>
      <c r="D54" s="64" t="n">
        <v>0</v>
      </c>
      <c r="E54" s="64" t="n">
        <v>0</v>
      </c>
      <c r="F54" s="64" t="n">
        <v>0</v>
      </c>
      <c r="G54" s="64" t="n">
        <v>0</v>
      </c>
      <c r="H54" s="64" t="n">
        <v>0</v>
      </c>
      <c r="I54" s="64" t="n">
        <v>0</v>
      </c>
      <c r="J54" s="64" t="n">
        <v>0</v>
      </c>
      <c r="K54" s="64" t="n">
        <v>0</v>
      </c>
      <c r="L54" s="64" t="n">
        <v>0</v>
      </c>
      <c r="M54" s="65" t="n">
        <v>0</v>
      </c>
    </row>
    <row r="55">
      <c r="A55" s="61" t="inlineStr">
        <is>
          <t>Jantaş / G.21.6.</t>
        </is>
      </c>
      <c r="B55" s="64" t="n">
        <v>0</v>
      </c>
      <c r="C55" s="64" t="n">
        <v>0</v>
      </c>
      <c r="D55" s="64" t="n">
        <v>0</v>
      </c>
      <c r="E55" s="64" t="n">
        <v>0</v>
      </c>
      <c r="F55" s="64" t="n">
        <v>0</v>
      </c>
      <c r="G55" s="64" t="n">
        <v>0</v>
      </c>
      <c r="H55" s="64" t="n">
        <v>0</v>
      </c>
      <c r="I55" s="64" t="n">
        <v>0</v>
      </c>
      <c r="J55" s="64" t="n">
        <v>0</v>
      </c>
      <c r="K55" s="64" t="n">
        <v>0</v>
      </c>
      <c r="L55" s="64" t="n">
        <v>0</v>
      </c>
      <c r="M55" s="65" t="n">
        <v>0</v>
      </c>
    </row>
    <row r="56">
      <c r="A56" s="61" t="inlineStr">
        <is>
          <t>Çelik / G.21.7.</t>
        </is>
      </c>
      <c r="B56" s="64" t="n">
        <v>0</v>
      </c>
      <c r="C56" s="64" t="n">
        <v>0</v>
      </c>
      <c r="D56" s="64" t="n">
        <v>0</v>
      </c>
      <c r="E56" s="64" t="n">
        <v>0</v>
      </c>
      <c r="F56" s="64" t="n">
        <v>0</v>
      </c>
      <c r="G56" s="64" t="n">
        <v>0</v>
      </c>
      <c r="H56" s="64" t="n">
        <v>0</v>
      </c>
      <c r="I56" s="64" t="n">
        <v>0</v>
      </c>
      <c r="J56" s="64" t="n">
        <v>0</v>
      </c>
      <c r="K56" s="64" t="n">
        <v>0</v>
      </c>
      <c r="L56" s="64" t="n">
        <v>0</v>
      </c>
      <c r="M56" s="65" t="n">
        <v>0</v>
      </c>
    </row>
    <row r="57">
      <c r="A57" s="61" t="inlineStr">
        <is>
          <t>Alüminyum / G.21.8</t>
        </is>
      </c>
      <c r="B57" s="64" t="n">
        <v>20.1078252</v>
      </c>
      <c r="C57" s="64" t="n">
        <v>20.4318884</v>
      </c>
      <c r="D57" s="64" t="n">
        <v>19.7964864</v>
      </c>
      <c r="E57" s="64" t="n">
        <v>19.5757808</v>
      </c>
      <c r="F57" s="64" t="n">
        <v>19.8195564</v>
      </c>
      <c r="G57" s="64" t="n">
        <v>21.6067844</v>
      </c>
      <c r="H57" s="64" t="n">
        <v>20.9499384</v>
      </c>
      <c r="I57" s="64" t="n">
        <v>18.67886</v>
      </c>
      <c r="J57" s="64" t="n">
        <v>19.7954336</v>
      </c>
      <c r="K57" s="64" t="n">
        <v>22.0395824</v>
      </c>
      <c r="L57" s="64" t="n">
        <v>20.361782</v>
      </c>
      <c r="M57" s="65" t="n">
        <v>18.8138444</v>
      </c>
    </row>
    <row r="58">
      <c r="A58" s="61" t="inlineStr">
        <is>
          <t>X / G.21.9.</t>
        </is>
      </c>
    </row>
    <row r="59">
      <c r="A59" s="61" t="inlineStr">
        <is>
          <t>Y / G.21.10.</t>
        </is>
      </c>
    </row>
    <row r="60">
      <c r="A60" s="61" t="inlineStr">
        <is>
          <t>Borç Ödeme Süresi / G.22.</t>
        </is>
      </c>
    </row>
    <row r="61">
      <c r="A61" s="61" t="inlineStr">
        <is>
          <t>İnci Holding / G.22.1.</t>
        </is>
      </c>
      <c r="B61" s="64" t="n">
        <v>0</v>
      </c>
      <c r="C61" s="64" t="n">
        <v>0</v>
      </c>
      <c r="D61" s="64" t="n">
        <v>0</v>
      </c>
      <c r="E61" s="64" t="n">
        <v>0</v>
      </c>
      <c r="F61" s="64" t="n">
        <v>0</v>
      </c>
      <c r="G61" s="64" t="n">
        <v>0</v>
      </c>
      <c r="H61" s="64" t="n">
        <v>0</v>
      </c>
      <c r="I61" s="64" t="n">
        <v>0</v>
      </c>
      <c r="J61" s="64" t="n">
        <v>0</v>
      </c>
      <c r="K61" s="64" t="n">
        <v>0</v>
      </c>
      <c r="L61" s="64" t="n">
        <v>0</v>
      </c>
      <c r="M61" s="65" t="n">
        <v>0</v>
      </c>
    </row>
    <row r="62">
      <c r="A62" s="61" t="inlineStr">
        <is>
          <t>ISM / G.22.2.</t>
        </is>
      </c>
      <c r="B62" s="64" t="n">
        <v>83</v>
      </c>
      <c r="C62" s="64" t="n">
        <v>56</v>
      </c>
      <c r="D62" s="64" t="n">
        <v>54</v>
      </c>
      <c r="E62" s="64" t="n">
        <v>52</v>
      </c>
      <c r="F62" s="64" t="n">
        <v>54</v>
      </c>
      <c r="G62" s="64" t="n">
        <v>56</v>
      </c>
      <c r="H62" s="64" t="n">
        <v>58</v>
      </c>
      <c r="I62" s="64" t="n">
        <v>70</v>
      </c>
      <c r="J62" s="64" t="n">
        <v>78</v>
      </c>
      <c r="K62" s="64" t="n">
        <v>87</v>
      </c>
      <c r="L62" s="64" t="n">
        <v>93</v>
      </c>
      <c r="M62" s="65" t="n">
        <v>90</v>
      </c>
    </row>
    <row r="63">
      <c r="A63" s="61" t="inlineStr">
        <is>
          <t>İncitaş / G.22.3.</t>
        </is>
      </c>
      <c r="B63" s="64" t="n">
        <v>81.749396</v>
      </c>
      <c r="C63" s="64" t="n">
        <v>78.386242</v>
      </c>
      <c r="D63" s="64" t="n">
        <v>80.350962</v>
      </c>
      <c r="E63" s="64" t="n">
        <v>75.088894</v>
      </c>
      <c r="F63" s="64" t="n">
        <v>70.33252299999999</v>
      </c>
      <c r="G63" s="64" t="n">
        <v>68.784565</v>
      </c>
      <c r="H63" s="64" t="n">
        <v>60.657024</v>
      </c>
      <c r="I63" s="64" t="n">
        <v>61.819309</v>
      </c>
      <c r="J63" s="64" t="n">
        <v>68.576993</v>
      </c>
      <c r="K63" s="64" t="n">
        <v>71.98858799999999</v>
      </c>
      <c r="L63" s="64" t="n">
        <v>64.637826</v>
      </c>
      <c r="M63" s="65" t="n">
        <v>67.298816</v>
      </c>
    </row>
    <row r="64">
      <c r="A64" s="61" t="inlineStr">
        <is>
          <t>İnci GS Yuasa / G.22.4.</t>
        </is>
      </c>
      <c r="B64" s="64" t="n">
        <v>103.643153</v>
      </c>
      <c r="C64" s="64" t="n">
        <v>101.147665</v>
      </c>
      <c r="D64" s="64" t="n">
        <v>96.937203</v>
      </c>
      <c r="E64" s="64" t="n">
        <v>93.995447</v>
      </c>
      <c r="F64" s="64" t="n">
        <v>90.695235</v>
      </c>
      <c r="G64" s="64" t="n">
        <v>84.806028</v>
      </c>
      <c r="H64" s="64" t="n">
        <v>83.10178399999999</v>
      </c>
      <c r="I64" s="64" t="n">
        <v>79.25362699999999</v>
      </c>
      <c r="J64" s="64" t="n">
        <v>75.903655</v>
      </c>
      <c r="K64" s="64" t="n">
        <v>75.856889</v>
      </c>
      <c r="L64" s="64" t="n">
        <v>75.522696</v>
      </c>
      <c r="M64" s="65" t="n">
        <v>73.937826</v>
      </c>
    </row>
    <row r="65">
      <c r="A65" s="61" t="inlineStr">
        <is>
          <t>Yusen İnci Loj. / G.22.5.</t>
        </is>
      </c>
      <c r="B65" s="64" t="n">
        <v>0</v>
      </c>
      <c r="C65" s="64" t="n">
        <v>0</v>
      </c>
      <c r="D65" s="64" t="n">
        <v>0</v>
      </c>
      <c r="E65" s="64" t="n">
        <v>0</v>
      </c>
      <c r="F65" s="64" t="n">
        <v>0</v>
      </c>
      <c r="G65" s="64" t="n">
        <v>0</v>
      </c>
      <c r="H65" s="64" t="n">
        <v>0</v>
      </c>
      <c r="I65" s="64" t="n">
        <v>0</v>
      </c>
      <c r="J65" s="64" t="n">
        <v>0</v>
      </c>
      <c r="K65" s="64" t="n">
        <v>0</v>
      </c>
      <c r="L65" s="64" t="n">
        <v>0</v>
      </c>
      <c r="M65" s="65" t="n">
        <v>0</v>
      </c>
    </row>
    <row r="66">
      <c r="A66" s="61" t="inlineStr">
        <is>
          <t>Jantaş / G.22.6.</t>
        </is>
      </c>
      <c r="B66" s="64" t="n">
        <v>0</v>
      </c>
      <c r="C66" s="64" t="n">
        <v>0</v>
      </c>
      <c r="D66" s="64" t="n">
        <v>0</v>
      </c>
      <c r="E66" s="64" t="n">
        <v>0</v>
      </c>
      <c r="F66" s="64" t="n">
        <v>0</v>
      </c>
      <c r="G66" s="64" t="n">
        <v>0</v>
      </c>
      <c r="H66" s="64" t="n">
        <v>0</v>
      </c>
      <c r="I66" s="64" t="n">
        <v>0</v>
      </c>
      <c r="J66" s="64" t="n">
        <v>0</v>
      </c>
      <c r="K66" s="64" t="n">
        <v>0</v>
      </c>
      <c r="L66" s="64" t="n">
        <v>0</v>
      </c>
      <c r="M66" s="65" t="n">
        <v>0</v>
      </c>
    </row>
    <row r="67">
      <c r="A67" s="61" t="inlineStr">
        <is>
          <t>Çelik / G.22.7.</t>
        </is>
      </c>
      <c r="B67" s="64" t="n">
        <v>0</v>
      </c>
      <c r="C67" s="64" t="n">
        <v>0</v>
      </c>
      <c r="D67" s="64" t="n">
        <v>0</v>
      </c>
      <c r="E67" s="64" t="n">
        <v>0</v>
      </c>
      <c r="F67" s="64" t="n">
        <v>0</v>
      </c>
      <c r="G67" s="64" t="n">
        <v>0</v>
      </c>
      <c r="H67" s="64" t="n">
        <v>0</v>
      </c>
      <c r="I67" s="64" t="n">
        <v>0</v>
      </c>
      <c r="J67" s="64" t="n">
        <v>0</v>
      </c>
      <c r="K67" s="64" t="n">
        <v>0</v>
      </c>
      <c r="L67" s="64" t="n">
        <v>0</v>
      </c>
      <c r="M67" s="65" t="n">
        <v>0</v>
      </c>
    </row>
    <row r="68">
      <c r="A68" s="61" t="inlineStr">
        <is>
          <t>Alüminyum / G.22.8</t>
        </is>
      </c>
      <c r="B68" s="64" t="n">
        <v>86.397228</v>
      </c>
      <c r="C68" s="64" t="n">
        <v>89.848748</v>
      </c>
      <c r="D68" s="64" t="n">
        <v>92.240861</v>
      </c>
      <c r="E68" s="64" t="n">
        <v>79.614268</v>
      </c>
      <c r="F68" s="64" t="n">
        <v>81.64726899999999</v>
      </c>
      <c r="G68" s="64" t="n">
        <v>91.845511</v>
      </c>
      <c r="H68" s="64" t="n">
        <v>81.710021</v>
      </c>
      <c r="I68" s="64" t="n">
        <v>77.49006300000001</v>
      </c>
      <c r="J68" s="64" t="n">
        <v>90.160787</v>
      </c>
      <c r="K68" s="64" t="n">
        <v>78.480881</v>
      </c>
      <c r="L68" s="64" t="n">
        <v>78.742802</v>
      </c>
      <c r="M68" s="65" t="n">
        <v>89.901291</v>
      </c>
    </row>
    <row r="69">
      <c r="A69" s="61" t="inlineStr">
        <is>
          <t>X / G.22.9.</t>
        </is>
      </c>
    </row>
    <row r="70">
      <c r="A70" s="61" t="inlineStr">
        <is>
          <t>Y / G.22.10.</t>
        </is>
      </c>
    </row>
    <row r="71">
      <c r="A71" s="61" t="inlineStr">
        <is>
          <t>Nakit Dönüşüm Süresi / G.23.</t>
        </is>
      </c>
    </row>
    <row r="72">
      <c r="A72" s="61" t="inlineStr">
        <is>
          <t>İnci Holding / G.23.1.</t>
        </is>
      </c>
      <c r="B72" s="64" t="n">
        <v>0</v>
      </c>
      <c r="C72" s="64" t="n">
        <v>0</v>
      </c>
      <c r="D72" s="64" t="n">
        <v>0</v>
      </c>
      <c r="E72" s="64" t="n">
        <v>0</v>
      </c>
      <c r="F72" s="64" t="n">
        <v>0</v>
      </c>
      <c r="G72" s="64" t="n">
        <v>0</v>
      </c>
      <c r="H72" s="64" t="n">
        <v>0</v>
      </c>
      <c r="I72" s="64" t="n">
        <v>0</v>
      </c>
      <c r="J72" s="64" t="n">
        <v>0</v>
      </c>
      <c r="K72" s="64" t="n">
        <v>0</v>
      </c>
      <c r="L72" s="64" t="n">
        <v>0</v>
      </c>
      <c r="M72" s="65" t="n">
        <v>0</v>
      </c>
    </row>
    <row r="73">
      <c r="A73" s="61" t="inlineStr">
        <is>
          <t>ISM / G.23.2.</t>
        </is>
      </c>
      <c r="B73" s="64" t="n">
        <v>68.39142000000001</v>
      </c>
      <c r="C73" s="64" t="n">
        <v>46.74432499999999</v>
      </c>
      <c r="D73" s="64" t="n">
        <v>29.00295299999999</v>
      </c>
      <c r="E73" s="64" t="n">
        <v>20.82191900000001</v>
      </c>
      <c r="F73" s="64" t="n">
        <v>29.80808500000001</v>
      </c>
      <c r="G73" s="64" t="n">
        <v>25.462834</v>
      </c>
      <c r="H73" s="64" t="n">
        <v>34.671572</v>
      </c>
      <c r="I73" s="64" t="n">
        <v>40.468368</v>
      </c>
      <c r="J73" s="64" t="n">
        <v>42.73301499999999</v>
      </c>
      <c r="K73" s="64" t="n">
        <v>48.225825</v>
      </c>
      <c r="L73" s="64" t="n">
        <v>64.28515700000001</v>
      </c>
      <c r="M73" s="65" t="n">
        <v>66.71170599999998</v>
      </c>
    </row>
    <row r="74">
      <c r="A74" s="61" t="inlineStr">
        <is>
          <t>İncitaş / G.23.3.</t>
        </is>
      </c>
      <c r="B74" s="64" t="n">
        <v>20.34313499999999</v>
      </c>
      <c r="C74" s="64" t="n">
        <v>30.81030800000001</v>
      </c>
      <c r="D74" s="64" t="n">
        <v>32.415953</v>
      </c>
      <c r="E74" s="64" t="n">
        <v>50.648183</v>
      </c>
      <c r="F74" s="64" t="n">
        <v>43.86370200000002</v>
      </c>
      <c r="G74" s="64" t="n">
        <v>30.986643</v>
      </c>
      <c r="H74" s="64" t="n">
        <v>35.589035</v>
      </c>
      <c r="I74" s="64" t="n">
        <v>27.97016100000001</v>
      </c>
      <c r="J74" s="64" t="n">
        <v>28.757366</v>
      </c>
      <c r="K74" s="64" t="n">
        <v>41.55751499999998</v>
      </c>
      <c r="L74" s="64" t="n">
        <v>33.71394000000001</v>
      </c>
      <c r="M74" s="65" t="n">
        <v>30.62294800000001</v>
      </c>
    </row>
    <row r="75">
      <c r="A75" s="61" t="inlineStr">
        <is>
          <t>İnci GS Yuasa / G.23.4.</t>
        </is>
      </c>
      <c r="B75" s="64" t="n">
        <v>-9.607696599999997</v>
      </c>
      <c r="C75" s="64" t="n">
        <v>-9.901429199999995</v>
      </c>
      <c r="D75" s="64" t="n">
        <v>-10.32769160000001</v>
      </c>
      <c r="E75" s="64" t="n">
        <v>-10.80799060000001</v>
      </c>
      <c r="F75" s="64" t="n">
        <v>-11.41938519999999</v>
      </c>
      <c r="G75" s="64" t="n">
        <v>-11.8451644</v>
      </c>
      <c r="H75" s="64" t="n">
        <v>-12.00551399999999</v>
      </c>
      <c r="I75" s="64" t="n">
        <v>-12.00982759999998</v>
      </c>
      <c r="J75" s="64" t="n">
        <v>-11.99437199999998</v>
      </c>
      <c r="K75" s="64" t="n">
        <v>-11.958483</v>
      </c>
      <c r="L75" s="64" t="n">
        <v>-11.995662</v>
      </c>
      <c r="M75" s="65" t="n">
        <v>-12.0443516</v>
      </c>
    </row>
    <row r="76">
      <c r="A76" s="61" t="inlineStr">
        <is>
          <t>Yusen İnci Loj. / G.23.5.</t>
        </is>
      </c>
      <c r="B76" s="64" t="n">
        <v>0</v>
      </c>
      <c r="C76" s="64" t="n">
        <v>0</v>
      </c>
      <c r="D76" s="64" t="n">
        <v>0</v>
      </c>
      <c r="E76" s="64" t="n">
        <v>0</v>
      </c>
      <c r="F76" s="64" t="n">
        <v>0</v>
      </c>
      <c r="G76" s="64" t="n">
        <v>0</v>
      </c>
      <c r="H76" s="64" t="n">
        <v>0</v>
      </c>
      <c r="I76" s="64" t="n">
        <v>0</v>
      </c>
      <c r="J76" s="64" t="n">
        <v>0</v>
      </c>
      <c r="K76" s="64" t="n">
        <v>0</v>
      </c>
      <c r="L76" s="64" t="n">
        <v>0</v>
      </c>
      <c r="M76" s="65" t="n">
        <v>0</v>
      </c>
    </row>
    <row r="77">
      <c r="A77" s="61" t="inlineStr">
        <is>
          <t>Jantaş / G.23.6.</t>
        </is>
      </c>
      <c r="B77" s="64" t="n">
        <v>21.6682146</v>
      </c>
      <c r="C77" s="64" t="n">
        <v>9.886930800000002</v>
      </c>
      <c r="D77" s="64" t="n">
        <v>-7.361207999999991</v>
      </c>
      <c r="E77" s="64" t="n">
        <v>-1.522212999999994</v>
      </c>
      <c r="F77" s="64" t="n">
        <v>-0.1225375999999869</v>
      </c>
      <c r="G77" s="64" t="n">
        <v>-13.132516</v>
      </c>
      <c r="H77" s="64" t="n">
        <v>-2.527579199999991</v>
      </c>
      <c r="I77" s="64" t="n">
        <v>0.4891367999999972</v>
      </c>
      <c r="J77" s="64" t="n">
        <v>-16.4316788</v>
      </c>
      <c r="K77" s="64" t="n">
        <v>-3.995736600000001</v>
      </c>
      <c r="L77" s="64" t="n">
        <v>-3.060512399999993</v>
      </c>
      <c r="M77" s="65" t="n">
        <v>-17.0676296</v>
      </c>
    </row>
    <row r="78">
      <c r="A78" s="61" t="inlineStr">
        <is>
          <t>Çelik / G.23.7.</t>
        </is>
      </c>
      <c r="B78" s="64" t="n">
        <v>33.04850820000001</v>
      </c>
      <c r="C78" s="64" t="n">
        <v>37.14715579999999</v>
      </c>
      <c r="D78" s="64" t="n">
        <v>17.4034374</v>
      </c>
      <c r="E78" s="64" t="n">
        <v>31.5790546</v>
      </c>
      <c r="F78" s="64" t="n">
        <v>21.60772580000001</v>
      </c>
      <c r="G78" s="64" t="n">
        <v>1.622877200000005</v>
      </c>
      <c r="H78" s="64" t="n">
        <v>17.42333640000001</v>
      </c>
      <c r="I78" s="64" t="n">
        <v>33.9577932</v>
      </c>
      <c r="J78" s="64" t="n">
        <v>25.6735002</v>
      </c>
      <c r="K78" s="64" t="n">
        <v>30.52093320000001</v>
      </c>
      <c r="L78" s="64" t="n">
        <v>19.912384</v>
      </c>
      <c r="M78" s="65" t="n">
        <v>-2.437239000000005</v>
      </c>
    </row>
    <row r="79">
      <c r="A79" s="61" t="inlineStr">
        <is>
          <t>Alüminyum / G.23.8.</t>
        </is>
      </c>
      <c r="B79" s="64" t="n">
        <v>-8.813999999999993</v>
      </c>
      <c r="C79" s="64" t="n">
        <v>-3.256</v>
      </c>
      <c r="D79" s="64" t="n">
        <v>-3.001999999999995</v>
      </c>
      <c r="E79" s="64" t="n">
        <v>-2.212000000000003</v>
      </c>
      <c r="F79" s="64" t="n">
        <v>-3.297999999999988</v>
      </c>
      <c r="G79" s="64" t="n">
        <v>1.638000000000005</v>
      </c>
      <c r="H79" s="64" t="n">
        <v>-2.689999999999984</v>
      </c>
      <c r="I79" s="64" t="n">
        <v>-9.487999999999985</v>
      </c>
      <c r="J79" s="64" t="n">
        <v>-8.805999999999997</v>
      </c>
      <c r="K79" s="64" t="n">
        <v>-7.556000000000012</v>
      </c>
      <c r="L79" s="64" t="n">
        <v>-4.304000000000002</v>
      </c>
      <c r="M79" s="65" t="n">
        <v>-10</v>
      </c>
    </row>
    <row r="80">
      <c r="A80" s="61" t="inlineStr">
        <is>
          <t>X / G.23.9.</t>
        </is>
      </c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5" t="n"/>
    </row>
    <row r="81">
      <c r="A81" s="61" t="inlineStr">
        <is>
          <t>Y / G.23.10.</t>
        </is>
      </c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Burcu İrim</dc:creator>
  <dcterms:created xsi:type="dcterms:W3CDTF">2020-01-28T11:14:29Z</dcterms:created>
  <dcterms:modified xsi:type="dcterms:W3CDTF">2025-10-31T10:36:22Z</dcterms:modified>
  <cp:lastModifiedBy>Deniz Giray Karcı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ustomUiType" fmtid="{D5CDD505-2E9C-101B-9397-08002B2CF9AE}" pid="2">
    <vt:lpwstr>2</vt:lpwstr>
  </property>
  <property name="ContentTypeId" fmtid="{D5CDD505-2E9C-101B-9397-08002B2CF9AE}" pid="3">
    <vt:lpwstr>0x010100FEB22573B778C949A0F72ABA5F787E07</vt:lpwstr>
  </property>
</Properties>
</file>